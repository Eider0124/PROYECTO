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tables/table1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Tablero" sheetId="1" state="visible" r:id="rId3"/>
    <sheet name="Datos" sheetId="2" state="visible" r:id="rId4"/>
    <sheet name="Medidores" sheetId="3" state="visible" r:id="rId5"/>
    <sheet name="Calc" sheetId="4" state="visible" r:id="rId6"/>
    <sheet name="Histórico" sheetId="5" state="visible" r:id="rId7"/>
    <sheet name="Instruccione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<sst xmlns="http://schemas.openxmlformats.org/spreadsheetml/2006/main" count="358" uniqueCount="160">
  <si>
    <t xml:space="preserve">Monitoreo de Energía</t>
  </si>
  <si>
    <t xml:space="preserve">Data Log de medidores de planta · consumo calculado como última lectura − primera lectura válida del día</t>
  </si>
  <si>
    <t xml:space="preserve">DÍA (elige de la lista)</t>
  </si>
  <si>
    <t xml:space="preserve">MEDIDOR PARA LA GRÁFICA DE 15 MIN</t>
  </si>
  <si>
    <t xml:space="preserve">Estación celda 2</t>
  </si>
  <si>
    <t xml:space="preserve">CONSUMO DEL PERIODO (kWh)</t>
  </si>
  <si>
    <t xml:space="preserve">DEMANDA MEDIA TOTAL (kW)</t>
  </si>
  <si>
    <t xml:space="preserve">FACTOR DE POTENCIA</t>
  </si>
  <si>
    <t xml:space="preserve">MEDIDORES CON AVISO</t>
  </si>
  <si>
    <t xml:space="preserve">Línea</t>
  </si>
  <si>
    <t xml:space="preserve">IP</t>
  </si>
  <si>
    <t xml:space="preserve">Estado</t>
  </si>
  <si>
    <t xml:space="preserve">Desde</t>
  </si>
  <si>
    <t xml:space="preserve">Hasta</t>
  </si>
  <si>
    <t xml:space="preserve">Lecturas</t>
  </si>
  <si>
    <t xml:space="preserve">kWh</t>
  </si>
  <si>
    <t xml:space="preserve">kVARh</t>
  </si>
  <si>
    <t xml:space="preserve">kVAh</t>
  </si>
  <si>
    <t xml:space="preserve">kW medio</t>
  </si>
  <si>
    <t xml:space="preserve">FP</t>
  </si>
  <si>
    <t xml:space="preserve">Última lectura kWh</t>
  </si>
  <si>
    <t xml:space="preserve">válidas</t>
  </si>
  <si>
    <t xml:space="preserve">en cero</t>
  </si>
  <si>
    <t xml:space="preserve">con kVAh</t>
  </si>
  <si>
    <t xml:space="preserve">Celdas amarillas: se eligen de la lista. FP = kWh ÷ kVAh. kW medio = kWh ÷ horas del periodo. Las lecturas en cero se excluyen del cálculo.</t>
  </si>
  <si>
    <t xml:space="preserve">Fecha</t>
  </si>
  <si>
    <t xml:space="preserve">Hora</t>
  </si>
  <si>
    <t xml:space="preserve">Minuto</t>
  </si>
  <si>
    <t xml:space="preserve">kW intervalo</t>
  </si>
  <si>
    <t xml:space="preserve">192.168.1.168</t>
  </si>
  <si>
    <t xml:space="preserve">192.168.50.3</t>
  </si>
  <si>
    <t xml:space="preserve">192.168.50.4</t>
  </si>
  <si>
    <t xml:space="preserve">192.168.50.5</t>
  </si>
  <si>
    <t xml:space="preserve">192.168.50.6</t>
  </si>
  <si>
    <t xml:space="preserve">192.168.50.7</t>
  </si>
  <si>
    <t xml:space="preserve">192.168.50.8</t>
  </si>
  <si>
    <t xml:space="preserve">192.168.50.9</t>
  </si>
  <si>
    <t xml:space="preserve">192.168.50.10</t>
  </si>
  <si>
    <t xml:space="preserve">192.168.50.11</t>
  </si>
  <si>
    <t xml:space="preserve">Nombre de la línea</t>
  </si>
  <si>
    <t xml:space="preserve">Puedes cambiar los nombres de la columna B; el tablero se actualiza solo.</t>
  </si>
  <si>
    <t xml:space="preserve">L50</t>
  </si>
  <si>
    <t xml:space="preserve">L21</t>
  </si>
  <si>
    <t xml:space="preserve">L14</t>
  </si>
  <si>
    <t xml:space="preserve">L20</t>
  </si>
  <si>
    <t xml:space="preserve">L16</t>
  </si>
  <si>
    <t xml:space="preserve">L22</t>
  </si>
  <si>
    <t xml:space="preserve">Estación planta</t>
  </si>
  <si>
    <t xml:space="preserve">Estación celda 3</t>
  </si>
  <si>
    <t xml:space="preserve">Estación celda 1</t>
  </si>
  <si>
    <t xml:space="preserve">Minuto fin</t>
  </si>
  <si>
    <t xml:space="preserve">Inicio</t>
  </si>
  <si>
    <t xml:space="preserve">kW</t>
  </si>
  <si>
    <t xml:space="preserve">Hoja auxiliar para la gráfica de 15 minutos. No hace falta editarla.</t>
  </si>
  <si>
    <t xml:space="preserve">00:00</t>
  </si>
  <si>
    <t xml:space="preserve">00:15</t>
  </si>
  <si>
    <t xml:space="preserve">00:30</t>
  </si>
  <si>
    <t xml:space="preserve">00:45</t>
  </si>
  <si>
    <t xml:space="preserve">01:00</t>
  </si>
  <si>
    <t xml:space="preserve">01:15</t>
  </si>
  <si>
    <t xml:space="preserve">01:30</t>
  </si>
  <si>
    <t xml:space="preserve">01:45</t>
  </si>
  <si>
    <t xml:space="preserve">02:00</t>
  </si>
  <si>
    <t xml:space="preserve">02:15</t>
  </si>
  <si>
    <t xml:space="preserve">02:30</t>
  </si>
  <si>
    <t xml:space="preserve">02:45</t>
  </si>
  <si>
    <t xml:space="preserve">03:00</t>
  </si>
  <si>
    <t xml:space="preserve">03:15</t>
  </si>
  <si>
    <t xml:space="preserve">03:30</t>
  </si>
  <si>
    <t xml:space="preserve">03:45</t>
  </si>
  <si>
    <t xml:space="preserve">04:00</t>
  </si>
  <si>
    <t xml:space="preserve">04:15</t>
  </si>
  <si>
    <t xml:space="preserve">04:30</t>
  </si>
  <si>
    <t xml:space="preserve">04:45</t>
  </si>
  <si>
    <t xml:space="preserve">05:00</t>
  </si>
  <si>
    <t xml:space="preserve">05:15</t>
  </si>
  <si>
    <t xml:space="preserve">05:30</t>
  </si>
  <si>
    <t xml:space="preserve">05:45</t>
  </si>
  <si>
    <t xml:space="preserve">06:00</t>
  </si>
  <si>
    <t xml:space="preserve">06:15</t>
  </si>
  <si>
    <t xml:space="preserve">06:30</t>
  </si>
  <si>
    <t xml:space="preserve">06:45</t>
  </si>
  <si>
    <t xml:space="preserve">07:00</t>
  </si>
  <si>
    <t xml:space="preserve">07:15</t>
  </si>
  <si>
    <t xml:space="preserve">07:30</t>
  </si>
  <si>
    <t xml:space="preserve">07:45</t>
  </si>
  <si>
    <t xml:space="preserve">08:00</t>
  </si>
  <si>
    <t xml:space="preserve">08:15</t>
  </si>
  <si>
    <t xml:space="preserve">08:30</t>
  </si>
  <si>
    <t xml:space="preserve">08:45</t>
  </si>
  <si>
    <t xml:space="preserve">09:00</t>
  </si>
  <si>
    <t xml:space="preserve">09:15</t>
  </si>
  <si>
    <t xml:space="preserve">09:30</t>
  </si>
  <si>
    <t xml:space="preserve">09:45</t>
  </si>
  <si>
    <t xml:space="preserve">10:00</t>
  </si>
  <si>
    <t xml:space="preserve">10:15</t>
  </si>
  <si>
    <t xml:space="preserve">10:30</t>
  </si>
  <si>
    <t xml:space="preserve">10:45</t>
  </si>
  <si>
    <t xml:space="preserve">11:00</t>
  </si>
  <si>
    <t xml:space="preserve">11:15</t>
  </si>
  <si>
    <t xml:space="preserve">11:30</t>
  </si>
  <si>
    <t xml:space="preserve">11:45</t>
  </si>
  <si>
    <t xml:space="preserve">12:00</t>
  </si>
  <si>
    <t xml:space="preserve">12:15</t>
  </si>
  <si>
    <t xml:space="preserve">12:30</t>
  </si>
  <si>
    <t xml:space="preserve">12:45</t>
  </si>
  <si>
    <t xml:space="preserve">13:00</t>
  </si>
  <si>
    <t xml:space="preserve">13:15</t>
  </si>
  <si>
    <t xml:space="preserve">13:30</t>
  </si>
  <si>
    <t xml:space="preserve">13:45</t>
  </si>
  <si>
    <t xml:space="preserve">14:00</t>
  </si>
  <si>
    <t xml:space="preserve">14:15</t>
  </si>
  <si>
    <t xml:space="preserve">14:30</t>
  </si>
  <si>
    <t xml:space="preserve">14:45</t>
  </si>
  <si>
    <t xml:space="preserve">15:00</t>
  </si>
  <si>
    <t xml:space="preserve">15:15</t>
  </si>
  <si>
    <t xml:space="preserve">15:30</t>
  </si>
  <si>
    <t xml:space="preserve">15:45</t>
  </si>
  <si>
    <t xml:space="preserve">16:00</t>
  </si>
  <si>
    <t xml:space="preserve">16:15</t>
  </si>
  <si>
    <t xml:space="preserve">16:30</t>
  </si>
  <si>
    <t xml:space="preserve">16:45</t>
  </si>
  <si>
    <t xml:space="preserve">17:00</t>
  </si>
  <si>
    <t xml:space="preserve">17:15</t>
  </si>
  <si>
    <t xml:space="preserve">17:30</t>
  </si>
  <si>
    <t xml:space="preserve">17:45</t>
  </si>
  <si>
    <t xml:space="preserve">18:00</t>
  </si>
  <si>
    <t xml:space="preserve">18:15</t>
  </si>
  <si>
    <t xml:space="preserve">18:30</t>
  </si>
  <si>
    <t xml:space="preserve">18:45</t>
  </si>
  <si>
    <t xml:space="preserve">19:00</t>
  </si>
  <si>
    <t xml:space="preserve">19:15</t>
  </si>
  <si>
    <t xml:space="preserve">19:30</t>
  </si>
  <si>
    <t xml:space="preserve">19:45</t>
  </si>
  <si>
    <t xml:space="preserve">20:00</t>
  </si>
  <si>
    <t xml:space="preserve">20:15</t>
  </si>
  <si>
    <t xml:space="preserve">20:30</t>
  </si>
  <si>
    <t xml:space="preserve">20:45</t>
  </si>
  <si>
    <t xml:space="preserve">21:00</t>
  </si>
  <si>
    <t xml:space="preserve">21:15</t>
  </si>
  <si>
    <t xml:space="preserve">21:30</t>
  </si>
  <si>
    <t xml:space="preserve">21:45</t>
  </si>
  <si>
    <t xml:space="preserve">22:00</t>
  </si>
  <si>
    <t xml:space="preserve">22:15</t>
  </si>
  <si>
    <t xml:space="preserve">22:30</t>
  </si>
  <si>
    <t xml:space="preserve">22:45</t>
  </si>
  <si>
    <t xml:space="preserve">23:00</t>
  </si>
  <si>
    <t xml:space="preserve">23:15</t>
  </si>
  <si>
    <t xml:space="preserve">23:30</t>
  </si>
  <si>
    <t xml:space="preserve">23:45</t>
  </si>
  <si>
    <t xml:space="preserve">Consumo diario por medidor (kWh en el periodo registrado)</t>
  </si>
  <si>
    <t xml:space="preserve">Total</t>
  </si>
  <si>
    <t xml:space="preserve">Cómo usar este tablero</t>
  </si>
  <si>
    <t xml:space="preserve">1. En la hoja Tablero, elige el día en la celda amarilla B5 y el medidor para la gráfica en E5.</t>
  </si>
  <si>
    <t xml:space="preserve">2. Para agregar lecturas a mano: pega las filas al final de la hoja Datos (Fecha, IP, Hora, kWh, kVARh, kVAh).</t>
  </si>
  <si>
    <t xml:space="preserve">   Las columnas Minuto, kW intervalo y Línea se calculan solas. Mantén las filas ordenadas por Fecha, IP y Hora (de menor a mayor).</t>
  </si>
  <si>
    <t xml:space="preserve">3. Si agregas un día nuevo a mano, escribe también esa fecha al final de la columna A de la hoja Histórico y copia las fórmulas de la fila anterior.</t>
  </si>
  <si>
    <t xml:space="preserve">4. Los nombres de las líneas se cambian en la hoja Medidores.</t>
  </si>
  <si>
    <t xml:space="preserve">Requiere Excel 2019 o Microsoft 365 (usa las funciones MAXIFS y MINIFS). No necesita internet.</t>
  </si>
  <si>
    <t xml:space="preserve">Fuente de los datos: fotos de la pantalla Data Log de cada medidor, transcritas.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</si>
</sst>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yyyy\-mm\-dd"/>
    <numFmt numFmtId="166" formatCode="#,##0.0"/>
    <numFmt numFmtId="167" formatCode="0.000"/>
    <numFmt numFmtId="168" formatCode="@"/>
    <numFmt numFmtId="169" formatCode="hh:mm"/>
    <numFmt numFmtId="170" formatCode="General"/>
    <numFmt numFmtId="171" formatCode="#,##0.000"/>
    <numFmt numFmtId="172" formatCode="#,##0.00"/>
    <numFmt numFmtId="173" formatCode="#,##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8201A"/>
      <name val="Arial"/>
      <family val="0"/>
      <charset val="1"/>
    </font>
    <font>
      <sz val="10"/>
      <color rgb="FF7B877D"/>
      <name val="Arial"/>
      <family val="0"/>
      <charset val="1"/>
    </font>
    <font>
      <b val="true"/>
      <sz val="9"/>
      <color rgb="FF7B877D"/>
      <name val="Arial"/>
      <family val="0"/>
      <charset val="1"/>
    </font>
    <font>
      <b val="true"/>
      <sz val="12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sz val="10"/>
      <color rgb="FF0000FF"/>
      <name val="Arial"/>
      <family val="0"/>
      <charset val="1"/>
    </font>
    <font>
      <b val="true"/>
      <sz val="13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3F5F2"/>
        <bgColor rgb="FFFFFFFF"/>
      </patternFill>
    </fill>
    <fill>
      <patternFill patternType="solid">
        <fgColor rgb="FF2F7A34"/>
        <bgColor rgb="FF008000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DDE3DC"/>
      </left>
      <right style="thin">
        <color rgb="FFDDE3DC"/>
      </right>
      <top style="thin">
        <color rgb="FFDDE3DC"/>
      </top>
      <bottom style="thin">
        <color rgb="FFDDE3DC"/>
      </bottom>
      <diagonal/>
    </border>
    <border diagonalUp="false" diagonalDown="false">
      <left style="thin">
        <color rgb="FFDDE3DC"/>
      </left>
      <right/>
      <top style="thin">
        <color rgb="FFDDE3DC"/>
      </top>
      <bottom style="thin">
        <color rgb="FFDDE3D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2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7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8" fontId="4" fillId="3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9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0" fontId="9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1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ont>
        <name val="Arial"/>
        <charset val="1"/>
        <family val="0"/>
        <b val="1"/>
        <color rgb="FF2F7A34"/>
      </font>
      <fill>
        <patternFill>
          <bgColor rgb="FFE2EFE0"/>
        </patternFill>
      </fill>
    </dxf>
    <dxf>
      <font>
        <name val="Arial"/>
        <charset val="1"/>
        <family val="0"/>
        <b val="1"/>
        <color rgb="FFB3261E"/>
      </font>
      <fill>
        <patternFill>
          <bgColor rgb="FFF8E0DD"/>
        </patternFill>
      </fill>
    </dxf>
    <dxf>
      <font>
        <name val="Arial"/>
        <charset val="1"/>
        <family val="0"/>
        <b val="1"/>
        <color rgb="FFA46A00"/>
      </font>
      <fill>
        <patternFill>
          <bgColor rgb="FFFBEFD5"/>
        </patternFill>
      </fill>
    </dxf>
    <dxf>
      <fill>
        <patternFill patternType="solid">
          <fgColor rgb="FF2F7A3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A46A00"/>
      <rgbColor rgb="FF800080"/>
      <rgbColor rgb="FF008080"/>
      <rgbColor rgb="FFC0C0C0"/>
      <rgbColor rgb="FF7B877D"/>
      <rgbColor rgb="FF9999FF"/>
      <rgbColor rgb="FF993366"/>
      <rgbColor rgb="FFFBEFD5"/>
      <rgbColor rgb="FFF3F5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DE3DC"/>
      <rgbColor rgb="FFE2EFE0"/>
      <rgbColor rgb="FFFFFF99"/>
      <rgbColor rgb="FF99CCFF"/>
      <rgbColor rgb="FFFF99CC"/>
      <rgbColor rgb="FFCC99FF"/>
      <rgbColor rgb="FFF8E0DD"/>
      <rgbColor rgb="FF3366FF"/>
      <rgbColor rgb="FF33CCCC"/>
      <rgbColor rgb="FF99CC00"/>
      <rgbColor rgb="FFFFCC00"/>
      <rgbColor rgb="FFFF9900"/>
      <rgbColor rgb="FFFF6600"/>
      <rgbColor rgb="FF666699"/>
      <rgbColor rgb="FF878787"/>
      <rgbColor rgb="FF003366"/>
      <rgbColor rgb="FF2F7A34"/>
      <rgbColor rgb="FF18201A"/>
      <rgbColor rgb="FF333300"/>
      <rgbColor rgb="FFB326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por medidor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bar"/>
        <c:grouping val="clustered"/>
        <c:varyColors val="0"/>
        <c:ser>
          <c:idx val="0"/>
          <c:order val="0"/>
          <c:tx>
            <c:strRef>
              <c:f>Tablero!H11</c:f>
              <c:strCache>
                <c:ptCount val="1"/>
                <c:pt idx="0">
                  <c:v>kWh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Tablero!$B$12:$B$21</c:f>
              <c:strCache>
                <c:ptCount val="10"/>
                <c:pt idx="0">
                  <c:v>L50</c:v>
                </c:pt>
                <c:pt idx="1">
                  <c:v>L21</c:v>
                </c:pt>
                <c:pt idx="2">
                  <c:v>L14</c:v>
                </c:pt>
                <c:pt idx="3">
                  <c:v>L20</c:v>
                </c:pt>
                <c:pt idx="4">
                  <c:v>L16</c:v>
                </c:pt>
                <c:pt idx="5">
                  <c:v>L22</c:v>
                </c:pt>
                <c:pt idx="6">
                  <c:v>Estación planta</c:v>
                </c:pt>
                <c:pt idx="7">
                  <c:v>Estación celda 3</c:v>
                </c:pt>
                <c:pt idx="8">
                  <c:v>Estación celda 2</c:v>
                </c:pt>
                <c:pt idx="9">
                  <c:v>Estación celda 1</c:v>
                </c:pt>
              </c:strCache>
            </c:strRef>
          </c:cat>
          <c:val>
            <c:numRef>
              <c:f>Tablero!$H$12:$H$21</c:f>
              <c:numCache>
                <c:formatCode>#,##0.000</c:formatCode>
                <c:ptCount val="10"/>
                <c:pt idx="0">
                  <c:v>2.55199999999968</c:v>
                </c:pt>
                <c:pt idx="1">
                  <c:v>2.94899999999871</c:v>
                </c:pt>
                <c:pt idx="2">
                  <c:v>14.9849999999988</c:v>
                </c:pt>
                <c:pt idx="3">
                  <c:v>7.60999999999876</c:v>
                </c:pt>
                <c:pt idx="4">
                  <c:v>0.559999999999491</c:v>
                </c:pt>
                <c:pt idx="5">
                  <c:v>26.3539999999994</c:v>
                </c:pt>
                <c:pt idx="6">
                  <c:v>13.125</c:v>
                </c:pt>
                <c:pt idx="7">
                  <c:v>235.5</c:v>
                </c:pt>
                <c:pt idx="8">
                  <c:v>401.967999999994</c:v>
                </c:pt>
                <c:pt idx="9">
                  <c:v>233.25</c:v>
                </c:pt>
              </c:numCache>
            </c:numRef>
          </c:val>
        </c:ser>
        <c:gapWidth val="150"/>
        <c:overlap val="0"/>
        <c:axId val="19953906"/>
        <c:axId val="64294782"/>
      </c:barChart>
      <c:catAx>
        <c:axId val="1995390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4294782"/>
        <c:crosses val="autoZero"/>
        <c:auto val="1"/>
        <c:lblAlgn val="ctr"/>
        <c:lblOffset val="100"/>
        <c:noMultiLvlLbl val="0"/>
      </c:catAx>
      <c:valAx>
        <c:axId val="6429478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9953906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Demanda cada 15 min (kW) del medidor elegido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Calc!C1</c:f>
              <c:strCache>
                <c:ptCount val="1"/>
                <c:pt idx="0">
                  <c:v>kW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Calc!$B$2:$B$97</c:f>
              <c:strCache>
                <c:ptCount val="96"/>
                <c:pt idx="0">
                  <c:v>00:00</c:v>
                </c:pt>
                <c:pt idx="1">
                  <c:v>00:15</c:v>
                </c:pt>
                <c:pt idx="2">
                  <c:v>00:30</c:v>
                </c:pt>
                <c:pt idx="3">
                  <c:v>00:45</c:v>
                </c:pt>
                <c:pt idx="4">
                  <c:v>01:00</c:v>
                </c:pt>
                <c:pt idx="5">
                  <c:v>01:15</c:v>
                </c:pt>
                <c:pt idx="6">
                  <c:v>01:30</c:v>
                </c:pt>
                <c:pt idx="7">
                  <c:v>01:45</c:v>
                </c:pt>
                <c:pt idx="8">
                  <c:v>02:00</c:v>
                </c:pt>
                <c:pt idx="9">
                  <c:v>02:15</c:v>
                </c:pt>
                <c:pt idx="10">
                  <c:v>02:30</c:v>
                </c:pt>
                <c:pt idx="11">
                  <c:v>02:45</c:v>
                </c:pt>
                <c:pt idx="12">
                  <c:v>03:00</c:v>
                </c:pt>
                <c:pt idx="13">
                  <c:v>03:15</c:v>
                </c:pt>
                <c:pt idx="14">
                  <c:v>03:30</c:v>
                </c:pt>
                <c:pt idx="15">
                  <c:v>03:45</c:v>
                </c:pt>
                <c:pt idx="16">
                  <c:v>04:00</c:v>
                </c:pt>
                <c:pt idx="17">
                  <c:v>04:15</c:v>
                </c:pt>
                <c:pt idx="18">
                  <c:v>04:30</c:v>
                </c:pt>
                <c:pt idx="19">
                  <c:v>04:45</c:v>
                </c:pt>
                <c:pt idx="20">
                  <c:v>05:00</c:v>
                </c:pt>
                <c:pt idx="21">
                  <c:v>05:15</c:v>
                </c:pt>
                <c:pt idx="22">
                  <c:v>05:30</c:v>
                </c:pt>
                <c:pt idx="23">
                  <c:v>05:45</c:v>
                </c:pt>
                <c:pt idx="24">
                  <c:v>06:00</c:v>
                </c:pt>
                <c:pt idx="25">
                  <c:v>06:15</c:v>
                </c:pt>
                <c:pt idx="26">
                  <c:v>06:30</c:v>
                </c:pt>
                <c:pt idx="27">
                  <c:v>06:45</c:v>
                </c:pt>
                <c:pt idx="28">
                  <c:v>07:00</c:v>
                </c:pt>
                <c:pt idx="29">
                  <c:v>07:15</c:v>
                </c:pt>
                <c:pt idx="30">
                  <c:v>07:30</c:v>
                </c:pt>
                <c:pt idx="31">
                  <c:v>07:45</c:v>
                </c:pt>
                <c:pt idx="32">
                  <c:v>08:00</c:v>
                </c:pt>
                <c:pt idx="33">
                  <c:v>08:15</c:v>
                </c:pt>
                <c:pt idx="34">
                  <c:v>08:30</c:v>
                </c:pt>
                <c:pt idx="35">
                  <c:v>08:45</c:v>
                </c:pt>
                <c:pt idx="36">
                  <c:v>09:00</c:v>
                </c:pt>
                <c:pt idx="37">
                  <c:v>09:15</c:v>
                </c:pt>
                <c:pt idx="38">
                  <c:v>09:30</c:v>
                </c:pt>
                <c:pt idx="39">
                  <c:v>09:45</c:v>
                </c:pt>
                <c:pt idx="40">
                  <c:v>10:00</c:v>
                </c:pt>
                <c:pt idx="41">
                  <c:v>10:15</c:v>
                </c:pt>
                <c:pt idx="42">
                  <c:v>10:30</c:v>
                </c:pt>
                <c:pt idx="43">
                  <c:v>10:45</c:v>
                </c:pt>
                <c:pt idx="44">
                  <c:v>11:00</c:v>
                </c:pt>
                <c:pt idx="45">
                  <c:v>11:15</c:v>
                </c:pt>
                <c:pt idx="46">
                  <c:v>11:30</c:v>
                </c:pt>
                <c:pt idx="47">
                  <c:v>11:45</c:v>
                </c:pt>
                <c:pt idx="48">
                  <c:v>12:00</c:v>
                </c:pt>
                <c:pt idx="49">
                  <c:v>12:15</c:v>
                </c:pt>
                <c:pt idx="50">
                  <c:v>12:30</c:v>
                </c:pt>
                <c:pt idx="51">
                  <c:v>12:45</c:v>
                </c:pt>
                <c:pt idx="52">
                  <c:v>13:00</c:v>
                </c:pt>
                <c:pt idx="53">
                  <c:v>13:15</c:v>
                </c:pt>
                <c:pt idx="54">
                  <c:v>13:30</c:v>
                </c:pt>
                <c:pt idx="55">
                  <c:v>13:45</c:v>
                </c:pt>
                <c:pt idx="56">
                  <c:v>14:00</c:v>
                </c:pt>
                <c:pt idx="57">
                  <c:v>14:15</c:v>
                </c:pt>
                <c:pt idx="58">
                  <c:v>14:30</c:v>
                </c:pt>
                <c:pt idx="59">
                  <c:v>14:45</c:v>
                </c:pt>
                <c:pt idx="60">
                  <c:v>15:00</c:v>
                </c:pt>
                <c:pt idx="61">
                  <c:v>15:15</c:v>
                </c:pt>
                <c:pt idx="62">
                  <c:v>15:30</c:v>
                </c:pt>
                <c:pt idx="63">
                  <c:v>15:45</c:v>
                </c:pt>
                <c:pt idx="64">
                  <c:v>16:00</c:v>
                </c:pt>
                <c:pt idx="65">
                  <c:v>16:15</c:v>
                </c:pt>
                <c:pt idx="66">
                  <c:v>16:30</c:v>
                </c:pt>
                <c:pt idx="67">
                  <c:v>16:45</c:v>
                </c:pt>
                <c:pt idx="68">
                  <c:v>17:00</c:v>
                </c:pt>
                <c:pt idx="69">
                  <c:v>17:15</c:v>
                </c:pt>
                <c:pt idx="70">
                  <c:v>17:30</c:v>
                </c:pt>
                <c:pt idx="71">
                  <c:v>17:45</c:v>
                </c:pt>
                <c:pt idx="72">
                  <c:v>18:00</c:v>
                </c:pt>
                <c:pt idx="73">
                  <c:v>18:15</c:v>
                </c:pt>
                <c:pt idx="74">
                  <c:v>18:30</c:v>
                </c:pt>
                <c:pt idx="75">
                  <c:v>18:45</c:v>
                </c:pt>
                <c:pt idx="76">
                  <c:v>19:00</c:v>
                </c:pt>
                <c:pt idx="77">
                  <c:v>19:15</c:v>
                </c:pt>
                <c:pt idx="78">
                  <c:v>19:30</c:v>
                </c:pt>
                <c:pt idx="79">
                  <c:v>19:45</c:v>
                </c:pt>
                <c:pt idx="80">
                  <c:v>20:00</c:v>
                </c:pt>
                <c:pt idx="81">
                  <c:v>20:15</c:v>
                </c:pt>
                <c:pt idx="82">
                  <c:v>20:30</c:v>
                </c:pt>
                <c:pt idx="83">
                  <c:v>20:45</c:v>
                </c:pt>
                <c:pt idx="84">
                  <c:v>21:00</c:v>
                </c:pt>
                <c:pt idx="85">
                  <c:v>21:15</c:v>
                </c:pt>
                <c:pt idx="86">
                  <c:v>21:30</c:v>
                </c:pt>
                <c:pt idx="87">
                  <c:v>21:45</c:v>
                </c:pt>
                <c:pt idx="88">
                  <c:v>22:00</c:v>
                </c:pt>
                <c:pt idx="89">
                  <c:v>22:15</c:v>
                </c:pt>
                <c:pt idx="90">
                  <c:v>22:30</c:v>
                </c:pt>
                <c:pt idx="91">
                  <c:v>22:45</c:v>
                </c:pt>
                <c:pt idx="92">
                  <c:v>23:00</c:v>
                </c:pt>
                <c:pt idx="93">
                  <c:v>23:15</c:v>
                </c:pt>
                <c:pt idx="94">
                  <c:v>23:30</c:v>
                </c:pt>
                <c:pt idx="95">
                  <c:v>23:45</c:v>
                </c:pt>
              </c:strCache>
            </c:strRef>
          </c:cat>
          <c:val>
            <c:numRef>
              <c:f>Calc!$C$2:$C$97</c:f>
              <c:numCache>
                <c:formatCode>#,##0.00</c:formatCode>
                <c:ptCount val="96"/>
                <c:pt idx="46">
                  <c:v>45.6239999998361</c:v>
                </c:pt>
                <c:pt idx="47">
                  <c:v>50</c:v>
                </c:pt>
                <c:pt idx="48">
                  <c:v>77</c:v>
                </c:pt>
                <c:pt idx="49">
                  <c:v>88.3760000001639</c:v>
                </c:pt>
                <c:pt idx="50">
                  <c:v>87.8719999999739</c:v>
                </c:pt>
                <c:pt idx="51">
                  <c:v>86.7519999998622</c:v>
                </c:pt>
                <c:pt idx="52">
                  <c:v>88.5</c:v>
                </c:pt>
                <c:pt idx="53">
                  <c:v>88.7480000001378</c:v>
                </c:pt>
                <c:pt idx="54">
                  <c:v>87.3759999999311</c:v>
                </c:pt>
                <c:pt idx="55">
                  <c:v>90.6240000000689</c:v>
                </c:pt>
                <c:pt idx="56">
                  <c:v>88.3759999999311</c:v>
                </c:pt>
                <c:pt idx="57">
                  <c:v>87.8759999999311</c:v>
                </c:pt>
                <c:pt idx="58">
                  <c:v>93.7480000001378</c:v>
                </c:pt>
                <c:pt idx="59">
                  <c:v>97.8759999999311</c:v>
                </c:pt>
                <c:pt idx="60">
                  <c:v>96.752000000095</c:v>
                </c:pt>
                <c:pt idx="61">
                  <c:v>89.5</c:v>
                </c:pt>
                <c:pt idx="62">
                  <c:v>81.5</c:v>
                </c:pt>
                <c:pt idx="63">
                  <c:v>87</c:v>
                </c:pt>
                <c:pt idx="64">
                  <c:v>94.3719999999739</c:v>
                </c:pt>
              </c:numCache>
            </c:numRef>
          </c:val>
        </c:ser>
        <c:gapWidth val="20"/>
        <c:overlap val="0"/>
        <c:axId val="41683393"/>
        <c:axId val="55949972"/>
      </c:barChart>
      <c:catAx>
        <c:axId val="4168339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55949972"/>
        <c:crosses val="autoZero"/>
        <c:auto val="1"/>
        <c:lblAlgn val="ctr"/>
        <c:lblOffset val="100"/>
        <c:noMultiLvlLbl val="0"/>
      </c:catAx>
      <c:valAx>
        <c:axId val="5594997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41683393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Consumo total por día (kWh)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barChart>
        <c:barDir val="col"/>
        <c:grouping val="clustered"/>
        <c:varyColors val="0"/>
        <c:ser>
          <c:idx val="0"/>
          <c:order val="0"/>
          <c:tx>
            <c:strRef>
              <c:f>Histórico!L2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rgbClr val="2f7a34"/>
            </a:solidFill>
            <a:ln w="0">
              <a:noFill/>
            </a:ln>
          </c:spPr>
          <c:invertIfNegative val="0"/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Histórico!$A$3</c:f>
              <c:strCache>
                <c:ptCount val="1"/>
                <c:pt idx="0">
                  <c:v>2026-10-07</c:v>
                </c:pt>
              </c:strCache>
            </c:strRef>
          </c:cat>
          <c:val>
            <c:numRef>
              <c:f>Histórico!$L$3</c:f>
              <c:numCache>
                <c:formatCode>#,##0.0</c:formatCode>
                <c:ptCount val="1"/>
                <c:pt idx="0">
                  <c:v>938.852999999988</c:v>
                </c:pt>
              </c:numCache>
            </c:numRef>
          </c:val>
        </c:ser>
        <c:gapWidth val="150"/>
        <c:overlap val="0"/>
        <c:axId val="10250284"/>
        <c:axId val="91868621"/>
      </c:barChart>
      <c:catAx>
        <c:axId val="102502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91868621"/>
        <c:crosses val="autoZero"/>
        <c:auto val="1"/>
        <c:lblAlgn val="ctr"/>
        <c:lblOffset val="100"/>
        <c:noMultiLvlLbl val="0"/>
      </c:catAx>
      <c:valAx>
        <c:axId val="91868621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numFmt formatCode="#,##0.0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10250284"/>
        <c:crosses val="autoZero"/>
        <c:crossBetween val="between"/>
      </c:valAx>
      <c:spPr>
        <a:noFill/>
        <a:ln w="0">
          <a:noFill/>
        </a:ln>
      </c:spPr>
    </c:plotArea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23</xdr:row>
      <xdr:rowOff>11520</xdr:rowOff>
    </xdr:from>
    <xdr:to>
      <xdr:col>6</xdr:col>
      <xdr:colOff>324720</xdr:colOff>
      <xdr:row>40</xdr:row>
      <xdr:rowOff>12600</xdr:rowOff>
    </xdr:to>
    <xdr:graphicFrame>
      <xdr:nvGraphicFramePr>
        <xdr:cNvPr id="0" name="Chart 1"/>
        <xdr:cNvGraphicFramePr/>
      </xdr:nvGraphicFramePr>
      <xdr:xfrm>
        <a:off x="141120" y="4572000"/>
        <a:ext cx="539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7</xdr:col>
      <xdr:colOff>0</xdr:colOff>
      <xdr:row>23</xdr:row>
      <xdr:rowOff>11520</xdr:rowOff>
    </xdr:from>
    <xdr:to>
      <xdr:col>16</xdr:col>
      <xdr:colOff>551520</xdr:colOff>
      <xdr:row>40</xdr:row>
      <xdr:rowOff>12600</xdr:rowOff>
    </xdr:to>
    <xdr:graphicFrame>
      <xdr:nvGraphicFramePr>
        <xdr:cNvPr id="1" name="Chart 2"/>
        <xdr:cNvGraphicFramePr/>
      </xdr:nvGraphicFramePr>
      <xdr:xfrm>
        <a:off x="5920920" y="4572000"/>
        <a:ext cx="611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0</xdr:colOff>
      <xdr:row>4</xdr:row>
      <xdr:rowOff>176040</xdr:rowOff>
    </xdr:from>
    <xdr:to>
      <xdr:col>6</xdr:col>
      <xdr:colOff>276840</xdr:colOff>
      <xdr:row>20</xdr:row>
      <xdr:rowOff>7560</xdr:rowOff>
    </xdr:to>
    <xdr:graphicFrame>
      <xdr:nvGraphicFramePr>
        <xdr:cNvPr id="2" name="Chart 1"/>
        <xdr:cNvGraphicFramePr/>
      </xdr:nvGraphicFramePr>
      <xdr:xfrm>
        <a:off x="0" y="952560"/>
        <a:ext cx="6479640" cy="287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id="1" name="tDatos" displayName="tDatos" ref="A1:I181" headerRowCount="1" totalsRowCount="0" totalsRowShown="0">
  <autoFilter ref="A1:I181"/>
  <tableColumns count="9">
    <tableColumn id="1" name="Fecha"/>
    <tableColumn id="2" name="IP"/>
    <tableColumn id="3" name="Hora"/>
    <tableColumn id="4" name="kWh"/>
    <tableColumn id="5" name="kVARh"/>
    <tableColumn id="6" name="kVAh"/>
    <tableColumn id="7" name="Minuto"/>
    <tableColumn id="8" name="kW intervalo"/>
    <tableColumn id="9" name="Línea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P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5" topLeftCell="A6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"/>
    <col collapsed="false" customWidth="true" hidden="false" outlineLevel="0" max="2" min="2" style="0" width="22"/>
    <col collapsed="false" customWidth="true" hidden="false" outlineLevel="0" max="3" min="3" style="0" width="15"/>
    <col collapsed="false" customWidth="true" hidden="false" outlineLevel="0" max="4" min="4" style="0" width="17"/>
    <col collapsed="false" customWidth="true" hidden="false" outlineLevel="0" max="6" min="5" style="0" width="9"/>
    <col collapsed="false" customWidth="true" hidden="false" outlineLevel="0" max="7" min="7" style="0" width="10"/>
    <col collapsed="false" customWidth="true" hidden="false" outlineLevel="0" max="10" min="8" style="0" width="14"/>
    <col collapsed="false" customWidth="true" hidden="false" outlineLevel="0" max="11" min="11" style="0" width="11"/>
    <col collapsed="false" customWidth="true" hidden="false" outlineLevel="0" max="12" min="12" style="0" width="9"/>
    <col collapsed="false" customWidth="true" hidden="false" outlineLevel="0" max="13" min="13" style="0" width="17"/>
    <col collapsed="false" customWidth="true" hidden="true" outlineLevel="0" max="16" min="14" style="0" width="13"/>
  </cols>
  <sheetData>
    <row r="1" customFormat="false" ht="22.05" hidden="false" customHeight="false" outlineLevel="0" collapsed="false">
      <c r="B1" s="1" t="s">
        <v>0</v>
      </c>
    </row>
    <row r="2" customFormat="false" ht="15" hidden="false" customHeight="false" outlineLevel="0" collapsed="false">
      <c r="B2" s="2" t="s">
        <v>1</v>
      </c>
    </row>
    <row r="4" customFormat="false" ht="15" hidden="false" customHeight="false" outlineLevel="0" collapsed="false">
      <c r="B4" s="3" t="s">
        <v>2</v>
      </c>
      <c r="E4" s="3" t="s">
        <v>3</v>
      </c>
    </row>
    <row r="5" customFormat="false" ht="15" hidden="false" customHeight="false" outlineLevel="0" collapsed="false">
      <c r="B5" s="4" t="n">
        <v>46302</v>
      </c>
      <c r="E5" s="5" t="s">
        <v>4</v>
      </c>
      <c r="F5" s="5"/>
      <c r="G5" s="5"/>
      <c r="H5" s="2" t="str">
        <f aca="false">IFERROR(INDEX(Medidores!$A:$A,MATCH($E$5,Medidores!$B:$B,0)),"")</f>
        <v>192.168.50.10</v>
      </c>
    </row>
    <row r="7" customFormat="false" ht="15" hidden="false" customHeight="false" outlineLevel="0" collapsed="false">
      <c r="B7" s="3" t="s">
        <v>5</v>
      </c>
      <c r="D7" s="3" t="s">
        <v>6</v>
      </c>
      <c r="H7" s="3" t="s">
        <v>7</v>
      </c>
      <c r="J7" s="3" t="s">
        <v>8</v>
      </c>
    </row>
    <row r="8" customFormat="false" ht="22.05" hidden="false" customHeight="false" outlineLevel="0" collapsed="false">
      <c r="B8" s="6" t="n">
        <f aca="false">SUM(H12:H21)</f>
        <v>938.852999999988</v>
      </c>
      <c r="D8" s="6" t="n">
        <f aca="false">SUM(K12:K21)</f>
        <v>221.567333333331</v>
      </c>
      <c r="H8" s="7" t="n">
        <f aca="false">IFERROR(SUMPRODUCT(--ISNUMBER(L12:L21),H12:H21)/SUM(J12:J21),"")</f>
        <v>0.912962888447275</v>
      </c>
      <c r="J8" s="8" t="str">
        <f aca="false">COUNTIF(D12:D21,"&lt;&gt;Normal")&amp;" de "&amp;COUNTA(C12:C21)</f>
        <v>2 de 10</v>
      </c>
    </row>
    <row r="11" customFormat="false" ht="15" hidden="false" customHeight="false" outlineLevel="0" collapsed="false">
      <c r="B11" s="9" t="s">
        <v>9</v>
      </c>
      <c r="C11" s="9" t="s">
        <v>10</v>
      </c>
      <c r="D11" s="9" t="s">
        <v>11</v>
      </c>
      <c r="E11" s="9" t="s">
        <v>12</v>
      </c>
      <c r="F11" s="9" t="s">
        <v>13</v>
      </c>
      <c r="G11" s="9" t="s">
        <v>14</v>
      </c>
      <c r="H11" s="9" t="s">
        <v>15</v>
      </c>
      <c r="I11" s="9" t="s">
        <v>16</v>
      </c>
      <c r="J11" s="9" t="s">
        <v>17</v>
      </c>
      <c r="K11" s="9" t="s">
        <v>18</v>
      </c>
      <c r="L11" s="9" t="s">
        <v>19</v>
      </c>
      <c r="M11" s="9" t="s">
        <v>20</v>
      </c>
      <c r="N11" s="9" t="s">
        <v>21</v>
      </c>
      <c r="O11" s="9" t="s">
        <v>22</v>
      </c>
      <c r="P11" s="9" t="s">
        <v>23</v>
      </c>
    </row>
    <row r="12" customFormat="false" ht="15" hidden="false" customHeight="false" outlineLevel="0" collapsed="false">
      <c r="B12" s="10" t="str">
        <f aca="false">Medidores!B2</f>
        <v>L50</v>
      </c>
      <c r="C12" s="10" t="str">
        <f aca="false">Medidores!A2</f>
        <v>192.168.50.3</v>
      </c>
      <c r="D12" s="11" t="str">
        <f aca="false">IF(N12&lt;2,"Sin datos",IF(O12&gt;0,"Lectura en cero",IF(P12&lt;2,"Falta kVAh",IF(H12&lt;=0.001,"Sin consumo","Normal"))))</f>
        <v>Normal</v>
      </c>
      <c r="E12" s="12" t="n">
        <f aca="false">IF(N12&lt;2,"",_xlfn.MINIFS(Datos!$G:$G,Datos!$B:$B,$C12,Datos!$A:$A,$B$5,Datos!$D:$D,"&gt;0")/1440)</f>
        <v>0.270833333333333</v>
      </c>
      <c r="F12" s="12" t="n">
        <f aca="false">IF(N12&lt;2,"",_xlfn.MAXIFS(Datos!$G:$G,Datos!$B:$B,$C12,Datos!$A:$A,$B$5,Datos!$D:$D,"&gt;0")/1440)</f>
        <v>0.46875</v>
      </c>
      <c r="G12" s="13" t="n">
        <f aca="false">COUNTIFS(Datos!$B:$B,$C12,Datos!$A:$A,$B$5)</f>
        <v>20</v>
      </c>
      <c r="H12" s="14" t="n">
        <f aca="false">IF(N12&lt;2,"",_xlfn.MAXIFS(Datos!$D:$D,Datos!$B:$B,$C12,Datos!$A:$A,$B$5,Datos!$D:$D,"&gt;0")-_xlfn.MINIFS(Datos!$D:$D,Datos!$B:$B,$C12,Datos!$A:$A,$B$5,Datos!$D:$D,"&gt;0"))</f>
        <v>2.55199999999968</v>
      </c>
      <c r="I12" s="14" t="n">
        <f aca="false">IF(N12&lt;2,"",_xlfn.MAXIFS(Datos!$E:$E,Datos!$B:$B,$C12,Datos!$A:$A,$B$5,Datos!$D:$D,"&gt;0")-_xlfn.MINIFS(Datos!$E:$E,Datos!$B:$B,$C12,Datos!$A:$A,$B$5,Datos!$D:$D,"&gt;0"))</f>
        <v>0.0360000000000582</v>
      </c>
      <c r="J12" s="14" t="n">
        <f aca="false">IF(P12&lt;2,"",_xlfn.MAXIFS(Datos!$F:$F,Datos!$B:$B,$C12,Datos!$A:$A,$B$5,Datos!$F:$F,"&gt;0")-_xlfn.MINIFS(Datos!$F:$F,Datos!$B:$B,$C12,Datos!$A:$A,$B$5,Datos!$F:$F,"&gt;0"))</f>
        <v>2.68199999999888</v>
      </c>
      <c r="K12" s="15" t="n">
        <f aca="false">IF(H12="","",IF(F12&gt;E12,H12/((F12-E12)*24),""))</f>
        <v>0.53726315789467</v>
      </c>
      <c r="L12" s="16" t="n">
        <f aca="false">IF(OR(H12="",J12=""),"",IF(J12&gt;0,H12/J12,""))</f>
        <v>0.95152870991825</v>
      </c>
      <c r="M12" s="14" t="n">
        <f aca="false">IF(N12=0,"",_xlfn.MAXIFS(Datos!$D:$D,Datos!$B:$B,$C12,Datos!$A:$A,$B$5,Datos!$D:$D,"&gt;0"))</f>
        <v>8721.047</v>
      </c>
      <c r="N12" s="10" t="n">
        <f aca="false">COUNTIFS(Datos!$B:$B,$C12,Datos!$A:$A,$B$5,Datos!$D:$D,"&gt;0")</f>
        <v>20</v>
      </c>
      <c r="O12" s="10" t="n">
        <f aca="false">COUNTIFS(Datos!$B:$B,$C12,Datos!$A:$A,$B$5,Datos!$D:$D,0)</f>
        <v>0</v>
      </c>
      <c r="P12" s="10" t="n">
        <f aca="false">COUNTIFS(Datos!$B:$B,$C12,Datos!$A:$A,$B$5,Datos!$F:$F,"&gt;0")</f>
        <v>20</v>
      </c>
    </row>
    <row r="13" customFormat="false" ht="15" hidden="false" customHeight="false" outlineLevel="0" collapsed="false">
      <c r="B13" s="10" t="str">
        <f aca="false">Medidores!B3</f>
        <v>L21</v>
      </c>
      <c r="C13" s="10" t="str">
        <f aca="false">Medidores!A3</f>
        <v>192.168.50.4</v>
      </c>
      <c r="D13" s="11" t="str">
        <f aca="false">IF(N13&lt;2,"Sin datos",IF(O13&gt;0,"Lectura en cero",IF(P13&lt;2,"Falta kVAh",IF(H13&lt;=0.001,"Sin consumo","Normal"))))</f>
        <v>Normal</v>
      </c>
      <c r="E13" s="12" t="n">
        <f aca="false">IF(N13&lt;2,"",_xlfn.MINIFS(Datos!$G:$G,Datos!$B:$B,$C13,Datos!$A:$A,$B$5,Datos!$D:$D,"&gt;0")/1440)</f>
        <v>0.479166666666667</v>
      </c>
      <c r="F13" s="12" t="n">
        <f aca="false">IF(N13&lt;2,"",_xlfn.MAXIFS(Datos!$G:$G,Datos!$B:$B,$C13,Datos!$A:$A,$B$5,Datos!$D:$D,"&gt;0")/1440)</f>
        <v>0.677083333333333</v>
      </c>
      <c r="G13" s="13" t="n">
        <f aca="false">COUNTIFS(Datos!$B:$B,$C13,Datos!$A:$A,$B$5)</f>
        <v>20</v>
      </c>
      <c r="H13" s="14" t="n">
        <f aca="false">IF(N13&lt;2,"",_xlfn.MAXIFS(Datos!$D:$D,Datos!$B:$B,$C13,Datos!$A:$A,$B$5,Datos!$D:$D,"&gt;0")-_xlfn.MINIFS(Datos!$D:$D,Datos!$B:$B,$C13,Datos!$A:$A,$B$5,Datos!$D:$D,"&gt;0"))</f>
        <v>2.94899999999871</v>
      </c>
      <c r="I13" s="14" t="n">
        <f aca="false">IF(N13&lt;2,"",_xlfn.MAXIFS(Datos!$E:$E,Datos!$B:$B,$C13,Datos!$A:$A,$B$5,Datos!$D:$D,"&gt;0")-_xlfn.MINIFS(Datos!$E:$E,Datos!$B:$B,$C13,Datos!$A:$A,$B$5,Datos!$D:$D,"&gt;0"))</f>
        <v>0</v>
      </c>
      <c r="J13" s="14" t="n">
        <f aca="false">IF(P13&lt;2,"",_xlfn.MAXIFS(Datos!$F:$F,Datos!$B:$B,$C13,Datos!$A:$A,$B$5,Datos!$F:$F,"&gt;0")-_xlfn.MINIFS(Datos!$F:$F,Datos!$B:$B,$C13,Datos!$A:$A,$B$5,Datos!$F:$F,"&gt;0"))</f>
        <v>2.9950000000008</v>
      </c>
      <c r="K13" s="15" t="n">
        <f aca="false">IF(H13="","",IF(F13&gt;E13,H13/((F13-E13)*24),""))</f>
        <v>0.620842105262885</v>
      </c>
      <c r="L13" s="16" t="n">
        <f aca="false">IF(OR(H13="",J13=""),"",IF(J13&gt;0,H13/J13,""))</f>
        <v>0.984641068446717</v>
      </c>
      <c r="M13" s="14" t="n">
        <f aca="false">IF(N13=0,"",_xlfn.MAXIFS(Datos!$D:$D,Datos!$B:$B,$C13,Datos!$A:$A,$B$5,Datos!$D:$D,"&gt;0"))</f>
        <v>9878.192</v>
      </c>
      <c r="N13" s="10" t="n">
        <f aca="false">COUNTIFS(Datos!$B:$B,$C13,Datos!$A:$A,$B$5,Datos!$D:$D,"&gt;0")</f>
        <v>20</v>
      </c>
      <c r="O13" s="10" t="n">
        <f aca="false">COUNTIFS(Datos!$B:$B,$C13,Datos!$A:$A,$B$5,Datos!$D:$D,0)</f>
        <v>0</v>
      </c>
      <c r="P13" s="10" t="n">
        <f aca="false">COUNTIFS(Datos!$B:$B,$C13,Datos!$A:$A,$B$5,Datos!$F:$F,"&gt;0")</f>
        <v>20</v>
      </c>
    </row>
    <row r="14" customFormat="false" ht="15" hidden="false" customHeight="false" outlineLevel="0" collapsed="false">
      <c r="B14" s="10" t="str">
        <f aca="false">Medidores!B4</f>
        <v>L14</v>
      </c>
      <c r="C14" s="10" t="str">
        <f aca="false">Medidores!A4</f>
        <v>192.168.50.5</v>
      </c>
      <c r="D14" s="11" t="str">
        <f aca="false">IF(N14&lt;2,"Sin datos",IF(O14&gt;0,"Lectura en cero",IF(P14&lt;2,"Falta kVAh",IF(H14&lt;=0.001,"Sin consumo","Normal"))))</f>
        <v>Normal</v>
      </c>
      <c r="E14" s="12" t="n">
        <f aca="false">IF(N14&lt;2,"",_xlfn.MINIFS(Datos!$G:$G,Datos!$B:$B,$C14,Datos!$A:$A,$B$5,Datos!$D:$D,"&gt;0")/1440)</f>
        <v>0.260416666666667</v>
      </c>
      <c r="F14" s="12" t="n">
        <f aca="false">IF(N14&lt;2,"",_xlfn.MAXIFS(Datos!$G:$G,Datos!$B:$B,$C14,Datos!$A:$A,$B$5,Datos!$D:$D,"&gt;0")/1440)</f>
        <v>0.458333333333333</v>
      </c>
      <c r="G14" s="13" t="n">
        <f aca="false">COUNTIFS(Datos!$B:$B,$C14,Datos!$A:$A,$B$5)</f>
        <v>20</v>
      </c>
      <c r="H14" s="14" t="n">
        <f aca="false">IF(N14&lt;2,"",_xlfn.MAXIFS(Datos!$D:$D,Datos!$B:$B,$C14,Datos!$A:$A,$B$5,Datos!$D:$D,"&gt;0")-_xlfn.MINIFS(Datos!$D:$D,Datos!$B:$B,$C14,Datos!$A:$A,$B$5,Datos!$D:$D,"&gt;0"))</f>
        <v>14.9849999999988</v>
      </c>
      <c r="I14" s="14" t="n">
        <f aca="false">IF(N14&lt;2,"",_xlfn.MAXIFS(Datos!$E:$E,Datos!$B:$B,$C14,Datos!$A:$A,$B$5,Datos!$D:$D,"&gt;0")-_xlfn.MINIFS(Datos!$E:$E,Datos!$B:$B,$C14,Datos!$A:$A,$B$5,Datos!$D:$D,"&gt;0"))</f>
        <v>7.85599999999977</v>
      </c>
      <c r="J14" s="14" t="n">
        <f aca="false">IF(P14&lt;2,"",_xlfn.MAXIFS(Datos!$F:$F,Datos!$B:$B,$C14,Datos!$A:$A,$B$5,Datos!$F:$F,"&gt;0")-_xlfn.MINIFS(Datos!$F:$F,Datos!$B:$B,$C14,Datos!$A:$A,$B$5,Datos!$F:$F,"&gt;0"))</f>
        <v>17.0110000000004</v>
      </c>
      <c r="K14" s="15" t="n">
        <f aca="false">IF(H14="","",IF(F14&gt;E14,H14/((F14-E14)*24),""))</f>
        <v>3.154736842105</v>
      </c>
      <c r="L14" s="16" t="n">
        <f aca="false">IF(OR(H14="",J14=""),"",IF(J14&gt;0,H14/J14,""))</f>
        <v>0.880900593733372</v>
      </c>
      <c r="M14" s="14" t="n">
        <f aca="false">IF(N14=0,"",_xlfn.MAXIFS(Datos!$D:$D,Datos!$B:$B,$C14,Datos!$A:$A,$B$5,Datos!$D:$D,"&gt;0"))</f>
        <v>10469.273</v>
      </c>
      <c r="N14" s="10" t="n">
        <f aca="false">COUNTIFS(Datos!$B:$B,$C14,Datos!$A:$A,$B$5,Datos!$D:$D,"&gt;0")</f>
        <v>20</v>
      </c>
      <c r="O14" s="10" t="n">
        <f aca="false">COUNTIFS(Datos!$B:$B,$C14,Datos!$A:$A,$B$5,Datos!$D:$D,0)</f>
        <v>0</v>
      </c>
      <c r="P14" s="10" t="n">
        <f aca="false">COUNTIFS(Datos!$B:$B,$C14,Datos!$A:$A,$B$5,Datos!$F:$F,"&gt;0")</f>
        <v>20</v>
      </c>
    </row>
    <row r="15" customFormat="false" ht="15" hidden="false" customHeight="false" outlineLevel="0" collapsed="false">
      <c r="B15" s="10" t="str">
        <f aca="false">Medidores!B5</f>
        <v>L20</v>
      </c>
      <c r="C15" s="10" t="str">
        <f aca="false">Medidores!A5</f>
        <v>192.168.50.6</v>
      </c>
      <c r="D15" s="11" t="str">
        <f aca="false">IF(N15&lt;2,"Sin datos",IF(O15&gt;0,"Lectura en cero",IF(P15&lt;2,"Falta kVAh",IF(H15&lt;=0.001,"Sin consumo","Normal"))))</f>
        <v>Normal</v>
      </c>
      <c r="E15" s="12" t="n">
        <f aca="false">IF(N15&lt;2,"",_xlfn.MINIFS(Datos!$G:$G,Datos!$B:$B,$C15,Datos!$A:$A,$B$5,Datos!$D:$D,"&gt;0")/1440)</f>
        <v>0.510416666666667</v>
      </c>
      <c r="F15" s="12" t="n">
        <f aca="false">IF(N15&lt;2,"",_xlfn.MAXIFS(Datos!$G:$G,Datos!$B:$B,$C15,Datos!$A:$A,$B$5,Datos!$D:$D,"&gt;0")/1440)</f>
        <v>0.666666666666667</v>
      </c>
      <c r="G15" s="13" t="n">
        <f aca="false">COUNTIFS(Datos!$B:$B,$C15,Datos!$A:$A,$B$5)</f>
        <v>16</v>
      </c>
      <c r="H15" s="14" t="n">
        <f aca="false">IF(N15&lt;2,"",_xlfn.MAXIFS(Datos!$D:$D,Datos!$B:$B,$C15,Datos!$A:$A,$B$5,Datos!$D:$D,"&gt;0")-_xlfn.MINIFS(Datos!$D:$D,Datos!$B:$B,$C15,Datos!$A:$A,$B$5,Datos!$D:$D,"&gt;0"))</f>
        <v>7.60999999999876</v>
      </c>
      <c r="I15" s="14" t="n">
        <f aca="false">IF(N15&lt;2,"",_xlfn.MAXIFS(Datos!$E:$E,Datos!$B:$B,$C15,Datos!$A:$A,$B$5,Datos!$D:$D,"&gt;0")-_xlfn.MINIFS(Datos!$E:$E,Datos!$B:$B,$C15,Datos!$A:$A,$B$5,Datos!$D:$D,"&gt;0"))</f>
        <v>6.16799999999967</v>
      </c>
      <c r="J15" s="14" t="n">
        <f aca="false">IF(P15&lt;2,"",_xlfn.MAXIFS(Datos!$F:$F,Datos!$B:$B,$C15,Datos!$A:$A,$B$5,Datos!$F:$F,"&gt;0")-_xlfn.MINIFS(Datos!$F:$F,Datos!$B:$B,$C15,Datos!$A:$A,$B$5,Datos!$F:$F,"&gt;0"))</f>
        <v>9.88300000000163</v>
      </c>
      <c r="K15" s="15" t="n">
        <f aca="false">IF(H15="","",IF(F15&gt;E15,H15/((F15-E15)*24),""))</f>
        <v>2.029333333333</v>
      </c>
      <c r="L15" s="16" t="n">
        <f aca="false">IF(OR(H15="",J15=""),"",IF(J15&gt;0,H15/J15,""))</f>
        <v>0.770009106546343</v>
      </c>
      <c r="M15" s="14" t="n">
        <f aca="false">IF(N15=0,"",_xlfn.MAXIFS(Datos!$D:$D,Datos!$B:$B,$C15,Datos!$A:$A,$B$5,Datos!$D:$D,"&gt;0"))</f>
        <v>13528.364</v>
      </c>
      <c r="N15" s="10" t="n">
        <f aca="false">COUNTIFS(Datos!$B:$B,$C15,Datos!$A:$A,$B$5,Datos!$D:$D,"&gt;0")</f>
        <v>16</v>
      </c>
      <c r="O15" s="10" t="n">
        <f aca="false">COUNTIFS(Datos!$B:$B,$C15,Datos!$A:$A,$B$5,Datos!$D:$D,0)</f>
        <v>0</v>
      </c>
      <c r="P15" s="10" t="n">
        <f aca="false">COUNTIFS(Datos!$B:$B,$C15,Datos!$A:$A,$B$5,Datos!$F:$F,"&gt;0")</f>
        <v>16</v>
      </c>
    </row>
    <row r="16" customFormat="false" ht="15" hidden="false" customHeight="false" outlineLevel="0" collapsed="false">
      <c r="B16" s="10" t="str">
        <f aca="false">Medidores!B6</f>
        <v>L16</v>
      </c>
      <c r="C16" s="10" t="str">
        <f aca="false">Medidores!A6</f>
        <v>192.168.50.7</v>
      </c>
      <c r="D16" s="11" t="str">
        <f aca="false">IF(N16&lt;2,"Sin datos",IF(O16&gt;0,"Lectura en cero",IF(P16&lt;2,"Falta kVAh",IF(H16&lt;=0.001,"Sin consumo","Normal"))))</f>
        <v>Normal</v>
      </c>
      <c r="E16" s="12" t="n">
        <f aca="false">IF(N16&lt;2,"",_xlfn.MINIFS(Datos!$G:$G,Datos!$B:$B,$C16,Datos!$A:$A,$B$5,Datos!$D:$D,"&gt;0")/1440)</f>
        <v>0.46875</v>
      </c>
      <c r="F16" s="12" t="n">
        <f aca="false">IF(N16&lt;2,"",_xlfn.MAXIFS(Datos!$G:$G,Datos!$B:$B,$C16,Datos!$A:$A,$B$5,Datos!$D:$D,"&gt;0")/1440)</f>
        <v>0.666666666666667</v>
      </c>
      <c r="G16" s="13" t="n">
        <f aca="false">COUNTIFS(Datos!$B:$B,$C16,Datos!$A:$A,$B$5)</f>
        <v>20</v>
      </c>
      <c r="H16" s="14" t="n">
        <f aca="false">IF(N16&lt;2,"",_xlfn.MAXIFS(Datos!$D:$D,Datos!$B:$B,$C16,Datos!$A:$A,$B$5,Datos!$D:$D,"&gt;0")-_xlfn.MINIFS(Datos!$D:$D,Datos!$B:$B,$C16,Datos!$A:$A,$B$5,Datos!$D:$D,"&gt;0"))</f>
        <v>0.559999999999491</v>
      </c>
      <c r="I16" s="14" t="n">
        <f aca="false">IF(N16&lt;2,"",_xlfn.MAXIFS(Datos!$E:$E,Datos!$B:$B,$C16,Datos!$A:$A,$B$5,Datos!$D:$D,"&gt;0")-_xlfn.MINIFS(Datos!$E:$E,Datos!$B:$B,$C16,Datos!$A:$A,$B$5,Datos!$D:$D,"&gt;0"))</f>
        <v>0</v>
      </c>
      <c r="J16" s="14" t="n">
        <f aca="false">IF(P16&lt;2,"",_xlfn.MAXIFS(Datos!$F:$F,Datos!$B:$B,$C16,Datos!$A:$A,$B$5,Datos!$F:$F,"&gt;0")-_xlfn.MINIFS(Datos!$F:$F,Datos!$B:$B,$C16,Datos!$A:$A,$B$5,Datos!$F:$F,"&gt;0"))</f>
        <v>1.87100000000009</v>
      </c>
      <c r="K16" s="15" t="n">
        <f aca="false">IF(H16="","",IF(F16&gt;E16,H16/((F16-E16)*24),""))</f>
        <v>0.117894736841998</v>
      </c>
      <c r="L16" s="16" t="n">
        <f aca="false">IF(OR(H16="",J16=""),"",IF(J16&gt;0,H16/J16,""))</f>
        <v>0.299305184393085</v>
      </c>
      <c r="M16" s="14" t="n">
        <f aca="false">IF(N16=0,"",_xlfn.MAXIFS(Datos!$D:$D,Datos!$B:$B,$C16,Datos!$A:$A,$B$5,Datos!$D:$D,"&gt;0"))</f>
        <v>6594.392</v>
      </c>
      <c r="N16" s="10" t="n">
        <f aca="false">COUNTIFS(Datos!$B:$B,$C16,Datos!$A:$A,$B$5,Datos!$D:$D,"&gt;0")</f>
        <v>20</v>
      </c>
      <c r="O16" s="10" t="n">
        <f aca="false">COUNTIFS(Datos!$B:$B,$C16,Datos!$A:$A,$B$5,Datos!$D:$D,0)</f>
        <v>0</v>
      </c>
      <c r="P16" s="10" t="n">
        <f aca="false">COUNTIFS(Datos!$B:$B,$C16,Datos!$A:$A,$B$5,Datos!$F:$F,"&gt;0")</f>
        <v>20</v>
      </c>
    </row>
    <row r="17" customFormat="false" ht="15" hidden="false" customHeight="false" outlineLevel="0" collapsed="false">
      <c r="B17" s="10" t="str">
        <f aca="false">Medidores!B7</f>
        <v>L22</v>
      </c>
      <c r="C17" s="10" t="str">
        <f aca="false">Medidores!A7</f>
        <v>192.168.1.168</v>
      </c>
      <c r="D17" s="11" t="str">
        <f aca="false">IF(N17&lt;2,"Sin datos",IF(O17&gt;0,"Lectura en cero",IF(P17&lt;2,"Falta kVAh",IF(H17&lt;=0.001,"Sin consumo","Normal"))))</f>
        <v>Normal</v>
      </c>
      <c r="E17" s="12" t="n">
        <f aca="false">IF(N17&lt;2,"",_xlfn.MINIFS(Datos!$G:$G,Datos!$B:$B,$C17,Datos!$A:$A,$B$5,Datos!$D:$D,"&gt;0")/1440)</f>
        <v>0.46875</v>
      </c>
      <c r="F17" s="12" t="n">
        <f aca="false">IF(N17&lt;2,"",_xlfn.MAXIFS(Datos!$G:$G,Datos!$B:$B,$C17,Datos!$A:$A,$B$5,Datos!$D:$D,"&gt;0")/1440)</f>
        <v>0.666666666666667</v>
      </c>
      <c r="G17" s="13" t="n">
        <f aca="false">COUNTIFS(Datos!$B:$B,$C17,Datos!$A:$A,$B$5)</f>
        <v>20</v>
      </c>
      <c r="H17" s="14" t="n">
        <f aca="false">IF(N17&lt;2,"",_xlfn.MAXIFS(Datos!$D:$D,Datos!$B:$B,$C17,Datos!$A:$A,$B$5,Datos!$D:$D,"&gt;0")-_xlfn.MINIFS(Datos!$D:$D,Datos!$B:$B,$C17,Datos!$A:$A,$B$5,Datos!$D:$D,"&gt;0"))</f>
        <v>26.3539999999994</v>
      </c>
      <c r="I17" s="14" t="n">
        <f aca="false">IF(N17&lt;2,"",_xlfn.MAXIFS(Datos!$E:$E,Datos!$B:$B,$C17,Datos!$A:$A,$B$5,Datos!$D:$D,"&gt;0")-_xlfn.MINIFS(Datos!$E:$E,Datos!$B:$B,$C17,Datos!$A:$A,$B$5,Datos!$D:$D,"&gt;0"))</f>
        <v>7.69900000000052</v>
      </c>
      <c r="J17" s="14" t="n">
        <f aca="false">IF(P17&lt;2,"",_xlfn.MAXIFS(Datos!$F:$F,Datos!$B:$B,$C17,Datos!$A:$A,$B$5,Datos!$F:$F,"&gt;0")-_xlfn.MINIFS(Datos!$F:$F,Datos!$B:$B,$C17,Datos!$A:$A,$B$5,Datos!$F:$F,"&gt;0"))</f>
        <v>27.7069999999985</v>
      </c>
      <c r="K17" s="15" t="n">
        <f aca="false">IF(H17="","",IF(F17&gt;E17,H17/((F17-E17)*24),""))</f>
        <v>5.54821052631565</v>
      </c>
      <c r="L17" s="16" t="n">
        <f aca="false">IF(OR(H17="",J17=""),"",IF(J17&gt;0,H17/J17,""))</f>
        <v>0.95116757498108</v>
      </c>
      <c r="M17" s="14" t="n">
        <f aca="false">IF(N17=0,"",_xlfn.MAXIFS(Datos!$D:$D,Datos!$B:$B,$C17,Datos!$A:$A,$B$5,Datos!$D:$D,"&gt;0"))</f>
        <v>23239.469</v>
      </c>
      <c r="N17" s="10" t="n">
        <f aca="false">COUNTIFS(Datos!$B:$B,$C17,Datos!$A:$A,$B$5,Datos!$D:$D,"&gt;0")</f>
        <v>20</v>
      </c>
      <c r="O17" s="10" t="n">
        <f aca="false">COUNTIFS(Datos!$B:$B,$C17,Datos!$A:$A,$B$5,Datos!$D:$D,0)</f>
        <v>0</v>
      </c>
      <c r="P17" s="10" t="n">
        <f aca="false">COUNTIFS(Datos!$B:$B,$C17,Datos!$A:$A,$B$5,Datos!$F:$F,"&gt;0")</f>
        <v>20</v>
      </c>
    </row>
    <row r="18" customFormat="false" ht="15" hidden="false" customHeight="false" outlineLevel="0" collapsed="false">
      <c r="B18" s="10" t="str">
        <f aca="false">Medidores!B8</f>
        <v>Estación planta</v>
      </c>
      <c r="C18" s="10" t="str">
        <f aca="false">Medidores!A8</f>
        <v>192.168.50.8</v>
      </c>
      <c r="D18" s="11" t="str">
        <f aca="false">IF(N18&lt;2,"Sin datos",IF(O18&gt;0,"Lectura en cero",IF(P18&lt;2,"Falta kVAh",IF(H18&lt;=0.001,"Sin consumo","Normal"))))</f>
        <v>Lectura en cero</v>
      </c>
      <c r="E18" s="12" t="n">
        <f aca="false">IF(N18&lt;2,"",_xlfn.MINIFS(Datos!$G:$G,Datos!$B:$B,$C18,Datos!$A:$A,$B$5,Datos!$D:$D,"&gt;0")/1440)</f>
        <v>0.541666666666667</v>
      </c>
      <c r="F18" s="12" t="n">
        <f aca="false">IF(N18&lt;2,"",_xlfn.MAXIFS(Datos!$G:$G,Datos!$B:$B,$C18,Datos!$A:$A,$B$5,Datos!$D:$D,"&gt;0")/1440)</f>
        <v>0.5625</v>
      </c>
      <c r="G18" s="13" t="n">
        <f aca="false">COUNTIFS(Datos!$B:$B,$C18,Datos!$A:$A,$B$5)</f>
        <v>4</v>
      </c>
      <c r="H18" s="14" t="n">
        <f aca="false">IF(N18&lt;2,"",_xlfn.MAXIFS(Datos!$D:$D,Datos!$B:$B,$C18,Datos!$A:$A,$B$5,Datos!$D:$D,"&gt;0")-_xlfn.MINIFS(Datos!$D:$D,Datos!$B:$B,$C18,Datos!$A:$A,$B$5,Datos!$D:$D,"&gt;0"))</f>
        <v>13.125</v>
      </c>
      <c r="I18" s="14" t="n">
        <f aca="false">IF(N18&lt;2,"",_xlfn.MAXIFS(Datos!$E:$E,Datos!$B:$B,$C18,Datos!$A:$A,$B$5,Datos!$D:$D,"&gt;0")-_xlfn.MINIFS(Datos!$E:$E,Datos!$B:$B,$C18,Datos!$A:$A,$B$5,Datos!$D:$D,"&gt;0"))</f>
        <v>0.549999999999272</v>
      </c>
      <c r="J18" s="14" t="n">
        <f aca="false">IF(P18&lt;2,"",_xlfn.MAXIFS(Datos!$F:$F,Datos!$B:$B,$C18,Datos!$A:$A,$B$5,Datos!$F:$F,"&gt;0")-_xlfn.MINIFS(Datos!$F:$F,Datos!$B:$B,$C18,Datos!$A:$A,$B$5,Datos!$F:$F,"&gt;0"))</f>
        <v>13.1319999999978</v>
      </c>
      <c r="K18" s="15" t="n">
        <f aca="false">IF(H18="","",IF(F18&gt;E18,H18/((F18-E18)*24),""))</f>
        <v>26.25</v>
      </c>
      <c r="L18" s="16" t="n">
        <f aca="false">IF(OR(H18="",J18=""),"",IF(J18&gt;0,H18/J18,""))</f>
        <v>0.999466950959657</v>
      </c>
      <c r="M18" s="14" t="n">
        <f aca="false">IF(N18=0,"",_xlfn.MAXIFS(Datos!$D:$D,Datos!$B:$B,$C18,Datos!$A:$A,$B$5,Datos!$D:$D,"&gt;0"))</f>
        <v>106818.852</v>
      </c>
      <c r="N18" s="10" t="n">
        <f aca="false">COUNTIFS(Datos!$B:$B,$C18,Datos!$A:$A,$B$5,Datos!$D:$D,"&gt;0")</f>
        <v>3</v>
      </c>
      <c r="O18" s="10" t="n">
        <f aca="false">COUNTIFS(Datos!$B:$B,$C18,Datos!$A:$A,$B$5,Datos!$D:$D,0)</f>
        <v>1</v>
      </c>
      <c r="P18" s="10" t="n">
        <f aca="false">COUNTIFS(Datos!$B:$B,$C18,Datos!$A:$A,$B$5,Datos!$F:$F,"&gt;0")</f>
        <v>3</v>
      </c>
    </row>
    <row r="19" customFormat="false" ht="15" hidden="false" customHeight="false" outlineLevel="0" collapsed="false">
      <c r="B19" s="10" t="str">
        <f aca="false">Medidores!B9</f>
        <v>Estación celda 3</v>
      </c>
      <c r="C19" s="10" t="str">
        <f aca="false">Medidores!A9</f>
        <v>192.168.50.9</v>
      </c>
      <c r="D19" s="11" t="str">
        <f aca="false">IF(N19&lt;2,"Sin datos",IF(O19&gt;0,"Lectura en cero",IF(P19&lt;2,"Falta kVAh",IF(H19&lt;=0.001,"Sin consumo","Normal"))))</f>
        <v>Falta kVAh</v>
      </c>
      <c r="E19" s="12" t="n">
        <f aca="false">IF(N19&lt;2,"",_xlfn.MINIFS(Datos!$G:$G,Datos!$B:$B,$C19,Datos!$A:$A,$B$5,Datos!$D:$D,"&gt;0")/1440)</f>
        <v>0.479166666666667</v>
      </c>
      <c r="F19" s="12" t="n">
        <f aca="false">IF(N19&lt;2,"",_xlfn.MAXIFS(Datos!$G:$G,Datos!$B:$B,$C19,Datos!$A:$A,$B$5,Datos!$D:$D,"&gt;0")/1440)</f>
        <v>0.677083333333333</v>
      </c>
      <c r="G19" s="13" t="n">
        <f aca="false">COUNTIFS(Datos!$B:$B,$C19,Datos!$A:$A,$B$5)</f>
        <v>20</v>
      </c>
      <c r="H19" s="14" t="n">
        <f aca="false">IF(N19&lt;2,"",_xlfn.MAXIFS(Datos!$D:$D,Datos!$B:$B,$C19,Datos!$A:$A,$B$5,Datos!$D:$D,"&gt;0")-_xlfn.MINIFS(Datos!$D:$D,Datos!$B:$B,$C19,Datos!$A:$A,$B$5,Datos!$D:$D,"&gt;0"))</f>
        <v>235.5</v>
      </c>
      <c r="I19" s="14" t="n">
        <f aca="false">IF(N19&lt;2,"",_xlfn.MAXIFS(Datos!$E:$E,Datos!$B:$B,$C19,Datos!$A:$A,$B$5,Datos!$D:$D,"&gt;0")-_xlfn.MINIFS(Datos!$E:$E,Datos!$B:$B,$C19,Datos!$A:$A,$B$5,Datos!$D:$D,"&gt;0"))</f>
        <v>120.485000000001</v>
      </c>
      <c r="J19" s="14" t="str">
        <f aca="false">IF(P19&lt;2,"",_xlfn.MAXIFS(Datos!$F:$F,Datos!$B:$B,$C19,Datos!$A:$A,$B$5,Datos!$F:$F,"&gt;0")-_xlfn.MINIFS(Datos!$F:$F,Datos!$B:$B,$C19,Datos!$A:$A,$B$5,Datos!$F:$F,"&gt;0"))</f>
        <v/>
      </c>
      <c r="K19" s="15" t="n">
        <f aca="false">IF(H19="","",IF(F19&gt;E19,H19/((F19-E19)*24),""))</f>
        <v>49.5789473684211</v>
      </c>
      <c r="L19" s="16" t="str">
        <f aca="false">IF(OR(H19="",J19=""),"",IF(J19&gt;0,H19/J19,""))</f>
        <v/>
      </c>
      <c r="M19" s="14" t="n">
        <f aca="false">IF(N19=0,"",_xlfn.MAXIFS(Datos!$D:$D,Datos!$B:$B,$C19,Datos!$A:$A,$B$5,Datos!$D:$D,"&gt;0"))</f>
        <v>265604.281</v>
      </c>
      <c r="N19" s="10" t="n">
        <f aca="false">COUNTIFS(Datos!$B:$B,$C19,Datos!$A:$A,$B$5,Datos!$D:$D,"&gt;0")</f>
        <v>20</v>
      </c>
      <c r="O19" s="10" t="n">
        <f aca="false">COUNTIFS(Datos!$B:$B,$C19,Datos!$A:$A,$B$5,Datos!$D:$D,0)</f>
        <v>0</v>
      </c>
      <c r="P19" s="10" t="n">
        <f aca="false">COUNTIFS(Datos!$B:$B,$C19,Datos!$A:$A,$B$5,Datos!$F:$F,"&gt;0")</f>
        <v>0</v>
      </c>
    </row>
    <row r="20" customFormat="false" ht="15" hidden="false" customHeight="false" outlineLevel="0" collapsed="false">
      <c r="B20" s="10" t="str">
        <f aca="false">Medidores!B10</f>
        <v>Estación celda 2</v>
      </c>
      <c r="C20" s="10" t="str">
        <f aca="false">Medidores!A10</f>
        <v>192.168.50.10</v>
      </c>
      <c r="D20" s="11" t="str">
        <f aca="false">IF(N20&lt;2,"Sin datos",IF(O20&gt;0,"Lectura en cero",IF(P20&lt;2,"Falta kVAh",IF(H20&lt;=0.001,"Sin consumo","Normal"))))</f>
        <v>Normal</v>
      </c>
      <c r="E20" s="12" t="n">
        <f aca="false">IF(N20&lt;2,"",_xlfn.MINIFS(Datos!$G:$G,Datos!$B:$B,$C20,Datos!$A:$A,$B$5,Datos!$D:$D,"&gt;0")/1440)</f>
        <v>0.479166666666667</v>
      </c>
      <c r="F20" s="12" t="n">
        <f aca="false">IF(N20&lt;2,"",_xlfn.MAXIFS(Datos!$G:$G,Datos!$B:$B,$C20,Datos!$A:$A,$B$5,Datos!$D:$D,"&gt;0")/1440)</f>
        <v>0.677083333333333</v>
      </c>
      <c r="G20" s="13" t="n">
        <f aca="false">COUNTIFS(Datos!$B:$B,$C20,Datos!$A:$A,$B$5)</f>
        <v>20</v>
      </c>
      <c r="H20" s="14" t="n">
        <f aca="false">IF(N20&lt;2,"",_xlfn.MAXIFS(Datos!$D:$D,Datos!$B:$B,$C20,Datos!$A:$A,$B$5,Datos!$D:$D,"&gt;0")-_xlfn.MINIFS(Datos!$D:$D,Datos!$B:$B,$C20,Datos!$A:$A,$B$5,Datos!$D:$D,"&gt;0"))</f>
        <v>401.967999999994</v>
      </c>
      <c r="I20" s="14" t="n">
        <f aca="false">IF(N20&lt;2,"",_xlfn.MAXIFS(Datos!$E:$E,Datos!$B:$B,$C20,Datos!$A:$A,$B$5,Datos!$D:$D,"&gt;0")-_xlfn.MINIFS(Datos!$E:$E,Datos!$B:$B,$C20,Datos!$A:$A,$B$5,Datos!$D:$D,"&gt;0"))</f>
        <v>166.953000000009</v>
      </c>
      <c r="J20" s="14" t="n">
        <f aca="false">IF(P20&lt;2,"",_xlfn.MAXIFS(Datos!$F:$F,Datos!$B:$B,$C20,Datos!$A:$A,$B$5,Datos!$F:$F,"&gt;0")-_xlfn.MINIFS(Datos!$F:$F,Datos!$B:$B,$C20,Datos!$A:$A,$B$5,Datos!$F:$F,"&gt;0"))</f>
        <v>435.282000000007</v>
      </c>
      <c r="K20" s="15" t="n">
        <f aca="false">IF(H20="","",IF(F20&gt;E20,H20/((F20-E20)*24),""))</f>
        <v>84.6248421052618</v>
      </c>
      <c r="L20" s="16" t="n">
        <f aca="false">IF(OR(H20="",J20=""),"",IF(J20&gt;0,H20/J20,""))</f>
        <v>0.92346570728858</v>
      </c>
      <c r="M20" s="14" t="n">
        <f aca="false">IF(N20=0,"",_xlfn.MAXIFS(Datos!$D:$D,Datos!$B:$B,$C20,Datos!$A:$A,$B$5,Datos!$D:$D,"&gt;0"))</f>
        <v>433178.531</v>
      </c>
      <c r="N20" s="10" t="n">
        <f aca="false">COUNTIFS(Datos!$B:$B,$C20,Datos!$A:$A,$B$5,Datos!$D:$D,"&gt;0")</f>
        <v>20</v>
      </c>
      <c r="O20" s="10" t="n">
        <f aca="false">COUNTIFS(Datos!$B:$B,$C20,Datos!$A:$A,$B$5,Datos!$D:$D,0)</f>
        <v>0</v>
      </c>
      <c r="P20" s="10" t="n">
        <f aca="false">COUNTIFS(Datos!$B:$B,$C20,Datos!$A:$A,$B$5,Datos!$F:$F,"&gt;0")</f>
        <v>20</v>
      </c>
    </row>
    <row r="21" customFormat="false" ht="15" hidden="false" customHeight="false" outlineLevel="0" collapsed="false">
      <c r="B21" s="10" t="str">
        <f aca="false">Medidores!B11</f>
        <v>Estación celda 1</v>
      </c>
      <c r="C21" s="10" t="str">
        <f aca="false">Medidores!A11</f>
        <v>192.168.50.11</v>
      </c>
      <c r="D21" s="11" t="str">
        <f aca="false">IF(N21&lt;2,"Sin datos",IF(O21&gt;0,"Lectura en cero",IF(P21&lt;2,"Falta kVAh",IF(H21&lt;=0.001,"Sin consumo","Normal"))))</f>
        <v>Normal</v>
      </c>
      <c r="E21" s="12" t="n">
        <f aca="false">IF(N21&lt;2,"",_xlfn.MINIFS(Datos!$G:$G,Datos!$B:$B,$C21,Datos!$A:$A,$B$5,Datos!$D:$D,"&gt;0")/1440)</f>
        <v>0.479166666666667</v>
      </c>
      <c r="F21" s="12" t="n">
        <f aca="false">IF(N21&lt;2,"",_xlfn.MAXIFS(Datos!$G:$G,Datos!$B:$B,$C21,Datos!$A:$A,$B$5,Datos!$D:$D,"&gt;0")/1440)</f>
        <v>0.677083333333333</v>
      </c>
      <c r="G21" s="13" t="n">
        <f aca="false">COUNTIFS(Datos!$B:$B,$C21,Datos!$A:$A,$B$5)</f>
        <v>20</v>
      </c>
      <c r="H21" s="14" t="n">
        <f aca="false">IF(N21&lt;2,"",_xlfn.MAXIFS(Datos!$D:$D,Datos!$B:$B,$C21,Datos!$A:$A,$B$5,Datos!$D:$D,"&gt;0")-_xlfn.MINIFS(Datos!$D:$D,Datos!$B:$B,$C21,Datos!$A:$A,$B$5,Datos!$D:$D,"&gt;0"))</f>
        <v>233.25</v>
      </c>
      <c r="I21" s="14" t="n">
        <f aca="false">IF(N21&lt;2,"",_xlfn.MAXIFS(Datos!$E:$E,Datos!$B:$B,$C21,Datos!$A:$A,$B$5,Datos!$D:$D,"&gt;0")-_xlfn.MINIFS(Datos!$E:$E,Datos!$B:$B,$C21,Datos!$A:$A,$B$5,Datos!$D:$D,"&gt;0"))</f>
        <v>113.937999999995</v>
      </c>
      <c r="J21" s="14" t="n">
        <f aca="false">IF(P21&lt;2,"",_xlfn.MAXIFS(Datos!$F:$F,Datos!$B:$B,$C21,Datos!$A:$A,$B$5,Datos!$F:$F,"&gt;0")-_xlfn.MINIFS(Datos!$F:$F,Datos!$B:$B,$C21,Datos!$A:$A,$B$5,Datos!$F:$F,"&gt;0"))</f>
        <v>259.843999999983</v>
      </c>
      <c r="K21" s="15" t="n">
        <f aca="false">IF(H21="","",IF(F21&gt;E21,H21/((F21-E21)*24),""))</f>
        <v>49.1052631578947</v>
      </c>
      <c r="L21" s="16" t="n">
        <f aca="false">IF(OR(H21="",J21=""),"",IF(J21&gt;0,H21/J21,""))</f>
        <v>0.897653977001645</v>
      </c>
      <c r="M21" s="14" t="n">
        <f aca="false">IF(N21=0,"",_xlfn.MAXIFS(Datos!$D:$D,Datos!$B:$B,$C21,Datos!$A:$A,$B$5,Datos!$D:$D,"&gt;0"))</f>
        <v>328866.094</v>
      </c>
      <c r="N21" s="10" t="n">
        <f aca="false">COUNTIFS(Datos!$B:$B,$C21,Datos!$A:$A,$B$5,Datos!$D:$D,"&gt;0")</f>
        <v>20</v>
      </c>
      <c r="O21" s="10" t="n">
        <f aca="false">COUNTIFS(Datos!$B:$B,$C21,Datos!$A:$A,$B$5,Datos!$D:$D,0)</f>
        <v>0</v>
      </c>
      <c r="P21" s="10" t="n">
        <f aca="false">COUNTIFS(Datos!$B:$B,$C21,Datos!$A:$A,$B$5,Datos!$F:$F,"&gt;0")</f>
        <v>20</v>
      </c>
    </row>
    <row r="23" customFormat="false" ht="15" hidden="false" customHeight="false" outlineLevel="0" collapsed="false">
      <c r="B23" s="2" t="s">
        <v>24</v>
      </c>
    </row>
  </sheetData>
  <mergeCells count="1">
    <mergeCell ref="E5:G5"/>
  </mergeCells>
  <conditionalFormatting sqref="D12:D21">
    <cfRule type="expression" priority="2" aboveAverage="0" equalAverage="0" bottom="0" percent="0" rank="0" text="" dxfId="0">
      <formula>D12="Normal"</formula>
    </cfRule>
    <cfRule type="expression" priority="3" aboveAverage="0" equalAverage="0" bottom="0" percent="0" rank="0" text="" dxfId="1">
      <formula>D12="Sin datos"</formula>
    </cfRule>
    <cfRule type="expression" priority="4" aboveAverage="0" equalAverage="0" bottom="0" percent="0" rank="0" text="" dxfId="2">
      <formula>D12&lt;&gt;"Normal"</formula>
    </cfRule>
  </conditionalFormatting>
  <dataValidations count="2">
    <dataValidation allowBlank="false" error="Elige un día de la lista." errorStyle="stop" errorTitle="Día no válido" operator="between" showDropDown="false" showErrorMessage="false" showInputMessage="false" sqref="B5" type="list">
      <formula1>Histórico!$A$3:$A$1000</formula1>
      <formula2>0</formula2>
    </dataValidation>
    <dataValidation allowBlank="false" error="Elige un medidor de la lista." errorStyle="stop" errorTitle="Medidor no válido" operator="between" showDropDown="false" showErrorMessage="false" showInputMessage="false" sqref="E5" type="list">
      <formula1>Medidores!$B$2:$B$200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15"/>
    <col collapsed="false" customWidth="true" hidden="false" outlineLevel="0" max="3" min="3" style="0" width="8"/>
    <col collapsed="false" customWidth="true" hidden="false" outlineLevel="0" max="6" min="4" style="0" width="14"/>
    <col collapsed="false" customWidth="true" hidden="false" outlineLevel="0" max="7" min="7" style="0" width="9"/>
    <col collapsed="false" customWidth="true" hidden="false" outlineLevel="0" max="8" min="8" style="0" width="13"/>
    <col collapsed="false" customWidth="true" hidden="false" outlineLevel="0" max="9" min="9" style="0" width="18"/>
  </cols>
  <sheetData>
    <row r="1" customFormat="false" ht="15" hidden="false" customHeight="false" outlineLevel="0" collapsed="false">
      <c r="A1" s="9" t="s">
        <v>25</v>
      </c>
      <c r="B1" s="9" t="s">
        <v>10</v>
      </c>
      <c r="C1" s="9" t="s">
        <v>26</v>
      </c>
      <c r="D1" s="9" t="s">
        <v>15</v>
      </c>
      <c r="E1" s="9" t="s">
        <v>16</v>
      </c>
      <c r="F1" s="9" t="s">
        <v>17</v>
      </c>
      <c r="G1" s="9" t="s">
        <v>27</v>
      </c>
      <c r="H1" s="9" t="s">
        <v>28</v>
      </c>
      <c r="I1" s="9" t="s">
        <v>9</v>
      </c>
    </row>
    <row r="2" customFormat="false" ht="15" hidden="false" customHeight="false" outlineLevel="0" collapsed="false">
      <c r="A2" s="17" t="n">
        <v>46302</v>
      </c>
      <c r="B2" s="18" t="s">
        <v>29</v>
      </c>
      <c r="C2" s="19" t="n">
        <v>0.46875</v>
      </c>
      <c r="D2" s="20" t="n">
        <v>23213.115</v>
      </c>
      <c r="E2" s="20" t="n">
        <v>5870.396</v>
      </c>
      <c r="F2" s="20" t="n">
        <v>24149.643</v>
      </c>
      <c r="G2" s="18" t="n">
        <f aca="false">HOUR(C2)*60+MINUTE(C2)</f>
        <v>675</v>
      </c>
      <c r="H2" s="21" t="str">
        <f aca="false">IF(AND(B2=B1,A2=A1,D2&gt;0,N(D1)&gt;0,G2&gt;N(G1)),(D2-D1)/((G2-G1)/60),"")</f>
        <v/>
      </c>
      <c r="I2" s="18" t="str">
        <f aca="false">IFERROR(INDEX(Medidores!$B:$B,MATCH(B2,Medidores!$A:$A,0)),"")</f>
        <v>L22</v>
      </c>
    </row>
    <row r="3" customFormat="false" ht="15" hidden="false" customHeight="false" outlineLevel="0" collapsed="false">
      <c r="A3" s="17" t="n">
        <v>46302</v>
      </c>
      <c r="B3" s="18" t="s">
        <v>29</v>
      </c>
      <c r="C3" s="19" t="n">
        <v>0.479166666666667</v>
      </c>
      <c r="D3" s="20" t="n">
        <v>23213.744</v>
      </c>
      <c r="E3" s="20" t="n">
        <v>5870.521</v>
      </c>
      <c r="F3" s="20" t="n">
        <v>24150.285</v>
      </c>
      <c r="G3" s="18" t="n">
        <f aca="false">HOUR(C3)*60+MINUTE(C3)</f>
        <v>690</v>
      </c>
      <c r="H3" s="21" t="n">
        <f aca="false">IF(AND(B3=B2,A3=A2,D3&gt;0,N(D2)&gt;0,G3&gt;N(G2)),(D3-D2)/((G3-G2)/60),"")</f>
        <v>2.51599999998871</v>
      </c>
      <c r="I3" s="18" t="str">
        <f aca="false">IFERROR(INDEX(Medidores!$B:$B,MATCH(B3,Medidores!$A:$A,0)),"")</f>
        <v>L22</v>
      </c>
    </row>
    <row r="4" customFormat="false" ht="15" hidden="false" customHeight="false" outlineLevel="0" collapsed="false">
      <c r="A4" s="17" t="n">
        <v>46302</v>
      </c>
      <c r="B4" s="18" t="s">
        <v>29</v>
      </c>
      <c r="C4" s="19" t="n">
        <v>0.489583333333333</v>
      </c>
      <c r="D4" s="20" t="n">
        <v>23214.371</v>
      </c>
      <c r="E4" s="20" t="n">
        <v>5870.632</v>
      </c>
      <c r="F4" s="20" t="n">
        <v>24150.926</v>
      </c>
      <c r="G4" s="18" t="n">
        <f aca="false">HOUR(C4)*60+MINUTE(C4)</f>
        <v>705</v>
      </c>
      <c r="H4" s="21" t="n">
        <f aca="false">IF(AND(B4=B3,A4=A3,D4&gt;0,N(D3)&gt;0,G4&gt;N(G3)),(D4-D3)/((G4-G3)/60),"")</f>
        <v>2.50800000000163</v>
      </c>
      <c r="I4" s="18" t="str">
        <f aca="false">IFERROR(INDEX(Medidores!$B:$B,MATCH(B4,Medidores!$A:$A,0)),"")</f>
        <v>L22</v>
      </c>
    </row>
    <row r="5" customFormat="false" ht="15" hidden="false" customHeight="false" outlineLevel="0" collapsed="false">
      <c r="A5" s="17" t="n">
        <v>46302</v>
      </c>
      <c r="B5" s="18" t="s">
        <v>29</v>
      </c>
      <c r="C5" s="19" t="n">
        <v>0.5</v>
      </c>
      <c r="D5" s="20" t="n">
        <v>23215.045</v>
      </c>
      <c r="E5" s="20" t="n">
        <v>5870.742</v>
      </c>
      <c r="F5" s="20" t="n">
        <v>24151.609</v>
      </c>
      <c r="G5" s="18" t="n">
        <f aca="false">HOUR(C5)*60+MINUTE(C5)</f>
        <v>720</v>
      </c>
      <c r="H5" s="21" t="n">
        <f aca="false">IF(AND(B5=B4,A5=A4,D5&gt;0,N(D4)&gt;0,G5&gt;N(G4)),(D5-D4)/((G5-G4)/60),"")</f>
        <v>2.69599999999627</v>
      </c>
      <c r="I5" s="18" t="str">
        <f aca="false">IFERROR(INDEX(Medidores!$B:$B,MATCH(B5,Medidores!$A:$A,0)),"")</f>
        <v>L22</v>
      </c>
    </row>
    <row r="6" customFormat="false" ht="15" hidden="false" customHeight="false" outlineLevel="0" collapsed="false">
      <c r="A6" s="17" t="n">
        <v>46302</v>
      </c>
      <c r="B6" s="18" t="s">
        <v>29</v>
      </c>
      <c r="C6" s="19" t="n">
        <v>0.510416666666667</v>
      </c>
      <c r="D6" s="20" t="n">
        <v>23216.727</v>
      </c>
      <c r="E6" s="20" t="n">
        <v>5871.275</v>
      </c>
      <c r="F6" s="20" t="n">
        <v>24153.393</v>
      </c>
      <c r="G6" s="18" t="n">
        <f aca="false">HOUR(C6)*60+MINUTE(C6)</f>
        <v>735</v>
      </c>
      <c r="H6" s="21" t="n">
        <f aca="false">IF(AND(B6=B5,A6=A5,D6&gt;0,N(D5)&gt;0,G6&gt;N(G5)),(D6-D5)/((G6-G5)/60),"")</f>
        <v>6.72800000000279</v>
      </c>
      <c r="I6" s="18" t="str">
        <f aca="false">IFERROR(INDEX(Medidores!$B:$B,MATCH(B6,Medidores!$A:$A,0)),"")</f>
        <v>L22</v>
      </c>
    </row>
    <row r="7" customFormat="false" ht="15" hidden="false" customHeight="false" outlineLevel="0" collapsed="false">
      <c r="A7" s="17" t="n">
        <v>46302</v>
      </c>
      <c r="B7" s="18" t="s">
        <v>29</v>
      </c>
      <c r="C7" s="19" t="n">
        <v>0.520833333333333</v>
      </c>
      <c r="D7" s="20" t="n">
        <v>23218.24</v>
      </c>
      <c r="E7" s="20" t="n">
        <v>5871.698</v>
      </c>
      <c r="F7" s="20" t="n">
        <v>24154.981</v>
      </c>
      <c r="G7" s="18" t="n">
        <f aca="false">HOUR(C7)*60+MINUTE(C7)</f>
        <v>750</v>
      </c>
      <c r="H7" s="21" t="n">
        <f aca="false">IF(AND(B7=B6,A7=A6,D7&gt;0,N(D6)&gt;0,G7&gt;N(G6)),(D7-D6)/((G7-G6)/60),"")</f>
        <v>6.05200000001059</v>
      </c>
      <c r="I7" s="18" t="str">
        <f aca="false">IFERROR(INDEX(Medidores!$B:$B,MATCH(B7,Medidores!$A:$A,0)),"")</f>
        <v>L22</v>
      </c>
    </row>
    <row r="8" customFormat="false" ht="15" hidden="false" customHeight="false" outlineLevel="0" collapsed="false">
      <c r="A8" s="17" t="n">
        <v>46302</v>
      </c>
      <c r="B8" s="18" t="s">
        <v>29</v>
      </c>
      <c r="C8" s="19" t="n">
        <v>0.53125</v>
      </c>
      <c r="D8" s="20" t="n">
        <v>23219.891</v>
      </c>
      <c r="E8" s="20" t="n">
        <v>5872.194</v>
      </c>
      <c r="F8" s="20" t="n">
        <v>24156.713</v>
      </c>
      <c r="G8" s="18" t="n">
        <f aca="false">HOUR(C8)*60+MINUTE(C8)</f>
        <v>765</v>
      </c>
      <c r="H8" s="21" t="n">
        <f aca="false">IF(AND(B8=B7,A8=A7,D8&gt;0,N(D7)&gt;0,G8&gt;N(G7)),(D8-D7)/((G8-G7)/60),"")</f>
        <v>6.60399999999208</v>
      </c>
      <c r="I8" s="18" t="str">
        <f aca="false">IFERROR(INDEX(Medidores!$B:$B,MATCH(B8,Medidores!$A:$A,0)),"")</f>
        <v>L22</v>
      </c>
    </row>
    <row r="9" customFormat="false" ht="15" hidden="false" customHeight="false" outlineLevel="0" collapsed="false">
      <c r="A9" s="17" t="n">
        <v>46302</v>
      </c>
      <c r="B9" s="18" t="s">
        <v>29</v>
      </c>
      <c r="C9" s="19" t="n">
        <v>0.541666666666667</v>
      </c>
      <c r="D9" s="20" t="n">
        <v>23221.516</v>
      </c>
      <c r="E9" s="20" t="n">
        <v>5872.683</v>
      </c>
      <c r="F9" s="20" t="n">
        <v>24158.422</v>
      </c>
      <c r="G9" s="18" t="n">
        <f aca="false">HOUR(C9)*60+MINUTE(C9)</f>
        <v>780</v>
      </c>
      <c r="H9" s="21" t="n">
        <f aca="false">IF(AND(B9=B8,A9=A8,D9&gt;0,N(D8)&gt;0,G9&gt;N(G8)),(D9-D8)/((G9-G8)/60),"")</f>
        <v>6.5</v>
      </c>
      <c r="I9" s="18" t="str">
        <f aca="false">IFERROR(INDEX(Medidores!$B:$B,MATCH(B9,Medidores!$A:$A,0)),"")</f>
        <v>L22</v>
      </c>
    </row>
    <row r="10" customFormat="false" ht="15" hidden="false" customHeight="false" outlineLevel="0" collapsed="false">
      <c r="A10" s="17" t="n">
        <v>46302</v>
      </c>
      <c r="B10" s="18" t="s">
        <v>29</v>
      </c>
      <c r="C10" s="19" t="n">
        <v>0.552083333333333</v>
      </c>
      <c r="D10" s="20" t="n">
        <v>23223.152</v>
      </c>
      <c r="E10" s="20" t="n">
        <v>5873.226</v>
      </c>
      <c r="F10" s="20" t="n">
        <v>24160.164</v>
      </c>
      <c r="G10" s="18" t="n">
        <f aca="false">HOUR(C10)*60+MINUTE(C10)</f>
        <v>795</v>
      </c>
      <c r="H10" s="21" t="n">
        <f aca="false">IF(AND(B10=B9,A10=A9,D10&gt;0,N(D9)&gt;0,G10&gt;N(G9)),(D10-D9)/((G10-G9)/60),"")</f>
        <v>6.54399999999441</v>
      </c>
      <c r="I10" s="18" t="str">
        <f aca="false">IFERROR(INDEX(Medidores!$B:$B,MATCH(B10,Medidores!$A:$A,0)),"")</f>
        <v>L22</v>
      </c>
    </row>
    <row r="11" customFormat="false" ht="15" hidden="false" customHeight="false" outlineLevel="0" collapsed="false">
      <c r="A11" s="17" t="n">
        <v>46302</v>
      </c>
      <c r="B11" s="18" t="s">
        <v>29</v>
      </c>
      <c r="C11" s="19" t="n">
        <v>0.5625</v>
      </c>
      <c r="D11" s="20" t="n">
        <v>23224.775</v>
      </c>
      <c r="E11" s="20" t="n">
        <v>5873.71</v>
      </c>
      <c r="F11" s="20" t="n">
        <v>24161.877</v>
      </c>
      <c r="G11" s="18" t="n">
        <f aca="false">HOUR(C11)*60+MINUTE(C11)</f>
        <v>810</v>
      </c>
      <c r="H11" s="21" t="n">
        <f aca="false">IF(AND(B11=B10,A11=A10,D11&gt;0,N(D10)&gt;0,G11&gt;N(G10)),(D11-D10)/((G11-G10)/60),"")</f>
        <v>6.49200000001292</v>
      </c>
      <c r="I11" s="18" t="str">
        <f aca="false">IFERROR(INDEX(Medidores!$B:$B,MATCH(B11,Medidores!$A:$A,0)),"")</f>
        <v>L22</v>
      </c>
    </row>
    <row r="12" customFormat="false" ht="15" hidden="false" customHeight="false" outlineLevel="0" collapsed="false">
      <c r="A12" s="17" t="n">
        <v>46302</v>
      </c>
      <c r="B12" s="18" t="s">
        <v>29</v>
      </c>
      <c r="C12" s="19" t="n">
        <v>0.572916666666667</v>
      </c>
      <c r="D12" s="20" t="n">
        <v>23226.219</v>
      </c>
      <c r="E12" s="20" t="n">
        <v>5874.117</v>
      </c>
      <c r="F12" s="20" t="n">
        <v>24163.389</v>
      </c>
      <c r="G12" s="18" t="n">
        <f aca="false">HOUR(C12)*60+MINUTE(C12)</f>
        <v>825</v>
      </c>
      <c r="H12" s="21" t="n">
        <f aca="false">IF(AND(B12=B11,A12=A11,D12&gt;0,N(D11)&gt;0,G12&gt;N(G11)),(D12-D11)/((G12-G11)/60),"")</f>
        <v>5.77599999999802</v>
      </c>
      <c r="I12" s="18" t="str">
        <f aca="false">IFERROR(INDEX(Medidores!$B:$B,MATCH(B12,Medidores!$A:$A,0)),"")</f>
        <v>L22</v>
      </c>
    </row>
    <row r="13" customFormat="false" ht="15" hidden="false" customHeight="false" outlineLevel="0" collapsed="false">
      <c r="A13" s="17" t="n">
        <v>46302</v>
      </c>
      <c r="B13" s="18" t="s">
        <v>29</v>
      </c>
      <c r="C13" s="19" t="n">
        <v>0.583333333333333</v>
      </c>
      <c r="D13" s="20" t="n">
        <v>23227.84</v>
      </c>
      <c r="E13" s="20" t="n">
        <v>5874.638</v>
      </c>
      <c r="F13" s="20" t="n">
        <v>24165.106</v>
      </c>
      <c r="G13" s="18" t="n">
        <f aca="false">HOUR(C13)*60+MINUTE(C13)</f>
        <v>840</v>
      </c>
      <c r="H13" s="21" t="n">
        <f aca="false">IF(AND(B13=B12,A13=A12,D13&gt;0,N(D12)&gt;0,G13&gt;N(G12)),(D13-D12)/((G13-G12)/60),"")</f>
        <v>6.48399999999674</v>
      </c>
      <c r="I13" s="18" t="str">
        <f aca="false">IFERROR(INDEX(Medidores!$B:$B,MATCH(B13,Medidores!$A:$A,0)),"")</f>
        <v>L22</v>
      </c>
    </row>
    <row r="14" customFormat="false" ht="15" hidden="false" customHeight="false" outlineLevel="0" collapsed="false">
      <c r="A14" s="17" t="n">
        <v>46302</v>
      </c>
      <c r="B14" s="18" t="s">
        <v>29</v>
      </c>
      <c r="C14" s="19" t="n">
        <v>0.59375</v>
      </c>
      <c r="D14" s="20" t="n">
        <v>23229.453</v>
      </c>
      <c r="E14" s="20" t="n">
        <v>5875.126</v>
      </c>
      <c r="F14" s="20" t="n">
        <v>24166.809</v>
      </c>
      <c r="G14" s="18" t="n">
        <f aca="false">HOUR(C14)*60+MINUTE(C14)</f>
        <v>855</v>
      </c>
      <c r="H14" s="21" t="n">
        <f aca="false">IF(AND(B14=B13,A14=A13,D14&gt;0,N(D13)&gt;0,G14&gt;N(G13)),(D14-D13)/((G14-G13)/60),"")</f>
        <v>6.45200000000477</v>
      </c>
      <c r="I14" s="18" t="str">
        <f aca="false">IFERROR(INDEX(Medidores!$B:$B,MATCH(B14,Medidores!$A:$A,0)),"")</f>
        <v>L22</v>
      </c>
    </row>
    <row r="15" customFormat="false" ht="15" hidden="false" customHeight="false" outlineLevel="0" collapsed="false">
      <c r="A15" s="17" t="n">
        <v>46302</v>
      </c>
      <c r="B15" s="18" t="s">
        <v>29</v>
      </c>
      <c r="C15" s="19" t="n">
        <v>0.604166666666667</v>
      </c>
      <c r="D15" s="20" t="n">
        <v>23231.076</v>
      </c>
      <c r="E15" s="20" t="n">
        <v>5875.638</v>
      </c>
      <c r="F15" s="20" t="n">
        <v>24168.521</v>
      </c>
      <c r="G15" s="18" t="n">
        <f aca="false">HOUR(C15)*60+MINUTE(C15)</f>
        <v>870</v>
      </c>
      <c r="H15" s="21" t="n">
        <f aca="false">IF(AND(B15=B14,A15=A14,D15&gt;0,N(D14)&gt;0,G15&gt;N(G14)),(D15-D14)/((G15-G14)/60),"")</f>
        <v>6.49199999999837</v>
      </c>
      <c r="I15" s="18" t="str">
        <f aca="false">IFERROR(INDEX(Medidores!$B:$B,MATCH(B15,Medidores!$A:$A,0)),"")</f>
        <v>L22</v>
      </c>
    </row>
    <row r="16" customFormat="false" ht="15" hidden="false" customHeight="false" outlineLevel="0" collapsed="false">
      <c r="A16" s="17" t="n">
        <v>46302</v>
      </c>
      <c r="B16" s="18" t="s">
        <v>29</v>
      </c>
      <c r="C16" s="19" t="n">
        <v>0.614583333333333</v>
      </c>
      <c r="D16" s="20" t="n">
        <v>23232.705</v>
      </c>
      <c r="E16" s="20" t="n">
        <v>5876.125</v>
      </c>
      <c r="F16" s="20" t="n">
        <v>24170.236</v>
      </c>
      <c r="G16" s="18" t="n">
        <f aca="false">HOUR(C16)*60+MINUTE(C16)</f>
        <v>885</v>
      </c>
      <c r="H16" s="21" t="n">
        <f aca="false">IF(AND(B16=B15,A16=A15,D16&gt;0,N(D15)&gt;0,G16&gt;N(G15)),(D16-D15)/((G16-G15)/60),"")</f>
        <v>6.51600000000326</v>
      </c>
      <c r="I16" s="18" t="str">
        <f aca="false">IFERROR(INDEX(Medidores!$B:$B,MATCH(B16,Medidores!$A:$A,0)),"")</f>
        <v>L22</v>
      </c>
    </row>
    <row r="17" customFormat="false" ht="15" hidden="false" customHeight="false" outlineLevel="0" collapsed="false">
      <c r="A17" s="17" t="n">
        <v>46302</v>
      </c>
      <c r="B17" s="18" t="s">
        <v>29</v>
      </c>
      <c r="C17" s="19" t="n">
        <v>0.625</v>
      </c>
      <c r="D17" s="20" t="n">
        <v>23234.332</v>
      </c>
      <c r="E17" s="20" t="n">
        <v>5876.677</v>
      </c>
      <c r="F17" s="20" t="n">
        <v>24171.973</v>
      </c>
      <c r="G17" s="18" t="n">
        <f aca="false">HOUR(C17)*60+MINUTE(C17)</f>
        <v>900</v>
      </c>
      <c r="H17" s="21" t="n">
        <f aca="false">IF(AND(B17=B16,A17=A16,D17&gt;0,N(D16)&gt;0,G17&gt;N(G16)),(D17-D16)/((G17-G16)/60),"")</f>
        <v>6.50799999998708</v>
      </c>
      <c r="I17" s="18" t="str">
        <f aca="false">IFERROR(INDEX(Medidores!$B:$B,MATCH(B17,Medidores!$A:$A,0)),"")</f>
        <v>L22</v>
      </c>
    </row>
    <row r="18" customFormat="false" ht="15" hidden="false" customHeight="false" outlineLevel="0" collapsed="false">
      <c r="A18" s="17" t="n">
        <v>46302</v>
      </c>
      <c r="B18" s="18" t="s">
        <v>29</v>
      </c>
      <c r="C18" s="19" t="n">
        <v>0.635416666666667</v>
      </c>
      <c r="D18" s="20" t="n">
        <v>23235.955</v>
      </c>
      <c r="E18" s="20" t="n">
        <v>5877.181</v>
      </c>
      <c r="F18" s="20" t="n">
        <v>24173.682</v>
      </c>
      <c r="G18" s="18" t="n">
        <f aca="false">HOUR(C18)*60+MINUTE(C18)</f>
        <v>915</v>
      </c>
      <c r="H18" s="21" t="n">
        <f aca="false">IF(AND(B18=B17,A18=A17,D18&gt;0,N(D17)&gt;0,G18&gt;N(G17)),(D18-D17)/((G18-G17)/60),"")</f>
        <v>6.49200000001292</v>
      </c>
      <c r="I18" s="18" t="str">
        <f aca="false">IFERROR(INDEX(Medidores!$B:$B,MATCH(B18,Medidores!$A:$A,0)),"")</f>
        <v>L22</v>
      </c>
    </row>
    <row r="19" customFormat="false" ht="15" hidden="false" customHeight="false" outlineLevel="0" collapsed="false">
      <c r="A19" s="17" t="n">
        <v>46302</v>
      </c>
      <c r="B19" s="18" t="s">
        <v>29</v>
      </c>
      <c r="C19" s="19" t="n">
        <v>0.645833333333333</v>
      </c>
      <c r="D19" s="20" t="n">
        <v>23237.582</v>
      </c>
      <c r="E19" s="20" t="n">
        <v>5877.691</v>
      </c>
      <c r="F19" s="20" t="n">
        <v>24175.404</v>
      </c>
      <c r="G19" s="18" t="n">
        <f aca="false">HOUR(C19)*60+MINUTE(C19)</f>
        <v>930</v>
      </c>
      <c r="H19" s="21" t="n">
        <f aca="false">IF(AND(B19=B18,A19=A18,D19&gt;0,N(D18)&gt;0,G19&gt;N(G18)),(D19-D18)/((G19-G18)/60),"")</f>
        <v>6.50799999998708</v>
      </c>
      <c r="I19" s="18" t="str">
        <f aca="false">IFERROR(INDEX(Medidores!$B:$B,MATCH(B19,Medidores!$A:$A,0)),"")</f>
        <v>L22</v>
      </c>
    </row>
    <row r="20" customFormat="false" ht="15" hidden="false" customHeight="false" outlineLevel="0" collapsed="false">
      <c r="A20" s="17" t="n">
        <v>46302</v>
      </c>
      <c r="B20" s="18" t="s">
        <v>29</v>
      </c>
      <c r="C20" s="19" t="n">
        <v>0.65625</v>
      </c>
      <c r="D20" s="20" t="n">
        <v>23238.707</v>
      </c>
      <c r="E20" s="20" t="n">
        <v>5877.976</v>
      </c>
      <c r="F20" s="20" t="n">
        <v>24176.576</v>
      </c>
      <c r="G20" s="18" t="n">
        <f aca="false">HOUR(C20)*60+MINUTE(C20)</f>
        <v>945</v>
      </c>
      <c r="H20" s="21" t="n">
        <f aca="false">IF(AND(B20=B19,A20=A19,D20&gt;0,N(D19)&gt;0,G20&gt;N(G19)),(D20-D19)/((G20-G19)/60),"")</f>
        <v>4.5</v>
      </c>
      <c r="I20" s="18" t="str">
        <f aca="false">IFERROR(INDEX(Medidores!$B:$B,MATCH(B20,Medidores!$A:$A,0)),"")</f>
        <v>L22</v>
      </c>
    </row>
    <row r="21" customFormat="false" ht="15" hidden="false" customHeight="false" outlineLevel="0" collapsed="false">
      <c r="A21" s="17" t="n">
        <v>46302</v>
      </c>
      <c r="B21" s="18" t="s">
        <v>29</v>
      </c>
      <c r="C21" s="19" t="n">
        <v>0.666666666666667</v>
      </c>
      <c r="D21" s="20" t="n">
        <v>23239.469</v>
      </c>
      <c r="E21" s="20" t="n">
        <v>5878.095</v>
      </c>
      <c r="F21" s="20" t="n">
        <v>24177.35</v>
      </c>
      <c r="G21" s="18" t="n">
        <f aca="false">HOUR(C21)*60+MINUTE(C21)</f>
        <v>960</v>
      </c>
      <c r="H21" s="21" t="n">
        <f aca="false">IF(AND(B21=B20,A21=A20,D21&gt;0,N(D20)&gt;0,G21&gt;N(G20)),(D21-D20)/((G21-G20)/60),"")</f>
        <v>3.04800000000978</v>
      </c>
      <c r="I21" s="18" t="str">
        <f aca="false">IFERROR(INDEX(Medidores!$B:$B,MATCH(B21,Medidores!$A:$A,0)),"")</f>
        <v>L22</v>
      </c>
    </row>
    <row r="22" customFormat="false" ht="15" hidden="false" customHeight="false" outlineLevel="0" collapsed="false">
      <c r="A22" s="17" t="n">
        <v>46302</v>
      </c>
      <c r="B22" s="18" t="s">
        <v>30</v>
      </c>
      <c r="C22" s="19" t="n">
        <v>0.270833333333333</v>
      </c>
      <c r="D22" s="20" t="n">
        <v>8718.495</v>
      </c>
      <c r="E22" s="20" t="n">
        <v>5315.24</v>
      </c>
      <c r="F22" s="20" t="n">
        <v>11570.61</v>
      </c>
      <c r="G22" s="18" t="n">
        <f aca="false">HOUR(C22)*60+MINUTE(C22)</f>
        <v>390</v>
      </c>
      <c r="H22" s="21" t="str">
        <f aca="false">IF(AND(B22=B21,A22=A21,D22&gt;0,N(D21)&gt;0,G22&gt;N(G21)),(D22-D21)/((G22-G21)/60),"")</f>
        <v/>
      </c>
      <c r="I22" s="18" t="str">
        <f aca="false">IFERROR(INDEX(Medidores!$B:$B,MATCH(B22,Medidores!$A:$A,0)),"")</f>
        <v>L50</v>
      </c>
    </row>
    <row r="23" customFormat="false" ht="15" hidden="false" customHeight="false" outlineLevel="0" collapsed="false">
      <c r="A23" s="17" t="n">
        <v>46302</v>
      </c>
      <c r="B23" s="18" t="s">
        <v>30</v>
      </c>
      <c r="C23" s="19" t="n">
        <v>0.28125</v>
      </c>
      <c r="D23" s="20" t="n">
        <v>8718.629</v>
      </c>
      <c r="E23" s="20" t="n">
        <v>5315.24</v>
      </c>
      <c r="F23" s="20" t="n">
        <v>11570.75</v>
      </c>
      <c r="G23" s="18" t="n">
        <f aca="false">HOUR(C23)*60+MINUTE(C23)</f>
        <v>405</v>
      </c>
      <c r="H23" s="21" t="n">
        <f aca="false">IF(AND(B23=B22,A23=A22,D23&gt;0,N(D22)&gt;0,G23&gt;N(G22)),(D23-D22)/((G23-G22)/60),"")</f>
        <v>0.536000000000058</v>
      </c>
      <c r="I23" s="18" t="str">
        <f aca="false">IFERROR(INDEX(Medidores!$B:$B,MATCH(B23,Medidores!$A:$A,0)),"")</f>
        <v>L50</v>
      </c>
    </row>
    <row r="24" customFormat="false" ht="15" hidden="false" customHeight="false" outlineLevel="0" collapsed="false">
      <c r="A24" s="17" t="n">
        <v>46302</v>
      </c>
      <c r="B24" s="18" t="s">
        <v>30</v>
      </c>
      <c r="C24" s="19" t="n">
        <v>0.291666666666667</v>
      </c>
      <c r="D24" s="20" t="n">
        <v>8718.763</v>
      </c>
      <c r="E24" s="20" t="n">
        <v>5315.24</v>
      </c>
      <c r="F24" s="20" t="n">
        <v>11570.89</v>
      </c>
      <c r="G24" s="18" t="n">
        <f aca="false">HOUR(C24)*60+MINUTE(C24)</f>
        <v>420</v>
      </c>
      <c r="H24" s="21" t="n">
        <f aca="false">IF(AND(B24=B23,A24=A23,D24&gt;0,N(D23)&gt;0,G24&gt;N(G23)),(D24-D23)/((G24-G23)/60),"")</f>
        <v>0.536000000000058</v>
      </c>
      <c r="I24" s="18" t="str">
        <f aca="false">IFERROR(INDEX(Medidores!$B:$B,MATCH(B24,Medidores!$A:$A,0)),"")</f>
        <v>L50</v>
      </c>
    </row>
    <row r="25" customFormat="false" ht="15" hidden="false" customHeight="false" outlineLevel="0" collapsed="false">
      <c r="A25" s="17" t="n">
        <v>46302</v>
      </c>
      <c r="B25" s="18" t="s">
        <v>30</v>
      </c>
      <c r="C25" s="19" t="n">
        <v>0.302083333333333</v>
      </c>
      <c r="D25" s="20" t="n">
        <v>8718.897</v>
      </c>
      <c r="E25" s="20" t="n">
        <v>5315.24</v>
      </c>
      <c r="F25" s="20" t="n">
        <v>11571.03</v>
      </c>
      <c r="G25" s="18" t="n">
        <f aca="false">HOUR(C25)*60+MINUTE(C25)</f>
        <v>435</v>
      </c>
      <c r="H25" s="21" t="n">
        <f aca="false">IF(AND(B25=B24,A25=A24,D25&gt;0,N(D24)&gt;0,G25&gt;N(G24)),(D25-D24)/((G25-G24)/60),"")</f>
        <v>0.536000000000058</v>
      </c>
      <c r="I25" s="18" t="str">
        <f aca="false">IFERROR(INDEX(Medidores!$B:$B,MATCH(B25,Medidores!$A:$A,0)),"")</f>
        <v>L50</v>
      </c>
    </row>
    <row r="26" customFormat="false" ht="15" hidden="false" customHeight="false" outlineLevel="0" collapsed="false">
      <c r="A26" s="17" t="n">
        <v>46302</v>
      </c>
      <c r="B26" s="18" t="s">
        <v>30</v>
      </c>
      <c r="C26" s="19" t="n">
        <v>0.3125</v>
      </c>
      <c r="D26" s="20" t="n">
        <v>8719.03</v>
      </c>
      <c r="E26" s="20" t="n">
        <v>5315.24</v>
      </c>
      <c r="F26" s="20" t="n">
        <v>11571.17</v>
      </c>
      <c r="G26" s="18" t="n">
        <f aca="false">HOUR(C26)*60+MINUTE(C26)</f>
        <v>450</v>
      </c>
      <c r="H26" s="21" t="n">
        <f aca="false">IF(AND(B26=B25,A26=A25,D26&gt;0,N(D25)&gt;0,G26&gt;N(G25)),(D26-D25)/((G26-G25)/60),"")</f>
        <v>0.531999999999243</v>
      </c>
      <c r="I26" s="18" t="str">
        <f aca="false">IFERROR(INDEX(Medidores!$B:$B,MATCH(B26,Medidores!$A:$A,0)),"")</f>
        <v>L50</v>
      </c>
    </row>
    <row r="27" customFormat="false" ht="15" hidden="false" customHeight="false" outlineLevel="0" collapsed="false">
      <c r="A27" s="17" t="n">
        <v>46302</v>
      </c>
      <c r="B27" s="18" t="s">
        <v>30</v>
      </c>
      <c r="C27" s="19" t="n">
        <v>0.322916666666667</v>
      </c>
      <c r="D27" s="20" t="n">
        <v>8719.164</v>
      </c>
      <c r="E27" s="20" t="n">
        <v>5315.24</v>
      </c>
      <c r="F27" s="20" t="n">
        <v>11571.31</v>
      </c>
      <c r="G27" s="18" t="n">
        <f aca="false">HOUR(C27)*60+MINUTE(C27)</f>
        <v>465</v>
      </c>
      <c r="H27" s="21" t="n">
        <f aca="false">IF(AND(B27=B26,A27=A26,D27&gt;0,N(D26)&gt;0,G27&gt;N(G26)),(D27-D26)/((G27-G26)/60),"")</f>
        <v>0.536000000000058</v>
      </c>
      <c r="I27" s="18" t="str">
        <f aca="false">IFERROR(INDEX(Medidores!$B:$B,MATCH(B27,Medidores!$A:$A,0)),"")</f>
        <v>L50</v>
      </c>
    </row>
    <row r="28" customFormat="false" ht="15" hidden="false" customHeight="false" outlineLevel="0" collapsed="false">
      <c r="A28" s="17" t="n">
        <v>46302</v>
      </c>
      <c r="B28" s="18" t="s">
        <v>30</v>
      </c>
      <c r="C28" s="19" t="n">
        <v>0.333333333333333</v>
      </c>
      <c r="D28" s="20" t="n">
        <v>8719.297</v>
      </c>
      <c r="E28" s="20" t="n">
        <v>5315.24</v>
      </c>
      <c r="F28" s="20" t="n">
        <v>11571.45</v>
      </c>
      <c r="G28" s="18" t="n">
        <f aca="false">HOUR(C28)*60+MINUTE(C28)</f>
        <v>480</v>
      </c>
      <c r="H28" s="21" t="n">
        <f aca="false">IF(AND(B28=B27,A28=A27,D28&gt;0,N(D27)&gt;0,G28&gt;N(G27)),(D28-D27)/((G28-G27)/60),"")</f>
        <v>0.531999999999243</v>
      </c>
      <c r="I28" s="18" t="str">
        <f aca="false">IFERROR(INDEX(Medidores!$B:$B,MATCH(B28,Medidores!$A:$A,0)),"")</f>
        <v>L50</v>
      </c>
    </row>
    <row r="29" customFormat="false" ht="15" hidden="false" customHeight="false" outlineLevel="0" collapsed="false">
      <c r="A29" s="17" t="n">
        <v>46302</v>
      </c>
      <c r="B29" s="18" t="s">
        <v>30</v>
      </c>
      <c r="C29" s="19" t="n">
        <v>0.34375</v>
      </c>
      <c r="D29" s="20" t="n">
        <v>8719.431</v>
      </c>
      <c r="E29" s="20" t="n">
        <v>5315.24</v>
      </c>
      <c r="F29" s="20" t="n">
        <v>11571.589</v>
      </c>
      <c r="G29" s="18" t="n">
        <f aca="false">HOUR(C29)*60+MINUTE(C29)</f>
        <v>495</v>
      </c>
      <c r="H29" s="21" t="n">
        <f aca="false">IF(AND(B29=B28,A29=A28,D29&gt;0,N(D28)&gt;0,G29&gt;N(G28)),(D29-D28)/((G29-G28)/60),"")</f>
        <v>0.536000000000058</v>
      </c>
      <c r="I29" s="18" t="str">
        <f aca="false">IFERROR(INDEX(Medidores!$B:$B,MATCH(B29,Medidores!$A:$A,0)),"")</f>
        <v>L50</v>
      </c>
    </row>
    <row r="30" customFormat="false" ht="15" hidden="false" customHeight="false" outlineLevel="0" collapsed="false">
      <c r="A30" s="17" t="n">
        <v>46302</v>
      </c>
      <c r="B30" s="18" t="s">
        <v>30</v>
      </c>
      <c r="C30" s="19" t="n">
        <v>0.354166666666667</v>
      </c>
      <c r="D30" s="20" t="n">
        <v>8719.564</v>
      </c>
      <c r="E30" s="20" t="n">
        <v>5315.24</v>
      </c>
      <c r="F30" s="20" t="n">
        <v>11571.728</v>
      </c>
      <c r="G30" s="18" t="n">
        <f aca="false">HOUR(C30)*60+MINUTE(C30)</f>
        <v>510</v>
      </c>
      <c r="H30" s="21" t="n">
        <f aca="false">IF(AND(B30=B29,A30=A29,D30&gt;0,N(D29)&gt;0,G30&gt;N(G29)),(D30-D29)/((G30-G29)/60),"")</f>
        <v>0.531999999999243</v>
      </c>
      <c r="I30" s="18" t="str">
        <f aca="false">IFERROR(INDEX(Medidores!$B:$B,MATCH(B30,Medidores!$A:$A,0)),"")</f>
        <v>L50</v>
      </c>
    </row>
    <row r="31" customFormat="false" ht="15" hidden="false" customHeight="false" outlineLevel="0" collapsed="false">
      <c r="A31" s="17" t="n">
        <v>46302</v>
      </c>
      <c r="B31" s="18" t="s">
        <v>30</v>
      </c>
      <c r="C31" s="19" t="n">
        <v>0.364583333333333</v>
      </c>
      <c r="D31" s="20" t="n">
        <v>8719.698</v>
      </c>
      <c r="E31" s="20" t="n">
        <v>5315.24</v>
      </c>
      <c r="F31" s="20" t="n">
        <v>11571.869</v>
      </c>
      <c r="G31" s="18" t="n">
        <f aca="false">HOUR(C31)*60+MINUTE(C31)</f>
        <v>525</v>
      </c>
      <c r="H31" s="21" t="n">
        <f aca="false">IF(AND(B31=B30,A31=A30,D31&gt;0,N(D30)&gt;0,G31&gt;N(G30)),(D31-D30)/((G31-G30)/60),"")</f>
        <v>0.536000000000058</v>
      </c>
      <c r="I31" s="18" t="str">
        <f aca="false">IFERROR(INDEX(Medidores!$B:$B,MATCH(B31,Medidores!$A:$A,0)),"")</f>
        <v>L50</v>
      </c>
    </row>
    <row r="32" customFormat="false" ht="15" hidden="false" customHeight="false" outlineLevel="0" collapsed="false">
      <c r="A32" s="17" t="n">
        <v>46302</v>
      </c>
      <c r="B32" s="18" t="s">
        <v>30</v>
      </c>
      <c r="C32" s="19" t="n">
        <v>0.375</v>
      </c>
      <c r="D32" s="20" t="n">
        <v>8719.832</v>
      </c>
      <c r="E32" s="20" t="n">
        <v>5315.24</v>
      </c>
      <c r="F32" s="20" t="n">
        <v>11572.008</v>
      </c>
      <c r="G32" s="18" t="n">
        <f aca="false">HOUR(C32)*60+MINUTE(C32)</f>
        <v>540</v>
      </c>
      <c r="H32" s="21" t="n">
        <f aca="false">IF(AND(B32=B31,A32=A31,D32&gt;0,N(D31)&gt;0,G32&gt;N(G31)),(D32-D31)/((G32-G31)/60),"")</f>
        <v>0.536000000000058</v>
      </c>
      <c r="I32" s="18" t="str">
        <f aca="false">IFERROR(INDEX(Medidores!$B:$B,MATCH(B32,Medidores!$A:$A,0)),"")</f>
        <v>L50</v>
      </c>
    </row>
    <row r="33" customFormat="false" ht="15" hidden="false" customHeight="false" outlineLevel="0" collapsed="false">
      <c r="A33" s="17" t="n">
        <v>46302</v>
      </c>
      <c r="B33" s="18" t="s">
        <v>30</v>
      </c>
      <c r="C33" s="19" t="n">
        <v>0.385416666666667</v>
      </c>
      <c r="D33" s="20" t="n">
        <v>8719.965</v>
      </c>
      <c r="E33" s="20" t="n">
        <v>5315.24</v>
      </c>
      <c r="F33" s="20" t="n">
        <v>11572.148</v>
      </c>
      <c r="G33" s="18" t="n">
        <f aca="false">HOUR(C33)*60+MINUTE(C33)</f>
        <v>555</v>
      </c>
      <c r="H33" s="21" t="n">
        <f aca="false">IF(AND(B33=B32,A33=A32,D33&gt;0,N(D32)&gt;0,G33&gt;N(G32)),(D33-D32)/((G33-G32)/60),"")</f>
        <v>0.531999999999243</v>
      </c>
      <c r="I33" s="18" t="str">
        <f aca="false">IFERROR(INDEX(Medidores!$B:$B,MATCH(B33,Medidores!$A:$A,0)),"")</f>
        <v>L50</v>
      </c>
    </row>
    <row r="34" customFormat="false" ht="15" hidden="false" customHeight="false" outlineLevel="0" collapsed="false">
      <c r="A34" s="17" t="n">
        <v>46302</v>
      </c>
      <c r="B34" s="18" t="s">
        <v>30</v>
      </c>
      <c r="C34" s="19" t="n">
        <v>0.395833333333333</v>
      </c>
      <c r="D34" s="20" t="n">
        <v>8720.098</v>
      </c>
      <c r="E34" s="20" t="n">
        <v>5315.24</v>
      </c>
      <c r="F34" s="20" t="n">
        <v>11572.288</v>
      </c>
      <c r="G34" s="18" t="n">
        <f aca="false">HOUR(C34)*60+MINUTE(C34)</f>
        <v>570</v>
      </c>
      <c r="H34" s="21" t="n">
        <f aca="false">IF(AND(B34=B33,A34=A33,D34&gt;0,N(D33)&gt;0,G34&gt;N(G33)),(D34-D33)/((G34-G33)/60),"")</f>
        <v>0.531999999999243</v>
      </c>
      <c r="I34" s="18" t="str">
        <f aca="false">IFERROR(INDEX(Medidores!$B:$B,MATCH(B34,Medidores!$A:$A,0)),"")</f>
        <v>L50</v>
      </c>
    </row>
    <row r="35" customFormat="false" ht="15" hidden="false" customHeight="false" outlineLevel="0" collapsed="false">
      <c r="A35" s="17" t="n">
        <v>46302</v>
      </c>
      <c r="B35" s="18" t="s">
        <v>30</v>
      </c>
      <c r="C35" s="19" t="n">
        <v>0.40625</v>
      </c>
      <c r="D35" s="20" t="n">
        <v>8720.232</v>
      </c>
      <c r="E35" s="20" t="n">
        <v>5315.24</v>
      </c>
      <c r="F35" s="20" t="n">
        <v>11572.427</v>
      </c>
      <c r="G35" s="18" t="n">
        <f aca="false">HOUR(C35)*60+MINUTE(C35)</f>
        <v>585</v>
      </c>
      <c r="H35" s="21" t="n">
        <f aca="false">IF(AND(B35=B34,A35=A34,D35&gt;0,N(D34)&gt;0,G35&gt;N(G34)),(D35-D34)/((G35-G34)/60),"")</f>
        <v>0.536000000000058</v>
      </c>
      <c r="I35" s="18" t="str">
        <f aca="false">IFERROR(INDEX(Medidores!$B:$B,MATCH(B35,Medidores!$A:$A,0)),"")</f>
        <v>L50</v>
      </c>
    </row>
    <row r="36" customFormat="false" ht="15" hidden="false" customHeight="false" outlineLevel="0" collapsed="false">
      <c r="A36" s="17" t="n">
        <v>46302</v>
      </c>
      <c r="B36" s="18" t="s">
        <v>30</v>
      </c>
      <c r="C36" s="19" t="n">
        <v>0.416666666666667</v>
      </c>
      <c r="D36" s="20" t="n">
        <v>8720.367</v>
      </c>
      <c r="E36" s="20" t="n">
        <v>5315.243</v>
      </c>
      <c r="F36" s="20" t="n">
        <v>11572.569</v>
      </c>
      <c r="G36" s="18" t="n">
        <f aca="false">HOUR(C36)*60+MINUTE(C36)</f>
        <v>600</v>
      </c>
      <c r="H36" s="21" t="n">
        <f aca="false">IF(AND(B36=B35,A36=A35,D36&gt;0,N(D35)&gt;0,G36&gt;N(G35)),(D36-D35)/((G36-G35)/60),"")</f>
        <v>0.540000000000873</v>
      </c>
      <c r="I36" s="18" t="str">
        <f aca="false">IFERROR(INDEX(Medidores!$B:$B,MATCH(B36,Medidores!$A:$A,0)),"")</f>
        <v>L50</v>
      </c>
    </row>
    <row r="37" customFormat="false" ht="15" hidden="false" customHeight="false" outlineLevel="0" collapsed="false">
      <c r="A37" s="17" t="n">
        <v>46302</v>
      </c>
      <c r="B37" s="18" t="s">
        <v>30</v>
      </c>
      <c r="C37" s="19" t="n">
        <v>0.427083333333333</v>
      </c>
      <c r="D37" s="20" t="n">
        <v>8720.513</v>
      </c>
      <c r="E37" s="20" t="n">
        <v>5315.276</v>
      </c>
      <c r="F37" s="20" t="n">
        <v>11572.734</v>
      </c>
      <c r="G37" s="18" t="n">
        <f aca="false">HOUR(C37)*60+MINUTE(C37)</f>
        <v>615</v>
      </c>
      <c r="H37" s="21" t="n">
        <f aca="false">IF(AND(B37=B36,A37=A36,D37&gt;0,N(D36)&gt;0,G37&gt;N(G36)),(D37-D36)/((G37-G36)/60),"")</f>
        <v>0.584000000002561</v>
      </c>
      <c r="I37" s="18" t="str">
        <f aca="false">IFERROR(INDEX(Medidores!$B:$B,MATCH(B37,Medidores!$A:$A,0)),"")</f>
        <v>L50</v>
      </c>
    </row>
    <row r="38" customFormat="false" ht="15" hidden="false" customHeight="false" outlineLevel="0" collapsed="false">
      <c r="A38" s="17" t="n">
        <v>46302</v>
      </c>
      <c r="B38" s="18" t="s">
        <v>30</v>
      </c>
      <c r="C38" s="19" t="n">
        <v>0.4375</v>
      </c>
      <c r="D38" s="20" t="n">
        <v>8720.647</v>
      </c>
      <c r="E38" s="20" t="n">
        <v>5315.276</v>
      </c>
      <c r="F38" s="20" t="n">
        <v>11572.874</v>
      </c>
      <c r="G38" s="18" t="n">
        <f aca="false">HOUR(C38)*60+MINUTE(C38)</f>
        <v>630</v>
      </c>
      <c r="H38" s="21" t="n">
        <f aca="false">IF(AND(B38=B37,A38=A37,D38&gt;0,N(D37)&gt;0,G38&gt;N(G37)),(D38-D37)/((G38-G37)/60),"")</f>
        <v>0.536000000000058</v>
      </c>
      <c r="I38" s="18" t="str">
        <f aca="false">IFERROR(INDEX(Medidores!$B:$B,MATCH(B38,Medidores!$A:$A,0)),"")</f>
        <v>L50</v>
      </c>
    </row>
    <row r="39" customFormat="false" ht="15" hidden="false" customHeight="false" outlineLevel="0" collapsed="false">
      <c r="A39" s="17" t="n">
        <v>46302</v>
      </c>
      <c r="B39" s="18" t="s">
        <v>30</v>
      </c>
      <c r="C39" s="19" t="n">
        <v>0.447916666666667</v>
      </c>
      <c r="D39" s="20" t="n">
        <v>8720.78</v>
      </c>
      <c r="E39" s="20" t="n">
        <v>5315.276</v>
      </c>
      <c r="F39" s="20" t="n">
        <v>11573.013</v>
      </c>
      <c r="G39" s="18" t="n">
        <f aca="false">HOUR(C39)*60+MINUTE(C39)</f>
        <v>645</v>
      </c>
      <c r="H39" s="21" t="n">
        <f aca="false">IF(AND(B39=B38,A39=A38,D39&gt;0,N(D38)&gt;0,G39&gt;N(G38)),(D39-D38)/((G39-G38)/60),"")</f>
        <v>0.531999999999243</v>
      </c>
      <c r="I39" s="18" t="str">
        <f aca="false">IFERROR(INDEX(Medidores!$B:$B,MATCH(B39,Medidores!$A:$A,0)),"")</f>
        <v>L50</v>
      </c>
    </row>
    <row r="40" customFormat="false" ht="15" hidden="false" customHeight="false" outlineLevel="0" collapsed="false">
      <c r="A40" s="17" t="n">
        <v>46302</v>
      </c>
      <c r="B40" s="18" t="s">
        <v>30</v>
      </c>
      <c r="C40" s="19" t="n">
        <v>0.458333333333333</v>
      </c>
      <c r="D40" s="20" t="n">
        <v>8720.914</v>
      </c>
      <c r="E40" s="20" t="n">
        <v>5315.276</v>
      </c>
      <c r="F40" s="20" t="n">
        <v>11573.153</v>
      </c>
      <c r="G40" s="18" t="n">
        <f aca="false">HOUR(C40)*60+MINUTE(C40)</f>
        <v>660</v>
      </c>
      <c r="H40" s="21" t="n">
        <f aca="false">IF(AND(B40=B39,A40=A39,D40&gt;0,N(D39)&gt;0,G40&gt;N(G39)),(D40-D39)/((G40-G39)/60),"")</f>
        <v>0.536000000000058</v>
      </c>
      <c r="I40" s="18" t="str">
        <f aca="false">IFERROR(INDEX(Medidores!$B:$B,MATCH(B40,Medidores!$A:$A,0)),"")</f>
        <v>L50</v>
      </c>
    </row>
    <row r="41" customFormat="false" ht="15" hidden="false" customHeight="false" outlineLevel="0" collapsed="false">
      <c r="A41" s="17" t="n">
        <v>46302</v>
      </c>
      <c r="B41" s="18" t="s">
        <v>30</v>
      </c>
      <c r="C41" s="19" t="n">
        <v>0.46875</v>
      </c>
      <c r="D41" s="20" t="n">
        <v>8721.047</v>
      </c>
      <c r="E41" s="20" t="n">
        <v>5315.276</v>
      </c>
      <c r="F41" s="20" t="n">
        <v>11573.292</v>
      </c>
      <c r="G41" s="18" t="n">
        <f aca="false">HOUR(C41)*60+MINUTE(C41)</f>
        <v>675</v>
      </c>
      <c r="H41" s="21" t="n">
        <f aca="false">IF(AND(B41=B40,A41=A40,D41&gt;0,N(D40)&gt;0,G41&gt;N(G40)),(D41-D40)/((G41-G40)/60),"")</f>
        <v>0.531999999999243</v>
      </c>
      <c r="I41" s="18" t="str">
        <f aca="false">IFERROR(INDEX(Medidores!$B:$B,MATCH(B41,Medidores!$A:$A,0)),"")</f>
        <v>L50</v>
      </c>
    </row>
    <row r="42" customFormat="false" ht="15" hidden="false" customHeight="false" outlineLevel="0" collapsed="false">
      <c r="A42" s="17" t="n">
        <v>46302</v>
      </c>
      <c r="B42" s="18" t="s">
        <v>31</v>
      </c>
      <c r="C42" s="19" t="n">
        <v>0.479166666666667</v>
      </c>
      <c r="D42" s="20" t="n">
        <v>9875.243</v>
      </c>
      <c r="E42" s="20" t="n">
        <v>3623.815</v>
      </c>
      <c r="F42" s="20" t="n">
        <v>10948.83</v>
      </c>
      <c r="G42" s="18" t="n">
        <f aca="false">HOUR(C42)*60+MINUTE(C42)</f>
        <v>690</v>
      </c>
      <c r="H42" s="21" t="str">
        <f aca="false">IF(AND(B42=B41,A42=A41,D42&gt;0,N(D41)&gt;0,G42&gt;N(G41)),(D42-D41)/((G42-G41)/60),"")</f>
        <v/>
      </c>
      <c r="I42" s="18" t="str">
        <f aca="false">IFERROR(INDEX(Medidores!$B:$B,MATCH(B42,Medidores!$A:$A,0)),"")</f>
        <v>L21</v>
      </c>
    </row>
    <row r="43" customFormat="false" ht="15" hidden="false" customHeight="false" outlineLevel="0" collapsed="false">
      <c r="A43" s="17" t="n">
        <v>46302</v>
      </c>
      <c r="B43" s="18" t="s">
        <v>31</v>
      </c>
      <c r="C43" s="19" t="n">
        <v>0.489583333333333</v>
      </c>
      <c r="D43" s="20" t="n">
        <v>9875.399</v>
      </c>
      <c r="E43" s="20" t="n">
        <v>3623.815</v>
      </c>
      <c r="F43" s="20" t="n">
        <v>10948.988</v>
      </c>
      <c r="G43" s="18" t="n">
        <f aca="false">HOUR(C43)*60+MINUTE(C43)</f>
        <v>705</v>
      </c>
      <c r="H43" s="21" t="n">
        <f aca="false">IF(AND(B43=B42,A43=A42,D43&gt;0,N(D42)&gt;0,G43&gt;N(G42)),(D43-D42)/((G43-G42)/60),"")</f>
        <v>0.623999999996158</v>
      </c>
      <c r="I43" s="18" t="str">
        <f aca="false">IFERROR(INDEX(Medidores!$B:$B,MATCH(B43,Medidores!$A:$A,0)),"")</f>
        <v>L21</v>
      </c>
    </row>
    <row r="44" customFormat="false" ht="15" hidden="false" customHeight="false" outlineLevel="0" collapsed="false">
      <c r="A44" s="17" t="n">
        <v>46302</v>
      </c>
      <c r="B44" s="18" t="s">
        <v>31</v>
      </c>
      <c r="C44" s="19" t="n">
        <v>0.5</v>
      </c>
      <c r="D44" s="20" t="n">
        <v>9875.555</v>
      </c>
      <c r="E44" s="20" t="n">
        <v>3623.815</v>
      </c>
      <c r="F44" s="20" t="n">
        <v>10949.147</v>
      </c>
      <c r="G44" s="18" t="n">
        <f aca="false">HOUR(C44)*60+MINUTE(C44)</f>
        <v>720</v>
      </c>
      <c r="H44" s="21" t="n">
        <f aca="false">IF(AND(B44=B43,A44=A43,D44&gt;0,N(D43)&gt;0,G44&gt;N(G43)),(D44-D43)/((G44-G43)/60),"")</f>
        <v>0.624000000003434</v>
      </c>
      <c r="I44" s="18" t="str">
        <f aca="false">IFERROR(INDEX(Medidores!$B:$B,MATCH(B44,Medidores!$A:$A,0)),"")</f>
        <v>L21</v>
      </c>
    </row>
    <row r="45" customFormat="false" ht="15" hidden="false" customHeight="false" outlineLevel="0" collapsed="false">
      <c r="A45" s="17" t="n">
        <v>46302</v>
      </c>
      <c r="B45" s="18" t="s">
        <v>31</v>
      </c>
      <c r="C45" s="19" t="n">
        <v>0.510416666666667</v>
      </c>
      <c r="D45" s="20" t="n">
        <v>9875.711</v>
      </c>
      <c r="E45" s="20" t="n">
        <v>3623.815</v>
      </c>
      <c r="F45" s="20" t="n">
        <v>10949.305</v>
      </c>
      <c r="G45" s="18" t="n">
        <f aca="false">HOUR(C45)*60+MINUTE(C45)</f>
        <v>735</v>
      </c>
      <c r="H45" s="21" t="n">
        <f aca="false">IF(AND(B45=B44,A45=A44,D45&gt;0,N(D44)&gt;0,G45&gt;N(G44)),(D45-D44)/((G45-G44)/60),"")</f>
        <v>0.623999999996158</v>
      </c>
      <c r="I45" s="18" t="str">
        <f aca="false">IFERROR(INDEX(Medidores!$B:$B,MATCH(B45,Medidores!$A:$A,0)),"")</f>
        <v>L21</v>
      </c>
    </row>
    <row r="46" customFormat="false" ht="15" hidden="false" customHeight="false" outlineLevel="0" collapsed="false">
      <c r="A46" s="17" t="n">
        <v>46302</v>
      </c>
      <c r="B46" s="18" t="s">
        <v>31</v>
      </c>
      <c r="C46" s="19" t="n">
        <v>0.520833333333333</v>
      </c>
      <c r="D46" s="20" t="n">
        <v>9875.866</v>
      </c>
      <c r="E46" s="20" t="n">
        <v>3623.815</v>
      </c>
      <c r="F46" s="20" t="n">
        <v>10949.462</v>
      </c>
      <c r="G46" s="18" t="n">
        <f aca="false">HOUR(C46)*60+MINUTE(C46)</f>
        <v>750</v>
      </c>
      <c r="H46" s="21" t="n">
        <f aca="false">IF(AND(B46=B45,A46=A45,D46&gt;0,N(D45)&gt;0,G46&gt;N(G45)),(D46-D45)/((G46-G45)/60),"")</f>
        <v>0.620000000002619</v>
      </c>
      <c r="I46" s="18" t="str">
        <f aca="false">IFERROR(INDEX(Medidores!$B:$B,MATCH(B46,Medidores!$A:$A,0)),"")</f>
        <v>L21</v>
      </c>
    </row>
    <row r="47" customFormat="false" ht="15" hidden="false" customHeight="false" outlineLevel="0" collapsed="false">
      <c r="A47" s="17" t="n">
        <v>46302</v>
      </c>
      <c r="B47" s="18" t="s">
        <v>31</v>
      </c>
      <c r="C47" s="19" t="n">
        <v>0.53125</v>
      </c>
      <c r="D47" s="20" t="n">
        <v>9876.021</v>
      </c>
      <c r="E47" s="20" t="n">
        <v>3623.815</v>
      </c>
      <c r="F47" s="20" t="n">
        <v>10949.62</v>
      </c>
      <c r="G47" s="18" t="n">
        <f aca="false">HOUR(C47)*60+MINUTE(C47)</f>
        <v>765</v>
      </c>
      <c r="H47" s="21" t="n">
        <f aca="false">IF(AND(B47=B46,A47=A46,D47&gt;0,N(D46)&gt;0,G47&gt;N(G46)),(D47-D46)/((G47-G46)/60),"")</f>
        <v>0.620000000002619</v>
      </c>
      <c r="I47" s="18" t="str">
        <f aca="false">IFERROR(INDEX(Medidores!$B:$B,MATCH(B47,Medidores!$A:$A,0)),"")</f>
        <v>L21</v>
      </c>
    </row>
    <row r="48" customFormat="false" ht="15" hidden="false" customHeight="false" outlineLevel="0" collapsed="false">
      <c r="A48" s="17" t="n">
        <v>46302</v>
      </c>
      <c r="B48" s="18" t="s">
        <v>31</v>
      </c>
      <c r="C48" s="19" t="n">
        <v>0.541666666666667</v>
      </c>
      <c r="D48" s="20" t="n">
        <v>9876.176</v>
      </c>
      <c r="E48" s="20" t="n">
        <v>3623.815</v>
      </c>
      <c r="F48" s="20" t="n">
        <v>10949.777</v>
      </c>
      <c r="G48" s="18" t="n">
        <f aca="false">HOUR(C48)*60+MINUTE(C48)</f>
        <v>780</v>
      </c>
      <c r="H48" s="21" t="n">
        <f aca="false">IF(AND(B48=B47,A48=A47,D48&gt;0,N(D47)&gt;0,G48&gt;N(G47)),(D48-D47)/((G48-G47)/60),"")</f>
        <v>0.619999999995343</v>
      </c>
      <c r="I48" s="18" t="str">
        <f aca="false">IFERROR(INDEX(Medidores!$B:$B,MATCH(B48,Medidores!$A:$A,0)),"")</f>
        <v>L21</v>
      </c>
    </row>
    <row r="49" customFormat="false" ht="15" hidden="false" customHeight="false" outlineLevel="0" collapsed="false">
      <c r="A49" s="17" t="n">
        <v>46302</v>
      </c>
      <c r="B49" s="18" t="s">
        <v>31</v>
      </c>
      <c r="C49" s="19" t="n">
        <v>0.552083333333333</v>
      </c>
      <c r="D49" s="20" t="n">
        <v>9876.331</v>
      </c>
      <c r="E49" s="20" t="n">
        <v>3623.815</v>
      </c>
      <c r="F49" s="20" t="n">
        <v>10949.935</v>
      </c>
      <c r="G49" s="18" t="n">
        <f aca="false">HOUR(C49)*60+MINUTE(C49)</f>
        <v>795</v>
      </c>
      <c r="H49" s="21" t="n">
        <f aca="false">IF(AND(B49=B48,A49=A48,D49&gt;0,N(D48)&gt;0,G49&gt;N(G48)),(D49-D48)/((G49-G48)/60),"")</f>
        <v>0.620000000002619</v>
      </c>
      <c r="I49" s="18" t="str">
        <f aca="false">IFERROR(INDEX(Medidores!$B:$B,MATCH(B49,Medidores!$A:$A,0)),"")</f>
        <v>L21</v>
      </c>
    </row>
    <row r="50" customFormat="false" ht="15" hidden="false" customHeight="false" outlineLevel="0" collapsed="false">
      <c r="A50" s="17" t="n">
        <v>46302</v>
      </c>
      <c r="B50" s="18" t="s">
        <v>31</v>
      </c>
      <c r="C50" s="19" t="n">
        <v>0.5625</v>
      </c>
      <c r="D50" s="20" t="n">
        <v>9876.486</v>
      </c>
      <c r="E50" s="20" t="n">
        <v>3623.815</v>
      </c>
      <c r="F50" s="20" t="n">
        <v>10950.092</v>
      </c>
      <c r="G50" s="18" t="n">
        <f aca="false">HOUR(C50)*60+MINUTE(C50)</f>
        <v>810</v>
      </c>
      <c r="H50" s="21" t="n">
        <f aca="false">IF(AND(B50=B49,A50=A49,D50&gt;0,N(D49)&gt;0,G50&gt;N(G49)),(D50-D49)/((G50-G49)/60),"")</f>
        <v>0.620000000002619</v>
      </c>
      <c r="I50" s="18" t="str">
        <f aca="false">IFERROR(INDEX(Medidores!$B:$B,MATCH(B50,Medidores!$A:$A,0)),"")</f>
        <v>L21</v>
      </c>
    </row>
    <row r="51" customFormat="false" ht="15" hidden="false" customHeight="false" outlineLevel="0" collapsed="false">
      <c r="A51" s="17" t="n">
        <v>46302</v>
      </c>
      <c r="B51" s="18" t="s">
        <v>31</v>
      </c>
      <c r="C51" s="19" t="n">
        <v>0.572916666666667</v>
      </c>
      <c r="D51" s="20" t="n">
        <v>9876.641</v>
      </c>
      <c r="E51" s="20" t="n">
        <v>3623.815</v>
      </c>
      <c r="F51" s="20" t="n">
        <v>10950.25</v>
      </c>
      <c r="G51" s="18" t="n">
        <f aca="false">HOUR(C51)*60+MINUTE(C51)</f>
        <v>825</v>
      </c>
      <c r="H51" s="21" t="n">
        <f aca="false">IF(AND(B51=B50,A51=A50,D51&gt;0,N(D50)&gt;0,G51&gt;N(G50)),(D51-D50)/((G51-G50)/60),"")</f>
        <v>0.619999999995343</v>
      </c>
      <c r="I51" s="18" t="str">
        <f aca="false">IFERROR(INDEX(Medidores!$B:$B,MATCH(B51,Medidores!$A:$A,0)),"")</f>
        <v>L21</v>
      </c>
    </row>
    <row r="52" customFormat="false" ht="15" hidden="false" customHeight="false" outlineLevel="0" collapsed="false">
      <c r="A52" s="17" t="n">
        <v>46302</v>
      </c>
      <c r="B52" s="18" t="s">
        <v>31</v>
      </c>
      <c r="C52" s="19" t="n">
        <v>0.583333333333333</v>
      </c>
      <c r="D52" s="20" t="n">
        <v>9876.796</v>
      </c>
      <c r="E52" s="20" t="n">
        <v>3623.815</v>
      </c>
      <c r="F52" s="20" t="n">
        <v>10950.407</v>
      </c>
      <c r="G52" s="18" t="n">
        <f aca="false">HOUR(C52)*60+MINUTE(C52)</f>
        <v>840</v>
      </c>
      <c r="H52" s="21" t="n">
        <f aca="false">IF(AND(B52=B51,A52=A51,D52&gt;0,N(D51)&gt;0,G52&gt;N(G51)),(D52-D51)/((G52-G51)/60),"")</f>
        <v>0.620000000002619</v>
      </c>
      <c r="I52" s="18" t="str">
        <f aca="false">IFERROR(INDEX(Medidores!$B:$B,MATCH(B52,Medidores!$A:$A,0)),"")</f>
        <v>L21</v>
      </c>
    </row>
    <row r="53" customFormat="false" ht="15" hidden="false" customHeight="false" outlineLevel="0" collapsed="false">
      <c r="A53" s="17" t="n">
        <v>46302</v>
      </c>
      <c r="B53" s="18" t="s">
        <v>31</v>
      </c>
      <c r="C53" s="19" t="n">
        <v>0.59375</v>
      </c>
      <c r="D53" s="20" t="n">
        <v>9876.952</v>
      </c>
      <c r="E53" s="20" t="n">
        <v>3623.815</v>
      </c>
      <c r="F53" s="20" t="n">
        <v>10950.565</v>
      </c>
      <c r="G53" s="18" t="n">
        <f aca="false">HOUR(C53)*60+MINUTE(C53)</f>
        <v>855</v>
      </c>
      <c r="H53" s="21" t="n">
        <f aca="false">IF(AND(B53=B52,A53=A52,D53&gt;0,N(D52)&gt;0,G53&gt;N(G52)),(D53-D52)/((G53-G52)/60),"")</f>
        <v>0.623999999996158</v>
      </c>
      <c r="I53" s="18" t="str">
        <f aca="false">IFERROR(INDEX(Medidores!$B:$B,MATCH(B53,Medidores!$A:$A,0)),"")</f>
        <v>L21</v>
      </c>
    </row>
    <row r="54" customFormat="false" ht="15" hidden="false" customHeight="false" outlineLevel="0" collapsed="false">
      <c r="A54" s="17" t="n">
        <v>46302</v>
      </c>
      <c r="B54" s="18" t="s">
        <v>31</v>
      </c>
      <c r="C54" s="19" t="n">
        <v>0.604166666666667</v>
      </c>
      <c r="D54" s="20" t="n">
        <v>9877.108</v>
      </c>
      <c r="E54" s="20" t="n">
        <v>3623.815</v>
      </c>
      <c r="F54" s="20" t="n">
        <v>10950.724</v>
      </c>
      <c r="G54" s="18" t="n">
        <f aca="false">HOUR(C54)*60+MINUTE(C54)</f>
        <v>870</v>
      </c>
      <c r="H54" s="21" t="n">
        <f aca="false">IF(AND(B54=B53,A54=A53,D54&gt;0,N(D53)&gt;0,G54&gt;N(G53)),(D54-D53)/((G54-G53)/60),"")</f>
        <v>0.624000000003434</v>
      </c>
      <c r="I54" s="18" t="str">
        <f aca="false">IFERROR(INDEX(Medidores!$B:$B,MATCH(B54,Medidores!$A:$A,0)),"")</f>
        <v>L21</v>
      </c>
    </row>
    <row r="55" customFormat="false" ht="15" hidden="false" customHeight="false" outlineLevel="0" collapsed="false">
      <c r="A55" s="17" t="n">
        <v>46302</v>
      </c>
      <c r="B55" s="18" t="s">
        <v>31</v>
      </c>
      <c r="C55" s="19" t="n">
        <v>0.614583333333333</v>
      </c>
      <c r="D55" s="20" t="n">
        <v>9877.263</v>
      </c>
      <c r="E55" s="20" t="n">
        <v>3623.815</v>
      </c>
      <c r="F55" s="20" t="n">
        <v>10950.882</v>
      </c>
      <c r="G55" s="18" t="n">
        <f aca="false">HOUR(C55)*60+MINUTE(C55)</f>
        <v>885</v>
      </c>
      <c r="H55" s="21" t="n">
        <f aca="false">IF(AND(B55=B54,A55=A54,D55&gt;0,N(D54)&gt;0,G55&gt;N(G54)),(D55-D54)/((G55-G54)/60),"")</f>
        <v>0.620000000002619</v>
      </c>
      <c r="I55" s="18" t="str">
        <f aca="false">IFERROR(INDEX(Medidores!$B:$B,MATCH(B55,Medidores!$A:$A,0)),"")</f>
        <v>L21</v>
      </c>
    </row>
    <row r="56" customFormat="false" ht="15" hidden="false" customHeight="false" outlineLevel="0" collapsed="false">
      <c r="A56" s="17" t="n">
        <v>46302</v>
      </c>
      <c r="B56" s="18" t="s">
        <v>31</v>
      </c>
      <c r="C56" s="19" t="n">
        <v>0.625</v>
      </c>
      <c r="D56" s="20" t="n">
        <v>9877.417</v>
      </c>
      <c r="E56" s="20" t="n">
        <v>3623.815</v>
      </c>
      <c r="F56" s="20" t="n">
        <v>10951.038</v>
      </c>
      <c r="G56" s="18" t="n">
        <f aca="false">HOUR(C56)*60+MINUTE(C56)</f>
        <v>900</v>
      </c>
      <c r="H56" s="21" t="n">
        <f aca="false">IF(AND(B56=B55,A56=A55,D56&gt;0,N(D55)&gt;0,G56&gt;N(G55)),(D56-D55)/((G56-G55)/60),"")</f>
        <v>0.615999999994529</v>
      </c>
      <c r="I56" s="18" t="str">
        <f aca="false">IFERROR(INDEX(Medidores!$B:$B,MATCH(B56,Medidores!$A:$A,0)),"")</f>
        <v>L21</v>
      </c>
    </row>
    <row r="57" customFormat="false" ht="15" hidden="false" customHeight="false" outlineLevel="0" collapsed="false">
      <c r="A57" s="17" t="n">
        <v>46302</v>
      </c>
      <c r="B57" s="18" t="s">
        <v>31</v>
      </c>
      <c r="C57" s="19" t="n">
        <v>0.635416666666667</v>
      </c>
      <c r="D57" s="20" t="n">
        <v>9877.572</v>
      </c>
      <c r="E57" s="20" t="n">
        <v>3623.815</v>
      </c>
      <c r="F57" s="20" t="n">
        <v>10951.195</v>
      </c>
      <c r="G57" s="18" t="n">
        <f aca="false">HOUR(C57)*60+MINUTE(C57)</f>
        <v>915</v>
      </c>
      <c r="H57" s="21" t="n">
        <f aca="false">IF(AND(B57=B56,A57=A56,D57&gt;0,N(D56)&gt;0,G57&gt;N(G56)),(D57-D56)/((G57-G56)/60),"")</f>
        <v>0.620000000002619</v>
      </c>
      <c r="I57" s="18" t="str">
        <f aca="false">IFERROR(INDEX(Medidores!$B:$B,MATCH(B57,Medidores!$A:$A,0)),"")</f>
        <v>L21</v>
      </c>
    </row>
    <row r="58" customFormat="false" ht="15" hidden="false" customHeight="false" outlineLevel="0" collapsed="false">
      <c r="A58" s="17" t="n">
        <v>46302</v>
      </c>
      <c r="B58" s="18" t="s">
        <v>31</v>
      </c>
      <c r="C58" s="19" t="n">
        <v>0.645833333333333</v>
      </c>
      <c r="D58" s="20" t="n">
        <v>9877.726</v>
      </c>
      <c r="E58" s="20" t="n">
        <v>3623.815</v>
      </c>
      <c r="F58" s="20" t="n">
        <v>10951.352</v>
      </c>
      <c r="G58" s="18" t="n">
        <f aca="false">HOUR(C58)*60+MINUTE(C58)</f>
        <v>930</v>
      </c>
      <c r="H58" s="21" t="n">
        <f aca="false">IF(AND(B58=B57,A58=A57,D58&gt;0,N(D57)&gt;0,G58&gt;N(G57)),(D58-D57)/((G58-G57)/60),"")</f>
        <v>0.616000000001804</v>
      </c>
      <c r="I58" s="18" t="str">
        <f aca="false">IFERROR(INDEX(Medidores!$B:$B,MATCH(B58,Medidores!$A:$A,0)),"")</f>
        <v>L21</v>
      </c>
    </row>
    <row r="59" customFormat="false" ht="15" hidden="false" customHeight="false" outlineLevel="0" collapsed="false">
      <c r="A59" s="17" t="n">
        <v>46302</v>
      </c>
      <c r="B59" s="18" t="s">
        <v>31</v>
      </c>
      <c r="C59" s="19" t="n">
        <v>0.65625</v>
      </c>
      <c r="D59" s="20" t="n">
        <v>9877.881</v>
      </c>
      <c r="E59" s="20" t="n">
        <v>3623.815</v>
      </c>
      <c r="F59" s="20" t="n">
        <v>10951.509</v>
      </c>
      <c r="G59" s="18" t="n">
        <f aca="false">HOUR(C59)*60+MINUTE(C59)</f>
        <v>945</v>
      </c>
      <c r="H59" s="21" t="n">
        <f aca="false">IF(AND(B59=B58,A59=A58,D59&gt;0,N(D58)&gt;0,G59&gt;N(G58)),(D59-D58)/((G59-G58)/60),"")</f>
        <v>0.619999999995343</v>
      </c>
      <c r="I59" s="18" t="str">
        <f aca="false">IFERROR(INDEX(Medidores!$B:$B,MATCH(B59,Medidores!$A:$A,0)),"")</f>
        <v>L21</v>
      </c>
    </row>
    <row r="60" customFormat="false" ht="15" hidden="false" customHeight="false" outlineLevel="0" collapsed="false">
      <c r="A60" s="17" t="n">
        <v>46302</v>
      </c>
      <c r="B60" s="18" t="s">
        <v>31</v>
      </c>
      <c r="C60" s="19" t="n">
        <v>0.666666666666667</v>
      </c>
      <c r="D60" s="20" t="n">
        <v>9878.036</v>
      </c>
      <c r="E60" s="20" t="n">
        <v>3623.815</v>
      </c>
      <c r="F60" s="20" t="n">
        <v>10951.666</v>
      </c>
      <c r="G60" s="18" t="n">
        <f aca="false">HOUR(C60)*60+MINUTE(C60)</f>
        <v>960</v>
      </c>
      <c r="H60" s="21" t="n">
        <f aca="false">IF(AND(B60=B59,A60=A59,D60&gt;0,N(D59)&gt;0,G60&gt;N(G59)),(D60-D59)/((G60-G59)/60),"")</f>
        <v>0.620000000002619</v>
      </c>
      <c r="I60" s="18" t="str">
        <f aca="false">IFERROR(INDEX(Medidores!$B:$B,MATCH(B60,Medidores!$A:$A,0)),"")</f>
        <v>L21</v>
      </c>
    </row>
    <row r="61" customFormat="false" ht="15" hidden="false" customHeight="false" outlineLevel="0" collapsed="false">
      <c r="A61" s="17" t="n">
        <v>46302</v>
      </c>
      <c r="B61" s="18" t="s">
        <v>31</v>
      </c>
      <c r="C61" s="19" t="n">
        <v>0.677083333333333</v>
      </c>
      <c r="D61" s="20" t="n">
        <v>9878.192</v>
      </c>
      <c r="E61" s="20" t="n">
        <v>3623.815</v>
      </c>
      <c r="F61" s="20" t="n">
        <v>10951.825</v>
      </c>
      <c r="G61" s="18" t="n">
        <f aca="false">HOUR(C61)*60+MINUTE(C61)</f>
        <v>975</v>
      </c>
      <c r="H61" s="21" t="n">
        <f aca="false">IF(AND(B61=B60,A61=A60,D61&gt;0,N(D60)&gt;0,G61&gt;N(G60)),(D61-D60)/((G61-G60)/60),"")</f>
        <v>0.623999999996158</v>
      </c>
      <c r="I61" s="18" t="str">
        <f aca="false">IFERROR(INDEX(Medidores!$B:$B,MATCH(B61,Medidores!$A:$A,0)),"")</f>
        <v>L21</v>
      </c>
    </row>
    <row r="62" customFormat="false" ht="15" hidden="false" customHeight="false" outlineLevel="0" collapsed="false">
      <c r="A62" s="17" t="n">
        <v>46302</v>
      </c>
      <c r="B62" s="18" t="s">
        <v>32</v>
      </c>
      <c r="C62" s="19" t="n">
        <v>0.260416666666667</v>
      </c>
      <c r="D62" s="20" t="n">
        <v>10454.288</v>
      </c>
      <c r="E62" s="20" t="n">
        <v>4885.767</v>
      </c>
      <c r="F62" s="20" t="n">
        <v>11719.125</v>
      </c>
      <c r="G62" s="18" t="n">
        <f aca="false">HOUR(C62)*60+MINUTE(C62)</f>
        <v>375</v>
      </c>
      <c r="H62" s="21" t="str">
        <f aca="false">IF(AND(B62=B61,A62=A61,D62&gt;0,N(D61)&gt;0,G62&gt;N(G61)),(D62-D61)/((G62-G61)/60),"")</f>
        <v/>
      </c>
      <c r="I62" s="18" t="str">
        <f aca="false">IFERROR(INDEX(Medidores!$B:$B,MATCH(B62,Medidores!$A:$A,0)),"")</f>
        <v>L14</v>
      </c>
    </row>
    <row r="63" customFormat="false" ht="15" hidden="false" customHeight="false" outlineLevel="0" collapsed="false">
      <c r="A63" s="17" t="n">
        <v>46302</v>
      </c>
      <c r="B63" s="18" t="s">
        <v>32</v>
      </c>
      <c r="C63" s="19" t="n">
        <v>0.270833333333333</v>
      </c>
      <c r="D63" s="20" t="n">
        <v>10454.704</v>
      </c>
      <c r="E63" s="20" t="n">
        <v>4885.915</v>
      </c>
      <c r="F63" s="20" t="n">
        <v>11719.573</v>
      </c>
      <c r="G63" s="18" t="n">
        <f aca="false">HOUR(C63)*60+MINUTE(C63)</f>
        <v>390</v>
      </c>
      <c r="H63" s="21" t="n">
        <f aca="false">IF(AND(B63=B62,A63=A62,D63&gt;0,N(D62)&gt;0,G63&gt;N(G62)),(D63-D62)/((G63-G62)/60),"")</f>
        <v>1.66399999999703</v>
      </c>
      <c r="I63" s="18" t="str">
        <f aca="false">IFERROR(INDEX(Medidores!$B:$B,MATCH(B63,Medidores!$A:$A,0)),"")</f>
        <v>L14</v>
      </c>
    </row>
    <row r="64" customFormat="false" ht="15" hidden="false" customHeight="false" outlineLevel="0" collapsed="false">
      <c r="A64" s="17" t="n">
        <v>46302</v>
      </c>
      <c r="B64" s="18" t="s">
        <v>32</v>
      </c>
      <c r="C64" s="19" t="n">
        <v>0.28125</v>
      </c>
      <c r="D64" s="20" t="n">
        <v>10455.12</v>
      </c>
      <c r="E64" s="20" t="n">
        <v>4886.056</v>
      </c>
      <c r="F64" s="20" t="n">
        <v>11720.02</v>
      </c>
      <c r="G64" s="18" t="n">
        <f aca="false">HOUR(C64)*60+MINUTE(C64)</f>
        <v>405</v>
      </c>
      <c r="H64" s="21" t="n">
        <f aca="false">IF(AND(B64=B63,A64=A63,D64&gt;0,N(D63)&gt;0,G64&gt;N(G63)),(D64-D63)/((G64-G63)/60),"")</f>
        <v>1.66400000000431</v>
      </c>
      <c r="I64" s="18" t="str">
        <f aca="false">IFERROR(INDEX(Medidores!$B:$B,MATCH(B64,Medidores!$A:$A,0)),"")</f>
        <v>L14</v>
      </c>
    </row>
    <row r="65" customFormat="false" ht="15" hidden="false" customHeight="false" outlineLevel="0" collapsed="false">
      <c r="A65" s="17" t="n">
        <v>46302</v>
      </c>
      <c r="B65" s="18" t="s">
        <v>32</v>
      </c>
      <c r="C65" s="19" t="n">
        <v>0.291666666666667</v>
      </c>
      <c r="D65" s="20" t="n">
        <v>10455.566</v>
      </c>
      <c r="E65" s="20" t="n">
        <v>4886.249</v>
      </c>
      <c r="F65" s="20" t="n">
        <v>11720.514</v>
      </c>
      <c r="G65" s="18" t="n">
        <f aca="false">HOUR(C65)*60+MINUTE(C65)</f>
        <v>420</v>
      </c>
      <c r="H65" s="21" t="n">
        <f aca="false">IF(AND(B65=B64,A65=A64,D65&gt;0,N(D64)&gt;0,G65&gt;N(G64)),(D65-D64)/((G65-G64)/60),"")</f>
        <v>1.78399999999965</v>
      </c>
      <c r="I65" s="18" t="str">
        <f aca="false">IFERROR(INDEX(Medidores!$B:$B,MATCH(B65,Medidores!$A:$A,0)),"")</f>
        <v>L14</v>
      </c>
    </row>
    <row r="66" customFormat="false" ht="15" hidden="false" customHeight="false" outlineLevel="0" collapsed="false">
      <c r="A66" s="17" t="n">
        <v>46302</v>
      </c>
      <c r="B66" s="18" t="s">
        <v>32</v>
      </c>
      <c r="C66" s="19" t="n">
        <v>0.302083333333333</v>
      </c>
      <c r="D66" s="20" t="n">
        <v>10456.553</v>
      </c>
      <c r="E66" s="20" t="n">
        <v>4886.762</v>
      </c>
      <c r="F66" s="20" t="n">
        <v>11721.629</v>
      </c>
      <c r="G66" s="18" t="n">
        <f aca="false">HOUR(C66)*60+MINUTE(C66)</f>
        <v>435</v>
      </c>
      <c r="H66" s="21" t="n">
        <f aca="false">IF(AND(B66=B65,A66=A65,D66&gt;0,N(D65)&gt;0,G66&gt;N(G65)),(D66-D65)/((G66-G65)/60),"")</f>
        <v>3.94799999999668</v>
      </c>
      <c r="I66" s="18" t="str">
        <f aca="false">IFERROR(INDEX(Medidores!$B:$B,MATCH(B66,Medidores!$A:$A,0)),"")</f>
        <v>L14</v>
      </c>
    </row>
    <row r="67" customFormat="false" ht="15" hidden="false" customHeight="false" outlineLevel="0" collapsed="false">
      <c r="A67" s="17" t="n">
        <v>46302</v>
      </c>
      <c r="B67" s="18" t="s">
        <v>32</v>
      </c>
      <c r="C67" s="19" t="n">
        <v>0.3125</v>
      </c>
      <c r="D67" s="20" t="n">
        <v>10457.413</v>
      </c>
      <c r="E67" s="20" t="n">
        <v>4887.248</v>
      </c>
      <c r="F67" s="20" t="n">
        <v>11722.619</v>
      </c>
      <c r="G67" s="18" t="n">
        <f aca="false">HOUR(C67)*60+MINUTE(C67)</f>
        <v>450</v>
      </c>
      <c r="H67" s="21" t="n">
        <f aca="false">IF(AND(B67=B66,A67=A66,D67&gt;0,N(D66)&gt;0,G67&gt;N(G66)),(D67-D66)/((G67-G66)/60),"")</f>
        <v>3.44000000000233</v>
      </c>
      <c r="I67" s="18" t="str">
        <f aca="false">IFERROR(INDEX(Medidores!$B:$B,MATCH(B67,Medidores!$A:$A,0)),"")</f>
        <v>L14</v>
      </c>
    </row>
    <row r="68" customFormat="false" ht="15" hidden="false" customHeight="false" outlineLevel="0" collapsed="false">
      <c r="A68" s="17" t="n">
        <v>46302</v>
      </c>
      <c r="B68" s="18" t="s">
        <v>32</v>
      </c>
      <c r="C68" s="19" t="n">
        <v>0.322916666666667</v>
      </c>
      <c r="D68" s="20" t="n">
        <v>10458.349</v>
      </c>
      <c r="E68" s="20" t="n">
        <v>4887.75</v>
      </c>
      <c r="F68" s="20" t="n">
        <v>11723.684</v>
      </c>
      <c r="G68" s="18" t="n">
        <f aca="false">HOUR(C68)*60+MINUTE(C68)</f>
        <v>465</v>
      </c>
      <c r="H68" s="21" t="n">
        <f aca="false">IF(AND(B68=B67,A68=A67,D68&gt;0,N(D67)&gt;0,G68&gt;N(G67)),(D68-D67)/((G68-G67)/60),"")</f>
        <v>3.74399999999878</v>
      </c>
      <c r="I68" s="18" t="str">
        <f aca="false">IFERROR(INDEX(Medidores!$B:$B,MATCH(B68,Medidores!$A:$A,0)),"")</f>
        <v>L14</v>
      </c>
    </row>
    <row r="69" customFormat="false" ht="15" hidden="false" customHeight="false" outlineLevel="0" collapsed="false">
      <c r="A69" s="17" t="n">
        <v>46302</v>
      </c>
      <c r="B69" s="18" t="s">
        <v>32</v>
      </c>
      <c r="C69" s="19" t="n">
        <v>0.333333333333333</v>
      </c>
      <c r="D69" s="20" t="n">
        <v>10459.325</v>
      </c>
      <c r="E69" s="20" t="n">
        <v>4888.286</v>
      </c>
      <c r="F69" s="20" t="n">
        <v>11724.798</v>
      </c>
      <c r="G69" s="18" t="n">
        <f aca="false">HOUR(C69)*60+MINUTE(C69)</f>
        <v>480</v>
      </c>
      <c r="H69" s="21" t="n">
        <f aca="false">IF(AND(B69=B68,A69=A68,D69&gt;0,N(D68)&gt;0,G69&gt;N(G68)),(D69-D68)/((G69-G68)/60),"")</f>
        <v>3.90400000000227</v>
      </c>
      <c r="I69" s="18" t="str">
        <f aca="false">IFERROR(INDEX(Medidores!$B:$B,MATCH(B69,Medidores!$A:$A,0)),"")</f>
        <v>L14</v>
      </c>
    </row>
    <row r="70" customFormat="false" ht="15" hidden="false" customHeight="false" outlineLevel="0" collapsed="false">
      <c r="A70" s="17" t="n">
        <v>46302</v>
      </c>
      <c r="B70" s="18" t="s">
        <v>32</v>
      </c>
      <c r="C70" s="19" t="n">
        <v>0.34375</v>
      </c>
      <c r="D70" s="20" t="n">
        <v>10460.272</v>
      </c>
      <c r="E70" s="20" t="n">
        <v>4888.797</v>
      </c>
      <c r="F70" s="20" t="n">
        <v>11725.875</v>
      </c>
      <c r="G70" s="18" t="n">
        <f aca="false">HOUR(C70)*60+MINUTE(C70)</f>
        <v>495</v>
      </c>
      <c r="H70" s="21" t="n">
        <f aca="false">IF(AND(B70=B69,A70=A69,D70&gt;0,N(D69)&gt;0,G70&gt;N(G69)),(D70-D69)/((G70-G69)/60),"")</f>
        <v>3.78800000000047</v>
      </c>
      <c r="I70" s="18" t="str">
        <f aca="false">IFERROR(INDEX(Medidores!$B:$B,MATCH(B70,Medidores!$A:$A,0)),"")</f>
        <v>L14</v>
      </c>
    </row>
    <row r="71" customFormat="false" ht="15" hidden="false" customHeight="false" outlineLevel="0" collapsed="false">
      <c r="A71" s="17" t="n">
        <v>46302</v>
      </c>
      <c r="B71" s="18" t="s">
        <v>32</v>
      </c>
      <c r="C71" s="19" t="n">
        <v>0.354166666666667</v>
      </c>
      <c r="D71" s="20" t="n">
        <v>10461.246</v>
      </c>
      <c r="E71" s="20" t="n">
        <v>4889.328</v>
      </c>
      <c r="F71" s="20" t="n">
        <v>11726.986</v>
      </c>
      <c r="G71" s="18" t="n">
        <f aca="false">HOUR(C71)*60+MINUTE(C71)</f>
        <v>510</v>
      </c>
      <c r="H71" s="21" t="n">
        <f aca="false">IF(AND(B71=B70,A71=A70,D71&gt;0,N(D70)&gt;0,G71&gt;N(G70)),(D71-D70)/((G71-G70)/60),"")</f>
        <v>3.89599999999336</v>
      </c>
      <c r="I71" s="18" t="str">
        <f aca="false">IFERROR(INDEX(Medidores!$B:$B,MATCH(B71,Medidores!$A:$A,0)),"")</f>
        <v>L14</v>
      </c>
    </row>
    <row r="72" customFormat="false" ht="15" hidden="false" customHeight="false" outlineLevel="0" collapsed="false">
      <c r="A72" s="17" t="n">
        <v>46302</v>
      </c>
      <c r="B72" s="18" t="s">
        <v>32</v>
      </c>
      <c r="C72" s="19" t="n">
        <v>0.364583333333333</v>
      </c>
      <c r="D72" s="20" t="n">
        <v>10462.072</v>
      </c>
      <c r="E72" s="20" t="n">
        <v>4889.793</v>
      </c>
      <c r="F72" s="20" t="n">
        <v>11727.935</v>
      </c>
      <c r="G72" s="18" t="n">
        <f aca="false">HOUR(C72)*60+MINUTE(C72)</f>
        <v>525</v>
      </c>
      <c r="H72" s="21" t="n">
        <f aca="false">IF(AND(B72=B71,A72=A71,D72&gt;0,N(D71)&gt;0,G72&gt;N(G71)),(D72-D71)/((G72-G71)/60),"")</f>
        <v>3.30400000000373</v>
      </c>
      <c r="I72" s="18" t="str">
        <f aca="false">IFERROR(INDEX(Medidores!$B:$B,MATCH(B72,Medidores!$A:$A,0)),"")</f>
        <v>L14</v>
      </c>
    </row>
    <row r="73" customFormat="false" ht="15" hidden="false" customHeight="false" outlineLevel="0" collapsed="false">
      <c r="A73" s="17" t="n">
        <v>46302</v>
      </c>
      <c r="B73" s="18" t="s">
        <v>32</v>
      </c>
      <c r="C73" s="19" t="n">
        <v>0.375</v>
      </c>
      <c r="D73" s="20" t="n">
        <v>10462.995</v>
      </c>
      <c r="E73" s="20" t="n">
        <v>4890.293</v>
      </c>
      <c r="F73" s="20" t="n">
        <v>11728.988</v>
      </c>
      <c r="G73" s="18" t="n">
        <f aca="false">HOUR(C73)*60+MINUTE(C73)</f>
        <v>540</v>
      </c>
      <c r="H73" s="21" t="n">
        <f aca="false">IF(AND(B73=B72,A73=A72,D73&gt;0,N(D72)&gt;0,G73&gt;N(G72)),(D73-D72)/((G73-G72)/60),"")</f>
        <v>3.69200000000274</v>
      </c>
      <c r="I73" s="18" t="str">
        <f aca="false">IFERROR(INDEX(Medidores!$B:$B,MATCH(B73,Medidores!$A:$A,0)),"")</f>
        <v>L14</v>
      </c>
    </row>
    <row r="74" customFormat="false" ht="15" hidden="false" customHeight="false" outlineLevel="0" collapsed="false">
      <c r="A74" s="17" t="n">
        <v>46302</v>
      </c>
      <c r="B74" s="18" t="s">
        <v>32</v>
      </c>
      <c r="C74" s="19" t="n">
        <v>0.385416666666667</v>
      </c>
      <c r="D74" s="20" t="n">
        <v>10463.809</v>
      </c>
      <c r="E74" s="20" t="n">
        <v>4890.762</v>
      </c>
      <c r="F74" s="20" t="n">
        <v>11729.931</v>
      </c>
      <c r="G74" s="18" t="n">
        <f aca="false">HOUR(C74)*60+MINUTE(C74)</f>
        <v>555</v>
      </c>
      <c r="H74" s="21" t="n">
        <f aca="false">IF(AND(B74=B73,A74=A73,D74&gt;0,N(D73)&gt;0,G74&gt;N(G73)),(D74-D73)/((G74-G73)/60),"")</f>
        <v>3.25599999999395</v>
      </c>
      <c r="I74" s="18" t="str">
        <f aca="false">IFERROR(INDEX(Medidores!$B:$B,MATCH(B74,Medidores!$A:$A,0)),"")</f>
        <v>L14</v>
      </c>
    </row>
    <row r="75" customFormat="false" ht="15" hidden="false" customHeight="false" outlineLevel="0" collapsed="false">
      <c r="A75" s="17" t="n">
        <v>46302</v>
      </c>
      <c r="B75" s="18" t="s">
        <v>32</v>
      </c>
      <c r="C75" s="19" t="n">
        <v>0.395833333333333</v>
      </c>
      <c r="D75" s="20" t="n">
        <v>10464.531</v>
      </c>
      <c r="E75" s="20" t="n">
        <v>4891.191</v>
      </c>
      <c r="F75" s="20" t="n">
        <v>11730.773</v>
      </c>
      <c r="G75" s="18" t="n">
        <f aca="false">HOUR(C75)*60+MINUTE(C75)</f>
        <v>570</v>
      </c>
      <c r="H75" s="21" t="n">
        <f aca="false">IF(AND(B75=B74,A75=A74,D75&gt;0,N(D74)&gt;0,G75&gt;N(G74)),(D75-D74)/((G75-G74)/60),"")</f>
        <v>2.88800000000629</v>
      </c>
      <c r="I75" s="18" t="str">
        <f aca="false">IFERROR(INDEX(Medidores!$B:$B,MATCH(B75,Medidores!$A:$A,0)),"")</f>
        <v>L14</v>
      </c>
    </row>
    <row r="76" customFormat="false" ht="15" hidden="false" customHeight="false" outlineLevel="0" collapsed="false">
      <c r="A76" s="17" t="n">
        <v>46302</v>
      </c>
      <c r="B76" s="18" t="s">
        <v>32</v>
      </c>
      <c r="C76" s="19" t="n">
        <v>0.40625</v>
      </c>
      <c r="D76" s="20" t="n">
        <v>10465.328</v>
      </c>
      <c r="E76" s="20" t="n">
        <v>4891.657</v>
      </c>
      <c r="F76" s="20" t="n">
        <v>11731.699</v>
      </c>
      <c r="G76" s="18" t="n">
        <f aca="false">HOUR(C76)*60+MINUTE(C76)</f>
        <v>585</v>
      </c>
      <c r="H76" s="21" t="n">
        <f aca="false">IF(AND(B76=B75,A76=A75,D76&gt;0,N(D75)&gt;0,G76&gt;N(G75)),(D76-D75)/((G76-G75)/60),"")</f>
        <v>3.18799999999465</v>
      </c>
      <c r="I76" s="18" t="str">
        <f aca="false">IFERROR(INDEX(Medidores!$B:$B,MATCH(B76,Medidores!$A:$A,0)),"")</f>
        <v>L14</v>
      </c>
    </row>
    <row r="77" customFormat="false" ht="15" hidden="false" customHeight="false" outlineLevel="0" collapsed="false">
      <c r="A77" s="17" t="n">
        <v>46302</v>
      </c>
      <c r="B77" s="18" t="s">
        <v>32</v>
      </c>
      <c r="C77" s="19" t="n">
        <v>0.416666666666667</v>
      </c>
      <c r="D77" s="20" t="n">
        <v>10466.288</v>
      </c>
      <c r="E77" s="20" t="n">
        <v>4892.169</v>
      </c>
      <c r="F77" s="20" t="n">
        <v>11732.788</v>
      </c>
      <c r="G77" s="18" t="n">
        <f aca="false">HOUR(C77)*60+MINUTE(C77)</f>
        <v>600</v>
      </c>
      <c r="H77" s="21" t="n">
        <f aca="false">IF(AND(B77=B76,A77=A76,D77&gt;0,N(D76)&gt;0,G77&gt;N(G76)),(D77-D76)/((G77-G76)/60),"")</f>
        <v>3.84000000000378</v>
      </c>
      <c r="I77" s="18" t="str">
        <f aca="false">IFERROR(INDEX(Medidores!$B:$B,MATCH(B77,Medidores!$A:$A,0)),"")</f>
        <v>L14</v>
      </c>
    </row>
    <row r="78" customFormat="false" ht="15" hidden="false" customHeight="false" outlineLevel="0" collapsed="false">
      <c r="A78" s="17" t="n">
        <v>46302</v>
      </c>
      <c r="B78" s="18" t="s">
        <v>32</v>
      </c>
      <c r="C78" s="19" t="n">
        <v>0.427083333333333</v>
      </c>
      <c r="D78" s="20" t="n">
        <v>10467.175</v>
      </c>
      <c r="E78" s="20" t="n">
        <v>4892.66</v>
      </c>
      <c r="F78" s="20" t="n">
        <v>11733.804</v>
      </c>
      <c r="G78" s="18" t="n">
        <f aca="false">HOUR(C78)*60+MINUTE(C78)</f>
        <v>615</v>
      </c>
      <c r="H78" s="21" t="n">
        <f aca="false">IF(AND(B78=B77,A78=A77,D78&gt;0,N(D77)&gt;0,G78&gt;N(G77)),(D78-D77)/((G78-G77)/60),"")</f>
        <v>3.54799999999523</v>
      </c>
      <c r="I78" s="18" t="str">
        <f aca="false">IFERROR(INDEX(Medidores!$B:$B,MATCH(B78,Medidores!$A:$A,0)),"")</f>
        <v>L14</v>
      </c>
    </row>
    <row r="79" customFormat="false" ht="15" hidden="false" customHeight="false" outlineLevel="0" collapsed="false">
      <c r="A79" s="17" t="n">
        <v>46302</v>
      </c>
      <c r="B79" s="18" t="s">
        <v>32</v>
      </c>
      <c r="C79" s="19" t="n">
        <v>0.4375</v>
      </c>
      <c r="D79" s="20" t="n">
        <v>10468.064</v>
      </c>
      <c r="E79" s="20" t="n">
        <v>4893.147</v>
      </c>
      <c r="F79" s="20" t="n">
        <v>11734.819</v>
      </c>
      <c r="G79" s="18" t="n">
        <f aca="false">HOUR(C79)*60+MINUTE(C79)</f>
        <v>630</v>
      </c>
      <c r="H79" s="21" t="n">
        <f aca="false">IF(AND(B79=B78,A79=A78,D79&gt;0,N(D78)&gt;0,G79&gt;N(G78)),(D79-D78)/((G79-G78)/60),"")</f>
        <v>3.55600000000413</v>
      </c>
      <c r="I79" s="18" t="str">
        <f aca="false">IFERROR(INDEX(Medidores!$B:$B,MATCH(B79,Medidores!$A:$A,0)),"")</f>
        <v>L14</v>
      </c>
    </row>
    <row r="80" customFormat="false" ht="15" hidden="false" customHeight="false" outlineLevel="0" collapsed="false">
      <c r="A80" s="17" t="n">
        <v>46302</v>
      </c>
      <c r="B80" s="18" t="s">
        <v>32</v>
      </c>
      <c r="C80" s="19" t="n">
        <v>0.447916666666667</v>
      </c>
      <c r="D80" s="20" t="n">
        <v>10468.81</v>
      </c>
      <c r="E80" s="20" t="n">
        <v>4893.495</v>
      </c>
      <c r="F80" s="20" t="n">
        <v>11735.652</v>
      </c>
      <c r="G80" s="18" t="n">
        <f aca="false">HOUR(C80)*60+MINUTE(C80)</f>
        <v>645</v>
      </c>
      <c r="H80" s="21" t="n">
        <f aca="false">IF(AND(B80=B79,A80=A79,D80&gt;0,N(D79)&gt;0,G80&gt;N(G79)),(D80-D79)/((G80-G79)/60),"")</f>
        <v>2.98399999999674</v>
      </c>
      <c r="I80" s="18" t="str">
        <f aca="false">IFERROR(INDEX(Medidores!$B:$B,MATCH(B80,Medidores!$A:$A,0)),"")</f>
        <v>L14</v>
      </c>
    </row>
    <row r="81" customFormat="false" ht="15" hidden="false" customHeight="false" outlineLevel="0" collapsed="false">
      <c r="A81" s="17" t="n">
        <v>46302</v>
      </c>
      <c r="B81" s="18" t="s">
        <v>32</v>
      </c>
      <c r="C81" s="19" t="n">
        <v>0.458333333333333</v>
      </c>
      <c r="D81" s="20" t="n">
        <v>10469.273</v>
      </c>
      <c r="E81" s="20" t="n">
        <v>4893.623</v>
      </c>
      <c r="F81" s="20" t="n">
        <v>11736.136</v>
      </c>
      <c r="G81" s="18" t="n">
        <f aca="false">HOUR(C81)*60+MINUTE(C81)</f>
        <v>660</v>
      </c>
      <c r="H81" s="21" t="n">
        <f aca="false">IF(AND(B81=B80,A81=A80,D81&gt;0,N(D80)&gt;0,G81&gt;N(G80)),(D81-D80)/((G81-G80)/60),"")</f>
        <v>1.85199999999895</v>
      </c>
      <c r="I81" s="18" t="str">
        <f aca="false">IFERROR(INDEX(Medidores!$B:$B,MATCH(B81,Medidores!$A:$A,0)),"")</f>
        <v>L14</v>
      </c>
    </row>
    <row r="82" customFormat="false" ht="15" hidden="false" customHeight="false" outlineLevel="0" collapsed="false">
      <c r="A82" s="17" t="n">
        <v>46302</v>
      </c>
      <c r="B82" s="18" t="s">
        <v>33</v>
      </c>
      <c r="C82" s="19" t="n">
        <v>0.510416666666667</v>
      </c>
      <c r="D82" s="20" t="n">
        <v>13520.754</v>
      </c>
      <c r="E82" s="20" t="n">
        <v>10907.94</v>
      </c>
      <c r="F82" s="20" t="n">
        <v>17620.676</v>
      </c>
      <c r="G82" s="18" t="n">
        <f aca="false">HOUR(C82)*60+MINUTE(C82)</f>
        <v>735</v>
      </c>
      <c r="H82" s="21" t="str">
        <f aca="false">IF(AND(B82=B81,A82=A81,D82&gt;0,N(D81)&gt;0,G82&gt;N(G81)),(D82-D81)/((G82-G81)/60),"")</f>
        <v/>
      </c>
      <c r="I82" s="18" t="str">
        <f aca="false">IFERROR(INDEX(Medidores!$B:$B,MATCH(B82,Medidores!$A:$A,0)),"")</f>
        <v>L20</v>
      </c>
    </row>
    <row r="83" customFormat="false" ht="15" hidden="false" customHeight="false" outlineLevel="0" collapsed="false">
      <c r="A83" s="17" t="n">
        <v>46302</v>
      </c>
      <c r="B83" s="18" t="s">
        <v>33</v>
      </c>
      <c r="C83" s="19" t="n">
        <v>0.520833333333333</v>
      </c>
      <c r="D83" s="20" t="n">
        <v>13521.147</v>
      </c>
      <c r="E83" s="20" t="n">
        <v>10908.319</v>
      </c>
      <c r="F83" s="20" t="n">
        <v>17621.225</v>
      </c>
      <c r="G83" s="18" t="n">
        <f aca="false">HOUR(C83)*60+MINUTE(C83)</f>
        <v>750</v>
      </c>
      <c r="H83" s="21" t="n">
        <f aca="false">IF(AND(B83=B82,A83=A82,D83&gt;0,N(D82)&gt;0,G83&gt;N(G82)),(D83-D82)/((G83-G82)/60),"")</f>
        <v>1.57200000000012</v>
      </c>
      <c r="I83" s="18" t="str">
        <f aca="false">IFERROR(INDEX(Medidores!$B:$B,MATCH(B83,Medidores!$A:$A,0)),"")</f>
        <v>L20</v>
      </c>
    </row>
    <row r="84" customFormat="false" ht="15" hidden="false" customHeight="false" outlineLevel="0" collapsed="false">
      <c r="A84" s="17" t="n">
        <v>46302</v>
      </c>
      <c r="B84" s="18" t="s">
        <v>33</v>
      </c>
      <c r="C84" s="19" t="n">
        <v>0.53125</v>
      </c>
      <c r="D84" s="20" t="n">
        <v>13521.497</v>
      </c>
      <c r="E84" s="20" t="n">
        <v>10908.548</v>
      </c>
      <c r="F84" s="20" t="n">
        <v>17621.652</v>
      </c>
      <c r="G84" s="18" t="n">
        <f aca="false">HOUR(C84)*60+MINUTE(C84)</f>
        <v>765</v>
      </c>
      <c r="H84" s="21" t="n">
        <f aca="false">IF(AND(B84=B83,A84=A83,D84&gt;0,N(D83)&gt;0,G84&gt;N(G83)),(D84-D83)/((G84-G83)/60),"")</f>
        <v>1.39999999999418</v>
      </c>
      <c r="I84" s="18" t="str">
        <f aca="false">IFERROR(INDEX(Medidores!$B:$B,MATCH(B84,Medidores!$A:$A,0)),"")</f>
        <v>L20</v>
      </c>
    </row>
    <row r="85" customFormat="false" ht="15" hidden="false" customHeight="false" outlineLevel="0" collapsed="false">
      <c r="A85" s="17" t="n">
        <v>46302</v>
      </c>
      <c r="B85" s="18" t="s">
        <v>33</v>
      </c>
      <c r="C85" s="19" t="n">
        <v>0.541666666666667</v>
      </c>
      <c r="D85" s="20" t="n">
        <v>13521.921</v>
      </c>
      <c r="E85" s="20" t="n">
        <v>10908.843</v>
      </c>
      <c r="F85" s="20" t="n">
        <v>17622.176</v>
      </c>
      <c r="G85" s="18" t="n">
        <f aca="false">HOUR(C85)*60+MINUTE(C85)</f>
        <v>780</v>
      </c>
      <c r="H85" s="21" t="n">
        <f aca="false">IF(AND(B85=B84,A85=A84,D85&gt;0,N(D84)&gt;0,G85&gt;N(G84)),(D85-D84)/((G85-G84)/60),"")</f>
        <v>1.69600000000355</v>
      </c>
      <c r="I85" s="18" t="str">
        <f aca="false">IFERROR(INDEX(Medidores!$B:$B,MATCH(B85,Medidores!$A:$A,0)),"")</f>
        <v>L20</v>
      </c>
    </row>
    <row r="86" customFormat="false" ht="15" hidden="false" customHeight="false" outlineLevel="0" collapsed="false">
      <c r="A86" s="17" t="n">
        <v>46302</v>
      </c>
      <c r="B86" s="18" t="s">
        <v>33</v>
      </c>
      <c r="C86" s="19" t="n">
        <v>0.552083333333333</v>
      </c>
      <c r="D86" s="20" t="n">
        <v>13522.454</v>
      </c>
      <c r="E86" s="20" t="n">
        <v>10909.31</v>
      </c>
      <c r="F86" s="20" t="n">
        <v>17622.889</v>
      </c>
      <c r="G86" s="18" t="n">
        <f aca="false">HOUR(C86)*60+MINUTE(C86)</f>
        <v>795</v>
      </c>
      <c r="H86" s="21" t="n">
        <f aca="false">IF(AND(B86=B85,A86=A85,D86&gt;0,N(D85)&gt;0,G86&gt;N(G85)),(D86-D85)/((G86-G85)/60),"")</f>
        <v>2.13199999999779</v>
      </c>
      <c r="I86" s="18" t="str">
        <f aca="false">IFERROR(INDEX(Medidores!$B:$B,MATCH(B86,Medidores!$A:$A,0)),"")</f>
        <v>L20</v>
      </c>
    </row>
    <row r="87" customFormat="false" ht="15" hidden="false" customHeight="false" outlineLevel="0" collapsed="false">
      <c r="A87" s="17" t="n">
        <v>46302</v>
      </c>
      <c r="B87" s="18" t="s">
        <v>33</v>
      </c>
      <c r="C87" s="19" t="n">
        <v>0.5625</v>
      </c>
      <c r="D87" s="20" t="n">
        <v>13522.935</v>
      </c>
      <c r="E87" s="20" t="n">
        <v>10909.783</v>
      </c>
      <c r="F87" s="20" t="n">
        <v>17623.565</v>
      </c>
      <c r="G87" s="18" t="n">
        <f aca="false">HOUR(C87)*60+MINUTE(C87)</f>
        <v>810</v>
      </c>
      <c r="H87" s="21" t="n">
        <f aca="false">IF(AND(B87=B86,A87=A86,D87&gt;0,N(D86)&gt;0,G87&gt;N(G86)),(D87-D86)/((G87-G86)/60),"")</f>
        <v>1.92399999999907</v>
      </c>
      <c r="I87" s="18" t="str">
        <f aca="false">IFERROR(INDEX(Medidores!$B:$B,MATCH(B87,Medidores!$A:$A,0)),"")</f>
        <v>L20</v>
      </c>
    </row>
    <row r="88" customFormat="false" ht="15" hidden="false" customHeight="false" outlineLevel="0" collapsed="false">
      <c r="A88" s="17" t="n">
        <v>46302</v>
      </c>
      <c r="B88" s="18" t="s">
        <v>33</v>
      </c>
      <c r="C88" s="19" t="n">
        <v>0.572916666666667</v>
      </c>
      <c r="D88" s="20" t="n">
        <v>13523.397</v>
      </c>
      <c r="E88" s="20" t="n">
        <v>10910.186</v>
      </c>
      <c r="F88" s="20" t="n">
        <v>17624.184</v>
      </c>
      <c r="G88" s="18" t="n">
        <f aca="false">HOUR(C88)*60+MINUTE(C88)</f>
        <v>825</v>
      </c>
      <c r="H88" s="21" t="n">
        <f aca="false">IF(AND(B88=B87,A88=A87,D88&gt;0,N(D87)&gt;0,G88&gt;N(G87)),(D88-D87)/((G88-G87)/60),"")</f>
        <v>1.84800000000541</v>
      </c>
      <c r="I88" s="18" t="str">
        <f aca="false">IFERROR(INDEX(Medidores!$B:$B,MATCH(B88,Medidores!$A:$A,0)),"")</f>
        <v>L20</v>
      </c>
    </row>
    <row r="89" customFormat="false" ht="15" hidden="false" customHeight="false" outlineLevel="0" collapsed="false">
      <c r="A89" s="17" t="n">
        <v>46302</v>
      </c>
      <c r="B89" s="18" t="s">
        <v>33</v>
      </c>
      <c r="C89" s="19" t="n">
        <v>0.583333333333333</v>
      </c>
      <c r="D89" s="20" t="n">
        <v>13523.849</v>
      </c>
      <c r="E89" s="20" t="n">
        <v>10910.522</v>
      </c>
      <c r="F89" s="20" t="n">
        <v>17624.752</v>
      </c>
      <c r="G89" s="18" t="n">
        <f aca="false">HOUR(C89)*60+MINUTE(C89)</f>
        <v>840</v>
      </c>
      <c r="H89" s="21" t="n">
        <f aca="false">IF(AND(B89=B88,A89=A88,D89&gt;0,N(D88)&gt;0,G89&gt;N(G88)),(D89-D88)/((G89-G88)/60),"")</f>
        <v>1.80799999999726</v>
      </c>
      <c r="I89" s="18" t="str">
        <f aca="false">IFERROR(INDEX(Medidores!$B:$B,MATCH(B89,Medidores!$A:$A,0)),"")</f>
        <v>L20</v>
      </c>
    </row>
    <row r="90" customFormat="false" ht="15" hidden="false" customHeight="false" outlineLevel="0" collapsed="false">
      <c r="A90" s="17" t="n">
        <v>46302</v>
      </c>
      <c r="B90" s="18" t="s">
        <v>33</v>
      </c>
      <c r="C90" s="19" t="n">
        <v>0.59375</v>
      </c>
      <c r="D90" s="20" t="n">
        <v>13524.398</v>
      </c>
      <c r="E90" s="20" t="n">
        <v>10910.886</v>
      </c>
      <c r="F90" s="20" t="n">
        <v>17625.412</v>
      </c>
      <c r="G90" s="18" t="n">
        <f aca="false">HOUR(C90)*60+MINUTE(C90)</f>
        <v>855</v>
      </c>
      <c r="H90" s="21" t="n">
        <f aca="false">IF(AND(B90=B89,A90=A89,D90&gt;0,N(D89)&gt;0,G90&gt;N(G89)),(D90-D89)/((G90-G89)/60),"")</f>
        <v>2.19599999999627</v>
      </c>
      <c r="I90" s="18" t="str">
        <f aca="false">IFERROR(INDEX(Medidores!$B:$B,MATCH(B90,Medidores!$A:$A,0)),"")</f>
        <v>L20</v>
      </c>
    </row>
    <row r="91" customFormat="false" ht="15" hidden="false" customHeight="false" outlineLevel="0" collapsed="false">
      <c r="A91" s="17" t="n">
        <v>46302</v>
      </c>
      <c r="B91" s="18" t="s">
        <v>33</v>
      </c>
      <c r="C91" s="19" t="n">
        <v>0.604166666666667</v>
      </c>
      <c r="D91" s="20" t="n">
        <v>13524.923</v>
      </c>
      <c r="E91" s="20" t="n">
        <v>10911.224</v>
      </c>
      <c r="F91" s="20" t="n">
        <v>17626.039</v>
      </c>
      <c r="G91" s="18" t="n">
        <f aca="false">HOUR(C91)*60+MINUTE(C91)</f>
        <v>870</v>
      </c>
      <c r="H91" s="21" t="n">
        <f aca="false">IF(AND(B91=B90,A91=A90,D91&gt;0,N(D90)&gt;0,G91&gt;N(G90)),(D91-D90)/((G91-G90)/60),"")</f>
        <v>2.10000000000582</v>
      </c>
      <c r="I91" s="18" t="str">
        <f aca="false">IFERROR(INDEX(Medidores!$B:$B,MATCH(B91,Medidores!$A:$A,0)),"")</f>
        <v>L20</v>
      </c>
    </row>
    <row r="92" customFormat="false" ht="15" hidden="false" customHeight="false" outlineLevel="0" collapsed="false">
      <c r="A92" s="17" t="n">
        <v>46302</v>
      </c>
      <c r="B92" s="18" t="s">
        <v>33</v>
      </c>
      <c r="C92" s="19" t="n">
        <v>0.614583333333333</v>
      </c>
      <c r="D92" s="20" t="n">
        <v>13525.543</v>
      </c>
      <c r="E92" s="20" t="n">
        <v>10911.652</v>
      </c>
      <c r="F92" s="20" t="n">
        <v>17626.797</v>
      </c>
      <c r="G92" s="18" t="n">
        <f aca="false">HOUR(C92)*60+MINUTE(C92)</f>
        <v>885</v>
      </c>
      <c r="H92" s="21" t="n">
        <f aca="false">IF(AND(B92=B91,A92=A91,D92&gt;0,N(D91)&gt;0,G92&gt;N(G91)),(D92-D91)/((G92-G91)/60),"")</f>
        <v>2.47999999999593</v>
      </c>
      <c r="I92" s="18" t="str">
        <f aca="false">IFERROR(INDEX(Medidores!$B:$B,MATCH(B92,Medidores!$A:$A,0)),"")</f>
        <v>L20</v>
      </c>
    </row>
    <row r="93" customFormat="false" ht="15" hidden="false" customHeight="false" outlineLevel="0" collapsed="false">
      <c r="A93" s="17" t="n">
        <v>46302</v>
      </c>
      <c r="B93" s="18" t="s">
        <v>33</v>
      </c>
      <c r="C93" s="19" t="n">
        <v>0.625</v>
      </c>
      <c r="D93" s="20" t="n">
        <v>13526.436</v>
      </c>
      <c r="E93" s="20" t="n">
        <v>10912.324</v>
      </c>
      <c r="F93" s="20" t="n">
        <v>17627.916</v>
      </c>
      <c r="G93" s="18" t="n">
        <f aca="false">HOUR(C93)*60+MINUTE(C93)</f>
        <v>900</v>
      </c>
      <c r="H93" s="21" t="n">
        <f aca="false">IF(AND(B93=B92,A93=A92,D93&gt;0,N(D92)&gt;0,G93&gt;N(G92)),(D93-D92)/((G93-G92)/60),"")</f>
        <v>3.57200000000012</v>
      </c>
      <c r="I93" s="18" t="str">
        <f aca="false">IFERROR(INDEX(Medidores!$B:$B,MATCH(B93,Medidores!$A:$A,0)),"")</f>
        <v>L20</v>
      </c>
    </row>
    <row r="94" customFormat="false" ht="15" hidden="false" customHeight="false" outlineLevel="0" collapsed="false">
      <c r="A94" s="17" t="n">
        <v>46302</v>
      </c>
      <c r="B94" s="18" t="s">
        <v>33</v>
      </c>
      <c r="C94" s="19" t="n">
        <v>0.635416666666667</v>
      </c>
      <c r="D94" s="20" t="n">
        <v>13526.971</v>
      </c>
      <c r="E94" s="20" t="n">
        <v>10912.777</v>
      </c>
      <c r="F94" s="20" t="n">
        <v>17628.619</v>
      </c>
      <c r="G94" s="18" t="n">
        <f aca="false">HOUR(C94)*60+MINUTE(C94)</f>
        <v>915</v>
      </c>
      <c r="H94" s="21" t="n">
        <f aca="false">IF(AND(B94=B93,A94=A93,D94&gt;0,N(D93)&gt;0,G94&gt;N(G93)),(D94-D93)/((G94-G93)/60),"")</f>
        <v>2.13999999999942</v>
      </c>
      <c r="I94" s="18" t="str">
        <f aca="false">IFERROR(INDEX(Medidores!$B:$B,MATCH(B94,Medidores!$A:$A,0)),"")</f>
        <v>L20</v>
      </c>
    </row>
    <row r="95" customFormat="false" ht="15" hidden="false" customHeight="false" outlineLevel="0" collapsed="false">
      <c r="A95" s="17" t="n">
        <v>46302</v>
      </c>
      <c r="B95" s="18" t="s">
        <v>33</v>
      </c>
      <c r="C95" s="19" t="n">
        <v>0.645833333333333</v>
      </c>
      <c r="D95" s="20" t="n">
        <v>13527.443</v>
      </c>
      <c r="E95" s="20" t="n">
        <v>10913.228</v>
      </c>
      <c r="F95" s="20" t="n">
        <v>17629.275</v>
      </c>
      <c r="G95" s="18" t="n">
        <f aca="false">HOUR(C95)*60+MINUTE(C95)</f>
        <v>930</v>
      </c>
      <c r="H95" s="21" t="n">
        <f aca="false">IF(AND(B95=B94,A95=A94,D95&gt;0,N(D94)&gt;0,G95&gt;N(G94)),(D95-D94)/((G95-G94)/60),"")</f>
        <v>1.88799999999901</v>
      </c>
      <c r="I95" s="18" t="str">
        <f aca="false">IFERROR(INDEX(Medidores!$B:$B,MATCH(B95,Medidores!$A:$A,0)),"")</f>
        <v>L20</v>
      </c>
    </row>
    <row r="96" customFormat="false" ht="15" hidden="false" customHeight="false" outlineLevel="0" collapsed="false">
      <c r="A96" s="17" t="n">
        <v>46302</v>
      </c>
      <c r="B96" s="18" t="s">
        <v>33</v>
      </c>
      <c r="C96" s="19" t="n">
        <v>0.65625</v>
      </c>
      <c r="D96" s="20" t="n">
        <v>13527.81</v>
      </c>
      <c r="E96" s="20" t="n">
        <v>10913.622</v>
      </c>
      <c r="F96" s="20" t="n">
        <v>17629.816</v>
      </c>
      <c r="G96" s="18" t="n">
        <f aca="false">HOUR(C96)*60+MINUTE(C96)</f>
        <v>945</v>
      </c>
      <c r="H96" s="21" t="n">
        <f aca="false">IF(AND(B96=B95,A96=A95,D96&gt;0,N(D95)&gt;0,G96&gt;N(G95)),(D96-D95)/((G96-G95)/60),"")</f>
        <v>1.46800000000076</v>
      </c>
      <c r="I96" s="18" t="str">
        <f aca="false">IFERROR(INDEX(Medidores!$B:$B,MATCH(B96,Medidores!$A:$A,0)),"")</f>
        <v>L20</v>
      </c>
    </row>
    <row r="97" customFormat="false" ht="15" hidden="false" customHeight="false" outlineLevel="0" collapsed="false">
      <c r="A97" s="17" t="n">
        <v>46302</v>
      </c>
      <c r="B97" s="18" t="s">
        <v>33</v>
      </c>
      <c r="C97" s="19" t="n">
        <v>0.666666666666667</v>
      </c>
      <c r="D97" s="20" t="n">
        <v>13528.364</v>
      </c>
      <c r="E97" s="20" t="n">
        <v>10914.108</v>
      </c>
      <c r="F97" s="20" t="n">
        <v>17630.559</v>
      </c>
      <c r="G97" s="18" t="n">
        <f aca="false">HOUR(C97)*60+MINUTE(C97)</f>
        <v>960</v>
      </c>
      <c r="H97" s="21" t="n">
        <f aca="false">IF(AND(B97=B96,A97=A96,D97&gt;0,N(D96)&gt;0,G97&gt;N(G96)),(D97-D96)/((G97-G96)/60),"")</f>
        <v>2.21600000000035</v>
      </c>
      <c r="I97" s="18" t="str">
        <f aca="false">IFERROR(INDEX(Medidores!$B:$B,MATCH(B97,Medidores!$A:$A,0)),"")</f>
        <v>L20</v>
      </c>
    </row>
    <row r="98" customFormat="false" ht="15" hidden="false" customHeight="false" outlineLevel="0" collapsed="false">
      <c r="A98" s="17" t="n">
        <v>46302</v>
      </c>
      <c r="B98" s="18" t="s">
        <v>34</v>
      </c>
      <c r="C98" s="19" t="n">
        <v>0.46875</v>
      </c>
      <c r="D98" s="20" t="n">
        <v>6593.832</v>
      </c>
      <c r="E98" s="20" t="n">
        <v>1750.864</v>
      </c>
      <c r="F98" s="20" t="n">
        <v>8186.162</v>
      </c>
      <c r="G98" s="18" t="n">
        <f aca="false">HOUR(C98)*60+MINUTE(C98)</f>
        <v>675</v>
      </c>
      <c r="H98" s="21" t="str">
        <f aca="false">IF(AND(B98=B97,A98=A97,D98&gt;0,N(D97)&gt;0,G98&gt;N(G97)),(D98-D97)/((G98-G97)/60),"")</f>
        <v/>
      </c>
      <c r="I98" s="18" t="str">
        <f aca="false">IFERROR(INDEX(Medidores!$B:$B,MATCH(B98,Medidores!$A:$A,0)),"")</f>
        <v>L16</v>
      </c>
    </row>
    <row r="99" customFormat="false" ht="15" hidden="false" customHeight="false" outlineLevel="0" collapsed="false">
      <c r="A99" s="17" t="n">
        <v>46302</v>
      </c>
      <c r="B99" s="18" t="s">
        <v>34</v>
      </c>
      <c r="C99" s="19" t="n">
        <v>0.479166666666667</v>
      </c>
      <c r="D99" s="20" t="n">
        <v>6593.861</v>
      </c>
      <c r="E99" s="20" t="n">
        <v>1750.864</v>
      </c>
      <c r="F99" s="20" t="n">
        <v>8186.26</v>
      </c>
      <c r="G99" s="18" t="n">
        <f aca="false">HOUR(C99)*60+MINUTE(C99)</f>
        <v>690</v>
      </c>
      <c r="H99" s="21" t="n">
        <f aca="false">IF(AND(B99=B98,A99=A98,D99&gt;0,N(D98)&gt;0,G99&gt;N(G98)),(D99-D98)/((G99-G98)/60),"")</f>
        <v>0.115999999998166</v>
      </c>
      <c r="I99" s="18" t="str">
        <f aca="false">IFERROR(INDEX(Medidores!$B:$B,MATCH(B99,Medidores!$A:$A,0)),"")</f>
        <v>L16</v>
      </c>
    </row>
    <row r="100" customFormat="false" ht="15" hidden="false" customHeight="false" outlineLevel="0" collapsed="false">
      <c r="A100" s="17" t="n">
        <v>46302</v>
      </c>
      <c r="B100" s="18" t="s">
        <v>34</v>
      </c>
      <c r="C100" s="19" t="n">
        <v>0.489583333333333</v>
      </c>
      <c r="D100" s="20" t="n">
        <v>6593.891</v>
      </c>
      <c r="E100" s="20" t="n">
        <v>1750.864</v>
      </c>
      <c r="F100" s="20" t="n">
        <v>8186.359</v>
      </c>
      <c r="G100" s="18" t="n">
        <f aca="false">HOUR(C100)*60+MINUTE(C100)</f>
        <v>705</v>
      </c>
      <c r="H100" s="21" t="n">
        <f aca="false">IF(AND(B100=B99,A100=A99,D100&gt;0,N(D99)&gt;0,G100&gt;N(G99)),(D100-D99)/((G100-G99)/60),"")</f>
        <v>0.119999999998981</v>
      </c>
      <c r="I100" s="18" t="str">
        <f aca="false">IFERROR(INDEX(Medidores!$B:$B,MATCH(B100,Medidores!$A:$A,0)),"")</f>
        <v>L16</v>
      </c>
    </row>
    <row r="101" customFormat="false" ht="15" hidden="false" customHeight="false" outlineLevel="0" collapsed="false">
      <c r="A101" s="17" t="n">
        <v>46302</v>
      </c>
      <c r="B101" s="18" t="s">
        <v>34</v>
      </c>
      <c r="C101" s="19" t="n">
        <v>0.5</v>
      </c>
      <c r="D101" s="20" t="n">
        <v>6593.92</v>
      </c>
      <c r="E101" s="20" t="n">
        <v>1750.864</v>
      </c>
      <c r="F101" s="20" t="n">
        <v>8186.458</v>
      </c>
      <c r="G101" s="18" t="n">
        <f aca="false">HOUR(C101)*60+MINUTE(C101)</f>
        <v>720</v>
      </c>
      <c r="H101" s="21" t="n">
        <f aca="false">IF(AND(B101=B100,A101=A100,D101&gt;0,N(D100)&gt;0,G101&gt;N(G100)),(D101-D100)/((G101-G100)/60),"")</f>
        <v>0.116000000001804</v>
      </c>
      <c r="I101" s="18" t="str">
        <f aca="false">IFERROR(INDEX(Medidores!$B:$B,MATCH(B101,Medidores!$A:$A,0)),"")</f>
        <v>L16</v>
      </c>
    </row>
    <row r="102" customFormat="false" ht="15" hidden="false" customHeight="false" outlineLevel="0" collapsed="false">
      <c r="A102" s="17" t="n">
        <v>46302</v>
      </c>
      <c r="B102" s="18" t="s">
        <v>34</v>
      </c>
      <c r="C102" s="19" t="n">
        <v>0.510416666666667</v>
      </c>
      <c r="D102" s="20" t="n">
        <v>6593.95</v>
      </c>
      <c r="E102" s="20" t="n">
        <v>1750.864</v>
      </c>
      <c r="F102" s="20" t="n">
        <v>8186.557</v>
      </c>
      <c r="G102" s="18" t="n">
        <f aca="false">HOUR(C102)*60+MINUTE(C102)</f>
        <v>735</v>
      </c>
      <c r="H102" s="21" t="n">
        <f aca="false">IF(AND(B102=B101,A102=A101,D102&gt;0,N(D101)&gt;0,G102&gt;N(G101)),(D102-D101)/((G102-G101)/60),"")</f>
        <v>0.119999999998981</v>
      </c>
      <c r="I102" s="18" t="str">
        <f aca="false">IFERROR(INDEX(Medidores!$B:$B,MATCH(B102,Medidores!$A:$A,0)),"")</f>
        <v>L16</v>
      </c>
    </row>
    <row r="103" customFormat="false" ht="15" hidden="false" customHeight="false" outlineLevel="0" collapsed="false">
      <c r="A103" s="17" t="n">
        <v>46302</v>
      </c>
      <c r="B103" s="18" t="s">
        <v>34</v>
      </c>
      <c r="C103" s="19" t="n">
        <v>0.520833333333333</v>
      </c>
      <c r="D103" s="20" t="n">
        <v>6593.979</v>
      </c>
      <c r="E103" s="20" t="n">
        <v>1750.864</v>
      </c>
      <c r="F103" s="20" t="n">
        <v>8186.655</v>
      </c>
      <c r="G103" s="18" t="n">
        <f aca="false">HOUR(C103)*60+MINUTE(C103)</f>
        <v>750</v>
      </c>
      <c r="H103" s="21" t="n">
        <f aca="false">IF(AND(B103=B102,A103=A102,D103&gt;0,N(D102)&gt;0,G103&gt;N(G102)),(D103-D102)/((G103-G102)/60),"")</f>
        <v>0.116000000001804</v>
      </c>
      <c r="I103" s="18" t="str">
        <f aca="false">IFERROR(INDEX(Medidores!$B:$B,MATCH(B103,Medidores!$A:$A,0)),"")</f>
        <v>L16</v>
      </c>
    </row>
    <row r="104" customFormat="false" ht="15" hidden="false" customHeight="false" outlineLevel="0" collapsed="false">
      <c r="A104" s="17" t="n">
        <v>46302</v>
      </c>
      <c r="B104" s="18" t="s">
        <v>34</v>
      </c>
      <c r="C104" s="19" t="n">
        <v>0.53125</v>
      </c>
      <c r="D104" s="20" t="n">
        <v>6594.008</v>
      </c>
      <c r="E104" s="20" t="n">
        <v>1750.864</v>
      </c>
      <c r="F104" s="20" t="n">
        <v>8186.754</v>
      </c>
      <c r="G104" s="18" t="n">
        <f aca="false">HOUR(C104)*60+MINUTE(C104)</f>
        <v>765</v>
      </c>
      <c r="H104" s="21" t="n">
        <f aca="false">IF(AND(B104=B103,A104=A103,D104&gt;0,N(D103)&gt;0,G104&gt;N(G103)),(D104-D103)/((G104-G103)/60),"")</f>
        <v>0.115999999998166</v>
      </c>
      <c r="I104" s="18" t="str">
        <f aca="false">IFERROR(INDEX(Medidores!$B:$B,MATCH(B104,Medidores!$A:$A,0)),"")</f>
        <v>L16</v>
      </c>
    </row>
    <row r="105" customFormat="false" ht="15" hidden="false" customHeight="false" outlineLevel="0" collapsed="false">
      <c r="A105" s="17" t="n">
        <v>46302</v>
      </c>
      <c r="B105" s="18" t="s">
        <v>34</v>
      </c>
      <c r="C105" s="19" t="n">
        <v>0.541666666666667</v>
      </c>
      <c r="D105" s="20" t="n">
        <v>6594.038</v>
      </c>
      <c r="E105" s="20" t="n">
        <v>1750.864</v>
      </c>
      <c r="F105" s="20" t="n">
        <v>8186.853</v>
      </c>
      <c r="G105" s="18" t="n">
        <f aca="false">HOUR(C105)*60+MINUTE(C105)</f>
        <v>780</v>
      </c>
      <c r="H105" s="21" t="n">
        <f aca="false">IF(AND(B105=B104,A105=A104,D105&gt;0,N(D104)&gt;0,G105&gt;N(G104)),(D105-D104)/((G105-G104)/60),"")</f>
        <v>0.119999999998981</v>
      </c>
      <c r="I105" s="18" t="str">
        <f aca="false">IFERROR(INDEX(Medidores!$B:$B,MATCH(B105,Medidores!$A:$A,0)),"")</f>
        <v>L16</v>
      </c>
    </row>
    <row r="106" customFormat="false" ht="15" hidden="false" customHeight="false" outlineLevel="0" collapsed="false">
      <c r="A106" s="17" t="n">
        <v>46302</v>
      </c>
      <c r="B106" s="18" t="s">
        <v>34</v>
      </c>
      <c r="C106" s="19" t="n">
        <v>0.552083333333333</v>
      </c>
      <c r="D106" s="20" t="n">
        <v>6594.067</v>
      </c>
      <c r="E106" s="20" t="n">
        <v>1750.864</v>
      </c>
      <c r="F106" s="20" t="n">
        <v>8186.951</v>
      </c>
      <c r="G106" s="18" t="n">
        <f aca="false">HOUR(C106)*60+MINUTE(C106)</f>
        <v>795</v>
      </c>
      <c r="H106" s="21" t="n">
        <f aca="false">IF(AND(B106=B105,A106=A105,D106&gt;0,N(D105)&gt;0,G106&gt;N(G105)),(D106-D105)/((G106-G105)/60),"")</f>
        <v>0.116000000001804</v>
      </c>
      <c r="I106" s="18" t="str">
        <f aca="false">IFERROR(INDEX(Medidores!$B:$B,MATCH(B106,Medidores!$A:$A,0)),"")</f>
        <v>L16</v>
      </c>
    </row>
    <row r="107" customFormat="false" ht="15" hidden="false" customHeight="false" outlineLevel="0" collapsed="false">
      <c r="A107" s="17" t="n">
        <v>46302</v>
      </c>
      <c r="B107" s="18" t="s">
        <v>34</v>
      </c>
      <c r="C107" s="19" t="n">
        <v>0.5625</v>
      </c>
      <c r="D107" s="20" t="n">
        <v>6594.097</v>
      </c>
      <c r="E107" s="20" t="n">
        <v>1750.864</v>
      </c>
      <c r="F107" s="20" t="n">
        <v>8187.05</v>
      </c>
      <c r="G107" s="18" t="n">
        <f aca="false">HOUR(C107)*60+MINUTE(C107)</f>
        <v>810</v>
      </c>
      <c r="H107" s="21" t="n">
        <f aca="false">IF(AND(B107=B106,A107=A106,D107&gt;0,N(D106)&gt;0,G107&gt;N(G106)),(D107-D106)/((G107-G106)/60),"")</f>
        <v>0.119999999998981</v>
      </c>
      <c r="I107" s="18" t="str">
        <f aca="false">IFERROR(INDEX(Medidores!$B:$B,MATCH(B107,Medidores!$A:$A,0)),"")</f>
        <v>L16</v>
      </c>
    </row>
    <row r="108" customFormat="false" ht="15" hidden="false" customHeight="false" outlineLevel="0" collapsed="false">
      <c r="A108" s="17" t="n">
        <v>46302</v>
      </c>
      <c r="B108" s="18" t="s">
        <v>34</v>
      </c>
      <c r="C108" s="19" t="n">
        <v>0.572916666666667</v>
      </c>
      <c r="D108" s="20" t="n">
        <v>6594.126</v>
      </c>
      <c r="E108" s="20" t="n">
        <v>1750.864</v>
      </c>
      <c r="F108" s="20" t="n">
        <v>8187.149</v>
      </c>
      <c r="G108" s="18" t="n">
        <f aca="false">HOUR(C108)*60+MINUTE(C108)</f>
        <v>825</v>
      </c>
      <c r="H108" s="21" t="n">
        <f aca="false">IF(AND(B108=B107,A108=A107,D108&gt;0,N(D107)&gt;0,G108&gt;N(G107)),(D108-D107)/((G108-G107)/60),"")</f>
        <v>0.116000000001804</v>
      </c>
      <c r="I108" s="18" t="str">
        <f aca="false">IFERROR(INDEX(Medidores!$B:$B,MATCH(B108,Medidores!$A:$A,0)),"")</f>
        <v>L16</v>
      </c>
    </row>
    <row r="109" customFormat="false" ht="15" hidden="false" customHeight="false" outlineLevel="0" collapsed="false">
      <c r="A109" s="17" t="n">
        <v>46302</v>
      </c>
      <c r="B109" s="18" t="s">
        <v>34</v>
      </c>
      <c r="C109" s="19" t="n">
        <v>0.583333333333333</v>
      </c>
      <c r="D109" s="20" t="n">
        <v>6594.156</v>
      </c>
      <c r="E109" s="20" t="n">
        <v>1750.864</v>
      </c>
      <c r="F109" s="20" t="n">
        <v>8187.248</v>
      </c>
      <c r="G109" s="18" t="n">
        <f aca="false">HOUR(C109)*60+MINUTE(C109)</f>
        <v>840</v>
      </c>
      <c r="H109" s="21" t="n">
        <f aca="false">IF(AND(B109=B108,A109=A108,D109&gt;0,N(D108)&gt;0,G109&gt;N(G108)),(D109-D108)/((G109-G108)/60),"")</f>
        <v>0.119999999998981</v>
      </c>
      <c r="I109" s="18" t="str">
        <f aca="false">IFERROR(INDEX(Medidores!$B:$B,MATCH(B109,Medidores!$A:$A,0)),"")</f>
        <v>L16</v>
      </c>
    </row>
    <row r="110" customFormat="false" ht="15" hidden="false" customHeight="false" outlineLevel="0" collapsed="false">
      <c r="A110" s="17" t="n">
        <v>46302</v>
      </c>
      <c r="B110" s="18" t="s">
        <v>34</v>
      </c>
      <c r="C110" s="19" t="n">
        <v>0.59375</v>
      </c>
      <c r="D110" s="20" t="n">
        <v>6594.186</v>
      </c>
      <c r="E110" s="20" t="n">
        <v>1750.864</v>
      </c>
      <c r="F110" s="20" t="n">
        <v>8187.346</v>
      </c>
      <c r="G110" s="18" t="n">
        <f aca="false">HOUR(C110)*60+MINUTE(C110)</f>
        <v>855</v>
      </c>
      <c r="H110" s="21" t="n">
        <f aca="false">IF(AND(B110=B109,A110=A109,D110&gt;0,N(D109)&gt;0,G110&gt;N(G109)),(D110-D109)/((G110-G109)/60),"")</f>
        <v>0.119999999998981</v>
      </c>
      <c r="I110" s="18" t="str">
        <f aca="false">IFERROR(INDEX(Medidores!$B:$B,MATCH(B110,Medidores!$A:$A,0)),"")</f>
        <v>L16</v>
      </c>
    </row>
    <row r="111" customFormat="false" ht="15" hidden="false" customHeight="false" outlineLevel="0" collapsed="false">
      <c r="A111" s="17" t="n">
        <v>46302</v>
      </c>
      <c r="B111" s="18" t="s">
        <v>34</v>
      </c>
      <c r="C111" s="19" t="n">
        <v>0.604166666666667</v>
      </c>
      <c r="D111" s="20" t="n">
        <v>6594.215</v>
      </c>
      <c r="E111" s="20" t="n">
        <v>1750.864</v>
      </c>
      <c r="F111" s="20" t="n">
        <v>8187.445</v>
      </c>
      <c r="G111" s="18" t="n">
        <f aca="false">HOUR(C111)*60+MINUTE(C111)</f>
        <v>870</v>
      </c>
      <c r="H111" s="21" t="n">
        <f aca="false">IF(AND(B111=B110,A111=A110,D111&gt;0,N(D110)&gt;0,G111&gt;N(G110)),(D111-D110)/((G111-G110)/60),"")</f>
        <v>0.116000000001804</v>
      </c>
      <c r="I111" s="18" t="str">
        <f aca="false">IFERROR(INDEX(Medidores!$B:$B,MATCH(B111,Medidores!$A:$A,0)),"")</f>
        <v>L16</v>
      </c>
    </row>
    <row r="112" customFormat="false" ht="15" hidden="false" customHeight="false" outlineLevel="0" collapsed="false">
      <c r="A112" s="17" t="n">
        <v>46302</v>
      </c>
      <c r="B112" s="18" t="s">
        <v>34</v>
      </c>
      <c r="C112" s="19" t="n">
        <v>0.614583333333333</v>
      </c>
      <c r="D112" s="20" t="n">
        <v>6594.245</v>
      </c>
      <c r="E112" s="20" t="n">
        <v>1750.864</v>
      </c>
      <c r="F112" s="20" t="n">
        <v>8187.543</v>
      </c>
      <c r="G112" s="18" t="n">
        <f aca="false">HOUR(C112)*60+MINUTE(C112)</f>
        <v>885</v>
      </c>
      <c r="H112" s="21" t="n">
        <f aca="false">IF(AND(B112=B111,A112=A111,D112&gt;0,N(D111)&gt;0,G112&gt;N(G111)),(D112-D111)/((G112-G111)/60),"")</f>
        <v>0.119999999998981</v>
      </c>
      <c r="I112" s="18" t="str">
        <f aca="false">IFERROR(INDEX(Medidores!$B:$B,MATCH(B112,Medidores!$A:$A,0)),"")</f>
        <v>L16</v>
      </c>
    </row>
    <row r="113" customFormat="false" ht="15" hidden="false" customHeight="false" outlineLevel="0" collapsed="false">
      <c r="A113" s="17" t="n">
        <v>46302</v>
      </c>
      <c r="B113" s="18" t="s">
        <v>34</v>
      </c>
      <c r="C113" s="19" t="n">
        <v>0.625</v>
      </c>
      <c r="D113" s="20" t="n">
        <v>6594.274</v>
      </c>
      <c r="E113" s="20" t="n">
        <v>1750.864</v>
      </c>
      <c r="F113" s="20" t="n">
        <v>8187.642</v>
      </c>
      <c r="G113" s="18" t="n">
        <f aca="false">HOUR(C113)*60+MINUTE(C113)</f>
        <v>900</v>
      </c>
      <c r="H113" s="21" t="n">
        <f aca="false">IF(AND(B113=B112,A113=A112,D113&gt;0,N(D112)&gt;0,G113&gt;N(G112)),(D113-D112)/((G113-G112)/60),"")</f>
        <v>0.116000000001804</v>
      </c>
      <c r="I113" s="18" t="str">
        <f aca="false">IFERROR(INDEX(Medidores!$B:$B,MATCH(B113,Medidores!$A:$A,0)),"")</f>
        <v>L16</v>
      </c>
    </row>
    <row r="114" customFormat="false" ht="15" hidden="false" customHeight="false" outlineLevel="0" collapsed="false">
      <c r="A114" s="17" t="n">
        <v>46302</v>
      </c>
      <c r="B114" s="18" t="s">
        <v>34</v>
      </c>
      <c r="C114" s="19" t="n">
        <v>0.635416666666667</v>
      </c>
      <c r="D114" s="20" t="n">
        <v>6594.304</v>
      </c>
      <c r="E114" s="20" t="n">
        <v>1750.864</v>
      </c>
      <c r="F114" s="20" t="n">
        <v>8187.74</v>
      </c>
      <c r="G114" s="18" t="n">
        <f aca="false">HOUR(C114)*60+MINUTE(C114)</f>
        <v>915</v>
      </c>
      <c r="H114" s="21" t="n">
        <f aca="false">IF(AND(B114=B113,A114=A113,D114&gt;0,N(D113)&gt;0,G114&gt;N(G113)),(D114-D113)/((G114-G113)/60),"")</f>
        <v>0.119999999998981</v>
      </c>
      <c r="I114" s="18" t="str">
        <f aca="false">IFERROR(INDEX(Medidores!$B:$B,MATCH(B114,Medidores!$A:$A,0)),"")</f>
        <v>L16</v>
      </c>
    </row>
    <row r="115" customFormat="false" ht="15" hidden="false" customHeight="false" outlineLevel="0" collapsed="false">
      <c r="A115" s="17" t="n">
        <v>46302</v>
      </c>
      <c r="B115" s="18" t="s">
        <v>34</v>
      </c>
      <c r="C115" s="19" t="n">
        <v>0.645833333333333</v>
      </c>
      <c r="D115" s="20" t="n">
        <v>6594.334</v>
      </c>
      <c r="E115" s="20" t="n">
        <v>1750.864</v>
      </c>
      <c r="F115" s="20" t="n">
        <v>8187.837</v>
      </c>
      <c r="G115" s="18" t="n">
        <f aca="false">HOUR(C115)*60+MINUTE(C115)</f>
        <v>930</v>
      </c>
      <c r="H115" s="21" t="n">
        <f aca="false">IF(AND(B115=B114,A115=A114,D115&gt;0,N(D114)&gt;0,G115&gt;N(G114)),(D115-D114)/((G115-G114)/60),"")</f>
        <v>0.119999999998981</v>
      </c>
      <c r="I115" s="18" t="str">
        <f aca="false">IFERROR(INDEX(Medidores!$B:$B,MATCH(B115,Medidores!$A:$A,0)),"")</f>
        <v>L16</v>
      </c>
    </row>
    <row r="116" customFormat="false" ht="15" hidden="false" customHeight="false" outlineLevel="0" collapsed="false">
      <c r="A116" s="17" t="n">
        <v>46302</v>
      </c>
      <c r="B116" s="18" t="s">
        <v>34</v>
      </c>
      <c r="C116" s="19" t="n">
        <v>0.65625</v>
      </c>
      <c r="D116" s="20" t="n">
        <v>6594.363</v>
      </c>
      <c r="E116" s="20" t="n">
        <v>1750.864</v>
      </c>
      <c r="F116" s="20" t="n">
        <v>8187.935</v>
      </c>
      <c r="G116" s="18" t="n">
        <f aca="false">HOUR(C116)*60+MINUTE(C116)</f>
        <v>945</v>
      </c>
      <c r="H116" s="21" t="n">
        <f aca="false">IF(AND(B116=B115,A116=A115,D116&gt;0,N(D115)&gt;0,G116&gt;N(G115)),(D116-D115)/((G116-G115)/60),"")</f>
        <v>0.116000000001804</v>
      </c>
      <c r="I116" s="18" t="str">
        <f aca="false">IFERROR(INDEX(Medidores!$B:$B,MATCH(B116,Medidores!$A:$A,0)),"")</f>
        <v>L16</v>
      </c>
    </row>
    <row r="117" customFormat="false" ht="15" hidden="false" customHeight="false" outlineLevel="0" collapsed="false">
      <c r="A117" s="17" t="n">
        <v>46302</v>
      </c>
      <c r="B117" s="18" t="s">
        <v>34</v>
      </c>
      <c r="C117" s="19" t="n">
        <v>0.666666666666667</v>
      </c>
      <c r="D117" s="20" t="n">
        <v>6594.392</v>
      </c>
      <c r="E117" s="20" t="n">
        <v>1750.864</v>
      </c>
      <c r="F117" s="20" t="n">
        <v>8188.033</v>
      </c>
      <c r="G117" s="18" t="n">
        <f aca="false">HOUR(C117)*60+MINUTE(C117)</f>
        <v>960</v>
      </c>
      <c r="H117" s="21" t="n">
        <f aca="false">IF(AND(B117=B116,A117=A116,D117&gt;0,N(D116)&gt;0,G117&gt;N(G116)),(D117-D116)/((G117-G116)/60),"")</f>
        <v>0.115999999998166</v>
      </c>
      <c r="I117" s="18" t="str">
        <f aca="false">IFERROR(INDEX(Medidores!$B:$B,MATCH(B117,Medidores!$A:$A,0)),"")</f>
        <v>L16</v>
      </c>
    </row>
    <row r="118" customFormat="false" ht="15" hidden="false" customHeight="false" outlineLevel="0" collapsed="false">
      <c r="A118" s="17" t="n">
        <v>46302</v>
      </c>
      <c r="B118" s="18" t="s">
        <v>35</v>
      </c>
      <c r="C118" s="19" t="n">
        <v>0.53125</v>
      </c>
      <c r="D118" s="20" t="n">
        <v>0</v>
      </c>
      <c r="E118" s="20" t="n">
        <v>0</v>
      </c>
      <c r="F118" s="20" t="n">
        <v>0</v>
      </c>
      <c r="G118" s="18" t="n">
        <f aca="false">HOUR(C118)*60+MINUTE(C118)</f>
        <v>765</v>
      </c>
      <c r="H118" s="21" t="str">
        <f aca="false">IF(AND(B118=B117,A118=A117,D118&gt;0,N(D117)&gt;0,G118&gt;N(G117)),(D118-D117)/((G118-G117)/60),"")</f>
        <v/>
      </c>
      <c r="I118" s="18" t="str">
        <f aca="false">IFERROR(INDEX(Medidores!$B:$B,MATCH(B118,Medidores!$A:$A,0)),"")</f>
        <v>Estación planta</v>
      </c>
    </row>
    <row r="119" customFormat="false" ht="15" hidden="false" customHeight="false" outlineLevel="0" collapsed="false">
      <c r="A119" s="17" t="n">
        <v>46302</v>
      </c>
      <c r="B119" s="18" t="s">
        <v>35</v>
      </c>
      <c r="C119" s="19" t="n">
        <v>0.541666666666667</v>
      </c>
      <c r="D119" s="20" t="n">
        <v>106805.727</v>
      </c>
      <c r="E119" s="20" t="n">
        <v>22789.602</v>
      </c>
      <c r="F119" s="20" t="n">
        <v>109763.266</v>
      </c>
      <c r="G119" s="18" t="n">
        <f aca="false">HOUR(C119)*60+MINUTE(C119)</f>
        <v>780</v>
      </c>
      <c r="H119" s="21" t="str">
        <f aca="false">IF(AND(B119=B118,A119=A118,D119&gt;0,N(D118)&gt;0,G119&gt;N(G118)),(D119-D118)/((G119-G118)/60),"")</f>
        <v/>
      </c>
      <c r="I119" s="18" t="str">
        <f aca="false">IFERROR(INDEX(Medidores!$B:$B,MATCH(B119,Medidores!$A:$A,0)),"")</f>
        <v>Estación planta</v>
      </c>
    </row>
    <row r="120" customFormat="false" ht="15" hidden="false" customHeight="false" outlineLevel="0" collapsed="false">
      <c r="A120" s="17" t="n">
        <v>46302</v>
      </c>
      <c r="B120" s="18" t="s">
        <v>35</v>
      </c>
      <c r="C120" s="19" t="n">
        <v>0.552083333333333</v>
      </c>
      <c r="D120" s="20" t="n">
        <v>106812.055</v>
      </c>
      <c r="E120" s="20" t="n">
        <v>22789.846</v>
      </c>
      <c r="F120" s="20" t="n">
        <v>109769.602</v>
      </c>
      <c r="G120" s="18" t="n">
        <f aca="false">HOUR(C120)*60+MINUTE(C120)</f>
        <v>795</v>
      </c>
      <c r="H120" s="21" t="n">
        <f aca="false">IF(AND(B120=B119,A120=A119,D120&gt;0,N(D119)&gt;0,G120&gt;N(G119)),(D120-D119)/((G120-G119)/60),"")</f>
        <v>25.3119999999763</v>
      </c>
      <c r="I120" s="18" t="str">
        <f aca="false">IFERROR(INDEX(Medidores!$B:$B,MATCH(B120,Medidores!$A:$A,0)),"")</f>
        <v>Estación planta</v>
      </c>
    </row>
    <row r="121" customFormat="false" ht="15" hidden="false" customHeight="false" outlineLevel="0" collapsed="false">
      <c r="A121" s="17" t="n">
        <v>46302</v>
      </c>
      <c r="B121" s="18" t="s">
        <v>35</v>
      </c>
      <c r="C121" s="19" t="n">
        <v>0.5625</v>
      </c>
      <c r="D121" s="20" t="n">
        <v>106818.852</v>
      </c>
      <c r="E121" s="20" t="n">
        <v>22790.152</v>
      </c>
      <c r="F121" s="20" t="n">
        <v>109776.398</v>
      </c>
      <c r="G121" s="18" t="n">
        <f aca="false">HOUR(C121)*60+MINUTE(C121)</f>
        <v>810</v>
      </c>
      <c r="H121" s="21" t="n">
        <f aca="false">IF(AND(B121=B120,A121=A120,D121&gt;0,N(D120)&gt;0,G121&gt;N(G120)),(D121-D120)/((G121-G120)/60),"")</f>
        <v>27.1880000000238</v>
      </c>
      <c r="I121" s="18" t="str">
        <f aca="false">IFERROR(INDEX(Medidores!$B:$B,MATCH(B121,Medidores!$A:$A,0)),"")</f>
        <v>Estación planta</v>
      </c>
    </row>
    <row r="122" customFormat="false" ht="15" hidden="false" customHeight="false" outlineLevel="0" collapsed="false">
      <c r="A122" s="17" t="n">
        <v>46302</v>
      </c>
      <c r="B122" s="18" t="s">
        <v>36</v>
      </c>
      <c r="C122" s="19" t="n">
        <v>0.479166666666667</v>
      </c>
      <c r="D122" s="20" t="n">
        <v>265368.781</v>
      </c>
      <c r="E122" s="20" t="n">
        <v>109231.531</v>
      </c>
      <c r="F122" s="20"/>
      <c r="G122" s="18" t="n">
        <f aca="false">HOUR(C122)*60+MINUTE(C122)</f>
        <v>690</v>
      </c>
      <c r="H122" s="21" t="str">
        <f aca="false">IF(AND(B122=B121,A122=A121,D122&gt;0,N(D121)&gt;0,G122&gt;N(G121)),(D122-D121)/((G122-G121)/60),"")</f>
        <v/>
      </c>
      <c r="I122" s="18" t="str">
        <f aca="false">IFERROR(INDEX(Medidores!$B:$B,MATCH(B122,Medidores!$A:$A,0)),"")</f>
        <v>Estación celda 3</v>
      </c>
    </row>
    <row r="123" customFormat="false" ht="15" hidden="false" customHeight="false" outlineLevel="0" collapsed="false">
      <c r="A123" s="17" t="n">
        <v>46302</v>
      </c>
      <c r="B123" s="18" t="s">
        <v>36</v>
      </c>
      <c r="C123" s="19" t="n">
        <v>0.489583333333333</v>
      </c>
      <c r="D123" s="20" t="n">
        <v>265380.438</v>
      </c>
      <c r="E123" s="20" t="n">
        <v>109235.914</v>
      </c>
      <c r="F123" s="20"/>
      <c r="G123" s="18" t="n">
        <f aca="false">HOUR(C123)*60+MINUTE(C123)</f>
        <v>705</v>
      </c>
      <c r="H123" s="21" t="n">
        <f aca="false">IF(AND(B123=B122,A123=A122,D123&gt;0,N(D122)&gt;0,G123&gt;N(G122)),(D123-D122)/((G123-G122)/60),"")</f>
        <v>46.6280000000261</v>
      </c>
      <c r="I123" s="18" t="str">
        <f aca="false">IFERROR(INDEX(Medidores!$B:$B,MATCH(B123,Medidores!$A:$A,0)),"")</f>
        <v>Estación celda 3</v>
      </c>
    </row>
    <row r="124" customFormat="false" ht="15" hidden="false" customHeight="false" outlineLevel="0" collapsed="false">
      <c r="A124" s="17" t="n">
        <v>46302</v>
      </c>
      <c r="B124" s="18" t="s">
        <v>36</v>
      </c>
      <c r="C124" s="19" t="n">
        <v>0.5</v>
      </c>
      <c r="D124" s="20" t="n">
        <v>265388.25</v>
      </c>
      <c r="E124" s="20" t="n">
        <v>109238.117</v>
      </c>
      <c r="F124" s="20"/>
      <c r="G124" s="18" t="n">
        <f aca="false">HOUR(C124)*60+MINUTE(C124)</f>
        <v>720</v>
      </c>
      <c r="H124" s="21" t="n">
        <f aca="false">IF(AND(B124=B123,A124=A123,D124&gt;0,N(D123)&gt;0,G124&gt;N(G123)),(D124-D123)/((G124-G123)/60),"")</f>
        <v>31.247999999905</v>
      </c>
      <c r="I124" s="18" t="str">
        <f aca="false">IFERROR(INDEX(Medidores!$B:$B,MATCH(B124,Medidores!$A:$A,0)),"")</f>
        <v>Estación celda 3</v>
      </c>
    </row>
    <row r="125" customFormat="false" ht="15" hidden="false" customHeight="false" outlineLevel="0" collapsed="false">
      <c r="A125" s="17" t="n">
        <v>46302</v>
      </c>
      <c r="B125" s="18" t="s">
        <v>36</v>
      </c>
      <c r="C125" s="19" t="n">
        <v>0.510416666666667</v>
      </c>
      <c r="D125" s="20" t="n">
        <v>265398.281</v>
      </c>
      <c r="E125" s="20" t="n">
        <v>109242.859</v>
      </c>
      <c r="F125" s="20"/>
      <c r="G125" s="18" t="n">
        <f aca="false">HOUR(C125)*60+MINUTE(C125)</f>
        <v>735</v>
      </c>
      <c r="H125" s="21" t="n">
        <f aca="false">IF(AND(B125=B124,A125=A124,D125&gt;0,N(D124)&gt;0,G125&gt;N(G124)),(D125-D124)/((G125-G124)/60),"")</f>
        <v>40.1240000000689</v>
      </c>
      <c r="I125" s="18" t="str">
        <f aca="false">IFERROR(INDEX(Medidores!$B:$B,MATCH(B125,Medidores!$A:$A,0)),"")</f>
        <v>Estación celda 3</v>
      </c>
    </row>
    <row r="126" customFormat="false" ht="15" hidden="false" customHeight="false" outlineLevel="0" collapsed="false">
      <c r="A126" s="17" t="n">
        <v>46302</v>
      </c>
      <c r="B126" s="18" t="s">
        <v>36</v>
      </c>
      <c r="C126" s="19" t="n">
        <v>0.520833333333333</v>
      </c>
      <c r="D126" s="20" t="n">
        <v>265411.906</v>
      </c>
      <c r="E126" s="20" t="n">
        <v>109250.344</v>
      </c>
      <c r="F126" s="20"/>
      <c r="G126" s="18" t="n">
        <f aca="false">HOUR(C126)*60+MINUTE(C126)</f>
        <v>750</v>
      </c>
      <c r="H126" s="21" t="n">
        <f aca="false">IF(AND(B126=B125,A126=A125,D126&gt;0,N(D125)&gt;0,G126&gt;N(G125)),(D126-D125)/((G126-G125)/60),"")</f>
        <v>54.5</v>
      </c>
      <c r="I126" s="18" t="str">
        <f aca="false">IFERROR(INDEX(Medidores!$B:$B,MATCH(B126,Medidores!$A:$A,0)),"")</f>
        <v>Estación celda 3</v>
      </c>
    </row>
    <row r="127" customFormat="false" ht="15" hidden="false" customHeight="false" outlineLevel="0" collapsed="false">
      <c r="A127" s="17" t="n">
        <v>46302</v>
      </c>
      <c r="B127" s="18" t="s">
        <v>36</v>
      </c>
      <c r="C127" s="19" t="n">
        <v>0.53125</v>
      </c>
      <c r="D127" s="20" t="n">
        <v>265423.625</v>
      </c>
      <c r="E127" s="20" t="n">
        <v>109256.297</v>
      </c>
      <c r="F127" s="20"/>
      <c r="G127" s="18" t="n">
        <f aca="false">HOUR(C127)*60+MINUTE(C127)</f>
        <v>765</v>
      </c>
      <c r="H127" s="21" t="n">
        <f aca="false">IF(AND(B127=B126,A127=A126,D127&gt;0,N(D126)&gt;0,G127&gt;N(G126)),(D127-D126)/((G127-G126)/60),"")</f>
        <v>46.8759999999311</v>
      </c>
      <c r="I127" s="18" t="str">
        <f aca="false">IFERROR(INDEX(Medidores!$B:$B,MATCH(B127,Medidores!$A:$A,0)),"")</f>
        <v>Estación celda 3</v>
      </c>
    </row>
    <row r="128" customFormat="false" ht="15" hidden="false" customHeight="false" outlineLevel="0" collapsed="false">
      <c r="A128" s="17" t="n">
        <v>46302</v>
      </c>
      <c r="B128" s="18" t="s">
        <v>36</v>
      </c>
      <c r="C128" s="19" t="n">
        <v>0.541666666666667</v>
      </c>
      <c r="D128" s="20" t="n">
        <v>265435.469</v>
      </c>
      <c r="E128" s="20" t="n">
        <v>109262.203</v>
      </c>
      <c r="F128" s="20"/>
      <c r="G128" s="18" t="n">
        <f aca="false">HOUR(C128)*60+MINUTE(C128)</f>
        <v>780</v>
      </c>
      <c r="H128" s="21" t="n">
        <f aca="false">IF(AND(B128=B127,A128=A127,D128&gt;0,N(D127)&gt;0,G128&gt;N(G127)),(D128-D127)/((G128-G127)/60),"")</f>
        <v>47.3759999999311</v>
      </c>
      <c r="I128" s="18" t="str">
        <f aca="false">IFERROR(INDEX(Medidores!$B:$B,MATCH(B128,Medidores!$A:$A,0)),"")</f>
        <v>Estación celda 3</v>
      </c>
    </row>
    <row r="129" customFormat="false" ht="15" hidden="false" customHeight="false" outlineLevel="0" collapsed="false">
      <c r="A129" s="17" t="n">
        <v>46302</v>
      </c>
      <c r="B129" s="18" t="s">
        <v>36</v>
      </c>
      <c r="C129" s="19" t="n">
        <v>0.552083333333333</v>
      </c>
      <c r="D129" s="20" t="n">
        <v>265450.188</v>
      </c>
      <c r="E129" s="20" t="n">
        <v>109270.898</v>
      </c>
      <c r="F129" s="20"/>
      <c r="G129" s="18" t="n">
        <f aca="false">HOUR(C129)*60+MINUTE(C129)</f>
        <v>795</v>
      </c>
      <c r="H129" s="21" t="n">
        <f aca="false">IF(AND(B129=B128,A129=A128,D129&gt;0,N(D128)&gt;0,G129&gt;N(G128)),(D129-D128)/((G129-G128)/60),"")</f>
        <v>58.8760000001639</v>
      </c>
      <c r="I129" s="18" t="str">
        <f aca="false">IFERROR(INDEX(Medidores!$B:$B,MATCH(B129,Medidores!$A:$A,0)),"")</f>
        <v>Estación celda 3</v>
      </c>
    </row>
    <row r="130" customFormat="false" ht="15" hidden="false" customHeight="false" outlineLevel="0" collapsed="false">
      <c r="A130" s="17" t="n">
        <v>46302</v>
      </c>
      <c r="B130" s="18" t="s">
        <v>36</v>
      </c>
      <c r="C130" s="19" t="n">
        <v>0.5625</v>
      </c>
      <c r="D130" s="20" t="n">
        <v>265463.25</v>
      </c>
      <c r="E130" s="20" t="n">
        <v>109277.938</v>
      </c>
      <c r="F130" s="20"/>
      <c r="G130" s="18" t="n">
        <f aca="false">HOUR(C130)*60+MINUTE(C130)</f>
        <v>810</v>
      </c>
      <c r="H130" s="21" t="n">
        <f aca="false">IF(AND(B130=B129,A130=A129,D130&gt;0,N(D129)&gt;0,G130&gt;N(G129)),(D130-D129)/((G130-G129)/60),"")</f>
        <v>52.247999999905</v>
      </c>
      <c r="I130" s="18" t="str">
        <f aca="false">IFERROR(INDEX(Medidores!$B:$B,MATCH(B130,Medidores!$A:$A,0)),"")</f>
        <v>Estación celda 3</v>
      </c>
    </row>
    <row r="131" customFormat="false" ht="15" hidden="false" customHeight="false" outlineLevel="0" collapsed="false">
      <c r="A131" s="17" t="n">
        <v>46302</v>
      </c>
      <c r="B131" s="18" t="s">
        <v>36</v>
      </c>
      <c r="C131" s="19" t="n">
        <v>0.572916666666667</v>
      </c>
      <c r="D131" s="20" t="n">
        <v>265475.438</v>
      </c>
      <c r="E131" s="20" t="n">
        <v>109284.367</v>
      </c>
      <c r="F131" s="20"/>
      <c r="G131" s="18" t="n">
        <f aca="false">HOUR(C131)*60+MINUTE(C131)</f>
        <v>825</v>
      </c>
      <c r="H131" s="21" t="n">
        <f aca="false">IF(AND(B131=B130,A131=A130,D131&gt;0,N(D130)&gt;0,G131&gt;N(G130)),(D131-D130)/((G131-G130)/60),"")</f>
        <v>48.752000000095</v>
      </c>
      <c r="I131" s="18" t="str">
        <f aca="false">IFERROR(INDEX(Medidores!$B:$B,MATCH(B131,Medidores!$A:$A,0)),"")</f>
        <v>Estación celda 3</v>
      </c>
    </row>
    <row r="132" customFormat="false" ht="15" hidden="false" customHeight="false" outlineLevel="0" collapsed="false">
      <c r="A132" s="17" t="n">
        <v>46302</v>
      </c>
      <c r="B132" s="18" t="s">
        <v>36</v>
      </c>
      <c r="C132" s="19" t="n">
        <v>0.583333333333333</v>
      </c>
      <c r="D132" s="20" t="n">
        <v>265490.938</v>
      </c>
      <c r="E132" s="20" t="n">
        <v>109293.477</v>
      </c>
      <c r="F132" s="20"/>
      <c r="G132" s="18" t="n">
        <f aca="false">HOUR(C132)*60+MINUTE(C132)</f>
        <v>840</v>
      </c>
      <c r="H132" s="21" t="n">
        <f aca="false">IF(AND(B132=B131,A132=A131,D132&gt;0,N(D131)&gt;0,G132&gt;N(G131)),(D132-D131)/((G132-G131)/60),"")</f>
        <v>62</v>
      </c>
      <c r="I132" s="18" t="str">
        <f aca="false">IFERROR(INDEX(Medidores!$B:$B,MATCH(B132,Medidores!$A:$A,0)),"")</f>
        <v>Estación celda 3</v>
      </c>
    </row>
    <row r="133" customFormat="false" ht="15" hidden="false" customHeight="false" outlineLevel="0" collapsed="false">
      <c r="A133" s="17" t="n">
        <v>46302</v>
      </c>
      <c r="B133" s="18" t="s">
        <v>36</v>
      </c>
      <c r="C133" s="19" t="n">
        <v>0.59375</v>
      </c>
      <c r="D133" s="20" t="n">
        <v>265503.625</v>
      </c>
      <c r="E133" s="20" t="n">
        <v>109300.383</v>
      </c>
      <c r="F133" s="20"/>
      <c r="G133" s="18" t="n">
        <f aca="false">HOUR(C133)*60+MINUTE(C133)</f>
        <v>855</v>
      </c>
      <c r="H133" s="21" t="n">
        <f aca="false">IF(AND(B133=B132,A133=A132,D133&gt;0,N(D132)&gt;0,G133&gt;N(G132)),(D133-D132)/((G133-G132)/60),"")</f>
        <v>50.747999999905</v>
      </c>
      <c r="I133" s="18" t="str">
        <f aca="false">IFERROR(INDEX(Medidores!$B:$B,MATCH(B133,Medidores!$A:$A,0)),"")</f>
        <v>Estación celda 3</v>
      </c>
    </row>
    <row r="134" customFormat="false" ht="15" hidden="false" customHeight="false" outlineLevel="0" collapsed="false">
      <c r="A134" s="17" t="n">
        <v>46302</v>
      </c>
      <c r="B134" s="18" t="s">
        <v>36</v>
      </c>
      <c r="C134" s="19" t="n">
        <v>0.604166666666667</v>
      </c>
      <c r="D134" s="20" t="n">
        <v>265516.156</v>
      </c>
      <c r="E134" s="20" t="n">
        <v>109307.008</v>
      </c>
      <c r="F134" s="20"/>
      <c r="G134" s="18" t="n">
        <f aca="false">HOUR(C134)*60+MINUTE(C134)</f>
        <v>870</v>
      </c>
      <c r="H134" s="21" t="n">
        <f aca="false">IF(AND(B134=B133,A134=A133,D134&gt;0,N(D133)&gt;0,G134&gt;N(G133)),(D134-D133)/((G134-G133)/60),"")</f>
        <v>50.1240000000689</v>
      </c>
      <c r="I134" s="18" t="str">
        <f aca="false">IFERROR(INDEX(Medidores!$B:$B,MATCH(B134,Medidores!$A:$A,0)),"")</f>
        <v>Estación celda 3</v>
      </c>
    </row>
    <row r="135" customFormat="false" ht="15" hidden="false" customHeight="false" outlineLevel="0" collapsed="false">
      <c r="A135" s="17" t="n">
        <v>46302</v>
      </c>
      <c r="B135" s="18" t="s">
        <v>36</v>
      </c>
      <c r="C135" s="19" t="n">
        <v>0.614583333333333</v>
      </c>
      <c r="D135" s="20" t="n">
        <v>265530.594</v>
      </c>
      <c r="E135" s="20" t="n">
        <v>109314.258</v>
      </c>
      <c r="F135" s="20"/>
      <c r="G135" s="18" t="n">
        <f aca="false">HOUR(C135)*60+MINUTE(C135)</f>
        <v>885</v>
      </c>
      <c r="H135" s="21" t="n">
        <f aca="false">IF(AND(B135=B134,A135=A134,D135&gt;0,N(D134)&gt;0,G135&gt;N(G134)),(D135-D134)/((G135-G134)/60),"")</f>
        <v>57.7519999998622</v>
      </c>
      <c r="I135" s="18" t="str">
        <f aca="false">IFERROR(INDEX(Medidores!$B:$B,MATCH(B135,Medidores!$A:$A,0)),"")</f>
        <v>Estación celda 3</v>
      </c>
    </row>
    <row r="136" customFormat="false" ht="15" hidden="false" customHeight="false" outlineLevel="0" collapsed="false">
      <c r="A136" s="17" t="n">
        <v>46302</v>
      </c>
      <c r="B136" s="18" t="s">
        <v>36</v>
      </c>
      <c r="C136" s="19" t="n">
        <v>0.625</v>
      </c>
      <c r="D136" s="20" t="n">
        <v>265542.969</v>
      </c>
      <c r="E136" s="20" t="n">
        <v>109320.102</v>
      </c>
      <c r="F136" s="20"/>
      <c r="G136" s="18" t="n">
        <f aca="false">HOUR(C136)*60+MINUTE(C136)</f>
        <v>900</v>
      </c>
      <c r="H136" s="21" t="n">
        <f aca="false">IF(AND(B136=B135,A136=A135,D136&gt;0,N(D135)&gt;0,G136&gt;N(G135)),(D136-D135)/((G136-G135)/60),"")</f>
        <v>49.5</v>
      </c>
      <c r="I136" s="18" t="str">
        <f aca="false">IFERROR(INDEX(Medidores!$B:$B,MATCH(B136,Medidores!$A:$A,0)),"")</f>
        <v>Estación celda 3</v>
      </c>
    </row>
    <row r="137" customFormat="false" ht="15" hidden="false" customHeight="false" outlineLevel="0" collapsed="false">
      <c r="A137" s="17" t="n">
        <v>46302</v>
      </c>
      <c r="B137" s="18" t="s">
        <v>36</v>
      </c>
      <c r="C137" s="19" t="n">
        <v>0.635416666666667</v>
      </c>
      <c r="D137" s="20" t="n">
        <v>265556.438</v>
      </c>
      <c r="E137" s="20" t="n">
        <v>109327.648</v>
      </c>
      <c r="F137" s="20"/>
      <c r="G137" s="18" t="n">
        <f aca="false">HOUR(C137)*60+MINUTE(C137)</f>
        <v>915</v>
      </c>
      <c r="H137" s="21" t="n">
        <f aca="false">IF(AND(B137=B136,A137=A136,D137&gt;0,N(D136)&gt;0,G137&gt;N(G136)),(D137-D136)/((G137-G136)/60),"")</f>
        <v>53.8760000001639</v>
      </c>
      <c r="I137" s="18" t="str">
        <f aca="false">IFERROR(INDEX(Medidores!$B:$B,MATCH(B137,Medidores!$A:$A,0)),"")</f>
        <v>Estación celda 3</v>
      </c>
    </row>
    <row r="138" customFormat="false" ht="15" hidden="false" customHeight="false" outlineLevel="0" collapsed="false">
      <c r="A138" s="17" t="n">
        <v>46302</v>
      </c>
      <c r="B138" s="18" t="s">
        <v>36</v>
      </c>
      <c r="C138" s="19" t="n">
        <v>0.645833333333333</v>
      </c>
      <c r="D138" s="20" t="n">
        <v>265568.719</v>
      </c>
      <c r="E138" s="20" t="n">
        <v>109333.859</v>
      </c>
      <c r="F138" s="20"/>
      <c r="G138" s="18" t="n">
        <f aca="false">HOUR(C138)*60+MINUTE(C138)</f>
        <v>930</v>
      </c>
      <c r="H138" s="21" t="n">
        <f aca="false">IF(AND(B138=B137,A138=A137,D138&gt;0,N(D137)&gt;0,G138&gt;N(G137)),(D138-D137)/((G138-G137)/60),"")</f>
        <v>49.1239999998361</v>
      </c>
      <c r="I138" s="18" t="str">
        <f aca="false">IFERROR(INDEX(Medidores!$B:$B,MATCH(B138,Medidores!$A:$A,0)),"")</f>
        <v>Estación celda 3</v>
      </c>
    </row>
    <row r="139" customFormat="false" ht="15" hidden="false" customHeight="false" outlineLevel="0" collapsed="false">
      <c r="A139" s="17" t="n">
        <v>46302</v>
      </c>
      <c r="B139" s="18" t="s">
        <v>36</v>
      </c>
      <c r="C139" s="19" t="n">
        <v>0.65625</v>
      </c>
      <c r="D139" s="20" t="n">
        <v>265580.094</v>
      </c>
      <c r="E139" s="20" t="n">
        <v>109339.266</v>
      </c>
      <c r="F139" s="20"/>
      <c r="G139" s="18" t="n">
        <f aca="false">HOUR(C139)*60+MINUTE(C139)</f>
        <v>945</v>
      </c>
      <c r="H139" s="21" t="n">
        <f aca="false">IF(AND(B139=B138,A139=A138,D139&gt;0,N(D138)&gt;0,G139&gt;N(G138)),(D139-D138)/((G139-G138)/60),"")</f>
        <v>45.5</v>
      </c>
      <c r="I139" s="18" t="str">
        <f aca="false">IFERROR(INDEX(Medidores!$B:$B,MATCH(B139,Medidores!$A:$A,0)),"")</f>
        <v>Estación celda 3</v>
      </c>
    </row>
    <row r="140" customFormat="false" ht="15" hidden="false" customHeight="false" outlineLevel="0" collapsed="false">
      <c r="A140" s="17" t="n">
        <v>46302</v>
      </c>
      <c r="B140" s="18" t="s">
        <v>36</v>
      </c>
      <c r="C140" s="19" t="n">
        <v>0.666666666666667</v>
      </c>
      <c r="D140" s="20" t="n">
        <v>265593.375</v>
      </c>
      <c r="E140" s="20" t="n">
        <v>109346.641</v>
      </c>
      <c r="F140" s="20"/>
      <c r="G140" s="18" t="n">
        <f aca="false">HOUR(C140)*60+MINUTE(C140)</f>
        <v>960</v>
      </c>
      <c r="H140" s="21" t="n">
        <f aca="false">IF(AND(B140=B139,A140=A139,D140&gt;0,N(D139)&gt;0,G140&gt;N(G139)),(D140-D139)/((G140-G139)/60),"")</f>
        <v>53.1240000000689</v>
      </c>
      <c r="I140" s="18" t="str">
        <f aca="false">IFERROR(INDEX(Medidores!$B:$B,MATCH(B140,Medidores!$A:$A,0)),"")</f>
        <v>Estación celda 3</v>
      </c>
    </row>
    <row r="141" customFormat="false" ht="15" hidden="false" customHeight="false" outlineLevel="0" collapsed="false">
      <c r="A141" s="17" t="n">
        <v>46302</v>
      </c>
      <c r="B141" s="18" t="s">
        <v>36</v>
      </c>
      <c r="C141" s="19" t="n">
        <v>0.677083333333333</v>
      </c>
      <c r="D141" s="20" t="n">
        <v>265604.281</v>
      </c>
      <c r="E141" s="20" t="n">
        <v>109352.016</v>
      </c>
      <c r="F141" s="20"/>
      <c r="G141" s="18" t="n">
        <f aca="false">HOUR(C141)*60+MINUTE(C141)</f>
        <v>975</v>
      </c>
      <c r="H141" s="21" t="n">
        <f aca="false">IF(AND(B141=B140,A141=A140,D141&gt;0,N(D140)&gt;0,G141&gt;N(G140)),(D141-D140)/((G141-G140)/60),"")</f>
        <v>43.6240000000689</v>
      </c>
      <c r="I141" s="18" t="str">
        <f aca="false">IFERROR(INDEX(Medidores!$B:$B,MATCH(B141,Medidores!$A:$A,0)),"")</f>
        <v>Estación celda 3</v>
      </c>
    </row>
    <row r="142" customFormat="false" ht="15" hidden="false" customHeight="false" outlineLevel="0" collapsed="false">
      <c r="A142" s="17" t="n">
        <v>46302</v>
      </c>
      <c r="B142" s="18" t="s">
        <v>37</v>
      </c>
      <c r="C142" s="19" t="n">
        <v>0.479166666666667</v>
      </c>
      <c r="D142" s="20" t="n">
        <v>432776.563</v>
      </c>
      <c r="E142" s="20" t="n">
        <v>172677.563</v>
      </c>
      <c r="F142" s="20" t="n">
        <v>467890.781</v>
      </c>
      <c r="G142" s="18" t="n">
        <f aca="false">HOUR(C142)*60+MINUTE(C142)</f>
        <v>690</v>
      </c>
      <c r="H142" s="21" t="str">
        <f aca="false">IF(AND(B142=B141,A142=A141,D142&gt;0,N(D141)&gt;0,G142&gt;N(G141)),(D142-D141)/((G142-G141)/60),"")</f>
        <v/>
      </c>
      <c r="I142" s="18" t="str">
        <f aca="false">IFERROR(INDEX(Medidores!$B:$B,MATCH(B142,Medidores!$A:$A,0)),"")</f>
        <v>Estación celda 2</v>
      </c>
    </row>
    <row r="143" customFormat="false" ht="15" hidden="false" customHeight="false" outlineLevel="0" collapsed="false">
      <c r="A143" s="17" t="n">
        <v>46302</v>
      </c>
      <c r="B143" s="18" t="s">
        <v>37</v>
      </c>
      <c r="C143" s="19" t="n">
        <v>0.489583333333333</v>
      </c>
      <c r="D143" s="20" t="n">
        <v>432787.969</v>
      </c>
      <c r="E143" s="20" t="n">
        <v>172682.156</v>
      </c>
      <c r="F143" s="20" t="n">
        <v>467903.031</v>
      </c>
      <c r="G143" s="18" t="n">
        <f aca="false">HOUR(C143)*60+MINUTE(C143)</f>
        <v>705</v>
      </c>
      <c r="H143" s="21" t="n">
        <f aca="false">IF(AND(B143=B142,A143=A142,D143&gt;0,N(D142)&gt;0,G143&gt;N(G142)),(D143-D142)/((G143-G142)/60),"")</f>
        <v>45.6239999998361</v>
      </c>
      <c r="I143" s="18" t="str">
        <f aca="false">IFERROR(INDEX(Medidores!$B:$B,MATCH(B143,Medidores!$A:$A,0)),"")</f>
        <v>Estación celda 2</v>
      </c>
    </row>
    <row r="144" customFormat="false" ht="15" hidden="false" customHeight="false" outlineLevel="0" collapsed="false">
      <c r="A144" s="17" t="n">
        <v>46302</v>
      </c>
      <c r="B144" s="18" t="s">
        <v>37</v>
      </c>
      <c r="C144" s="19" t="n">
        <v>0.5</v>
      </c>
      <c r="D144" s="20" t="n">
        <v>432800.469</v>
      </c>
      <c r="E144" s="20" t="n">
        <v>172687.297</v>
      </c>
      <c r="F144" s="20" t="n">
        <v>467916.563</v>
      </c>
      <c r="G144" s="18" t="n">
        <f aca="false">HOUR(C144)*60+MINUTE(C144)</f>
        <v>720</v>
      </c>
      <c r="H144" s="21" t="n">
        <f aca="false">IF(AND(B144=B143,A144=A143,D144&gt;0,N(D143)&gt;0,G144&gt;N(G143)),(D144-D143)/((G144-G143)/60),"")</f>
        <v>50</v>
      </c>
      <c r="I144" s="18" t="str">
        <f aca="false">IFERROR(INDEX(Medidores!$B:$B,MATCH(B144,Medidores!$A:$A,0)),"")</f>
        <v>Estación celda 2</v>
      </c>
    </row>
    <row r="145" customFormat="false" ht="15" hidden="false" customHeight="false" outlineLevel="0" collapsed="false">
      <c r="A145" s="17" t="n">
        <v>46302</v>
      </c>
      <c r="B145" s="18" t="s">
        <v>37</v>
      </c>
      <c r="C145" s="19" t="n">
        <v>0.510416666666667</v>
      </c>
      <c r="D145" s="20" t="n">
        <v>432819.719</v>
      </c>
      <c r="E145" s="20" t="n">
        <v>172695.188</v>
      </c>
      <c r="F145" s="20" t="n">
        <v>467937.375</v>
      </c>
      <c r="G145" s="18" t="n">
        <f aca="false">HOUR(C145)*60+MINUTE(C145)</f>
        <v>735</v>
      </c>
      <c r="H145" s="21" t="n">
        <f aca="false">IF(AND(B145=B144,A145=A144,D145&gt;0,N(D144)&gt;0,G145&gt;N(G144)),(D145-D144)/((G145-G144)/60),"")</f>
        <v>77</v>
      </c>
      <c r="I145" s="18" t="str">
        <f aca="false">IFERROR(INDEX(Medidores!$B:$B,MATCH(B145,Medidores!$A:$A,0)),"")</f>
        <v>Estación celda 2</v>
      </c>
    </row>
    <row r="146" customFormat="false" ht="15" hidden="false" customHeight="false" outlineLevel="0" collapsed="false">
      <c r="A146" s="17" t="n">
        <v>46302</v>
      </c>
      <c r="B146" s="18" t="s">
        <v>37</v>
      </c>
      <c r="C146" s="19" t="n">
        <v>0.520833333333333</v>
      </c>
      <c r="D146" s="20" t="n">
        <v>432841.813</v>
      </c>
      <c r="E146" s="20" t="n">
        <v>172703.609</v>
      </c>
      <c r="F146" s="20" t="n">
        <v>467961.031</v>
      </c>
      <c r="G146" s="18" t="n">
        <f aca="false">HOUR(C146)*60+MINUTE(C146)</f>
        <v>750</v>
      </c>
      <c r="H146" s="21" t="n">
        <f aca="false">IF(AND(B146=B145,A146=A145,D146&gt;0,N(D145)&gt;0,G146&gt;N(G145)),(D146-D145)/((G146-G145)/60),"")</f>
        <v>88.3760000001639</v>
      </c>
      <c r="I146" s="18" t="str">
        <f aca="false">IFERROR(INDEX(Medidores!$B:$B,MATCH(B146,Medidores!$A:$A,0)),"")</f>
        <v>Estación celda 2</v>
      </c>
    </row>
    <row r="147" customFormat="false" ht="15" hidden="false" customHeight="false" outlineLevel="0" collapsed="false">
      <c r="A147" s="17" t="n">
        <v>46302</v>
      </c>
      <c r="B147" s="18" t="s">
        <v>37</v>
      </c>
      <c r="C147" s="19" t="n">
        <v>0.53125</v>
      </c>
      <c r="D147" s="20" t="n">
        <v>432863.781</v>
      </c>
      <c r="E147" s="20" t="n">
        <v>172712.641</v>
      </c>
      <c r="F147" s="20" t="n">
        <v>467984.813</v>
      </c>
      <c r="G147" s="18" t="n">
        <f aca="false">HOUR(C147)*60+MINUTE(C147)</f>
        <v>765</v>
      </c>
      <c r="H147" s="21" t="n">
        <f aca="false">IF(AND(B147=B146,A147=A146,D147&gt;0,N(D146)&gt;0,G147&gt;N(G146)),(D147-D146)/((G147-G146)/60),"")</f>
        <v>87.8719999999739</v>
      </c>
      <c r="I147" s="18" t="str">
        <f aca="false">IFERROR(INDEX(Medidores!$B:$B,MATCH(B147,Medidores!$A:$A,0)),"")</f>
        <v>Estación celda 2</v>
      </c>
    </row>
    <row r="148" customFormat="false" ht="15" hidden="false" customHeight="false" outlineLevel="0" collapsed="false">
      <c r="A148" s="17" t="n">
        <v>46302</v>
      </c>
      <c r="B148" s="18" t="s">
        <v>37</v>
      </c>
      <c r="C148" s="19" t="n">
        <v>0.541666666666667</v>
      </c>
      <c r="D148" s="20" t="n">
        <v>432885.469</v>
      </c>
      <c r="E148" s="20" t="n">
        <v>172721.906</v>
      </c>
      <c r="F148" s="20" t="n">
        <v>468008.375</v>
      </c>
      <c r="G148" s="18" t="n">
        <f aca="false">HOUR(C148)*60+MINUTE(C148)</f>
        <v>780</v>
      </c>
      <c r="H148" s="21" t="n">
        <f aca="false">IF(AND(B148=B147,A148=A147,D148&gt;0,N(D147)&gt;0,G148&gt;N(G147)),(D148-D147)/((G148-G147)/60),"")</f>
        <v>86.7519999998622</v>
      </c>
      <c r="I148" s="18" t="str">
        <f aca="false">IFERROR(INDEX(Medidores!$B:$B,MATCH(B148,Medidores!$A:$A,0)),"")</f>
        <v>Estación celda 2</v>
      </c>
    </row>
    <row r="149" customFormat="false" ht="15" hidden="false" customHeight="false" outlineLevel="0" collapsed="false">
      <c r="A149" s="17" t="n">
        <v>46302</v>
      </c>
      <c r="B149" s="18" t="s">
        <v>37</v>
      </c>
      <c r="C149" s="19" t="n">
        <v>0.552083333333333</v>
      </c>
      <c r="D149" s="20" t="n">
        <v>432907.594</v>
      </c>
      <c r="E149" s="20" t="n">
        <v>172731.125</v>
      </c>
      <c r="F149" s="20" t="n">
        <v>468032.313</v>
      </c>
      <c r="G149" s="18" t="n">
        <f aca="false">HOUR(C149)*60+MINUTE(C149)</f>
        <v>795</v>
      </c>
      <c r="H149" s="21" t="n">
        <f aca="false">IF(AND(B149=B148,A149=A148,D149&gt;0,N(D148)&gt;0,G149&gt;N(G148)),(D149-D148)/((G149-G148)/60),"")</f>
        <v>88.5</v>
      </c>
      <c r="I149" s="18" t="str">
        <f aca="false">IFERROR(INDEX(Medidores!$B:$B,MATCH(B149,Medidores!$A:$A,0)),"")</f>
        <v>Estación celda 2</v>
      </c>
    </row>
    <row r="150" customFormat="false" ht="15" hidden="false" customHeight="false" outlineLevel="0" collapsed="false">
      <c r="A150" s="17" t="n">
        <v>46302</v>
      </c>
      <c r="B150" s="18" t="s">
        <v>37</v>
      </c>
      <c r="C150" s="19" t="n">
        <v>0.5625</v>
      </c>
      <c r="D150" s="20" t="n">
        <v>432929.781</v>
      </c>
      <c r="E150" s="20" t="n">
        <v>172740.344</v>
      </c>
      <c r="F150" s="20" t="n">
        <v>468056.375</v>
      </c>
      <c r="G150" s="18" t="n">
        <f aca="false">HOUR(C150)*60+MINUTE(C150)</f>
        <v>810</v>
      </c>
      <c r="H150" s="21" t="n">
        <f aca="false">IF(AND(B150=B149,A150=A149,D150&gt;0,N(D149)&gt;0,G150&gt;N(G149)),(D150-D149)/((G150-G149)/60),"")</f>
        <v>88.7480000001378</v>
      </c>
      <c r="I150" s="18" t="str">
        <f aca="false">IFERROR(INDEX(Medidores!$B:$B,MATCH(B150,Medidores!$A:$A,0)),"")</f>
        <v>Estación celda 2</v>
      </c>
    </row>
    <row r="151" customFormat="false" ht="15" hidden="false" customHeight="false" outlineLevel="0" collapsed="false">
      <c r="A151" s="17" t="n">
        <v>46302</v>
      </c>
      <c r="B151" s="18" t="s">
        <v>37</v>
      </c>
      <c r="C151" s="19" t="n">
        <v>0.572916666666667</v>
      </c>
      <c r="D151" s="20" t="n">
        <v>432951.625</v>
      </c>
      <c r="E151" s="20" t="n">
        <v>172749.406</v>
      </c>
      <c r="F151" s="20" t="n">
        <v>468080</v>
      </c>
      <c r="G151" s="18" t="n">
        <f aca="false">HOUR(C151)*60+MINUTE(C151)</f>
        <v>825</v>
      </c>
      <c r="H151" s="21" t="n">
        <f aca="false">IF(AND(B151=B150,A151=A150,D151&gt;0,N(D150)&gt;0,G151&gt;N(G150)),(D151-D150)/((G151-G150)/60),"")</f>
        <v>87.3759999999311</v>
      </c>
      <c r="I151" s="18" t="str">
        <f aca="false">IFERROR(INDEX(Medidores!$B:$B,MATCH(B151,Medidores!$A:$A,0)),"")</f>
        <v>Estación celda 2</v>
      </c>
    </row>
    <row r="152" customFormat="false" ht="15" hidden="false" customHeight="false" outlineLevel="0" collapsed="false">
      <c r="A152" s="17" t="n">
        <v>46302</v>
      </c>
      <c r="B152" s="18" t="s">
        <v>37</v>
      </c>
      <c r="C152" s="19" t="n">
        <v>0.583333333333333</v>
      </c>
      <c r="D152" s="20" t="n">
        <v>432974.281</v>
      </c>
      <c r="E152" s="20" t="n">
        <v>172758.5</v>
      </c>
      <c r="F152" s="20" t="n">
        <v>468104.406</v>
      </c>
      <c r="G152" s="18" t="n">
        <f aca="false">HOUR(C152)*60+MINUTE(C152)</f>
        <v>840</v>
      </c>
      <c r="H152" s="21" t="n">
        <f aca="false">IF(AND(B152=B151,A152=A151,D152&gt;0,N(D151)&gt;0,G152&gt;N(G151)),(D152-D151)/((G152-G151)/60),"")</f>
        <v>90.6240000000689</v>
      </c>
      <c r="I152" s="18" t="str">
        <f aca="false">IFERROR(INDEX(Medidores!$B:$B,MATCH(B152,Medidores!$A:$A,0)),"")</f>
        <v>Estación celda 2</v>
      </c>
    </row>
    <row r="153" customFormat="false" ht="15" hidden="false" customHeight="false" outlineLevel="0" collapsed="false">
      <c r="A153" s="17" t="n">
        <v>46302</v>
      </c>
      <c r="B153" s="18" t="s">
        <v>37</v>
      </c>
      <c r="C153" s="19" t="n">
        <v>0.59375</v>
      </c>
      <c r="D153" s="20" t="n">
        <v>432996.375</v>
      </c>
      <c r="E153" s="20" t="n">
        <v>172767.484</v>
      </c>
      <c r="F153" s="20" t="n">
        <v>468128.281</v>
      </c>
      <c r="G153" s="18" t="n">
        <f aca="false">HOUR(C153)*60+MINUTE(C153)</f>
        <v>855</v>
      </c>
      <c r="H153" s="21" t="n">
        <f aca="false">IF(AND(B153=B152,A153=A152,D153&gt;0,N(D152)&gt;0,G153&gt;N(G152)),(D153-D152)/((G153-G152)/60),"")</f>
        <v>88.3759999999311</v>
      </c>
      <c r="I153" s="18" t="str">
        <f aca="false">IFERROR(INDEX(Medidores!$B:$B,MATCH(B153,Medidores!$A:$A,0)),"")</f>
        <v>Estación celda 2</v>
      </c>
    </row>
    <row r="154" customFormat="false" ht="15" hidden="false" customHeight="false" outlineLevel="0" collapsed="false">
      <c r="A154" s="17" t="n">
        <v>46302</v>
      </c>
      <c r="B154" s="18" t="s">
        <v>37</v>
      </c>
      <c r="C154" s="19" t="n">
        <v>0.604166666666667</v>
      </c>
      <c r="D154" s="20" t="n">
        <v>433018.344</v>
      </c>
      <c r="E154" s="20" t="n">
        <v>172776.5</v>
      </c>
      <c r="F154" s="20" t="n">
        <v>468152.031</v>
      </c>
      <c r="G154" s="18" t="n">
        <f aca="false">HOUR(C154)*60+MINUTE(C154)</f>
        <v>870</v>
      </c>
      <c r="H154" s="21" t="n">
        <f aca="false">IF(AND(B154=B153,A154=A153,D154&gt;0,N(D153)&gt;0,G154&gt;N(G153)),(D154-D153)/((G154-G153)/60),"")</f>
        <v>87.8759999999311</v>
      </c>
      <c r="I154" s="18" t="str">
        <f aca="false">IFERROR(INDEX(Medidores!$B:$B,MATCH(B154,Medidores!$A:$A,0)),"")</f>
        <v>Estación celda 2</v>
      </c>
    </row>
    <row r="155" customFormat="false" ht="15" hidden="false" customHeight="false" outlineLevel="0" collapsed="false">
      <c r="A155" s="17" t="n">
        <v>46302</v>
      </c>
      <c r="B155" s="18" t="s">
        <v>37</v>
      </c>
      <c r="C155" s="19" t="n">
        <v>0.614583333333333</v>
      </c>
      <c r="D155" s="20" t="n">
        <v>433041.781</v>
      </c>
      <c r="E155" s="20" t="n">
        <v>172786.297</v>
      </c>
      <c r="F155" s="20" t="n">
        <v>468177.469</v>
      </c>
      <c r="G155" s="18" t="n">
        <f aca="false">HOUR(C155)*60+MINUTE(C155)</f>
        <v>885</v>
      </c>
      <c r="H155" s="21" t="n">
        <f aca="false">IF(AND(B155=B154,A155=A154,D155&gt;0,N(D154)&gt;0,G155&gt;N(G154)),(D155-D154)/((G155-G154)/60),"")</f>
        <v>93.7480000001378</v>
      </c>
      <c r="I155" s="18" t="str">
        <f aca="false">IFERROR(INDEX(Medidores!$B:$B,MATCH(B155,Medidores!$A:$A,0)),"")</f>
        <v>Estación celda 2</v>
      </c>
    </row>
    <row r="156" customFormat="false" ht="15" hidden="false" customHeight="false" outlineLevel="0" collapsed="false">
      <c r="A156" s="17" t="n">
        <v>46302</v>
      </c>
      <c r="B156" s="18" t="s">
        <v>37</v>
      </c>
      <c r="C156" s="19" t="n">
        <v>0.625</v>
      </c>
      <c r="D156" s="20" t="n">
        <v>433066.25</v>
      </c>
      <c r="E156" s="20" t="n">
        <v>172796.375</v>
      </c>
      <c r="F156" s="20" t="n">
        <v>468203.875</v>
      </c>
      <c r="G156" s="18" t="n">
        <f aca="false">HOUR(C156)*60+MINUTE(C156)</f>
        <v>900</v>
      </c>
      <c r="H156" s="21" t="n">
        <f aca="false">IF(AND(B156=B155,A156=A155,D156&gt;0,N(D155)&gt;0,G156&gt;N(G155)),(D156-D155)/((G156-G155)/60),"")</f>
        <v>97.8759999999311</v>
      </c>
      <c r="I156" s="18" t="str">
        <f aca="false">IFERROR(INDEX(Medidores!$B:$B,MATCH(B156,Medidores!$A:$A,0)),"")</f>
        <v>Estación celda 2</v>
      </c>
    </row>
    <row r="157" customFormat="false" ht="15" hidden="false" customHeight="false" outlineLevel="0" collapsed="false">
      <c r="A157" s="17" t="n">
        <v>46302</v>
      </c>
      <c r="B157" s="18" t="s">
        <v>37</v>
      </c>
      <c r="C157" s="19" t="n">
        <v>0.635416666666667</v>
      </c>
      <c r="D157" s="20" t="n">
        <v>433090.438</v>
      </c>
      <c r="E157" s="20" t="n">
        <v>172806.453</v>
      </c>
      <c r="F157" s="20" t="n">
        <v>468230.125</v>
      </c>
      <c r="G157" s="18" t="n">
        <f aca="false">HOUR(C157)*60+MINUTE(C157)</f>
        <v>915</v>
      </c>
      <c r="H157" s="21" t="n">
        <f aca="false">IF(AND(B157=B156,A157=A156,D157&gt;0,N(D156)&gt;0,G157&gt;N(G156)),(D157-D156)/((G157-G156)/60),"")</f>
        <v>96.752000000095</v>
      </c>
      <c r="I157" s="18" t="str">
        <f aca="false">IFERROR(INDEX(Medidores!$B:$B,MATCH(B157,Medidores!$A:$A,0)),"")</f>
        <v>Estación celda 2</v>
      </c>
    </row>
    <row r="158" customFormat="false" ht="15" hidden="false" customHeight="false" outlineLevel="0" collapsed="false">
      <c r="A158" s="17" t="n">
        <v>46302</v>
      </c>
      <c r="B158" s="18" t="s">
        <v>37</v>
      </c>
      <c r="C158" s="19" t="n">
        <v>0.645833333333333</v>
      </c>
      <c r="D158" s="20" t="n">
        <v>433112.813</v>
      </c>
      <c r="E158" s="20" t="n">
        <v>172816</v>
      </c>
      <c r="F158" s="20" t="n">
        <v>468254.438</v>
      </c>
      <c r="G158" s="18" t="n">
        <f aca="false">HOUR(C158)*60+MINUTE(C158)</f>
        <v>930</v>
      </c>
      <c r="H158" s="21" t="n">
        <f aca="false">IF(AND(B158=B157,A158=A157,D158&gt;0,N(D157)&gt;0,G158&gt;N(G157)),(D158-D157)/((G158-G157)/60),"")</f>
        <v>89.5</v>
      </c>
      <c r="I158" s="18" t="str">
        <f aca="false">IFERROR(INDEX(Medidores!$B:$B,MATCH(B158,Medidores!$A:$A,0)),"")</f>
        <v>Estación celda 2</v>
      </c>
    </row>
    <row r="159" customFormat="false" ht="15" hidden="false" customHeight="false" outlineLevel="0" collapsed="false">
      <c r="A159" s="17" t="n">
        <v>46302</v>
      </c>
      <c r="B159" s="18" t="s">
        <v>37</v>
      </c>
      <c r="C159" s="19" t="n">
        <v>0.65625</v>
      </c>
      <c r="D159" s="20" t="n">
        <v>433133.188</v>
      </c>
      <c r="E159" s="20" t="n">
        <v>172825.109</v>
      </c>
      <c r="F159" s="20" t="n">
        <v>468276.75</v>
      </c>
      <c r="G159" s="18" t="n">
        <f aca="false">HOUR(C159)*60+MINUTE(C159)</f>
        <v>945</v>
      </c>
      <c r="H159" s="21" t="n">
        <f aca="false">IF(AND(B159=B158,A159=A158,D159&gt;0,N(D158)&gt;0,G159&gt;N(G158)),(D159-D158)/((G159-G158)/60),"")</f>
        <v>81.5</v>
      </c>
      <c r="I159" s="18" t="str">
        <f aca="false">IFERROR(INDEX(Medidores!$B:$B,MATCH(B159,Medidores!$A:$A,0)),"")</f>
        <v>Estación celda 2</v>
      </c>
    </row>
    <row r="160" customFormat="false" ht="15" hidden="false" customHeight="false" outlineLevel="0" collapsed="false">
      <c r="A160" s="17" t="n">
        <v>46302</v>
      </c>
      <c r="B160" s="18" t="s">
        <v>37</v>
      </c>
      <c r="C160" s="19" t="n">
        <v>0.666666666666667</v>
      </c>
      <c r="D160" s="20" t="n">
        <v>433154.938</v>
      </c>
      <c r="E160" s="20" t="n">
        <v>172834.563</v>
      </c>
      <c r="F160" s="20" t="n">
        <v>468300.469</v>
      </c>
      <c r="G160" s="18" t="n">
        <f aca="false">HOUR(C160)*60+MINUTE(C160)</f>
        <v>960</v>
      </c>
      <c r="H160" s="21" t="n">
        <f aca="false">IF(AND(B160=B159,A160=A159,D160&gt;0,N(D159)&gt;0,G160&gt;N(G159)),(D160-D159)/((G160-G159)/60),"")</f>
        <v>87</v>
      </c>
      <c r="I160" s="18" t="str">
        <f aca="false">IFERROR(INDEX(Medidores!$B:$B,MATCH(B160,Medidores!$A:$A,0)),"")</f>
        <v>Estación celda 2</v>
      </c>
    </row>
    <row r="161" customFormat="false" ht="15" hidden="false" customHeight="false" outlineLevel="0" collapsed="false">
      <c r="A161" s="17" t="n">
        <v>46302</v>
      </c>
      <c r="B161" s="18" t="s">
        <v>37</v>
      </c>
      <c r="C161" s="19" t="n">
        <v>0.677083333333333</v>
      </c>
      <c r="D161" s="20" t="n">
        <v>433178.531</v>
      </c>
      <c r="E161" s="20" t="n">
        <v>172844.516</v>
      </c>
      <c r="F161" s="20" t="n">
        <v>468326.063</v>
      </c>
      <c r="G161" s="18" t="n">
        <f aca="false">HOUR(C161)*60+MINUTE(C161)</f>
        <v>975</v>
      </c>
      <c r="H161" s="21" t="n">
        <f aca="false">IF(AND(B161=B160,A161=A160,D161&gt;0,N(D160)&gt;0,G161&gt;N(G160)),(D161-D160)/((G161-G160)/60),"")</f>
        <v>94.3719999999739</v>
      </c>
      <c r="I161" s="18" t="str">
        <f aca="false">IFERROR(INDEX(Medidores!$B:$B,MATCH(B161,Medidores!$A:$A,0)),"")</f>
        <v>Estación celda 2</v>
      </c>
    </row>
    <row r="162" customFormat="false" ht="15" hidden="false" customHeight="false" outlineLevel="0" collapsed="false">
      <c r="A162" s="17" t="n">
        <v>46302</v>
      </c>
      <c r="B162" s="18" t="s">
        <v>38</v>
      </c>
      <c r="C162" s="19" t="n">
        <v>0.479166666666667</v>
      </c>
      <c r="D162" s="20" t="n">
        <v>328632.844</v>
      </c>
      <c r="E162" s="20" t="n">
        <v>171777.375</v>
      </c>
      <c r="F162" s="20" t="n">
        <v>372216.125</v>
      </c>
      <c r="G162" s="18" t="n">
        <f aca="false">HOUR(C162)*60+MINUTE(C162)</f>
        <v>690</v>
      </c>
      <c r="H162" s="21" t="str">
        <f aca="false">IF(AND(B162=B161,A162=A161,D162&gt;0,N(D161)&gt;0,G162&gt;N(G161)),(D162-D161)/((G162-G161)/60),"")</f>
        <v/>
      </c>
      <c r="I162" s="18" t="str">
        <f aca="false">IFERROR(INDEX(Medidores!$B:$B,MATCH(B162,Medidores!$A:$A,0)),"")</f>
        <v>Estación celda 1</v>
      </c>
    </row>
    <row r="163" customFormat="false" ht="15" hidden="false" customHeight="false" outlineLevel="0" collapsed="false">
      <c r="A163" s="17" t="n">
        <v>46302</v>
      </c>
      <c r="B163" s="18" t="s">
        <v>38</v>
      </c>
      <c r="C163" s="19" t="n">
        <v>0.489583333333333</v>
      </c>
      <c r="D163" s="20" t="n">
        <v>328640.688</v>
      </c>
      <c r="E163" s="20" t="n">
        <v>171781.109</v>
      </c>
      <c r="F163" s="20" t="n">
        <v>372224.875</v>
      </c>
      <c r="G163" s="18" t="n">
        <f aca="false">HOUR(C163)*60+MINUTE(C163)</f>
        <v>705</v>
      </c>
      <c r="H163" s="21" t="n">
        <f aca="false">IF(AND(B163=B162,A163=A162,D163&gt;0,N(D162)&gt;0,G163&gt;N(G162)),(D163-D162)/((G163-G162)/60),"")</f>
        <v>31.3760000001639</v>
      </c>
      <c r="I163" s="18" t="str">
        <f aca="false">IFERROR(INDEX(Medidores!$B:$B,MATCH(B163,Medidores!$A:$A,0)),"")</f>
        <v>Estación celda 1</v>
      </c>
    </row>
    <row r="164" customFormat="false" ht="15" hidden="false" customHeight="false" outlineLevel="0" collapsed="false">
      <c r="A164" s="17" t="n">
        <v>46302</v>
      </c>
      <c r="B164" s="18" t="s">
        <v>38</v>
      </c>
      <c r="C164" s="19" t="n">
        <v>0.5</v>
      </c>
      <c r="D164" s="20" t="n">
        <v>328648.25</v>
      </c>
      <c r="E164" s="20" t="n">
        <v>171784.766</v>
      </c>
      <c r="F164" s="20" t="n">
        <v>372233.313</v>
      </c>
      <c r="G164" s="18" t="n">
        <f aca="false">HOUR(C164)*60+MINUTE(C164)</f>
        <v>720</v>
      </c>
      <c r="H164" s="21" t="n">
        <f aca="false">IF(AND(B164=B163,A164=A163,D164&gt;0,N(D163)&gt;0,G164&gt;N(G163)),(D164-D163)/((G164-G163)/60),"")</f>
        <v>30.247999999905</v>
      </c>
      <c r="I164" s="18" t="str">
        <f aca="false">IFERROR(INDEX(Medidores!$B:$B,MATCH(B164,Medidores!$A:$A,0)),"")</f>
        <v>Estación celda 1</v>
      </c>
    </row>
    <row r="165" customFormat="false" ht="15" hidden="false" customHeight="false" outlineLevel="0" collapsed="false">
      <c r="A165" s="17" t="n">
        <v>46302</v>
      </c>
      <c r="B165" s="18" t="s">
        <v>38</v>
      </c>
      <c r="C165" s="19" t="n">
        <v>0.510416666666667</v>
      </c>
      <c r="D165" s="20" t="n">
        <v>328658.594</v>
      </c>
      <c r="E165" s="20" t="n">
        <v>171789.859</v>
      </c>
      <c r="F165" s="20" t="n">
        <v>372244.875</v>
      </c>
      <c r="G165" s="18" t="n">
        <f aca="false">HOUR(C165)*60+MINUTE(C165)</f>
        <v>735</v>
      </c>
      <c r="H165" s="21" t="n">
        <f aca="false">IF(AND(B165=B164,A165=A164,D165&gt;0,N(D164)&gt;0,G165&gt;N(G164)),(D165-D164)/((G165-G164)/60),"")</f>
        <v>41.3759999999311</v>
      </c>
      <c r="I165" s="18" t="str">
        <f aca="false">IFERROR(INDEX(Medidores!$B:$B,MATCH(B165,Medidores!$A:$A,0)),"")</f>
        <v>Estación celda 1</v>
      </c>
    </row>
    <row r="166" customFormat="false" ht="15" hidden="false" customHeight="false" outlineLevel="0" collapsed="false">
      <c r="A166" s="17" t="n">
        <v>46302</v>
      </c>
      <c r="B166" s="18" t="s">
        <v>38</v>
      </c>
      <c r="C166" s="19" t="n">
        <v>0.520833333333333</v>
      </c>
      <c r="D166" s="20" t="n">
        <v>328670.969</v>
      </c>
      <c r="E166" s="20" t="n">
        <v>171795.828</v>
      </c>
      <c r="F166" s="20" t="n">
        <v>372258.625</v>
      </c>
      <c r="G166" s="18" t="n">
        <f aca="false">HOUR(C166)*60+MINUTE(C166)</f>
        <v>750</v>
      </c>
      <c r="H166" s="21" t="n">
        <f aca="false">IF(AND(B166=B165,A166=A165,D166&gt;0,N(D165)&gt;0,G166&gt;N(G165)),(D166-D165)/((G166-G165)/60),"")</f>
        <v>49.5</v>
      </c>
      <c r="I166" s="18" t="str">
        <f aca="false">IFERROR(INDEX(Medidores!$B:$B,MATCH(B166,Medidores!$A:$A,0)),"")</f>
        <v>Estación celda 1</v>
      </c>
    </row>
    <row r="167" customFormat="false" ht="15" hidden="false" customHeight="false" outlineLevel="0" collapsed="false">
      <c r="A167" s="17" t="n">
        <v>46302</v>
      </c>
      <c r="B167" s="18" t="s">
        <v>38</v>
      </c>
      <c r="C167" s="19" t="n">
        <v>0.53125</v>
      </c>
      <c r="D167" s="20" t="n">
        <v>328684.625</v>
      </c>
      <c r="E167" s="20" t="n">
        <v>171802.156</v>
      </c>
      <c r="F167" s="20" t="n">
        <v>372273.688</v>
      </c>
      <c r="G167" s="18" t="n">
        <f aca="false">HOUR(C167)*60+MINUTE(C167)</f>
        <v>765</v>
      </c>
      <c r="H167" s="21" t="n">
        <f aca="false">IF(AND(B167=B166,A167=A166,D167&gt;0,N(D166)&gt;0,G167&gt;N(G166)),(D167-D166)/((G167-G166)/60),"")</f>
        <v>54.6240000000689</v>
      </c>
      <c r="I167" s="18" t="str">
        <f aca="false">IFERROR(INDEX(Medidores!$B:$B,MATCH(B167,Medidores!$A:$A,0)),"")</f>
        <v>Estación celda 1</v>
      </c>
    </row>
    <row r="168" customFormat="false" ht="15" hidden="false" customHeight="false" outlineLevel="0" collapsed="false">
      <c r="A168" s="17" t="n">
        <v>46302</v>
      </c>
      <c r="B168" s="18" t="s">
        <v>38</v>
      </c>
      <c r="C168" s="19" t="n">
        <v>0.541666666666667</v>
      </c>
      <c r="D168" s="20" t="n">
        <v>328698.438</v>
      </c>
      <c r="E168" s="20" t="n">
        <v>171808.547</v>
      </c>
      <c r="F168" s="20" t="n">
        <v>372288.906</v>
      </c>
      <c r="G168" s="18" t="n">
        <f aca="false">HOUR(C168)*60+MINUTE(C168)</f>
        <v>780</v>
      </c>
      <c r="H168" s="21" t="n">
        <f aca="false">IF(AND(B168=B167,A168=A167,D168&gt;0,N(D167)&gt;0,G168&gt;N(G167)),(D168-D167)/((G168-G167)/60),"")</f>
        <v>55.252000000095</v>
      </c>
      <c r="I168" s="18" t="str">
        <f aca="false">IFERROR(INDEX(Medidores!$B:$B,MATCH(B168,Medidores!$A:$A,0)),"")</f>
        <v>Estación celda 1</v>
      </c>
    </row>
    <row r="169" customFormat="false" ht="15" hidden="false" customHeight="false" outlineLevel="0" collapsed="false">
      <c r="A169" s="17" t="n">
        <v>46302</v>
      </c>
      <c r="B169" s="18" t="s">
        <v>38</v>
      </c>
      <c r="C169" s="19" t="n">
        <v>0.552083333333333</v>
      </c>
      <c r="D169" s="20" t="n">
        <v>328711.438</v>
      </c>
      <c r="E169" s="20" t="n">
        <v>171815.016</v>
      </c>
      <c r="F169" s="20" t="n">
        <v>372303.438</v>
      </c>
      <c r="G169" s="18" t="n">
        <f aca="false">HOUR(C169)*60+MINUTE(C169)</f>
        <v>795</v>
      </c>
      <c r="H169" s="21" t="n">
        <f aca="false">IF(AND(B169=B168,A169=A168,D169&gt;0,N(D168)&gt;0,G169&gt;N(G168)),(D169-D168)/((G169-G168)/60),"")</f>
        <v>52</v>
      </c>
      <c r="I169" s="18" t="str">
        <f aca="false">IFERROR(INDEX(Medidores!$B:$B,MATCH(B169,Medidores!$A:$A,0)),"")</f>
        <v>Estación celda 1</v>
      </c>
    </row>
    <row r="170" customFormat="false" ht="15" hidden="false" customHeight="false" outlineLevel="0" collapsed="false">
      <c r="A170" s="17" t="n">
        <v>46302</v>
      </c>
      <c r="B170" s="18" t="s">
        <v>38</v>
      </c>
      <c r="C170" s="19" t="n">
        <v>0.5625</v>
      </c>
      <c r="D170" s="20" t="n">
        <v>328725.094</v>
      </c>
      <c r="E170" s="20" t="n">
        <v>171821.656</v>
      </c>
      <c r="F170" s="20" t="n">
        <v>372318.625</v>
      </c>
      <c r="G170" s="18" t="n">
        <f aca="false">HOUR(C170)*60+MINUTE(C170)</f>
        <v>810</v>
      </c>
      <c r="H170" s="21" t="n">
        <f aca="false">IF(AND(B170=B169,A170=A169,D170&gt;0,N(D169)&gt;0,G170&gt;N(G169)),(D170-D169)/((G170-G169)/60),"")</f>
        <v>54.6239999998361</v>
      </c>
      <c r="I170" s="18" t="str">
        <f aca="false">IFERROR(INDEX(Medidores!$B:$B,MATCH(B170,Medidores!$A:$A,0)),"")</f>
        <v>Estación celda 1</v>
      </c>
    </row>
    <row r="171" customFormat="false" ht="15" hidden="false" customHeight="false" outlineLevel="0" collapsed="false">
      <c r="A171" s="17" t="n">
        <v>46302</v>
      </c>
      <c r="B171" s="18" t="s">
        <v>38</v>
      </c>
      <c r="C171" s="19" t="n">
        <v>0.572916666666667</v>
      </c>
      <c r="D171" s="20" t="n">
        <v>328737.688</v>
      </c>
      <c r="E171" s="20" t="n">
        <v>171828.016</v>
      </c>
      <c r="F171" s="20" t="n">
        <v>372332.75</v>
      </c>
      <c r="G171" s="18" t="n">
        <f aca="false">HOUR(C171)*60+MINUTE(C171)</f>
        <v>825</v>
      </c>
      <c r="H171" s="21" t="n">
        <f aca="false">IF(AND(B171=B170,A171=A170,D171&gt;0,N(D170)&gt;0,G171&gt;N(G170)),(D171-D170)/((G171-G170)/60),"")</f>
        <v>50.3760000001639</v>
      </c>
      <c r="I171" s="18" t="str">
        <f aca="false">IFERROR(INDEX(Medidores!$B:$B,MATCH(B171,Medidores!$A:$A,0)),"")</f>
        <v>Estación celda 1</v>
      </c>
    </row>
    <row r="172" customFormat="false" ht="15" hidden="false" customHeight="false" outlineLevel="0" collapsed="false">
      <c r="A172" s="17" t="n">
        <v>46302</v>
      </c>
      <c r="B172" s="18" t="s">
        <v>38</v>
      </c>
      <c r="C172" s="19" t="n">
        <v>0.583333333333333</v>
      </c>
      <c r="D172" s="20" t="n">
        <v>328750.469</v>
      </c>
      <c r="E172" s="20" t="n">
        <v>171834.313</v>
      </c>
      <c r="F172" s="20" t="n">
        <v>372346.969</v>
      </c>
      <c r="G172" s="18" t="n">
        <f aca="false">HOUR(C172)*60+MINUTE(C172)</f>
        <v>840</v>
      </c>
      <c r="H172" s="21" t="n">
        <f aca="false">IF(AND(B172=B171,A172=A171,D172&gt;0,N(D171)&gt;0,G172&gt;N(G171)),(D172-D171)/((G172-G171)/60),"")</f>
        <v>51.1239999998361</v>
      </c>
      <c r="I172" s="18" t="str">
        <f aca="false">IFERROR(INDEX(Medidores!$B:$B,MATCH(B172,Medidores!$A:$A,0)),"")</f>
        <v>Estación celda 1</v>
      </c>
    </row>
    <row r="173" customFormat="false" ht="15" hidden="false" customHeight="false" outlineLevel="0" collapsed="false">
      <c r="A173" s="17" t="n">
        <v>46302</v>
      </c>
      <c r="B173" s="18" t="s">
        <v>38</v>
      </c>
      <c r="C173" s="19" t="n">
        <v>0.59375</v>
      </c>
      <c r="D173" s="20" t="n">
        <v>328764</v>
      </c>
      <c r="E173" s="20" t="n">
        <v>171840.813</v>
      </c>
      <c r="F173" s="20" t="n">
        <v>372362.031</v>
      </c>
      <c r="G173" s="18" t="n">
        <f aca="false">HOUR(C173)*60+MINUTE(C173)</f>
        <v>855</v>
      </c>
      <c r="H173" s="21" t="n">
        <f aca="false">IF(AND(B173=B172,A173=A172,D173&gt;0,N(D172)&gt;0,G173&gt;N(G172)),(D173-D172)/((G173-G172)/60),"")</f>
        <v>54.1240000000689</v>
      </c>
      <c r="I173" s="18" t="str">
        <f aca="false">IFERROR(INDEX(Medidores!$B:$B,MATCH(B173,Medidores!$A:$A,0)),"")</f>
        <v>Estación celda 1</v>
      </c>
    </row>
    <row r="174" customFormat="false" ht="15" hidden="false" customHeight="false" outlineLevel="0" collapsed="false">
      <c r="A174" s="17" t="n">
        <v>46302</v>
      </c>
      <c r="B174" s="18" t="s">
        <v>38</v>
      </c>
      <c r="C174" s="19" t="n">
        <v>0.604166666666667</v>
      </c>
      <c r="D174" s="20" t="n">
        <v>328776.719</v>
      </c>
      <c r="E174" s="20" t="n">
        <v>171847.016</v>
      </c>
      <c r="F174" s="20" t="n">
        <v>372376.125</v>
      </c>
      <c r="G174" s="18" t="n">
        <f aca="false">HOUR(C174)*60+MINUTE(C174)</f>
        <v>870</v>
      </c>
      <c r="H174" s="21" t="n">
        <f aca="false">IF(AND(B174=B173,A174=A173,D174&gt;0,N(D173)&gt;0,G174&gt;N(G173)),(D174-D173)/((G174-G173)/60),"")</f>
        <v>50.8759999999311</v>
      </c>
      <c r="I174" s="18" t="str">
        <f aca="false">IFERROR(INDEX(Medidores!$B:$B,MATCH(B174,Medidores!$A:$A,0)),"")</f>
        <v>Estación celda 1</v>
      </c>
    </row>
    <row r="175" customFormat="false" ht="15" hidden="false" customHeight="false" outlineLevel="0" collapsed="false">
      <c r="A175" s="17" t="n">
        <v>46302</v>
      </c>
      <c r="B175" s="18" t="s">
        <v>38</v>
      </c>
      <c r="C175" s="19" t="n">
        <v>0.614583333333333</v>
      </c>
      <c r="D175" s="20" t="n">
        <v>328789.563</v>
      </c>
      <c r="E175" s="20" t="n">
        <v>171853.266</v>
      </c>
      <c r="F175" s="20" t="n">
        <v>372390.469</v>
      </c>
      <c r="G175" s="18" t="n">
        <f aca="false">HOUR(C175)*60+MINUTE(C175)</f>
        <v>885</v>
      </c>
      <c r="H175" s="21" t="n">
        <f aca="false">IF(AND(B175=B174,A175=A174,D175&gt;0,N(D174)&gt;0,G175&gt;N(G174)),(D175-D174)/((G175-G174)/60),"")</f>
        <v>51.3760000001639</v>
      </c>
      <c r="I175" s="18" t="str">
        <f aca="false">IFERROR(INDEX(Medidores!$B:$B,MATCH(B175,Medidores!$A:$A,0)),"")</f>
        <v>Estación celda 1</v>
      </c>
    </row>
    <row r="176" customFormat="false" ht="15" hidden="false" customHeight="false" outlineLevel="0" collapsed="false">
      <c r="A176" s="17" t="n">
        <v>46302</v>
      </c>
      <c r="B176" s="18" t="s">
        <v>38</v>
      </c>
      <c r="C176" s="19" t="n">
        <v>0.625</v>
      </c>
      <c r="D176" s="20" t="n">
        <v>328805.281</v>
      </c>
      <c r="E176" s="20" t="n">
        <v>171860.547</v>
      </c>
      <c r="F176" s="20" t="n">
        <v>372407.781</v>
      </c>
      <c r="G176" s="18" t="n">
        <f aca="false">HOUR(C176)*60+MINUTE(C176)</f>
        <v>900</v>
      </c>
      <c r="H176" s="21" t="n">
        <f aca="false">IF(AND(B176=B175,A176=A175,D176&gt;0,N(D175)&gt;0,G176&gt;N(G175)),(D176-D175)/((G176-G175)/60),"")</f>
        <v>62.8719999999739</v>
      </c>
      <c r="I176" s="18" t="str">
        <f aca="false">IFERROR(INDEX(Medidores!$B:$B,MATCH(B176,Medidores!$A:$A,0)),"")</f>
        <v>Estación celda 1</v>
      </c>
    </row>
    <row r="177" customFormat="false" ht="15" hidden="false" customHeight="false" outlineLevel="0" collapsed="false">
      <c r="A177" s="17" t="n">
        <v>46302</v>
      </c>
      <c r="B177" s="18" t="s">
        <v>38</v>
      </c>
      <c r="C177" s="19" t="n">
        <v>0.635416666666667</v>
      </c>
      <c r="D177" s="20" t="n">
        <v>328819.094</v>
      </c>
      <c r="E177" s="20" t="n">
        <v>171867.188</v>
      </c>
      <c r="F177" s="20" t="n">
        <v>372423.125</v>
      </c>
      <c r="G177" s="18" t="n">
        <f aca="false">HOUR(C177)*60+MINUTE(C177)</f>
        <v>915</v>
      </c>
      <c r="H177" s="21" t="n">
        <f aca="false">IF(AND(B177=B176,A177=A176,D177&gt;0,N(D176)&gt;0,G177&gt;N(G176)),(D177-D176)/((G177-G176)/60),"")</f>
        <v>55.2519999998622</v>
      </c>
      <c r="I177" s="18" t="str">
        <f aca="false">IFERROR(INDEX(Medidores!$B:$B,MATCH(B177,Medidores!$A:$A,0)),"")</f>
        <v>Estación celda 1</v>
      </c>
    </row>
    <row r="178" customFormat="false" ht="15" hidden="false" customHeight="false" outlineLevel="0" collapsed="false">
      <c r="A178" s="17" t="n">
        <v>46302</v>
      </c>
      <c r="B178" s="18" t="s">
        <v>38</v>
      </c>
      <c r="C178" s="19" t="n">
        <v>0.645833333333333</v>
      </c>
      <c r="D178" s="20" t="n">
        <v>328833.438</v>
      </c>
      <c r="E178" s="20" t="n">
        <v>171873.984</v>
      </c>
      <c r="F178" s="20" t="n">
        <v>372439</v>
      </c>
      <c r="G178" s="18" t="n">
        <f aca="false">HOUR(C178)*60+MINUTE(C178)</f>
        <v>930</v>
      </c>
      <c r="H178" s="21" t="n">
        <f aca="false">IF(AND(B178=B177,A178=A177,D178&gt;0,N(D177)&gt;0,G178&gt;N(G177)),(D178-D177)/((G178-G177)/60),"")</f>
        <v>57.3760000001639</v>
      </c>
      <c r="I178" s="18" t="str">
        <f aca="false">IFERROR(INDEX(Medidores!$B:$B,MATCH(B178,Medidores!$A:$A,0)),"")</f>
        <v>Estación celda 1</v>
      </c>
    </row>
    <row r="179" customFormat="false" ht="15" hidden="false" customHeight="false" outlineLevel="0" collapsed="false">
      <c r="A179" s="17" t="n">
        <v>46302</v>
      </c>
      <c r="B179" s="18" t="s">
        <v>38</v>
      </c>
      <c r="C179" s="19" t="n">
        <v>0.65625</v>
      </c>
      <c r="D179" s="20" t="n">
        <v>328845.563</v>
      </c>
      <c r="E179" s="20" t="n">
        <v>171880.125</v>
      </c>
      <c r="F179" s="20" t="n">
        <v>372452.594</v>
      </c>
      <c r="G179" s="18" t="n">
        <f aca="false">HOUR(C179)*60+MINUTE(C179)</f>
        <v>945</v>
      </c>
      <c r="H179" s="21" t="n">
        <f aca="false">IF(AND(B179=B178,A179=A178,D179&gt;0,N(D178)&gt;0,G179&gt;N(G178)),(D179-D178)/((G179-G178)/60),"")</f>
        <v>48.5</v>
      </c>
      <c r="I179" s="18" t="str">
        <f aca="false">IFERROR(INDEX(Medidores!$B:$B,MATCH(B179,Medidores!$A:$A,0)),"")</f>
        <v>Estación celda 1</v>
      </c>
    </row>
    <row r="180" customFormat="false" ht="15" hidden="false" customHeight="false" outlineLevel="0" collapsed="false">
      <c r="A180" s="17" t="n">
        <v>46302</v>
      </c>
      <c r="B180" s="18" t="s">
        <v>38</v>
      </c>
      <c r="C180" s="19" t="n">
        <v>0.666666666666667</v>
      </c>
      <c r="D180" s="20" t="n">
        <v>328855.094</v>
      </c>
      <c r="E180" s="20" t="n">
        <v>171885.422</v>
      </c>
      <c r="F180" s="20" t="n">
        <v>372463.531</v>
      </c>
      <c r="G180" s="18" t="n">
        <f aca="false">HOUR(C180)*60+MINUTE(C180)</f>
        <v>960</v>
      </c>
      <c r="H180" s="21" t="n">
        <f aca="false">IF(AND(B180=B179,A180=A179,D180&gt;0,N(D179)&gt;0,G180&gt;N(G179)),(D180-D179)/((G180-G179)/60),"")</f>
        <v>38.1239999998361</v>
      </c>
      <c r="I180" s="18" t="str">
        <f aca="false">IFERROR(INDEX(Medidores!$B:$B,MATCH(B180,Medidores!$A:$A,0)),"")</f>
        <v>Estación celda 1</v>
      </c>
    </row>
    <row r="181" customFormat="false" ht="15" hidden="false" customHeight="false" outlineLevel="0" collapsed="false">
      <c r="A181" s="17" t="n">
        <v>46302</v>
      </c>
      <c r="B181" s="18" t="s">
        <v>38</v>
      </c>
      <c r="C181" s="19" t="n">
        <v>0.677083333333333</v>
      </c>
      <c r="D181" s="20" t="n">
        <v>328866.094</v>
      </c>
      <c r="E181" s="20" t="n">
        <v>171891.313</v>
      </c>
      <c r="F181" s="20" t="n">
        <v>372475.969</v>
      </c>
      <c r="G181" s="18" t="n">
        <f aca="false">HOUR(C181)*60+MINUTE(C181)</f>
        <v>975</v>
      </c>
      <c r="H181" s="21" t="n">
        <f aca="false">IF(AND(B181=B180,A181=A180,D181&gt;0,N(D180)&gt;0,G181&gt;N(G180)),(D181-D180)/((G181-G180)/60),"")</f>
        <v>44</v>
      </c>
      <c r="I181" s="18" t="str">
        <f aca="false">IFERROR(INDEX(Medidores!$B:$B,MATCH(B181,Medidores!$A:$A,0)),"")</f>
        <v>Estación celda 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4"/>
  </cols>
  <sheetData>
    <row r="1" customFormat="false" ht="15" hidden="false" customHeight="false" outlineLevel="0" collapsed="false">
      <c r="A1" s="9" t="s">
        <v>10</v>
      </c>
      <c r="B1" s="9" t="s">
        <v>39</v>
      </c>
      <c r="D1" s="2" t="s">
        <v>40</v>
      </c>
    </row>
    <row r="2" customFormat="false" ht="15" hidden="false" customHeight="false" outlineLevel="0" collapsed="false">
      <c r="A2" s="10" t="s">
        <v>30</v>
      </c>
      <c r="B2" s="22" t="s">
        <v>41</v>
      </c>
    </row>
    <row r="3" customFormat="false" ht="15" hidden="false" customHeight="false" outlineLevel="0" collapsed="false">
      <c r="A3" s="10" t="s">
        <v>31</v>
      </c>
      <c r="B3" s="22" t="s">
        <v>42</v>
      </c>
    </row>
    <row r="4" customFormat="false" ht="15" hidden="false" customHeight="false" outlineLevel="0" collapsed="false">
      <c r="A4" s="10" t="s">
        <v>32</v>
      </c>
      <c r="B4" s="22" t="s">
        <v>43</v>
      </c>
    </row>
    <row r="5" customFormat="false" ht="15" hidden="false" customHeight="false" outlineLevel="0" collapsed="false">
      <c r="A5" s="10" t="s">
        <v>33</v>
      </c>
      <c r="B5" s="22" t="s">
        <v>44</v>
      </c>
    </row>
    <row r="6" customFormat="false" ht="15" hidden="false" customHeight="false" outlineLevel="0" collapsed="false">
      <c r="A6" s="10" t="s">
        <v>34</v>
      </c>
      <c r="B6" s="22" t="s">
        <v>45</v>
      </c>
    </row>
    <row r="7" customFormat="false" ht="15" hidden="false" customHeight="false" outlineLevel="0" collapsed="false">
      <c r="A7" s="10" t="s">
        <v>29</v>
      </c>
      <c r="B7" s="22" t="s">
        <v>46</v>
      </c>
    </row>
    <row r="8" customFormat="false" ht="15" hidden="false" customHeight="false" outlineLevel="0" collapsed="false">
      <c r="A8" s="10" t="s">
        <v>35</v>
      </c>
      <c r="B8" s="22" t="s">
        <v>47</v>
      </c>
    </row>
    <row r="9" customFormat="false" ht="15" hidden="false" customHeight="false" outlineLevel="0" collapsed="false">
      <c r="A9" s="10" t="s">
        <v>36</v>
      </c>
      <c r="B9" s="22" t="s">
        <v>48</v>
      </c>
    </row>
    <row r="10" customFormat="false" ht="15" hidden="false" customHeight="false" outlineLevel="0" collapsed="false">
      <c r="A10" s="10" t="s">
        <v>37</v>
      </c>
      <c r="B10" s="22" t="s">
        <v>4</v>
      </c>
    </row>
    <row r="11" customFormat="false" ht="15" hidden="false" customHeight="false" outlineLevel="0" collapsed="false">
      <c r="A11" s="10" t="s">
        <v>38</v>
      </c>
      <c r="B11" s="22" t="s">
        <v>49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sheetData>
    <row r="1" customFormat="false" ht="23.85" hidden="false" customHeight="false" outlineLevel="0" collapsed="false">
      <c r="A1" s="9" t="s">
        <v>50</v>
      </c>
      <c r="B1" s="9" t="s">
        <v>51</v>
      </c>
      <c r="C1" s="9" t="s">
        <v>52</v>
      </c>
      <c r="E1" s="2" t="s">
        <v>53</v>
      </c>
    </row>
    <row r="2" customFormat="false" ht="15" hidden="false" customHeight="false" outlineLevel="0" collapsed="false">
      <c r="A2" s="18" t="n">
        <v>15</v>
      </c>
      <c r="B2" s="18" t="s">
        <v>54</v>
      </c>
      <c r="C2" s="21" t="str">
        <f aca="false">IF(COUNTIFS(Datos!$B:$B,Tablero!$H$5,Datos!$A:$A,Tablero!$B$5,Datos!$G:$G,$A2,Datos!$H:$H,"&gt;=0")=0,"",SUMIFS(Datos!$H:$H,Datos!$B:$B,Tablero!$H$5,Datos!$A:$A,Tablero!$B$5,Datos!$G:$G,$A2))</f>
        <v/>
      </c>
    </row>
    <row r="3" customFormat="false" ht="15" hidden="false" customHeight="false" outlineLevel="0" collapsed="false">
      <c r="A3" s="18" t="n">
        <v>30</v>
      </c>
      <c r="B3" s="18" t="s">
        <v>55</v>
      </c>
      <c r="C3" s="21" t="str">
        <f aca="false">IF(COUNTIFS(Datos!$B:$B,Tablero!$H$5,Datos!$A:$A,Tablero!$B$5,Datos!$G:$G,$A3,Datos!$H:$H,"&gt;=0")=0,"",SUMIFS(Datos!$H:$H,Datos!$B:$B,Tablero!$H$5,Datos!$A:$A,Tablero!$B$5,Datos!$G:$G,$A3))</f>
        <v/>
      </c>
    </row>
    <row r="4" customFormat="false" ht="15" hidden="false" customHeight="false" outlineLevel="0" collapsed="false">
      <c r="A4" s="18" t="n">
        <v>45</v>
      </c>
      <c r="B4" s="18" t="s">
        <v>56</v>
      </c>
      <c r="C4" s="21" t="str">
        <f aca="false">IF(COUNTIFS(Datos!$B:$B,Tablero!$H$5,Datos!$A:$A,Tablero!$B$5,Datos!$G:$G,$A4,Datos!$H:$H,"&gt;=0")=0,"",SUMIFS(Datos!$H:$H,Datos!$B:$B,Tablero!$H$5,Datos!$A:$A,Tablero!$B$5,Datos!$G:$G,$A4))</f>
        <v/>
      </c>
    </row>
    <row r="5" customFormat="false" ht="15" hidden="false" customHeight="false" outlineLevel="0" collapsed="false">
      <c r="A5" s="18" t="n">
        <v>60</v>
      </c>
      <c r="B5" s="18" t="s">
        <v>57</v>
      </c>
      <c r="C5" s="21" t="str">
        <f aca="false">IF(COUNTIFS(Datos!$B:$B,Tablero!$H$5,Datos!$A:$A,Tablero!$B$5,Datos!$G:$G,$A5,Datos!$H:$H,"&gt;=0")=0,"",SUMIFS(Datos!$H:$H,Datos!$B:$B,Tablero!$H$5,Datos!$A:$A,Tablero!$B$5,Datos!$G:$G,$A5))</f>
        <v/>
      </c>
    </row>
    <row r="6" customFormat="false" ht="15" hidden="false" customHeight="false" outlineLevel="0" collapsed="false">
      <c r="A6" s="18" t="n">
        <v>75</v>
      </c>
      <c r="B6" s="18" t="s">
        <v>58</v>
      </c>
      <c r="C6" s="21" t="str">
        <f aca="false">IF(COUNTIFS(Datos!$B:$B,Tablero!$H$5,Datos!$A:$A,Tablero!$B$5,Datos!$G:$G,$A6,Datos!$H:$H,"&gt;=0")=0,"",SUMIFS(Datos!$H:$H,Datos!$B:$B,Tablero!$H$5,Datos!$A:$A,Tablero!$B$5,Datos!$G:$G,$A6))</f>
        <v/>
      </c>
    </row>
    <row r="7" customFormat="false" ht="15" hidden="false" customHeight="false" outlineLevel="0" collapsed="false">
      <c r="A7" s="18" t="n">
        <v>90</v>
      </c>
      <c r="B7" s="18" t="s">
        <v>59</v>
      </c>
      <c r="C7" s="21" t="str">
        <f aca="false">IF(COUNTIFS(Datos!$B:$B,Tablero!$H$5,Datos!$A:$A,Tablero!$B$5,Datos!$G:$G,$A7,Datos!$H:$H,"&gt;=0")=0,"",SUMIFS(Datos!$H:$H,Datos!$B:$B,Tablero!$H$5,Datos!$A:$A,Tablero!$B$5,Datos!$G:$G,$A7))</f>
        <v/>
      </c>
    </row>
    <row r="8" customFormat="false" ht="15" hidden="false" customHeight="false" outlineLevel="0" collapsed="false">
      <c r="A8" s="18" t="n">
        <v>105</v>
      </c>
      <c r="B8" s="18" t="s">
        <v>60</v>
      </c>
      <c r="C8" s="21" t="str">
        <f aca="false">IF(COUNTIFS(Datos!$B:$B,Tablero!$H$5,Datos!$A:$A,Tablero!$B$5,Datos!$G:$G,$A8,Datos!$H:$H,"&gt;=0")=0,"",SUMIFS(Datos!$H:$H,Datos!$B:$B,Tablero!$H$5,Datos!$A:$A,Tablero!$B$5,Datos!$G:$G,$A8))</f>
        <v/>
      </c>
    </row>
    <row r="9" customFormat="false" ht="15" hidden="false" customHeight="false" outlineLevel="0" collapsed="false">
      <c r="A9" s="18" t="n">
        <v>120</v>
      </c>
      <c r="B9" s="18" t="s">
        <v>61</v>
      </c>
      <c r="C9" s="21" t="str">
        <f aca="false">IF(COUNTIFS(Datos!$B:$B,Tablero!$H$5,Datos!$A:$A,Tablero!$B$5,Datos!$G:$G,$A9,Datos!$H:$H,"&gt;=0")=0,"",SUMIFS(Datos!$H:$H,Datos!$B:$B,Tablero!$H$5,Datos!$A:$A,Tablero!$B$5,Datos!$G:$G,$A9))</f>
        <v/>
      </c>
    </row>
    <row r="10" customFormat="false" ht="15" hidden="false" customHeight="false" outlineLevel="0" collapsed="false">
      <c r="A10" s="18" t="n">
        <v>135</v>
      </c>
      <c r="B10" s="18" t="s">
        <v>62</v>
      </c>
      <c r="C10" s="21" t="str">
        <f aca="false">IF(COUNTIFS(Datos!$B:$B,Tablero!$H$5,Datos!$A:$A,Tablero!$B$5,Datos!$G:$G,$A10,Datos!$H:$H,"&gt;=0")=0,"",SUMIFS(Datos!$H:$H,Datos!$B:$B,Tablero!$H$5,Datos!$A:$A,Tablero!$B$5,Datos!$G:$G,$A10))</f>
        <v/>
      </c>
    </row>
    <row r="11" customFormat="false" ht="15" hidden="false" customHeight="false" outlineLevel="0" collapsed="false">
      <c r="A11" s="18" t="n">
        <v>150</v>
      </c>
      <c r="B11" s="18" t="s">
        <v>63</v>
      </c>
      <c r="C11" s="21" t="str">
        <f aca="false">IF(COUNTIFS(Datos!$B:$B,Tablero!$H$5,Datos!$A:$A,Tablero!$B$5,Datos!$G:$G,$A11,Datos!$H:$H,"&gt;=0")=0,"",SUMIFS(Datos!$H:$H,Datos!$B:$B,Tablero!$H$5,Datos!$A:$A,Tablero!$B$5,Datos!$G:$G,$A11))</f>
        <v/>
      </c>
    </row>
    <row r="12" customFormat="false" ht="15" hidden="false" customHeight="false" outlineLevel="0" collapsed="false">
      <c r="A12" s="18" t="n">
        <v>165</v>
      </c>
      <c r="B12" s="18" t="s">
        <v>64</v>
      </c>
      <c r="C12" s="21" t="str">
        <f aca="false">IF(COUNTIFS(Datos!$B:$B,Tablero!$H$5,Datos!$A:$A,Tablero!$B$5,Datos!$G:$G,$A12,Datos!$H:$H,"&gt;=0")=0,"",SUMIFS(Datos!$H:$H,Datos!$B:$B,Tablero!$H$5,Datos!$A:$A,Tablero!$B$5,Datos!$G:$G,$A12))</f>
        <v/>
      </c>
    </row>
    <row r="13" customFormat="false" ht="15" hidden="false" customHeight="false" outlineLevel="0" collapsed="false">
      <c r="A13" s="18" t="n">
        <v>180</v>
      </c>
      <c r="B13" s="18" t="s">
        <v>65</v>
      </c>
      <c r="C13" s="21" t="str">
        <f aca="false">IF(COUNTIFS(Datos!$B:$B,Tablero!$H$5,Datos!$A:$A,Tablero!$B$5,Datos!$G:$G,$A13,Datos!$H:$H,"&gt;=0")=0,"",SUMIFS(Datos!$H:$H,Datos!$B:$B,Tablero!$H$5,Datos!$A:$A,Tablero!$B$5,Datos!$G:$G,$A13))</f>
        <v/>
      </c>
    </row>
    <row r="14" customFormat="false" ht="15" hidden="false" customHeight="false" outlineLevel="0" collapsed="false">
      <c r="A14" s="18" t="n">
        <v>195</v>
      </c>
      <c r="B14" s="18" t="s">
        <v>66</v>
      </c>
      <c r="C14" s="21" t="str">
        <f aca="false">IF(COUNTIFS(Datos!$B:$B,Tablero!$H$5,Datos!$A:$A,Tablero!$B$5,Datos!$G:$G,$A14,Datos!$H:$H,"&gt;=0")=0,"",SUMIFS(Datos!$H:$H,Datos!$B:$B,Tablero!$H$5,Datos!$A:$A,Tablero!$B$5,Datos!$G:$G,$A14))</f>
        <v/>
      </c>
    </row>
    <row r="15" customFormat="false" ht="15" hidden="false" customHeight="false" outlineLevel="0" collapsed="false">
      <c r="A15" s="18" t="n">
        <v>210</v>
      </c>
      <c r="B15" s="18" t="s">
        <v>67</v>
      </c>
      <c r="C15" s="21" t="str">
        <f aca="false">IF(COUNTIFS(Datos!$B:$B,Tablero!$H$5,Datos!$A:$A,Tablero!$B$5,Datos!$G:$G,$A15,Datos!$H:$H,"&gt;=0")=0,"",SUMIFS(Datos!$H:$H,Datos!$B:$B,Tablero!$H$5,Datos!$A:$A,Tablero!$B$5,Datos!$G:$G,$A15))</f>
        <v/>
      </c>
    </row>
    <row r="16" customFormat="false" ht="15" hidden="false" customHeight="false" outlineLevel="0" collapsed="false">
      <c r="A16" s="18" t="n">
        <v>225</v>
      </c>
      <c r="B16" s="18" t="s">
        <v>68</v>
      </c>
      <c r="C16" s="21" t="str">
        <f aca="false">IF(COUNTIFS(Datos!$B:$B,Tablero!$H$5,Datos!$A:$A,Tablero!$B$5,Datos!$G:$G,$A16,Datos!$H:$H,"&gt;=0")=0,"",SUMIFS(Datos!$H:$H,Datos!$B:$B,Tablero!$H$5,Datos!$A:$A,Tablero!$B$5,Datos!$G:$G,$A16))</f>
        <v/>
      </c>
    </row>
    <row r="17" customFormat="false" ht="15" hidden="false" customHeight="false" outlineLevel="0" collapsed="false">
      <c r="A17" s="18" t="n">
        <v>240</v>
      </c>
      <c r="B17" s="18" t="s">
        <v>69</v>
      </c>
      <c r="C17" s="21" t="str">
        <f aca="false">IF(COUNTIFS(Datos!$B:$B,Tablero!$H$5,Datos!$A:$A,Tablero!$B$5,Datos!$G:$G,$A17,Datos!$H:$H,"&gt;=0")=0,"",SUMIFS(Datos!$H:$H,Datos!$B:$B,Tablero!$H$5,Datos!$A:$A,Tablero!$B$5,Datos!$G:$G,$A17))</f>
        <v/>
      </c>
    </row>
    <row r="18" customFormat="false" ht="15" hidden="false" customHeight="false" outlineLevel="0" collapsed="false">
      <c r="A18" s="18" t="n">
        <v>255</v>
      </c>
      <c r="B18" s="18" t="s">
        <v>70</v>
      </c>
      <c r="C18" s="21" t="str">
        <f aca="false">IF(COUNTIFS(Datos!$B:$B,Tablero!$H$5,Datos!$A:$A,Tablero!$B$5,Datos!$G:$G,$A18,Datos!$H:$H,"&gt;=0")=0,"",SUMIFS(Datos!$H:$H,Datos!$B:$B,Tablero!$H$5,Datos!$A:$A,Tablero!$B$5,Datos!$G:$G,$A18))</f>
        <v/>
      </c>
    </row>
    <row r="19" customFormat="false" ht="15" hidden="false" customHeight="false" outlineLevel="0" collapsed="false">
      <c r="A19" s="18" t="n">
        <v>270</v>
      </c>
      <c r="B19" s="18" t="s">
        <v>71</v>
      </c>
      <c r="C19" s="21" t="str">
        <f aca="false">IF(COUNTIFS(Datos!$B:$B,Tablero!$H$5,Datos!$A:$A,Tablero!$B$5,Datos!$G:$G,$A19,Datos!$H:$H,"&gt;=0")=0,"",SUMIFS(Datos!$H:$H,Datos!$B:$B,Tablero!$H$5,Datos!$A:$A,Tablero!$B$5,Datos!$G:$G,$A19))</f>
        <v/>
      </c>
    </row>
    <row r="20" customFormat="false" ht="15" hidden="false" customHeight="false" outlineLevel="0" collapsed="false">
      <c r="A20" s="18" t="n">
        <v>285</v>
      </c>
      <c r="B20" s="18" t="s">
        <v>72</v>
      </c>
      <c r="C20" s="21" t="str">
        <f aca="false">IF(COUNTIFS(Datos!$B:$B,Tablero!$H$5,Datos!$A:$A,Tablero!$B$5,Datos!$G:$G,$A20,Datos!$H:$H,"&gt;=0")=0,"",SUMIFS(Datos!$H:$H,Datos!$B:$B,Tablero!$H$5,Datos!$A:$A,Tablero!$B$5,Datos!$G:$G,$A20))</f>
        <v/>
      </c>
    </row>
    <row r="21" customFormat="false" ht="15" hidden="false" customHeight="false" outlineLevel="0" collapsed="false">
      <c r="A21" s="18" t="n">
        <v>300</v>
      </c>
      <c r="B21" s="18" t="s">
        <v>73</v>
      </c>
      <c r="C21" s="21" t="str">
        <f aca="false">IF(COUNTIFS(Datos!$B:$B,Tablero!$H$5,Datos!$A:$A,Tablero!$B$5,Datos!$G:$G,$A21,Datos!$H:$H,"&gt;=0")=0,"",SUMIFS(Datos!$H:$H,Datos!$B:$B,Tablero!$H$5,Datos!$A:$A,Tablero!$B$5,Datos!$G:$G,$A21))</f>
        <v/>
      </c>
    </row>
    <row r="22" customFormat="false" ht="15" hidden="false" customHeight="false" outlineLevel="0" collapsed="false">
      <c r="A22" s="18" t="n">
        <v>315</v>
      </c>
      <c r="B22" s="18" t="s">
        <v>74</v>
      </c>
      <c r="C22" s="21" t="str">
        <f aca="false">IF(COUNTIFS(Datos!$B:$B,Tablero!$H$5,Datos!$A:$A,Tablero!$B$5,Datos!$G:$G,$A22,Datos!$H:$H,"&gt;=0")=0,"",SUMIFS(Datos!$H:$H,Datos!$B:$B,Tablero!$H$5,Datos!$A:$A,Tablero!$B$5,Datos!$G:$G,$A22))</f>
        <v/>
      </c>
    </row>
    <row r="23" customFormat="false" ht="15" hidden="false" customHeight="false" outlineLevel="0" collapsed="false">
      <c r="A23" s="18" t="n">
        <v>330</v>
      </c>
      <c r="B23" s="18" t="s">
        <v>75</v>
      </c>
      <c r="C23" s="21" t="str">
        <f aca="false">IF(COUNTIFS(Datos!$B:$B,Tablero!$H$5,Datos!$A:$A,Tablero!$B$5,Datos!$G:$G,$A23,Datos!$H:$H,"&gt;=0")=0,"",SUMIFS(Datos!$H:$H,Datos!$B:$B,Tablero!$H$5,Datos!$A:$A,Tablero!$B$5,Datos!$G:$G,$A23))</f>
        <v/>
      </c>
    </row>
    <row r="24" customFormat="false" ht="15" hidden="false" customHeight="false" outlineLevel="0" collapsed="false">
      <c r="A24" s="18" t="n">
        <v>345</v>
      </c>
      <c r="B24" s="18" t="s">
        <v>76</v>
      </c>
      <c r="C24" s="21" t="str">
        <f aca="false">IF(COUNTIFS(Datos!$B:$B,Tablero!$H$5,Datos!$A:$A,Tablero!$B$5,Datos!$G:$G,$A24,Datos!$H:$H,"&gt;=0")=0,"",SUMIFS(Datos!$H:$H,Datos!$B:$B,Tablero!$H$5,Datos!$A:$A,Tablero!$B$5,Datos!$G:$G,$A24))</f>
        <v/>
      </c>
    </row>
    <row r="25" customFormat="false" ht="15" hidden="false" customHeight="false" outlineLevel="0" collapsed="false">
      <c r="A25" s="18" t="n">
        <v>360</v>
      </c>
      <c r="B25" s="18" t="s">
        <v>77</v>
      </c>
      <c r="C25" s="21" t="str">
        <f aca="false">IF(COUNTIFS(Datos!$B:$B,Tablero!$H$5,Datos!$A:$A,Tablero!$B$5,Datos!$G:$G,$A25,Datos!$H:$H,"&gt;=0")=0,"",SUMIFS(Datos!$H:$H,Datos!$B:$B,Tablero!$H$5,Datos!$A:$A,Tablero!$B$5,Datos!$G:$G,$A25))</f>
        <v/>
      </c>
    </row>
    <row r="26" customFormat="false" ht="15" hidden="false" customHeight="false" outlineLevel="0" collapsed="false">
      <c r="A26" s="18" t="n">
        <v>375</v>
      </c>
      <c r="B26" s="18" t="s">
        <v>78</v>
      </c>
      <c r="C26" s="21" t="str">
        <f aca="false">IF(COUNTIFS(Datos!$B:$B,Tablero!$H$5,Datos!$A:$A,Tablero!$B$5,Datos!$G:$G,$A26,Datos!$H:$H,"&gt;=0")=0,"",SUMIFS(Datos!$H:$H,Datos!$B:$B,Tablero!$H$5,Datos!$A:$A,Tablero!$B$5,Datos!$G:$G,$A26))</f>
        <v/>
      </c>
    </row>
    <row r="27" customFormat="false" ht="15" hidden="false" customHeight="false" outlineLevel="0" collapsed="false">
      <c r="A27" s="18" t="n">
        <v>390</v>
      </c>
      <c r="B27" s="18" t="s">
        <v>79</v>
      </c>
      <c r="C27" s="21" t="str">
        <f aca="false">IF(COUNTIFS(Datos!$B:$B,Tablero!$H$5,Datos!$A:$A,Tablero!$B$5,Datos!$G:$G,$A27,Datos!$H:$H,"&gt;=0")=0,"",SUMIFS(Datos!$H:$H,Datos!$B:$B,Tablero!$H$5,Datos!$A:$A,Tablero!$B$5,Datos!$G:$G,$A27))</f>
        <v/>
      </c>
    </row>
    <row r="28" customFormat="false" ht="15" hidden="false" customHeight="false" outlineLevel="0" collapsed="false">
      <c r="A28" s="18" t="n">
        <v>405</v>
      </c>
      <c r="B28" s="18" t="s">
        <v>80</v>
      </c>
      <c r="C28" s="21" t="str">
        <f aca="false">IF(COUNTIFS(Datos!$B:$B,Tablero!$H$5,Datos!$A:$A,Tablero!$B$5,Datos!$G:$G,$A28,Datos!$H:$H,"&gt;=0")=0,"",SUMIFS(Datos!$H:$H,Datos!$B:$B,Tablero!$H$5,Datos!$A:$A,Tablero!$B$5,Datos!$G:$G,$A28))</f>
        <v/>
      </c>
    </row>
    <row r="29" customFormat="false" ht="15" hidden="false" customHeight="false" outlineLevel="0" collapsed="false">
      <c r="A29" s="18" t="n">
        <v>420</v>
      </c>
      <c r="B29" s="18" t="s">
        <v>81</v>
      </c>
      <c r="C29" s="21" t="str">
        <f aca="false">IF(COUNTIFS(Datos!$B:$B,Tablero!$H$5,Datos!$A:$A,Tablero!$B$5,Datos!$G:$G,$A29,Datos!$H:$H,"&gt;=0")=0,"",SUMIFS(Datos!$H:$H,Datos!$B:$B,Tablero!$H$5,Datos!$A:$A,Tablero!$B$5,Datos!$G:$G,$A29))</f>
        <v/>
      </c>
    </row>
    <row r="30" customFormat="false" ht="15" hidden="false" customHeight="false" outlineLevel="0" collapsed="false">
      <c r="A30" s="18" t="n">
        <v>435</v>
      </c>
      <c r="B30" s="18" t="s">
        <v>82</v>
      </c>
      <c r="C30" s="21" t="str">
        <f aca="false">IF(COUNTIFS(Datos!$B:$B,Tablero!$H$5,Datos!$A:$A,Tablero!$B$5,Datos!$G:$G,$A30,Datos!$H:$H,"&gt;=0")=0,"",SUMIFS(Datos!$H:$H,Datos!$B:$B,Tablero!$H$5,Datos!$A:$A,Tablero!$B$5,Datos!$G:$G,$A30))</f>
        <v/>
      </c>
    </row>
    <row r="31" customFormat="false" ht="15" hidden="false" customHeight="false" outlineLevel="0" collapsed="false">
      <c r="A31" s="18" t="n">
        <v>450</v>
      </c>
      <c r="B31" s="18" t="s">
        <v>83</v>
      </c>
      <c r="C31" s="21" t="str">
        <f aca="false">IF(COUNTIFS(Datos!$B:$B,Tablero!$H$5,Datos!$A:$A,Tablero!$B$5,Datos!$G:$G,$A31,Datos!$H:$H,"&gt;=0")=0,"",SUMIFS(Datos!$H:$H,Datos!$B:$B,Tablero!$H$5,Datos!$A:$A,Tablero!$B$5,Datos!$G:$G,$A31))</f>
        <v/>
      </c>
    </row>
    <row r="32" customFormat="false" ht="15" hidden="false" customHeight="false" outlineLevel="0" collapsed="false">
      <c r="A32" s="18" t="n">
        <v>465</v>
      </c>
      <c r="B32" s="18" t="s">
        <v>84</v>
      </c>
      <c r="C32" s="21" t="str">
        <f aca="false">IF(COUNTIFS(Datos!$B:$B,Tablero!$H$5,Datos!$A:$A,Tablero!$B$5,Datos!$G:$G,$A32,Datos!$H:$H,"&gt;=0")=0,"",SUMIFS(Datos!$H:$H,Datos!$B:$B,Tablero!$H$5,Datos!$A:$A,Tablero!$B$5,Datos!$G:$G,$A32))</f>
        <v/>
      </c>
    </row>
    <row r="33" customFormat="false" ht="15" hidden="false" customHeight="false" outlineLevel="0" collapsed="false">
      <c r="A33" s="18" t="n">
        <v>480</v>
      </c>
      <c r="B33" s="18" t="s">
        <v>85</v>
      </c>
      <c r="C33" s="21" t="str">
        <f aca="false">IF(COUNTIFS(Datos!$B:$B,Tablero!$H$5,Datos!$A:$A,Tablero!$B$5,Datos!$G:$G,$A33,Datos!$H:$H,"&gt;=0")=0,"",SUMIFS(Datos!$H:$H,Datos!$B:$B,Tablero!$H$5,Datos!$A:$A,Tablero!$B$5,Datos!$G:$G,$A33))</f>
        <v/>
      </c>
    </row>
    <row r="34" customFormat="false" ht="15" hidden="false" customHeight="false" outlineLevel="0" collapsed="false">
      <c r="A34" s="18" t="n">
        <v>495</v>
      </c>
      <c r="B34" s="18" t="s">
        <v>86</v>
      </c>
      <c r="C34" s="21" t="str">
        <f aca="false">IF(COUNTIFS(Datos!$B:$B,Tablero!$H$5,Datos!$A:$A,Tablero!$B$5,Datos!$G:$G,$A34,Datos!$H:$H,"&gt;=0")=0,"",SUMIFS(Datos!$H:$H,Datos!$B:$B,Tablero!$H$5,Datos!$A:$A,Tablero!$B$5,Datos!$G:$G,$A34))</f>
        <v/>
      </c>
    </row>
    <row r="35" customFormat="false" ht="15" hidden="false" customHeight="false" outlineLevel="0" collapsed="false">
      <c r="A35" s="18" t="n">
        <v>510</v>
      </c>
      <c r="B35" s="18" t="s">
        <v>87</v>
      </c>
      <c r="C35" s="21" t="str">
        <f aca="false">IF(COUNTIFS(Datos!$B:$B,Tablero!$H$5,Datos!$A:$A,Tablero!$B$5,Datos!$G:$G,$A35,Datos!$H:$H,"&gt;=0")=0,"",SUMIFS(Datos!$H:$H,Datos!$B:$B,Tablero!$H$5,Datos!$A:$A,Tablero!$B$5,Datos!$G:$G,$A35))</f>
        <v/>
      </c>
    </row>
    <row r="36" customFormat="false" ht="15" hidden="false" customHeight="false" outlineLevel="0" collapsed="false">
      <c r="A36" s="18" t="n">
        <v>525</v>
      </c>
      <c r="B36" s="18" t="s">
        <v>88</v>
      </c>
      <c r="C36" s="21" t="str">
        <f aca="false">IF(COUNTIFS(Datos!$B:$B,Tablero!$H$5,Datos!$A:$A,Tablero!$B$5,Datos!$G:$G,$A36,Datos!$H:$H,"&gt;=0")=0,"",SUMIFS(Datos!$H:$H,Datos!$B:$B,Tablero!$H$5,Datos!$A:$A,Tablero!$B$5,Datos!$G:$G,$A36))</f>
        <v/>
      </c>
    </row>
    <row r="37" customFormat="false" ht="15" hidden="false" customHeight="false" outlineLevel="0" collapsed="false">
      <c r="A37" s="18" t="n">
        <v>540</v>
      </c>
      <c r="B37" s="18" t="s">
        <v>89</v>
      </c>
      <c r="C37" s="21" t="str">
        <f aca="false">IF(COUNTIFS(Datos!$B:$B,Tablero!$H$5,Datos!$A:$A,Tablero!$B$5,Datos!$G:$G,$A37,Datos!$H:$H,"&gt;=0")=0,"",SUMIFS(Datos!$H:$H,Datos!$B:$B,Tablero!$H$5,Datos!$A:$A,Tablero!$B$5,Datos!$G:$G,$A37))</f>
        <v/>
      </c>
    </row>
    <row r="38" customFormat="false" ht="15" hidden="false" customHeight="false" outlineLevel="0" collapsed="false">
      <c r="A38" s="18" t="n">
        <v>555</v>
      </c>
      <c r="B38" s="18" t="s">
        <v>90</v>
      </c>
      <c r="C38" s="21" t="str">
        <f aca="false">IF(COUNTIFS(Datos!$B:$B,Tablero!$H$5,Datos!$A:$A,Tablero!$B$5,Datos!$G:$G,$A38,Datos!$H:$H,"&gt;=0")=0,"",SUMIFS(Datos!$H:$H,Datos!$B:$B,Tablero!$H$5,Datos!$A:$A,Tablero!$B$5,Datos!$G:$G,$A38))</f>
        <v/>
      </c>
    </row>
    <row r="39" customFormat="false" ht="15" hidden="false" customHeight="false" outlineLevel="0" collapsed="false">
      <c r="A39" s="18" t="n">
        <v>570</v>
      </c>
      <c r="B39" s="18" t="s">
        <v>91</v>
      </c>
      <c r="C39" s="21" t="str">
        <f aca="false">IF(COUNTIFS(Datos!$B:$B,Tablero!$H$5,Datos!$A:$A,Tablero!$B$5,Datos!$G:$G,$A39,Datos!$H:$H,"&gt;=0")=0,"",SUMIFS(Datos!$H:$H,Datos!$B:$B,Tablero!$H$5,Datos!$A:$A,Tablero!$B$5,Datos!$G:$G,$A39))</f>
        <v/>
      </c>
    </row>
    <row r="40" customFormat="false" ht="15" hidden="false" customHeight="false" outlineLevel="0" collapsed="false">
      <c r="A40" s="18" t="n">
        <v>585</v>
      </c>
      <c r="B40" s="18" t="s">
        <v>92</v>
      </c>
      <c r="C40" s="21" t="str">
        <f aca="false">IF(COUNTIFS(Datos!$B:$B,Tablero!$H$5,Datos!$A:$A,Tablero!$B$5,Datos!$G:$G,$A40,Datos!$H:$H,"&gt;=0")=0,"",SUMIFS(Datos!$H:$H,Datos!$B:$B,Tablero!$H$5,Datos!$A:$A,Tablero!$B$5,Datos!$G:$G,$A40))</f>
        <v/>
      </c>
    </row>
    <row r="41" customFormat="false" ht="15" hidden="false" customHeight="false" outlineLevel="0" collapsed="false">
      <c r="A41" s="18" t="n">
        <v>600</v>
      </c>
      <c r="B41" s="18" t="s">
        <v>93</v>
      </c>
      <c r="C41" s="21" t="str">
        <f aca="false">IF(COUNTIFS(Datos!$B:$B,Tablero!$H$5,Datos!$A:$A,Tablero!$B$5,Datos!$G:$G,$A41,Datos!$H:$H,"&gt;=0")=0,"",SUMIFS(Datos!$H:$H,Datos!$B:$B,Tablero!$H$5,Datos!$A:$A,Tablero!$B$5,Datos!$G:$G,$A41))</f>
        <v/>
      </c>
    </row>
    <row r="42" customFormat="false" ht="15" hidden="false" customHeight="false" outlineLevel="0" collapsed="false">
      <c r="A42" s="18" t="n">
        <v>615</v>
      </c>
      <c r="B42" s="18" t="s">
        <v>94</v>
      </c>
      <c r="C42" s="21" t="str">
        <f aca="false">IF(COUNTIFS(Datos!$B:$B,Tablero!$H$5,Datos!$A:$A,Tablero!$B$5,Datos!$G:$G,$A42,Datos!$H:$H,"&gt;=0")=0,"",SUMIFS(Datos!$H:$H,Datos!$B:$B,Tablero!$H$5,Datos!$A:$A,Tablero!$B$5,Datos!$G:$G,$A42))</f>
        <v/>
      </c>
    </row>
    <row r="43" customFormat="false" ht="15" hidden="false" customHeight="false" outlineLevel="0" collapsed="false">
      <c r="A43" s="18" t="n">
        <v>630</v>
      </c>
      <c r="B43" s="18" t="s">
        <v>95</v>
      </c>
      <c r="C43" s="21" t="str">
        <f aca="false">IF(COUNTIFS(Datos!$B:$B,Tablero!$H$5,Datos!$A:$A,Tablero!$B$5,Datos!$G:$G,$A43,Datos!$H:$H,"&gt;=0")=0,"",SUMIFS(Datos!$H:$H,Datos!$B:$B,Tablero!$H$5,Datos!$A:$A,Tablero!$B$5,Datos!$G:$G,$A43))</f>
        <v/>
      </c>
    </row>
    <row r="44" customFormat="false" ht="15" hidden="false" customHeight="false" outlineLevel="0" collapsed="false">
      <c r="A44" s="18" t="n">
        <v>645</v>
      </c>
      <c r="B44" s="18" t="s">
        <v>96</v>
      </c>
      <c r="C44" s="21" t="str">
        <f aca="false">IF(COUNTIFS(Datos!$B:$B,Tablero!$H$5,Datos!$A:$A,Tablero!$B$5,Datos!$G:$G,$A44,Datos!$H:$H,"&gt;=0")=0,"",SUMIFS(Datos!$H:$H,Datos!$B:$B,Tablero!$H$5,Datos!$A:$A,Tablero!$B$5,Datos!$G:$G,$A44))</f>
        <v/>
      </c>
    </row>
    <row r="45" customFormat="false" ht="15" hidden="false" customHeight="false" outlineLevel="0" collapsed="false">
      <c r="A45" s="18" t="n">
        <v>660</v>
      </c>
      <c r="B45" s="18" t="s">
        <v>97</v>
      </c>
      <c r="C45" s="21" t="str">
        <f aca="false">IF(COUNTIFS(Datos!$B:$B,Tablero!$H$5,Datos!$A:$A,Tablero!$B$5,Datos!$G:$G,$A45,Datos!$H:$H,"&gt;=0")=0,"",SUMIFS(Datos!$H:$H,Datos!$B:$B,Tablero!$H$5,Datos!$A:$A,Tablero!$B$5,Datos!$G:$G,$A45))</f>
        <v/>
      </c>
    </row>
    <row r="46" customFormat="false" ht="15" hidden="false" customHeight="false" outlineLevel="0" collapsed="false">
      <c r="A46" s="18" t="n">
        <v>675</v>
      </c>
      <c r="B46" s="18" t="s">
        <v>98</v>
      </c>
      <c r="C46" s="21" t="str">
        <f aca="false">IF(COUNTIFS(Datos!$B:$B,Tablero!$H$5,Datos!$A:$A,Tablero!$B$5,Datos!$G:$G,$A46,Datos!$H:$H,"&gt;=0")=0,"",SUMIFS(Datos!$H:$H,Datos!$B:$B,Tablero!$H$5,Datos!$A:$A,Tablero!$B$5,Datos!$G:$G,$A46))</f>
        <v/>
      </c>
    </row>
    <row r="47" customFormat="false" ht="15" hidden="false" customHeight="false" outlineLevel="0" collapsed="false">
      <c r="A47" s="18" t="n">
        <v>690</v>
      </c>
      <c r="B47" s="18" t="s">
        <v>99</v>
      </c>
      <c r="C47" s="21" t="str">
        <f aca="false">IF(COUNTIFS(Datos!$B:$B,Tablero!$H$5,Datos!$A:$A,Tablero!$B$5,Datos!$G:$G,$A47,Datos!$H:$H,"&gt;=0")=0,"",SUMIFS(Datos!$H:$H,Datos!$B:$B,Tablero!$H$5,Datos!$A:$A,Tablero!$B$5,Datos!$G:$G,$A47))</f>
        <v/>
      </c>
    </row>
    <row r="48" customFormat="false" ht="15" hidden="false" customHeight="false" outlineLevel="0" collapsed="false">
      <c r="A48" s="18" t="n">
        <v>705</v>
      </c>
      <c r="B48" s="18" t="s">
        <v>100</v>
      </c>
      <c r="C48" s="21" t="n">
        <f aca="false">IF(COUNTIFS(Datos!$B:$B,Tablero!$H$5,Datos!$A:$A,Tablero!$B$5,Datos!$G:$G,$A48,Datos!$H:$H,"&gt;=0")=0,"",SUMIFS(Datos!$H:$H,Datos!$B:$B,Tablero!$H$5,Datos!$A:$A,Tablero!$B$5,Datos!$G:$G,$A48))</f>
        <v>45.6239999998361</v>
      </c>
    </row>
    <row r="49" customFormat="false" ht="15" hidden="false" customHeight="false" outlineLevel="0" collapsed="false">
      <c r="A49" s="18" t="n">
        <v>720</v>
      </c>
      <c r="B49" s="18" t="s">
        <v>101</v>
      </c>
      <c r="C49" s="21" t="n">
        <f aca="false">IF(COUNTIFS(Datos!$B:$B,Tablero!$H$5,Datos!$A:$A,Tablero!$B$5,Datos!$G:$G,$A49,Datos!$H:$H,"&gt;=0")=0,"",SUMIFS(Datos!$H:$H,Datos!$B:$B,Tablero!$H$5,Datos!$A:$A,Tablero!$B$5,Datos!$G:$G,$A49))</f>
        <v>50</v>
      </c>
    </row>
    <row r="50" customFormat="false" ht="15" hidden="false" customHeight="false" outlineLevel="0" collapsed="false">
      <c r="A50" s="18" t="n">
        <v>735</v>
      </c>
      <c r="B50" s="18" t="s">
        <v>102</v>
      </c>
      <c r="C50" s="21" t="n">
        <f aca="false">IF(COUNTIFS(Datos!$B:$B,Tablero!$H$5,Datos!$A:$A,Tablero!$B$5,Datos!$G:$G,$A50,Datos!$H:$H,"&gt;=0")=0,"",SUMIFS(Datos!$H:$H,Datos!$B:$B,Tablero!$H$5,Datos!$A:$A,Tablero!$B$5,Datos!$G:$G,$A50))</f>
        <v>77</v>
      </c>
    </row>
    <row r="51" customFormat="false" ht="15" hidden="false" customHeight="false" outlineLevel="0" collapsed="false">
      <c r="A51" s="18" t="n">
        <v>750</v>
      </c>
      <c r="B51" s="18" t="s">
        <v>103</v>
      </c>
      <c r="C51" s="21" t="n">
        <f aca="false">IF(COUNTIFS(Datos!$B:$B,Tablero!$H$5,Datos!$A:$A,Tablero!$B$5,Datos!$G:$G,$A51,Datos!$H:$H,"&gt;=0")=0,"",SUMIFS(Datos!$H:$H,Datos!$B:$B,Tablero!$H$5,Datos!$A:$A,Tablero!$B$5,Datos!$G:$G,$A51))</f>
        <v>88.3760000001639</v>
      </c>
    </row>
    <row r="52" customFormat="false" ht="15" hidden="false" customHeight="false" outlineLevel="0" collapsed="false">
      <c r="A52" s="18" t="n">
        <v>765</v>
      </c>
      <c r="B52" s="18" t="s">
        <v>104</v>
      </c>
      <c r="C52" s="21" t="n">
        <f aca="false">IF(COUNTIFS(Datos!$B:$B,Tablero!$H$5,Datos!$A:$A,Tablero!$B$5,Datos!$G:$G,$A52,Datos!$H:$H,"&gt;=0")=0,"",SUMIFS(Datos!$H:$H,Datos!$B:$B,Tablero!$H$5,Datos!$A:$A,Tablero!$B$5,Datos!$G:$G,$A52))</f>
        <v>87.8719999999739</v>
      </c>
    </row>
    <row r="53" customFormat="false" ht="15" hidden="false" customHeight="false" outlineLevel="0" collapsed="false">
      <c r="A53" s="18" t="n">
        <v>780</v>
      </c>
      <c r="B53" s="18" t="s">
        <v>105</v>
      </c>
      <c r="C53" s="21" t="n">
        <f aca="false">IF(COUNTIFS(Datos!$B:$B,Tablero!$H$5,Datos!$A:$A,Tablero!$B$5,Datos!$G:$G,$A53,Datos!$H:$H,"&gt;=0")=0,"",SUMIFS(Datos!$H:$H,Datos!$B:$B,Tablero!$H$5,Datos!$A:$A,Tablero!$B$5,Datos!$G:$G,$A53))</f>
        <v>86.7519999998622</v>
      </c>
    </row>
    <row r="54" customFormat="false" ht="15" hidden="false" customHeight="false" outlineLevel="0" collapsed="false">
      <c r="A54" s="18" t="n">
        <v>795</v>
      </c>
      <c r="B54" s="18" t="s">
        <v>106</v>
      </c>
      <c r="C54" s="21" t="n">
        <f aca="false">IF(COUNTIFS(Datos!$B:$B,Tablero!$H$5,Datos!$A:$A,Tablero!$B$5,Datos!$G:$G,$A54,Datos!$H:$H,"&gt;=0")=0,"",SUMIFS(Datos!$H:$H,Datos!$B:$B,Tablero!$H$5,Datos!$A:$A,Tablero!$B$5,Datos!$G:$G,$A54))</f>
        <v>88.5</v>
      </c>
    </row>
    <row r="55" customFormat="false" ht="15" hidden="false" customHeight="false" outlineLevel="0" collapsed="false">
      <c r="A55" s="18" t="n">
        <v>810</v>
      </c>
      <c r="B55" s="18" t="s">
        <v>107</v>
      </c>
      <c r="C55" s="21" t="n">
        <f aca="false">IF(COUNTIFS(Datos!$B:$B,Tablero!$H$5,Datos!$A:$A,Tablero!$B$5,Datos!$G:$G,$A55,Datos!$H:$H,"&gt;=0")=0,"",SUMIFS(Datos!$H:$H,Datos!$B:$B,Tablero!$H$5,Datos!$A:$A,Tablero!$B$5,Datos!$G:$G,$A55))</f>
        <v>88.7480000001378</v>
      </c>
    </row>
    <row r="56" customFormat="false" ht="15" hidden="false" customHeight="false" outlineLevel="0" collapsed="false">
      <c r="A56" s="18" t="n">
        <v>825</v>
      </c>
      <c r="B56" s="18" t="s">
        <v>108</v>
      </c>
      <c r="C56" s="21" t="n">
        <f aca="false">IF(COUNTIFS(Datos!$B:$B,Tablero!$H$5,Datos!$A:$A,Tablero!$B$5,Datos!$G:$G,$A56,Datos!$H:$H,"&gt;=0")=0,"",SUMIFS(Datos!$H:$H,Datos!$B:$B,Tablero!$H$5,Datos!$A:$A,Tablero!$B$5,Datos!$G:$G,$A56))</f>
        <v>87.3759999999311</v>
      </c>
    </row>
    <row r="57" customFormat="false" ht="15" hidden="false" customHeight="false" outlineLevel="0" collapsed="false">
      <c r="A57" s="18" t="n">
        <v>840</v>
      </c>
      <c r="B57" s="18" t="s">
        <v>109</v>
      </c>
      <c r="C57" s="21" t="n">
        <f aca="false">IF(COUNTIFS(Datos!$B:$B,Tablero!$H$5,Datos!$A:$A,Tablero!$B$5,Datos!$G:$G,$A57,Datos!$H:$H,"&gt;=0")=0,"",SUMIFS(Datos!$H:$H,Datos!$B:$B,Tablero!$H$5,Datos!$A:$A,Tablero!$B$5,Datos!$G:$G,$A57))</f>
        <v>90.6240000000689</v>
      </c>
    </row>
    <row r="58" customFormat="false" ht="15" hidden="false" customHeight="false" outlineLevel="0" collapsed="false">
      <c r="A58" s="18" t="n">
        <v>855</v>
      </c>
      <c r="B58" s="18" t="s">
        <v>110</v>
      </c>
      <c r="C58" s="21" t="n">
        <f aca="false">IF(COUNTIFS(Datos!$B:$B,Tablero!$H$5,Datos!$A:$A,Tablero!$B$5,Datos!$G:$G,$A58,Datos!$H:$H,"&gt;=0")=0,"",SUMIFS(Datos!$H:$H,Datos!$B:$B,Tablero!$H$5,Datos!$A:$A,Tablero!$B$5,Datos!$G:$G,$A58))</f>
        <v>88.3759999999311</v>
      </c>
    </row>
    <row r="59" customFormat="false" ht="15" hidden="false" customHeight="false" outlineLevel="0" collapsed="false">
      <c r="A59" s="18" t="n">
        <v>870</v>
      </c>
      <c r="B59" s="18" t="s">
        <v>111</v>
      </c>
      <c r="C59" s="21" t="n">
        <f aca="false">IF(COUNTIFS(Datos!$B:$B,Tablero!$H$5,Datos!$A:$A,Tablero!$B$5,Datos!$G:$G,$A59,Datos!$H:$H,"&gt;=0")=0,"",SUMIFS(Datos!$H:$H,Datos!$B:$B,Tablero!$H$5,Datos!$A:$A,Tablero!$B$5,Datos!$G:$G,$A59))</f>
        <v>87.8759999999311</v>
      </c>
    </row>
    <row r="60" customFormat="false" ht="15" hidden="false" customHeight="false" outlineLevel="0" collapsed="false">
      <c r="A60" s="18" t="n">
        <v>885</v>
      </c>
      <c r="B60" s="18" t="s">
        <v>112</v>
      </c>
      <c r="C60" s="21" t="n">
        <f aca="false">IF(COUNTIFS(Datos!$B:$B,Tablero!$H$5,Datos!$A:$A,Tablero!$B$5,Datos!$G:$G,$A60,Datos!$H:$H,"&gt;=0")=0,"",SUMIFS(Datos!$H:$H,Datos!$B:$B,Tablero!$H$5,Datos!$A:$A,Tablero!$B$5,Datos!$G:$G,$A60))</f>
        <v>93.7480000001378</v>
      </c>
    </row>
    <row r="61" customFormat="false" ht="15" hidden="false" customHeight="false" outlineLevel="0" collapsed="false">
      <c r="A61" s="18" t="n">
        <v>900</v>
      </c>
      <c r="B61" s="18" t="s">
        <v>113</v>
      </c>
      <c r="C61" s="21" t="n">
        <f aca="false">IF(COUNTIFS(Datos!$B:$B,Tablero!$H$5,Datos!$A:$A,Tablero!$B$5,Datos!$G:$G,$A61,Datos!$H:$H,"&gt;=0")=0,"",SUMIFS(Datos!$H:$H,Datos!$B:$B,Tablero!$H$5,Datos!$A:$A,Tablero!$B$5,Datos!$G:$G,$A61))</f>
        <v>97.8759999999311</v>
      </c>
    </row>
    <row r="62" customFormat="false" ht="15" hidden="false" customHeight="false" outlineLevel="0" collapsed="false">
      <c r="A62" s="18" t="n">
        <v>915</v>
      </c>
      <c r="B62" s="18" t="s">
        <v>114</v>
      </c>
      <c r="C62" s="21" t="n">
        <f aca="false">IF(COUNTIFS(Datos!$B:$B,Tablero!$H$5,Datos!$A:$A,Tablero!$B$5,Datos!$G:$G,$A62,Datos!$H:$H,"&gt;=0")=0,"",SUMIFS(Datos!$H:$H,Datos!$B:$B,Tablero!$H$5,Datos!$A:$A,Tablero!$B$5,Datos!$G:$G,$A62))</f>
        <v>96.752000000095</v>
      </c>
    </row>
    <row r="63" customFormat="false" ht="15" hidden="false" customHeight="false" outlineLevel="0" collapsed="false">
      <c r="A63" s="18" t="n">
        <v>930</v>
      </c>
      <c r="B63" s="18" t="s">
        <v>115</v>
      </c>
      <c r="C63" s="21" t="n">
        <f aca="false">IF(COUNTIFS(Datos!$B:$B,Tablero!$H$5,Datos!$A:$A,Tablero!$B$5,Datos!$G:$G,$A63,Datos!$H:$H,"&gt;=0")=0,"",SUMIFS(Datos!$H:$H,Datos!$B:$B,Tablero!$H$5,Datos!$A:$A,Tablero!$B$5,Datos!$G:$G,$A63))</f>
        <v>89.5</v>
      </c>
    </row>
    <row r="64" customFormat="false" ht="15" hidden="false" customHeight="false" outlineLevel="0" collapsed="false">
      <c r="A64" s="18" t="n">
        <v>945</v>
      </c>
      <c r="B64" s="18" t="s">
        <v>116</v>
      </c>
      <c r="C64" s="21" t="n">
        <f aca="false">IF(COUNTIFS(Datos!$B:$B,Tablero!$H$5,Datos!$A:$A,Tablero!$B$5,Datos!$G:$G,$A64,Datos!$H:$H,"&gt;=0")=0,"",SUMIFS(Datos!$H:$H,Datos!$B:$B,Tablero!$H$5,Datos!$A:$A,Tablero!$B$5,Datos!$G:$G,$A64))</f>
        <v>81.5</v>
      </c>
    </row>
    <row r="65" customFormat="false" ht="15" hidden="false" customHeight="false" outlineLevel="0" collapsed="false">
      <c r="A65" s="18" t="n">
        <v>960</v>
      </c>
      <c r="B65" s="18" t="s">
        <v>117</v>
      </c>
      <c r="C65" s="21" t="n">
        <f aca="false">IF(COUNTIFS(Datos!$B:$B,Tablero!$H$5,Datos!$A:$A,Tablero!$B$5,Datos!$G:$G,$A65,Datos!$H:$H,"&gt;=0")=0,"",SUMIFS(Datos!$H:$H,Datos!$B:$B,Tablero!$H$5,Datos!$A:$A,Tablero!$B$5,Datos!$G:$G,$A65))</f>
        <v>87</v>
      </c>
    </row>
    <row r="66" customFormat="false" ht="15" hidden="false" customHeight="false" outlineLevel="0" collapsed="false">
      <c r="A66" s="18" t="n">
        <v>975</v>
      </c>
      <c r="B66" s="18" t="s">
        <v>118</v>
      </c>
      <c r="C66" s="21" t="n">
        <f aca="false">IF(COUNTIFS(Datos!$B:$B,Tablero!$H$5,Datos!$A:$A,Tablero!$B$5,Datos!$G:$G,$A66,Datos!$H:$H,"&gt;=0")=0,"",SUMIFS(Datos!$H:$H,Datos!$B:$B,Tablero!$H$5,Datos!$A:$A,Tablero!$B$5,Datos!$G:$G,$A66))</f>
        <v>94.3719999999739</v>
      </c>
    </row>
    <row r="67" customFormat="false" ht="15" hidden="false" customHeight="false" outlineLevel="0" collapsed="false">
      <c r="A67" s="18" t="n">
        <v>990</v>
      </c>
      <c r="B67" s="18" t="s">
        <v>119</v>
      </c>
      <c r="C67" s="21" t="str">
        <f aca="false">IF(COUNTIFS(Datos!$B:$B,Tablero!$H$5,Datos!$A:$A,Tablero!$B$5,Datos!$G:$G,$A67,Datos!$H:$H,"&gt;=0")=0,"",SUMIFS(Datos!$H:$H,Datos!$B:$B,Tablero!$H$5,Datos!$A:$A,Tablero!$B$5,Datos!$G:$G,$A67))</f>
        <v/>
      </c>
    </row>
    <row r="68" customFormat="false" ht="15" hidden="false" customHeight="false" outlineLevel="0" collapsed="false">
      <c r="A68" s="18" t="n">
        <v>1005</v>
      </c>
      <c r="B68" s="18" t="s">
        <v>120</v>
      </c>
      <c r="C68" s="21" t="str">
        <f aca="false">IF(COUNTIFS(Datos!$B:$B,Tablero!$H$5,Datos!$A:$A,Tablero!$B$5,Datos!$G:$G,$A68,Datos!$H:$H,"&gt;=0")=0,"",SUMIFS(Datos!$H:$H,Datos!$B:$B,Tablero!$H$5,Datos!$A:$A,Tablero!$B$5,Datos!$G:$G,$A68))</f>
        <v/>
      </c>
    </row>
    <row r="69" customFormat="false" ht="15" hidden="false" customHeight="false" outlineLevel="0" collapsed="false">
      <c r="A69" s="18" t="n">
        <v>1020</v>
      </c>
      <c r="B69" s="18" t="s">
        <v>121</v>
      </c>
      <c r="C69" s="21" t="str">
        <f aca="false">IF(COUNTIFS(Datos!$B:$B,Tablero!$H$5,Datos!$A:$A,Tablero!$B$5,Datos!$G:$G,$A69,Datos!$H:$H,"&gt;=0")=0,"",SUMIFS(Datos!$H:$H,Datos!$B:$B,Tablero!$H$5,Datos!$A:$A,Tablero!$B$5,Datos!$G:$G,$A69))</f>
        <v/>
      </c>
    </row>
    <row r="70" customFormat="false" ht="15" hidden="false" customHeight="false" outlineLevel="0" collapsed="false">
      <c r="A70" s="18" t="n">
        <v>1035</v>
      </c>
      <c r="B70" s="18" t="s">
        <v>122</v>
      </c>
      <c r="C70" s="21" t="str">
        <f aca="false">IF(COUNTIFS(Datos!$B:$B,Tablero!$H$5,Datos!$A:$A,Tablero!$B$5,Datos!$G:$G,$A70,Datos!$H:$H,"&gt;=0")=0,"",SUMIFS(Datos!$H:$H,Datos!$B:$B,Tablero!$H$5,Datos!$A:$A,Tablero!$B$5,Datos!$G:$G,$A70))</f>
        <v/>
      </c>
    </row>
    <row r="71" customFormat="false" ht="15" hidden="false" customHeight="false" outlineLevel="0" collapsed="false">
      <c r="A71" s="18" t="n">
        <v>1050</v>
      </c>
      <c r="B71" s="18" t="s">
        <v>123</v>
      </c>
      <c r="C71" s="21" t="str">
        <f aca="false">IF(COUNTIFS(Datos!$B:$B,Tablero!$H$5,Datos!$A:$A,Tablero!$B$5,Datos!$G:$G,$A71,Datos!$H:$H,"&gt;=0")=0,"",SUMIFS(Datos!$H:$H,Datos!$B:$B,Tablero!$H$5,Datos!$A:$A,Tablero!$B$5,Datos!$G:$G,$A71))</f>
        <v/>
      </c>
    </row>
    <row r="72" customFormat="false" ht="15" hidden="false" customHeight="false" outlineLevel="0" collapsed="false">
      <c r="A72" s="18" t="n">
        <v>1065</v>
      </c>
      <c r="B72" s="18" t="s">
        <v>124</v>
      </c>
      <c r="C72" s="21" t="str">
        <f aca="false">IF(COUNTIFS(Datos!$B:$B,Tablero!$H$5,Datos!$A:$A,Tablero!$B$5,Datos!$G:$G,$A72,Datos!$H:$H,"&gt;=0")=0,"",SUMIFS(Datos!$H:$H,Datos!$B:$B,Tablero!$H$5,Datos!$A:$A,Tablero!$B$5,Datos!$G:$G,$A72))</f>
        <v/>
      </c>
    </row>
    <row r="73" customFormat="false" ht="15" hidden="false" customHeight="false" outlineLevel="0" collapsed="false">
      <c r="A73" s="18" t="n">
        <v>1080</v>
      </c>
      <c r="B73" s="18" t="s">
        <v>125</v>
      </c>
      <c r="C73" s="21" t="str">
        <f aca="false">IF(COUNTIFS(Datos!$B:$B,Tablero!$H$5,Datos!$A:$A,Tablero!$B$5,Datos!$G:$G,$A73,Datos!$H:$H,"&gt;=0")=0,"",SUMIFS(Datos!$H:$H,Datos!$B:$B,Tablero!$H$5,Datos!$A:$A,Tablero!$B$5,Datos!$G:$G,$A73))</f>
        <v/>
      </c>
    </row>
    <row r="74" customFormat="false" ht="15" hidden="false" customHeight="false" outlineLevel="0" collapsed="false">
      <c r="A74" s="18" t="n">
        <v>1095</v>
      </c>
      <c r="B74" s="18" t="s">
        <v>126</v>
      </c>
      <c r="C74" s="21" t="str">
        <f aca="false">IF(COUNTIFS(Datos!$B:$B,Tablero!$H$5,Datos!$A:$A,Tablero!$B$5,Datos!$G:$G,$A74,Datos!$H:$H,"&gt;=0")=0,"",SUMIFS(Datos!$H:$H,Datos!$B:$B,Tablero!$H$5,Datos!$A:$A,Tablero!$B$5,Datos!$G:$G,$A74))</f>
        <v/>
      </c>
    </row>
    <row r="75" customFormat="false" ht="15" hidden="false" customHeight="false" outlineLevel="0" collapsed="false">
      <c r="A75" s="18" t="n">
        <v>1110</v>
      </c>
      <c r="B75" s="18" t="s">
        <v>127</v>
      </c>
      <c r="C75" s="21" t="str">
        <f aca="false">IF(COUNTIFS(Datos!$B:$B,Tablero!$H$5,Datos!$A:$A,Tablero!$B$5,Datos!$G:$G,$A75,Datos!$H:$H,"&gt;=0")=0,"",SUMIFS(Datos!$H:$H,Datos!$B:$B,Tablero!$H$5,Datos!$A:$A,Tablero!$B$5,Datos!$G:$G,$A75))</f>
        <v/>
      </c>
    </row>
    <row r="76" customFormat="false" ht="15" hidden="false" customHeight="false" outlineLevel="0" collapsed="false">
      <c r="A76" s="18" t="n">
        <v>1125</v>
      </c>
      <c r="B76" s="18" t="s">
        <v>128</v>
      </c>
      <c r="C76" s="21" t="str">
        <f aca="false">IF(COUNTIFS(Datos!$B:$B,Tablero!$H$5,Datos!$A:$A,Tablero!$B$5,Datos!$G:$G,$A76,Datos!$H:$H,"&gt;=0")=0,"",SUMIFS(Datos!$H:$H,Datos!$B:$B,Tablero!$H$5,Datos!$A:$A,Tablero!$B$5,Datos!$G:$G,$A76))</f>
        <v/>
      </c>
    </row>
    <row r="77" customFormat="false" ht="15" hidden="false" customHeight="false" outlineLevel="0" collapsed="false">
      <c r="A77" s="18" t="n">
        <v>1140</v>
      </c>
      <c r="B77" s="18" t="s">
        <v>129</v>
      </c>
      <c r="C77" s="21" t="str">
        <f aca="false">IF(COUNTIFS(Datos!$B:$B,Tablero!$H$5,Datos!$A:$A,Tablero!$B$5,Datos!$G:$G,$A77,Datos!$H:$H,"&gt;=0")=0,"",SUMIFS(Datos!$H:$H,Datos!$B:$B,Tablero!$H$5,Datos!$A:$A,Tablero!$B$5,Datos!$G:$G,$A77))</f>
        <v/>
      </c>
    </row>
    <row r="78" customFormat="false" ht="15" hidden="false" customHeight="false" outlineLevel="0" collapsed="false">
      <c r="A78" s="18" t="n">
        <v>1155</v>
      </c>
      <c r="B78" s="18" t="s">
        <v>130</v>
      </c>
      <c r="C78" s="21" t="str">
        <f aca="false">IF(COUNTIFS(Datos!$B:$B,Tablero!$H$5,Datos!$A:$A,Tablero!$B$5,Datos!$G:$G,$A78,Datos!$H:$H,"&gt;=0")=0,"",SUMIFS(Datos!$H:$H,Datos!$B:$B,Tablero!$H$5,Datos!$A:$A,Tablero!$B$5,Datos!$G:$G,$A78))</f>
        <v/>
      </c>
    </row>
    <row r="79" customFormat="false" ht="15" hidden="false" customHeight="false" outlineLevel="0" collapsed="false">
      <c r="A79" s="18" t="n">
        <v>1170</v>
      </c>
      <c r="B79" s="18" t="s">
        <v>131</v>
      </c>
      <c r="C79" s="21" t="str">
        <f aca="false">IF(COUNTIFS(Datos!$B:$B,Tablero!$H$5,Datos!$A:$A,Tablero!$B$5,Datos!$G:$G,$A79,Datos!$H:$H,"&gt;=0")=0,"",SUMIFS(Datos!$H:$H,Datos!$B:$B,Tablero!$H$5,Datos!$A:$A,Tablero!$B$5,Datos!$G:$G,$A79))</f>
        <v/>
      </c>
    </row>
    <row r="80" customFormat="false" ht="15" hidden="false" customHeight="false" outlineLevel="0" collapsed="false">
      <c r="A80" s="18" t="n">
        <v>1185</v>
      </c>
      <c r="B80" s="18" t="s">
        <v>132</v>
      </c>
      <c r="C80" s="21" t="str">
        <f aca="false">IF(COUNTIFS(Datos!$B:$B,Tablero!$H$5,Datos!$A:$A,Tablero!$B$5,Datos!$G:$G,$A80,Datos!$H:$H,"&gt;=0")=0,"",SUMIFS(Datos!$H:$H,Datos!$B:$B,Tablero!$H$5,Datos!$A:$A,Tablero!$B$5,Datos!$G:$G,$A80))</f>
        <v/>
      </c>
    </row>
    <row r="81" customFormat="false" ht="15" hidden="false" customHeight="false" outlineLevel="0" collapsed="false">
      <c r="A81" s="18" t="n">
        <v>1200</v>
      </c>
      <c r="B81" s="18" t="s">
        <v>133</v>
      </c>
      <c r="C81" s="21" t="str">
        <f aca="false">IF(COUNTIFS(Datos!$B:$B,Tablero!$H$5,Datos!$A:$A,Tablero!$B$5,Datos!$G:$G,$A81,Datos!$H:$H,"&gt;=0")=0,"",SUMIFS(Datos!$H:$H,Datos!$B:$B,Tablero!$H$5,Datos!$A:$A,Tablero!$B$5,Datos!$G:$G,$A81))</f>
        <v/>
      </c>
    </row>
    <row r="82" customFormat="false" ht="15" hidden="false" customHeight="false" outlineLevel="0" collapsed="false">
      <c r="A82" s="18" t="n">
        <v>1215</v>
      </c>
      <c r="B82" s="18" t="s">
        <v>134</v>
      </c>
      <c r="C82" s="21" t="str">
        <f aca="false">IF(COUNTIFS(Datos!$B:$B,Tablero!$H$5,Datos!$A:$A,Tablero!$B$5,Datos!$G:$G,$A82,Datos!$H:$H,"&gt;=0")=0,"",SUMIFS(Datos!$H:$H,Datos!$B:$B,Tablero!$H$5,Datos!$A:$A,Tablero!$B$5,Datos!$G:$G,$A82))</f>
        <v/>
      </c>
    </row>
    <row r="83" customFormat="false" ht="15" hidden="false" customHeight="false" outlineLevel="0" collapsed="false">
      <c r="A83" s="18" t="n">
        <v>1230</v>
      </c>
      <c r="B83" s="18" t="s">
        <v>135</v>
      </c>
      <c r="C83" s="21" t="str">
        <f aca="false">IF(COUNTIFS(Datos!$B:$B,Tablero!$H$5,Datos!$A:$A,Tablero!$B$5,Datos!$G:$G,$A83,Datos!$H:$H,"&gt;=0")=0,"",SUMIFS(Datos!$H:$H,Datos!$B:$B,Tablero!$H$5,Datos!$A:$A,Tablero!$B$5,Datos!$G:$G,$A83))</f>
        <v/>
      </c>
    </row>
    <row r="84" customFormat="false" ht="15" hidden="false" customHeight="false" outlineLevel="0" collapsed="false">
      <c r="A84" s="18" t="n">
        <v>1245</v>
      </c>
      <c r="B84" s="18" t="s">
        <v>136</v>
      </c>
      <c r="C84" s="21" t="str">
        <f aca="false">IF(COUNTIFS(Datos!$B:$B,Tablero!$H$5,Datos!$A:$A,Tablero!$B$5,Datos!$G:$G,$A84,Datos!$H:$H,"&gt;=0")=0,"",SUMIFS(Datos!$H:$H,Datos!$B:$B,Tablero!$H$5,Datos!$A:$A,Tablero!$B$5,Datos!$G:$G,$A84))</f>
        <v/>
      </c>
    </row>
    <row r="85" customFormat="false" ht="15" hidden="false" customHeight="false" outlineLevel="0" collapsed="false">
      <c r="A85" s="18" t="n">
        <v>1260</v>
      </c>
      <c r="B85" s="18" t="s">
        <v>137</v>
      </c>
      <c r="C85" s="21" t="str">
        <f aca="false">IF(COUNTIFS(Datos!$B:$B,Tablero!$H$5,Datos!$A:$A,Tablero!$B$5,Datos!$G:$G,$A85,Datos!$H:$H,"&gt;=0")=0,"",SUMIFS(Datos!$H:$H,Datos!$B:$B,Tablero!$H$5,Datos!$A:$A,Tablero!$B$5,Datos!$G:$G,$A85))</f>
        <v/>
      </c>
    </row>
    <row r="86" customFormat="false" ht="15" hidden="false" customHeight="false" outlineLevel="0" collapsed="false">
      <c r="A86" s="18" t="n">
        <v>1275</v>
      </c>
      <c r="B86" s="18" t="s">
        <v>138</v>
      </c>
      <c r="C86" s="21" t="str">
        <f aca="false">IF(COUNTIFS(Datos!$B:$B,Tablero!$H$5,Datos!$A:$A,Tablero!$B$5,Datos!$G:$G,$A86,Datos!$H:$H,"&gt;=0")=0,"",SUMIFS(Datos!$H:$H,Datos!$B:$B,Tablero!$H$5,Datos!$A:$A,Tablero!$B$5,Datos!$G:$G,$A86))</f>
        <v/>
      </c>
    </row>
    <row r="87" customFormat="false" ht="15" hidden="false" customHeight="false" outlineLevel="0" collapsed="false">
      <c r="A87" s="18" t="n">
        <v>1290</v>
      </c>
      <c r="B87" s="18" t="s">
        <v>139</v>
      </c>
      <c r="C87" s="21" t="str">
        <f aca="false">IF(COUNTIFS(Datos!$B:$B,Tablero!$H$5,Datos!$A:$A,Tablero!$B$5,Datos!$G:$G,$A87,Datos!$H:$H,"&gt;=0")=0,"",SUMIFS(Datos!$H:$H,Datos!$B:$B,Tablero!$H$5,Datos!$A:$A,Tablero!$B$5,Datos!$G:$G,$A87))</f>
        <v/>
      </c>
    </row>
    <row r="88" customFormat="false" ht="15" hidden="false" customHeight="false" outlineLevel="0" collapsed="false">
      <c r="A88" s="18" t="n">
        <v>1305</v>
      </c>
      <c r="B88" s="18" t="s">
        <v>140</v>
      </c>
      <c r="C88" s="21" t="str">
        <f aca="false">IF(COUNTIFS(Datos!$B:$B,Tablero!$H$5,Datos!$A:$A,Tablero!$B$5,Datos!$G:$G,$A88,Datos!$H:$H,"&gt;=0")=0,"",SUMIFS(Datos!$H:$H,Datos!$B:$B,Tablero!$H$5,Datos!$A:$A,Tablero!$B$5,Datos!$G:$G,$A88))</f>
        <v/>
      </c>
    </row>
    <row r="89" customFormat="false" ht="15" hidden="false" customHeight="false" outlineLevel="0" collapsed="false">
      <c r="A89" s="18" t="n">
        <v>1320</v>
      </c>
      <c r="B89" s="18" t="s">
        <v>141</v>
      </c>
      <c r="C89" s="21" t="str">
        <f aca="false">IF(COUNTIFS(Datos!$B:$B,Tablero!$H$5,Datos!$A:$A,Tablero!$B$5,Datos!$G:$G,$A89,Datos!$H:$H,"&gt;=0")=0,"",SUMIFS(Datos!$H:$H,Datos!$B:$B,Tablero!$H$5,Datos!$A:$A,Tablero!$B$5,Datos!$G:$G,$A89))</f>
        <v/>
      </c>
    </row>
    <row r="90" customFormat="false" ht="15" hidden="false" customHeight="false" outlineLevel="0" collapsed="false">
      <c r="A90" s="18" t="n">
        <v>1335</v>
      </c>
      <c r="B90" s="18" t="s">
        <v>142</v>
      </c>
      <c r="C90" s="21" t="str">
        <f aca="false">IF(COUNTIFS(Datos!$B:$B,Tablero!$H$5,Datos!$A:$A,Tablero!$B$5,Datos!$G:$G,$A90,Datos!$H:$H,"&gt;=0")=0,"",SUMIFS(Datos!$H:$H,Datos!$B:$B,Tablero!$H$5,Datos!$A:$A,Tablero!$B$5,Datos!$G:$G,$A90))</f>
        <v/>
      </c>
    </row>
    <row r="91" customFormat="false" ht="15" hidden="false" customHeight="false" outlineLevel="0" collapsed="false">
      <c r="A91" s="18" t="n">
        <v>1350</v>
      </c>
      <c r="B91" s="18" t="s">
        <v>143</v>
      </c>
      <c r="C91" s="21" t="str">
        <f aca="false">IF(COUNTIFS(Datos!$B:$B,Tablero!$H$5,Datos!$A:$A,Tablero!$B$5,Datos!$G:$G,$A91,Datos!$H:$H,"&gt;=0")=0,"",SUMIFS(Datos!$H:$H,Datos!$B:$B,Tablero!$H$5,Datos!$A:$A,Tablero!$B$5,Datos!$G:$G,$A91))</f>
        <v/>
      </c>
    </row>
    <row r="92" customFormat="false" ht="15" hidden="false" customHeight="false" outlineLevel="0" collapsed="false">
      <c r="A92" s="18" t="n">
        <v>1365</v>
      </c>
      <c r="B92" s="18" t="s">
        <v>144</v>
      </c>
      <c r="C92" s="21" t="str">
        <f aca="false">IF(COUNTIFS(Datos!$B:$B,Tablero!$H$5,Datos!$A:$A,Tablero!$B$5,Datos!$G:$G,$A92,Datos!$H:$H,"&gt;=0")=0,"",SUMIFS(Datos!$H:$H,Datos!$B:$B,Tablero!$H$5,Datos!$A:$A,Tablero!$B$5,Datos!$G:$G,$A92))</f>
        <v/>
      </c>
    </row>
    <row r="93" customFormat="false" ht="15" hidden="false" customHeight="false" outlineLevel="0" collapsed="false">
      <c r="A93" s="18" t="n">
        <v>1380</v>
      </c>
      <c r="B93" s="18" t="s">
        <v>145</v>
      </c>
      <c r="C93" s="21" t="str">
        <f aca="false">IF(COUNTIFS(Datos!$B:$B,Tablero!$H$5,Datos!$A:$A,Tablero!$B$5,Datos!$G:$G,$A93,Datos!$H:$H,"&gt;=0")=0,"",SUMIFS(Datos!$H:$H,Datos!$B:$B,Tablero!$H$5,Datos!$A:$A,Tablero!$B$5,Datos!$G:$G,$A93))</f>
        <v/>
      </c>
    </row>
    <row r="94" customFormat="false" ht="15" hidden="false" customHeight="false" outlineLevel="0" collapsed="false">
      <c r="A94" s="18" t="n">
        <v>1395</v>
      </c>
      <c r="B94" s="18" t="s">
        <v>146</v>
      </c>
      <c r="C94" s="21" t="str">
        <f aca="false">IF(COUNTIFS(Datos!$B:$B,Tablero!$H$5,Datos!$A:$A,Tablero!$B$5,Datos!$G:$G,$A94,Datos!$H:$H,"&gt;=0")=0,"",SUMIFS(Datos!$H:$H,Datos!$B:$B,Tablero!$H$5,Datos!$A:$A,Tablero!$B$5,Datos!$G:$G,$A94))</f>
        <v/>
      </c>
    </row>
    <row r="95" customFormat="false" ht="15" hidden="false" customHeight="false" outlineLevel="0" collapsed="false">
      <c r="A95" s="18" t="n">
        <v>1410</v>
      </c>
      <c r="B95" s="18" t="s">
        <v>147</v>
      </c>
      <c r="C95" s="21" t="str">
        <f aca="false">IF(COUNTIFS(Datos!$B:$B,Tablero!$H$5,Datos!$A:$A,Tablero!$B$5,Datos!$G:$G,$A95,Datos!$H:$H,"&gt;=0")=0,"",SUMIFS(Datos!$H:$H,Datos!$B:$B,Tablero!$H$5,Datos!$A:$A,Tablero!$B$5,Datos!$G:$G,$A95))</f>
        <v/>
      </c>
    </row>
    <row r="96" customFormat="false" ht="15" hidden="false" customHeight="false" outlineLevel="0" collapsed="false">
      <c r="A96" s="18" t="n">
        <v>1425</v>
      </c>
      <c r="B96" s="18" t="s">
        <v>148</v>
      </c>
      <c r="C96" s="21" t="str">
        <f aca="false">IF(COUNTIFS(Datos!$B:$B,Tablero!$H$5,Datos!$A:$A,Tablero!$B$5,Datos!$G:$G,$A96,Datos!$H:$H,"&gt;=0")=0,"",SUMIFS(Datos!$H:$H,Datos!$B:$B,Tablero!$H$5,Datos!$A:$A,Tablero!$B$5,Datos!$G:$G,$A96))</f>
        <v/>
      </c>
    </row>
    <row r="97" customFormat="false" ht="15" hidden="false" customHeight="false" outlineLevel="0" collapsed="false">
      <c r="A97" s="18" t="n">
        <v>1440</v>
      </c>
      <c r="B97" s="18" t="s">
        <v>149</v>
      </c>
      <c r="C97" s="21" t="str">
        <f aca="false">IF(COUNTIFS(Datos!$B:$B,Tablero!$H$5,Datos!$A:$A,Tablero!$B$5,Datos!$G:$G,$A97,Datos!$H:$H,"&gt;=0")=0,"",SUMIFS(Datos!$H:$H,Datos!$B:$B,Tablero!$H$5,Datos!$A:$A,Tablero!$B$5,Datos!$G:$G,$A97))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12" min="2" style="0" width="15"/>
  </cols>
  <sheetData>
    <row r="1" customFormat="false" ht="16.15" hidden="false" customHeight="false" outlineLevel="0" collapsed="false">
      <c r="A1" s="23" t="s">
        <v>150</v>
      </c>
    </row>
    <row r="2" customFormat="false" ht="15" hidden="false" customHeight="false" outlineLevel="0" collapsed="false">
      <c r="A2" s="9" t="s">
        <v>25</v>
      </c>
      <c r="B2" s="9" t="s">
        <v>41</v>
      </c>
      <c r="C2" s="9" t="s">
        <v>42</v>
      </c>
      <c r="D2" s="9" t="s">
        <v>43</v>
      </c>
      <c r="E2" s="9" t="s">
        <v>44</v>
      </c>
      <c r="F2" s="9" t="s">
        <v>45</v>
      </c>
      <c r="G2" s="9" t="s">
        <v>46</v>
      </c>
      <c r="H2" s="9" t="s">
        <v>47</v>
      </c>
      <c r="I2" s="9" t="s">
        <v>48</v>
      </c>
      <c r="J2" s="9" t="s">
        <v>4</v>
      </c>
      <c r="K2" s="9" t="s">
        <v>49</v>
      </c>
      <c r="L2" s="9" t="s">
        <v>151</v>
      </c>
    </row>
    <row r="3" customFormat="false" ht="15" hidden="false" customHeight="false" outlineLevel="0" collapsed="false">
      <c r="A3" s="17" t="n">
        <v>46302</v>
      </c>
      <c r="B3" s="24" t="n">
        <f aca="false">IF(COUNTIFS(Datos!$B:$B,"192.168.50.3",Datos!$A:$A,$A3,Datos!$D:$D,"&gt;0")&lt;2,"",_xlfn.MAXIFS(Datos!$D:$D,Datos!$B:$B,"192.168.50.3",Datos!$A:$A,$A3,Datos!$D:$D,"&gt;0")-_xlfn.MINIFS(Datos!$D:$D,Datos!$B:$B,"192.168.50.3",Datos!$A:$A,$A3,Datos!$D:$D,"&gt;0"))</f>
        <v>2.55199999999968</v>
      </c>
      <c r="C3" s="24" t="n">
        <f aca="false">IF(COUNTIFS(Datos!$B:$B,"192.168.50.4",Datos!$A:$A,$A3,Datos!$D:$D,"&gt;0")&lt;2,"",_xlfn.MAXIFS(Datos!$D:$D,Datos!$B:$B,"192.168.50.4",Datos!$A:$A,$A3,Datos!$D:$D,"&gt;0")-_xlfn.MINIFS(Datos!$D:$D,Datos!$B:$B,"192.168.50.4",Datos!$A:$A,$A3,Datos!$D:$D,"&gt;0"))</f>
        <v>2.94899999999871</v>
      </c>
      <c r="D3" s="24" t="n">
        <f aca="false">IF(COUNTIFS(Datos!$B:$B,"192.168.50.5",Datos!$A:$A,$A3,Datos!$D:$D,"&gt;0")&lt;2,"",_xlfn.MAXIFS(Datos!$D:$D,Datos!$B:$B,"192.168.50.5",Datos!$A:$A,$A3,Datos!$D:$D,"&gt;0")-_xlfn.MINIFS(Datos!$D:$D,Datos!$B:$B,"192.168.50.5",Datos!$A:$A,$A3,Datos!$D:$D,"&gt;0"))</f>
        <v>14.9849999999988</v>
      </c>
      <c r="E3" s="24" t="n">
        <f aca="false">IF(COUNTIFS(Datos!$B:$B,"192.168.50.6",Datos!$A:$A,$A3,Datos!$D:$D,"&gt;0")&lt;2,"",_xlfn.MAXIFS(Datos!$D:$D,Datos!$B:$B,"192.168.50.6",Datos!$A:$A,$A3,Datos!$D:$D,"&gt;0")-_xlfn.MINIFS(Datos!$D:$D,Datos!$B:$B,"192.168.50.6",Datos!$A:$A,$A3,Datos!$D:$D,"&gt;0"))</f>
        <v>7.60999999999876</v>
      </c>
      <c r="F3" s="24" t="n">
        <f aca="false">IF(COUNTIFS(Datos!$B:$B,"192.168.50.7",Datos!$A:$A,$A3,Datos!$D:$D,"&gt;0")&lt;2,"",_xlfn.MAXIFS(Datos!$D:$D,Datos!$B:$B,"192.168.50.7",Datos!$A:$A,$A3,Datos!$D:$D,"&gt;0")-_xlfn.MINIFS(Datos!$D:$D,Datos!$B:$B,"192.168.50.7",Datos!$A:$A,$A3,Datos!$D:$D,"&gt;0"))</f>
        <v>0.559999999999491</v>
      </c>
      <c r="G3" s="24" t="n">
        <f aca="false">IF(COUNTIFS(Datos!$B:$B,"192.168.1.168",Datos!$A:$A,$A3,Datos!$D:$D,"&gt;0")&lt;2,"",_xlfn.MAXIFS(Datos!$D:$D,Datos!$B:$B,"192.168.1.168",Datos!$A:$A,$A3,Datos!$D:$D,"&gt;0")-_xlfn.MINIFS(Datos!$D:$D,Datos!$B:$B,"192.168.1.168",Datos!$A:$A,$A3,Datos!$D:$D,"&gt;0"))</f>
        <v>26.3539999999994</v>
      </c>
      <c r="H3" s="24" t="n">
        <f aca="false">IF(COUNTIFS(Datos!$B:$B,"192.168.50.8",Datos!$A:$A,$A3,Datos!$D:$D,"&gt;0")&lt;2,"",_xlfn.MAXIFS(Datos!$D:$D,Datos!$B:$B,"192.168.50.8",Datos!$A:$A,$A3,Datos!$D:$D,"&gt;0")-_xlfn.MINIFS(Datos!$D:$D,Datos!$B:$B,"192.168.50.8",Datos!$A:$A,$A3,Datos!$D:$D,"&gt;0"))</f>
        <v>13.125</v>
      </c>
      <c r="I3" s="24" t="n">
        <f aca="false">IF(COUNTIFS(Datos!$B:$B,"192.168.50.9",Datos!$A:$A,$A3,Datos!$D:$D,"&gt;0")&lt;2,"",_xlfn.MAXIFS(Datos!$D:$D,Datos!$B:$B,"192.168.50.9",Datos!$A:$A,$A3,Datos!$D:$D,"&gt;0")-_xlfn.MINIFS(Datos!$D:$D,Datos!$B:$B,"192.168.50.9",Datos!$A:$A,$A3,Datos!$D:$D,"&gt;0"))</f>
        <v>235.5</v>
      </c>
      <c r="J3" s="24" t="n">
        <f aca="false">IF(COUNTIFS(Datos!$B:$B,"192.168.50.10",Datos!$A:$A,$A3,Datos!$D:$D,"&gt;0")&lt;2,"",_xlfn.MAXIFS(Datos!$D:$D,Datos!$B:$B,"192.168.50.10",Datos!$A:$A,$A3,Datos!$D:$D,"&gt;0")-_xlfn.MINIFS(Datos!$D:$D,Datos!$B:$B,"192.168.50.10",Datos!$A:$A,$A3,Datos!$D:$D,"&gt;0"))</f>
        <v>401.967999999994</v>
      </c>
      <c r="K3" s="24" t="n">
        <f aca="false">IF(COUNTIFS(Datos!$B:$B,"192.168.50.11",Datos!$A:$A,$A3,Datos!$D:$D,"&gt;0")&lt;2,"",_xlfn.MAXIFS(Datos!$D:$D,Datos!$B:$B,"192.168.50.11",Datos!$A:$A,$A3,Datos!$D:$D,"&gt;0")-_xlfn.MINIFS(Datos!$D:$D,Datos!$B:$B,"192.168.50.11",Datos!$A:$A,$A3,Datos!$D:$D,"&gt;0"))</f>
        <v>233.25</v>
      </c>
      <c r="L3" s="25" t="n">
        <f aca="false">SUM(B3:K3)</f>
        <v>938.852999999988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0"/>
  </cols>
  <sheetData>
    <row r="1" customFormat="false" ht="16.15" hidden="false" customHeight="false" outlineLevel="0" collapsed="false">
      <c r="A1" s="23" t="s">
        <v>152</v>
      </c>
    </row>
    <row r="2" customFormat="false" ht="15" hidden="false" customHeight="false" outlineLevel="0" collapsed="false">
      <c r="A2" s="18" t="s">
        <v>153</v>
      </c>
    </row>
    <row r="3" customFormat="false" ht="15" hidden="false" customHeight="false" outlineLevel="0" collapsed="false">
      <c r="A3" s="18" t="s">
        <v>154</v>
      </c>
    </row>
    <row r="4" customFormat="false" ht="15" hidden="false" customHeight="false" outlineLevel="0" collapsed="false">
      <c r="A4" s="18" t="s">
        <v>155</v>
      </c>
    </row>
    <row r="5" customFormat="false" ht="15" hidden="false" customHeight="false" outlineLevel="0" collapsed="false">
      <c r="A5" s="18" t="s">
        <v>156</v>
      </c>
    </row>
    <row r="6" customFormat="false" ht="15" hidden="false" customHeight="false" outlineLevel="0" collapsed="false">
      <c r="A6" s="18" t="s">
        <v>157</v>
      </c>
    </row>
    <row r="7" customFormat="false" ht="15" hidden="false" customHeight="false" outlineLevel="0" collapsed="false">
      <c r="A7" s="2" t="s">
        <v>158</v>
      </c>
    </row>
    <row r="8" customFormat="false" ht="15" hidden="false" customHeight="false" outlineLevel="0" collapsed="false">
      <c r="A8" s="2" t="s">
        <v>159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2026-10-08T15:20:48Z</dcterms:created>
  <dc:creator>openpyxl</dc:creator>
  <dc:description/>
  <dc:language>en-US</dc:language>
  <cp:lastModifiedBy/>
  <dcterms:modified xsi:type="dcterms:W3CDTF">2026-10-08T15:20:50Z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