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ro" sheetId="1" state="visible" r:id="rId3"/>
    <sheet name="Datos" sheetId="2" state="visible" r:id="rId4"/>
    <sheet name="Medidores" sheetId="3" state="visible" r:id="rId5"/>
    <sheet name="Calc" sheetId="4" state="visible" r:id="rId6"/>
    <sheet name="Histórico" sheetId="5" state="visible" r:id="rId7"/>
    <sheet name="Turnos" sheetId="6" state="visible" r:id="rId8"/>
    <sheet name="Producción" sheetId="7" state="visible" r:id="rId9"/>
    <sheet name="Histórico líneas" sheetId="8" state="visible" r:id="rId10"/>
    <sheet name="EMCALI" sheetId="9" state="visible" r:id="rId11"/>
    <sheet name="DatosProd" sheetId="10" state="visible" r:id="rId12"/>
    <sheet name="DatosInformes" sheetId="11" state="visible" r:id="rId13"/>
    <sheet name="Instruccion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<sst xmlns="http://schemas.openxmlformats.org/spreadsheetml/2006/main" count="3813" uniqueCount="433">
  <si>
    <t xml:space="preserve">Monitoreo de Energía</t>
  </si>
  <si>
    <t xml:space="preserve">Data Log de medidores de planta · horas en hora de Colombia (los medidores en UTC se corrigen −5 h)</t>
  </si>
  <si>
    <t xml:space="preserve">DÍA</t>
  </si>
  <si>
    <t xml:space="preserve">HORA DE CORTE 24 h</t>
  </si>
  <si>
    <t xml:space="preserve">MEDIDOR PARA LA GRÁFICA DE 15 MIN</t>
  </si>
  <si>
    <t xml:space="preserve">Estación celda 1</t>
  </si>
  <si>
    <t xml:space="preserve">CONSUMO DEL PERIODO (kWh)</t>
  </si>
  <si>
    <t xml:space="preserve">DEMANDA MEDIA TOTAL (kW)</t>
  </si>
  <si>
    <t xml:space="preserve">CONSUMO 24 h AL CORTE (kWh)</t>
  </si>
  <si>
    <t xml:space="preserve">FACTOR DE POTENCIA</t>
  </si>
  <si>
    <t xml:space="preserve">MEDIDORES CON AVISO</t>
  </si>
  <si>
    <t xml:space="preserve">Línea</t>
  </si>
  <si>
    <t xml:space="preserve">IP</t>
  </si>
  <si>
    <t xml:space="preserve">Estado</t>
  </si>
  <si>
    <t xml:space="preserve">Desde</t>
  </si>
  <si>
    <t xml:space="preserve">Hasta</t>
  </si>
  <si>
    <t xml:space="preserve">Lecturas</t>
  </si>
  <si>
    <t xml:space="preserve">kWh</t>
  </si>
  <si>
    <t xml:space="preserve">kVARh</t>
  </si>
  <si>
    <t xml:space="preserve">kVAh</t>
  </si>
  <si>
    <t xml:space="preserve">kW medio</t>
  </si>
  <si>
    <t xml:space="preserve">FP</t>
  </si>
  <si>
    <t xml:space="preserve">kVARh / kWh</t>
  </si>
  <si>
    <t xml:space="preserve">kW máx 15 min</t>
  </si>
  <si>
    <t xml:space="preserve">Hora kW máx</t>
  </si>
  <si>
    <t xml:space="preserve">kWh 24 h al corte</t>
  </si>
  <si>
    <t xml:space="preserve">kW medio vs día anterior</t>
  </si>
  <si>
    <t xml:space="preserve">Última lectura kWh</t>
  </si>
  <si>
    <t xml:space="preserve">válidas</t>
  </si>
  <si>
    <t xml:space="preserve">en cero</t>
  </si>
  <si>
    <t xml:space="preserve">con kVAh</t>
  </si>
  <si>
    <t xml:space="preserve">kW medio día ant.</t>
  </si>
  <si>
    <t xml:space="preserve">suma periodo</t>
  </si>
  <si>
    <t xml:space="preserve">suma 24 h</t>
  </si>
  <si>
    <t xml:space="preserve">Celdas amarillas: día y medidor se eligen de la lista; la hora de corte se escribe (ej. 11:00).</t>
  </si>
  <si>
    <t xml:space="preserve">kWh 24 h al corte = lectura del día a la hora de corte − lectura del día anterior a la misma hora. Requiere ambas lecturas.</t>
  </si>
  <si>
    <t xml:space="preserve">kVARh / kWh &gt; 50 %: la línea consume mucha reactiva. EMCALI cobra según la frontera (hoja EMCALI), donde el banco de condensadores compensa.</t>
  </si>
  <si>
    <t xml:space="preserve">kW medio vs día anterior compara la demanda media del periodo registrado de cada día. Las lecturas en cero se excluyen.</t>
  </si>
  <si>
    <t xml:space="preserve">Totales: las líneas L14–L50 están dentro de Estación planta (hoja Medidores, columna Dentro de) y no se suman dos veces.</t>
  </si>
  <si>
    <t xml:space="preserve">Fecha</t>
  </si>
  <si>
    <t xml:space="preserve">Hora</t>
  </si>
  <si>
    <t xml:space="preserve">Minuto</t>
  </si>
  <si>
    <t xml:space="preserve">kW intervalo</t>
  </si>
  <si>
    <t xml:space="preserve">Hora en el medidor</t>
  </si>
  <si>
    <t xml:space="preserve">192.168.1.168</t>
  </si>
  <si>
    <t xml:space="preserve">2026-10-07 11:15</t>
  </si>
  <si>
    <t xml:space="preserve">2026-10-07 11:30</t>
  </si>
  <si>
    <t xml:space="preserve">2026-10-07 11:45</t>
  </si>
  <si>
    <t xml:space="preserve">2026-10-07 12:00</t>
  </si>
  <si>
    <t xml:space="preserve">2026-10-07 12:15</t>
  </si>
  <si>
    <t xml:space="preserve">2026-10-07 12:30</t>
  </si>
  <si>
    <t xml:space="preserve">2026-10-07 12:45</t>
  </si>
  <si>
    <t xml:space="preserve">2026-10-07 13:00</t>
  </si>
  <si>
    <t xml:space="preserve">2026-10-07 13:15</t>
  </si>
  <si>
    <t xml:space="preserve">2026-10-07 13:30</t>
  </si>
  <si>
    <t xml:space="preserve">2026-10-07 13:45</t>
  </si>
  <si>
    <t xml:space="preserve">2026-10-07 14:00</t>
  </si>
  <si>
    <t xml:space="preserve">2026-10-07 14:15</t>
  </si>
  <si>
    <t xml:space="preserve">2026-10-07 14:30</t>
  </si>
  <si>
    <t xml:space="preserve">2026-10-07 14:45</t>
  </si>
  <si>
    <t xml:space="preserve">2026-10-07 15:00</t>
  </si>
  <si>
    <t xml:space="preserve">2026-10-07 15:15</t>
  </si>
  <si>
    <t xml:space="preserve">2026-10-07 15:30</t>
  </si>
  <si>
    <t xml:space="preserve">2026-10-07 15:45</t>
  </si>
  <si>
    <t xml:space="preserve">2026-10-07 16:00</t>
  </si>
  <si>
    <t xml:space="preserve">192.168.50.3</t>
  </si>
  <si>
    <t xml:space="preserve">2026-10-07 06:30</t>
  </si>
  <si>
    <t xml:space="preserve">2026-10-07 06:45</t>
  </si>
  <si>
    <t xml:space="preserve">2026-10-07 07:00</t>
  </si>
  <si>
    <t xml:space="preserve">2026-10-07 07:15</t>
  </si>
  <si>
    <t xml:space="preserve">2026-10-07 07:30</t>
  </si>
  <si>
    <t xml:space="preserve">2026-10-07 07:45</t>
  </si>
  <si>
    <t xml:space="preserve">2026-10-07 08:00</t>
  </si>
  <si>
    <t xml:space="preserve">2026-10-07 08:15</t>
  </si>
  <si>
    <t xml:space="preserve">2026-10-07 08:30</t>
  </si>
  <si>
    <t xml:space="preserve">2026-10-07 08:45</t>
  </si>
  <si>
    <t xml:space="preserve">2026-10-07 09:00</t>
  </si>
  <si>
    <t xml:space="preserve">2026-10-07 09:15</t>
  </si>
  <si>
    <t xml:space="preserve">2026-10-07 09:30</t>
  </si>
  <si>
    <t xml:space="preserve">2026-10-07 09:45</t>
  </si>
  <si>
    <t xml:space="preserve">2026-10-07 10:00</t>
  </si>
  <si>
    <t xml:space="preserve">2026-10-07 10:15</t>
  </si>
  <si>
    <t xml:space="preserve">2026-10-07 10:30</t>
  </si>
  <si>
    <t xml:space="preserve">2026-10-07 10:45</t>
  </si>
  <si>
    <t xml:space="preserve">2026-10-07 11:00</t>
  </si>
  <si>
    <t xml:space="preserve">192.168.50.4</t>
  </si>
  <si>
    <t xml:space="preserve">2026-10-07 16:15</t>
  </si>
  <si>
    <t xml:space="preserve">192.168.50.5</t>
  </si>
  <si>
    <t xml:space="preserve">2026-10-07 06:15</t>
  </si>
  <si>
    <t xml:space="preserve">192.168.50.6</t>
  </si>
  <si>
    <t xml:space="preserve">192.168.50.7</t>
  </si>
  <si>
    <t xml:space="preserve">192.168.50.8</t>
  </si>
  <si>
    <t xml:space="preserve">192.168.50.9</t>
  </si>
  <si>
    <t xml:space="preserve">192.168.50.10</t>
  </si>
  <si>
    <t xml:space="preserve">192.168.50.11</t>
  </si>
  <si>
    <t xml:space="preserve">2026-10-08 15:00</t>
  </si>
  <si>
    <t xml:space="preserve">2026-10-08 15:15</t>
  </si>
  <si>
    <t xml:space="preserve">2026-10-08 15:30</t>
  </si>
  <si>
    <t xml:space="preserve">2026-10-08 15:45</t>
  </si>
  <si>
    <t xml:space="preserve">2026-10-08 16:00</t>
  </si>
  <si>
    <t xml:space="preserve">2026-10-08 16:15</t>
  </si>
  <si>
    <t xml:space="preserve">2026-10-08 16:30</t>
  </si>
  <si>
    <t xml:space="preserve">2026-10-08 16:45</t>
  </si>
  <si>
    <t xml:space="preserve">2026-10-08 17:00</t>
  </si>
  <si>
    <t xml:space="preserve">2026-10-08 17:15</t>
  </si>
  <si>
    <t xml:space="preserve">2026-10-08 17:30</t>
  </si>
  <si>
    <t xml:space="preserve">2026-10-08 17:45</t>
  </si>
  <si>
    <t xml:space="preserve">2026-10-08 18:00</t>
  </si>
  <si>
    <t xml:space="preserve">2026-10-08 18:15</t>
  </si>
  <si>
    <t xml:space="preserve">2026-10-08 18:30</t>
  </si>
  <si>
    <t xml:space="preserve">2026-10-08 18:45</t>
  </si>
  <si>
    <t xml:space="preserve">2026-10-08 19:00</t>
  </si>
  <si>
    <t xml:space="preserve">2026-10-08 19:15</t>
  </si>
  <si>
    <t xml:space="preserve">2026-10-08 19:30</t>
  </si>
  <si>
    <t xml:space="preserve">2026-10-08 19:45</t>
  </si>
  <si>
    <t xml:space="preserve">2026-10-08 10:00</t>
  </si>
  <si>
    <t xml:space="preserve">2026-10-08 10:15</t>
  </si>
  <si>
    <t xml:space="preserve">2026-10-08 10:30</t>
  </si>
  <si>
    <t xml:space="preserve">2026-10-08 10:45</t>
  </si>
  <si>
    <t xml:space="preserve">2026-10-08 11:00</t>
  </si>
  <si>
    <t xml:space="preserve">2026-10-08 11:15</t>
  </si>
  <si>
    <t xml:space="preserve">2026-10-08 11:30</t>
  </si>
  <si>
    <t xml:space="preserve">2026-10-08 11:45</t>
  </si>
  <si>
    <t xml:space="preserve">2026-10-08 12:00</t>
  </si>
  <si>
    <t xml:space="preserve">2026-10-08 12:15</t>
  </si>
  <si>
    <t xml:space="preserve">2026-10-08 12:30</t>
  </si>
  <si>
    <t xml:space="preserve">2026-10-08 12:45</t>
  </si>
  <si>
    <t xml:space="preserve">2026-10-08 13:00</t>
  </si>
  <si>
    <t xml:space="preserve">2026-10-08 13:15</t>
  </si>
  <si>
    <t xml:space="preserve">2026-10-08 13:30</t>
  </si>
  <si>
    <t xml:space="preserve">2026-10-08 13:45</t>
  </si>
  <si>
    <t xml:space="preserve">2026-10-08 14:00</t>
  </si>
  <si>
    <t xml:space="preserve">2026-10-08 14:15</t>
  </si>
  <si>
    <t xml:space="preserve">2026-10-08 14:30</t>
  </si>
  <si>
    <t xml:space="preserve">2026-10-08 14:45</t>
  </si>
  <si>
    <t xml:space="preserve">2026-10-08 20:00</t>
  </si>
  <si>
    <t xml:space="preserve">2026-10-09 14:15</t>
  </si>
  <si>
    <t xml:space="preserve">2026-10-09 14:30</t>
  </si>
  <si>
    <t xml:space="preserve">2026-10-09 14:45</t>
  </si>
  <si>
    <t xml:space="preserve">2026-10-09 15:00</t>
  </si>
  <si>
    <t xml:space="preserve">2026-10-09 15:15</t>
  </si>
  <si>
    <t xml:space="preserve">2026-10-09 15:30</t>
  </si>
  <si>
    <t xml:space="preserve">2026-10-09 15:45</t>
  </si>
  <si>
    <t xml:space="preserve">2026-10-09 16:00</t>
  </si>
  <si>
    <t xml:space="preserve">2026-10-09 16:15</t>
  </si>
  <si>
    <t xml:space="preserve">2026-10-09 16:30</t>
  </si>
  <si>
    <t xml:space="preserve">2026-10-09 16:45</t>
  </si>
  <si>
    <t xml:space="preserve">2026-10-09 17:00</t>
  </si>
  <si>
    <t xml:space="preserve">2026-10-09 17:15</t>
  </si>
  <si>
    <t xml:space="preserve">2026-10-09 17:30</t>
  </si>
  <si>
    <t xml:space="preserve">2026-10-09 17:45</t>
  </si>
  <si>
    <t xml:space="preserve">2026-10-09 18:00</t>
  </si>
  <si>
    <t xml:space="preserve">2026-10-09 18:15</t>
  </si>
  <si>
    <t xml:space="preserve">2026-10-09 18:30</t>
  </si>
  <si>
    <t xml:space="preserve">2026-10-09 18:45</t>
  </si>
  <si>
    <t xml:space="preserve">2026-10-09 19:00</t>
  </si>
  <si>
    <t xml:space="preserve">2026-10-09 09:00</t>
  </si>
  <si>
    <t xml:space="preserve">2026-10-09 09:15</t>
  </si>
  <si>
    <t xml:space="preserve">2026-10-09 09:30</t>
  </si>
  <si>
    <t xml:space="preserve">2026-10-09 09:45</t>
  </si>
  <si>
    <t xml:space="preserve">2026-10-09 10:00</t>
  </si>
  <si>
    <t xml:space="preserve">2026-10-09 10:15</t>
  </si>
  <si>
    <t xml:space="preserve">2026-10-09 10:30</t>
  </si>
  <si>
    <t xml:space="preserve">2026-10-09 10:45</t>
  </si>
  <si>
    <t xml:space="preserve">2026-10-09 11:00</t>
  </si>
  <si>
    <t xml:space="preserve">2026-10-09 11:15</t>
  </si>
  <si>
    <t xml:space="preserve">2026-10-09 11:30</t>
  </si>
  <si>
    <t xml:space="preserve">2026-10-09 11:45</t>
  </si>
  <si>
    <t xml:space="preserve">2026-10-09 12:00</t>
  </si>
  <si>
    <t xml:space="preserve">2026-10-09 12:15</t>
  </si>
  <si>
    <t xml:space="preserve">2026-10-09 12:30</t>
  </si>
  <si>
    <t xml:space="preserve">2026-10-09 12:45</t>
  </si>
  <si>
    <t xml:space="preserve">2026-10-09 13:00</t>
  </si>
  <si>
    <t xml:space="preserve">2026-10-09 13:15</t>
  </si>
  <si>
    <t xml:space="preserve">2026-10-09 13:30</t>
  </si>
  <si>
    <t xml:space="preserve">2026-10-09 13:45</t>
  </si>
  <si>
    <t xml:space="preserve">2026-10-09 14:00</t>
  </si>
  <si>
    <t xml:space="preserve">Nombre de la línea</t>
  </si>
  <si>
    <t xml:space="preserve">Dentro de (IP)</t>
  </si>
  <si>
    <t xml:space="preserve">Reloj del medidor</t>
  </si>
  <si>
    <t xml:space="preserve">Puedes cambiar los nombres de la columna B; el tablero se actualiza solo.</t>
  </si>
  <si>
    <t xml:space="preserve">L50</t>
  </si>
  <si>
    <t xml:space="preserve">Hora Colombia</t>
  </si>
  <si>
    <t xml:space="preserve">Dentro de: medidor que ya incluye este consumo. No se suma dos veces en los totales, salvo que ese medidor no tenga dato.</t>
  </si>
  <si>
    <t xml:space="preserve">L21</t>
  </si>
  <si>
    <t xml:space="preserve">UTC (−5 h)</t>
  </si>
  <si>
    <t xml:space="preserve">L14</t>
  </si>
  <si>
    <t xml:space="preserve">L20</t>
  </si>
  <si>
    <t xml:space="preserve">L16</t>
  </si>
  <si>
    <t xml:space="preserve">L22</t>
  </si>
  <si>
    <t xml:space="preserve">Estación planta</t>
  </si>
  <si>
    <t xml:space="preserve">Estación celda 3</t>
  </si>
  <si>
    <t xml:space="preserve">Estación celda 2</t>
  </si>
  <si>
    <t xml:space="preserve">Minuto fin</t>
  </si>
  <si>
    <t xml:space="preserve">Inicio</t>
  </si>
  <si>
    <t xml:space="preserve">kW</t>
  </si>
  <si>
    <t xml:space="preserve">Hoja auxiliar para la gráfica de 15 minutos. No hace falta editarla.</t>
  </si>
  <si>
    <t xml:space="preserve">00:00</t>
  </si>
  <si>
    <t xml:space="preserve">00:15</t>
  </si>
  <si>
    <t xml:space="preserve">00:30</t>
  </si>
  <si>
    <t xml:space="preserve">00:45</t>
  </si>
  <si>
    <t xml:space="preserve">01:00</t>
  </si>
  <si>
    <t xml:space="preserve">01:15</t>
  </si>
  <si>
    <t xml:space="preserve">01:30</t>
  </si>
  <si>
    <t xml:space="preserve">01:45</t>
  </si>
  <si>
    <t xml:space="preserve">02:00</t>
  </si>
  <si>
    <t xml:space="preserve">02:15</t>
  </si>
  <si>
    <t xml:space="preserve">02:30</t>
  </si>
  <si>
    <t xml:space="preserve">02:45</t>
  </si>
  <si>
    <t xml:space="preserve">03:00</t>
  </si>
  <si>
    <t xml:space="preserve">03:15</t>
  </si>
  <si>
    <t xml:space="preserve">03:30</t>
  </si>
  <si>
    <t xml:space="preserve">03:45</t>
  </si>
  <si>
    <t xml:space="preserve">04:00</t>
  </si>
  <si>
    <t xml:space="preserve">04:15</t>
  </si>
  <si>
    <t xml:space="preserve">04:30</t>
  </si>
  <si>
    <t xml:space="preserve">04:45</t>
  </si>
  <si>
    <t xml:space="preserve">05:00</t>
  </si>
  <si>
    <t xml:space="preserve">05:15</t>
  </si>
  <si>
    <t xml:space="preserve">05:30</t>
  </si>
  <si>
    <t xml:space="preserve">05:45</t>
  </si>
  <si>
    <t xml:space="preserve">06:00</t>
  </si>
  <si>
    <t xml:space="preserve">06:15</t>
  </si>
  <si>
    <t xml:space="preserve">06:30</t>
  </si>
  <si>
    <t xml:space="preserve">06:45</t>
  </si>
  <si>
    <t xml:space="preserve">07:00</t>
  </si>
  <si>
    <t xml:space="preserve">07:15</t>
  </si>
  <si>
    <t xml:space="preserve">07:30</t>
  </si>
  <si>
    <t xml:space="preserve">07:45</t>
  </si>
  <si>
    <t xml:space="preserve">08:00</t>
  </si>
  <si>
    <t xml:space="preserve">08:15</t>
  </si>
  <si>
    <t xml:space="preserve">08:30</t>
  </si>
  <si>
    <t xml:space="preserve">08:45</t>
  </si>
  <si>
    <t xml:space="preserve">09:00</t>
  </si>
  <si>
    <t xml:space="preserve">09:15</t>
  </si>
  <si>
    <t xml:space="preserve">09:30</t>
  </si>
  <si>
    <t xml:space="preserve">09:45</t>
  </si>
  <si>
    <t xml:space="preserve">10:00</t>
  </si>
  <si>
    <t xml:space="preserve">10:15</t>
  </si>
  <si>
    <t xml:space="preserve">10:30</t>
  </si>
  <si>
    <t xml:space="preserve">10:45</t>
  </si>
  <si>
    <t xml:space="preserve">11:00</t>
  </si>
  <si>
    <t xml:space="preserve">11:15</t>
  </si>
  <si>
    <t xml:space="preserve">11:30</t>
  </si>
  <si>
    <t xml:space="preserve">11:45</t>
  </si>
  <si>
    <t xml:space="preserve">12:00</t>
  </si>
  <si>
    <t xml:space="preserve">12:15</t>
  </si>
  <si>
    <t xml:space="preserve">12:30</t>
  </si>
  <si>
    <t xml:space="preserve">12:45</t>
  </si>
  <si>
    <t xml:space="preserve">13:00</t>
  </si>
  <si>
    <t xml:space="preserve">13:15</t>
  </si>
  <si>
    <t xml:space="preserve">13:30</t>
  </si>
  <si>
    <t xml:space="preserve">13:45</t>
  </si>
  <si>
    <t xml:space="preserve">14:00</t>
  </si>
  <si>
    <t xml:space="preserve">14:15</t>
  </si>
  <si>
    <t xml:space="preserve">14:30</t>
  </si>
  <si>
    <t xml:space="preserve">14:45</t>
  </si>
  <si>
    <t xml:space="preserve">15:00</t>
  </si>
  <si>
    <t xml:space="preserve">15:15</t>
  </si>
  <si>
    <t xml:space="preserve">15:30</t>
  </si>
  <si>
    <t xml:space="preserve">15:45</t>
  </si>
  <si>
    <t xml:space="preserve">16:00</t>
  </si>
  <si>
    <t xml:space="preserve">16:15</t>
  </si>
  <si>
    <t xml:space="preserve">16:30</t>
  </si>
  <si>
    <t xml:space="preserve">16:45</t>
  </si>
  <si>
    <t xml:space="preserve">17:00</t>
  </si>
  <si>
    <t xml:space="preserve">17:15</t>
  </si>
  <si>
    <t xml:space="preserve">17:30</t>
  </si>
  <si>
    <t xml:space="preserve">17:45</t>
  </si>
  <si>
    <t xml:space="preserve">18:00</t>
  </si>
  <si>
    <t xml:space="preserve">18:15</t>
  </si>
  <si>
    <t xml:space="preserve">18:30</t>
  </si>
  <si>
    <t xml:space="preserve">18:45</t>
  </si>
  <si>
    <t xml:space="preserve">19:00</t>
  </si>
  <si>
    <t xml:space="preserve">19:15</t>
  </si>
  <si>
    <t xml:space="preserve">19:30</t>
  </si>
  <si>
    <t xml:space="preserve">19:45</t>
  </si>
  <si>
    <t xml:space="preserve">20:00</t>
  </si>
  <si>
    <t xml:space="preserve">20:15</t>
  </si>
  <si>
    <t xml:space="preserve">20:30</t>
  </si>
  <si>
    <t xml:space="preserve">20:45</t>
  </si>
  <si>
    <t xml:space="preserve">21:00</t>
  </si>
  <si>
    <t xml:space="preserve">21:15</t>
  </si>
  <si>
    <t xml:space="preserve">21:30</t>
  </si>
  <si>
    <t xml:space="preserve">21:45</t>
  </si>
  <si>
    <t xml:space="preserve">22:00</t>
  </si>
  <si>
    <t xml:space="preserve">22:15</t>
  </si>
  <si>
    <t xml:space="preserve">22:30</t>
  </si>
  <si>
    <t xml:space="preserve">22:45</t>
  </si>
  <si>
    <t xml:space="preserve">23:00</t>
  </si>
  <si>
    <t xml:space="preserve">23:15</t>
  </si>
  <si>
    <t xml:space="preserve">23:30</t>
  </si>
  <si>
    <t xml:space="preserve">23:45</t>
  </si>
  <si>
    <t xml:space="preserve">Consumo diario por medidor (kWh en el periodo registrado)</t>
  </si>
  <si>
    <t xml:space="preserve">Total</t>
  </si>
  <si>
    <t xml:space="preserve">Consumo de 24 h al corte (kWh) · hora de corte en Tablero!D5</t>
  </si>
  <si>
    <t xml:space="preserve">EMCALI</t>
  </si>
  <si>
    <t xml:space="preserve">Diferencia</t>
  </si>
  <si>
    <t xml:space="preserve">Diferencia %</t>
  </si>
  <si>
    <t xml:space="preserve">Diferencia = EMCALI − total de medidores (las líneas L no se suman aparte porque ya están dentro de Estación planta). EMCALI usa horas completas: con corte 11:00 toma de 11:00 a 11:00.</t>
  </si>
  <si>
    <t xml:space="preserve">Consumo por turno (datos de EMCALI)</t>
  </si>
  <si>
    <t xml:space="preserve">Turnos de lunes a sábado. Producción en A y B; en C se hace mantenimiento y la mezcla del día siguiente. Cada hora de EMCALI se asigna al turno que la ocupa la mayor parte.</t>
  </si>
  <si>
    <t xml:space="preserve">Turno</t>
  </si>
  <si>
    <t xml:space="preserve">Actividad</t>
  </si>
  <si>
    <t xml:space="preserve">Horario</t>
  </si>
  <si>
    <t xml:space="preserve">Horas EMCALI</t>
  </si>
  <si>
    <t xml:space="preserve">kWh total</t>
  </si>
  <si>
    <t xml:space="preserve">Horas registradas</t>
  </si>
  <si>
    <t xml:space="preserve">kWh promedio por turno</t>
  </si>
  <si>
    <t xml:space="preserve">% del consumo</t>
  </si>
  <si>
    <t xml:space="preserve">kVARh inductiva</t>
  </si>
  <si>
    <t xml:space="preserve">Inductiva sobre 50 %</t>
  </si>
  <si>
    <t xml:space="preserve">A</t>
  </si>
  <si>
    <t xml:space="preserve">Producción</t>
  </si>
  <si>
    <t xml:space="preserve">07:00 – 14:30</t>
  </si>
  <si>
    <t xml:space="preserve">07:00 – 14:00</t>
  </si>
  <si>
    <t xml:space="preserve">B</t>
  </si>
  <si>
    <t xml:space="preserve">14:00 – 21:30</t>
  </si>
  <si>
    <t xml:space="preserve">14:00 – 21:00</t>
  </si>
  <si>
    <t xml:space="preserve">C</t>
  </si>
  <si>
    <t xml:space="preserve">Mantenimiento y mezcla</t>
  </si>
  <si>
    <t xml:space="preserve">23:40 – 07:10</t>
  </si>
  <si>
    <t xml:space="preserve">23:00 – 07:00</t>
  </si>
  <si>
    <t xml:space="preserve">Entre turnos</t>
  </si>
  <si>
    <t xml:space="preserve">Sin personal</t>
  </si>
  <si>
    <t xml:space="preserve">21:30 – 23:40</t>
  </si>
  <si>
    <t xml:space="preserve">21:00 – 23:00</t>
  </si>
  <si>
    <t xml:space="preserve">Sin turno</t>
  </si>
  <si>
    <t xml:space="preserve">Planta parada</t>
  </si>
  <si>
    <t xml:space="preserve">Domingo y noche del sábado</t>
  </si>
  <si>
    <t xml:space="preserve">—</t>
  </si>
  <si>
    <t xml:space="preserve">kWh promedio por turno = kW medio × horas del turno. kVARh / kWh solo cuenta horas con dato de reactiva.</t>
  </si>
  <si>
    <t xml:space="preserve">kWh por día y turno (día calendario: el C de 00:00 a 07:00 y de 23:00 a 24:00)</t>
  </si>
  <si>
    <t xml:space="preserve">Día</t>
  </si>
  <si>
    <t xml:space="preserve">Total día</t>
  </si>
  <si>
    <t xml:space="preserve">lun</t>
  </si>
  <si>
    <t xml:space="preserve">mar</t>
  </si>
  <si>
    <t xml:space="preserve">mié</t>
  </si>
  <si>
    <t xml:space="preserve">jue</t>
  </si>
  <si>
    <t xml:space="preserve">vie</t>
  </si>
  <si>
    <t xml:space="preserve">sáb</t>
  </si>
  <si>
    <t xml:space="preserve">dom</t>
  </si>
  <si>
    <t xml:space="preserve">Energía por tonelada producida (kWh/t)</t>
  </si>
  <si>
    <t xml:space="preserve">kWh de EMCALI (toda la planta) ÷ kg producidos. Solo se calcula en días con producción registrada y EMCALI completo. Turno A = 07–14 h, turno B = 14–21 h; por turno solo si produjo 5 t o más.</t>
  </si>
  <si>
    <t xml:space="preserve">Kg producidos por línea y mes (2026)</t>
  </si>
  <si>
    <t xml:space="preserve">DÍAS CON DATO COMPLETO</t>
  </si>
  <si>
    <t xml:space="preserve">kWh/t PROMEDIO PLANTA</t>
  </si>
  <si>
    <t xml:space="preserve">kWh/t TURNO A</t>
  </si>
  <si>
    <t xml:space="preserve">kWh/t TURNO B</t>
  </si>
  <si>
    <t xml:space="preserve">MEJOR DÍA (kWh/t)</t>
  </si>
  <si>
    <t xml:space="preserve">PEOR DÍA (kWh/t)</t>
  </si>
  <si>
    <t xml:space="preserve">ene</t>
  </si>
  <si>
    <t xml:space="preserve">feb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</si>
  <si>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</si>
  <si>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</si>
  <si>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</si>
  <si>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</si>
  <si>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</si>
  <si>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L2</t>
  </si>
  <si>
    <t xml:space="preserve">L3</t>
  </si>
  <si>
    <t xml:space="preserve">L7</t>
  </si>
  <si>
    <t xml:space="preserve">L10</t>
  </si>
  <si>
    <t xml:space="preserve">L11</t>
  </si>
  <si>
    <t xml:space="preserve">Detalle diario</t>
  </si>
  <si>
    <t xml:space="preserve">kg turno A</t>
  </si>
  <si>
    <t xml:space="preserve">kg turno B</t>
  </si>
  <si>
    <t xml:space="preserve">kg total</t>
  </si>
  <si>
    <t xml:space="preserve">kWh día (EMCALI)</t>
  </si>
  <si>
    <t xml:space="preserve">kWh/t día</t>
  </si>
  <si>
    <t xml:space="preserve">kWh turno A</t>
  </si>
  <si>
    <t xml:space="preserve">kWh/t A</t>
  </si>
  <si>
    <t xml:space="preserve">kWh turno B</t>
  </si>
  <si>
    <t xml:space="preserve">kWh/t B</t>
  </si>
  <si>
    <t xml:space="preserve">Nota</t>
  </si>
  <si>
    <t xml:space="preserve">L18</t>
  </si>
  <si>
    <t xml:space="preserve">L19</t>
  </si>
  <si>
    <t xml:space="preserve">En ámbar: días con kWh/t más de 25 % por encima del promedio de la planta.</t>
  </si>
  <si>
    <t xml:space="preserve">Histórico de líneas (informes semanales)</t>
  </si>
  <si>
    <t xml:space="preserve">kWh por día de cada línea, promediado entre la primera y la última lectura de cada semana (días hábiles).</t>
  </si>
  <si>
    <t xml:space="preserve">Semana (lunes)</t>
  </si>
  <si>
    <t xml:space="preserve">L21 (L18-21)</t>
  </si>
  <si>
    <t xml:space="preserve">Total líneas</t>
  </si>
  <si>
    <t xml:space="preserve">kWh/día. Vacío: menos de 2 lecturas esa semana. La semana del 14/09 no tiene informe.</t>
  </si>
  <si>
    <t xml:space="preserve">kWh por tonelada de cada línea (solo electricidad de la línea)</t>
  </si>
  <si>
    <t xml:space="preserve">Desde (lectura)</t>
  </si>
  <si>
    <t xml:space="preserve">Hasta (lectura)</t>
  </si>
  <si>
    <t xml:space="preserve">Energía = lectura Hasta − lectura Desde. Kg = producción desde el día Desde hasta el día anterior a Hasta (las lecturas son de la mañana).</t>
  </si>
  <si>
    <t xml:space="preserve">kg producidos</t>
  </si>
  <si>
    <t xml:space="preserve">kWh/t</t>
  </si>
  <si>
    <t xml:space="preserve">Sin dato</t>
  </si>
  <si>
    <t xml:space="preserve">L21 (L18-21) se compara con la producción de la LINEA 18. L50 no aparece en la base de producción.</t>
  </si>
  <si>
    <t xml:space="preserve">Hora inicio</t>
  </si>
  <si>
    <t xml:space="preserve">kVARh capacitiva</t>
  </si>
  <si>
    <t xml:space="preserve">Día (1=lun)</t>
  </si>
  <si>
    <t xml:space="preserve">Datos horarios de EMCALI. Hora inicio 7 = de 07:00 a 08:00. Celdas vacías: el reporte de reactiva aún no incluye esa hora.</t>
  </si>
  <si>
    <t xml:space="preserve">Inductiva sobre 50 % = kVARh inductiva − 50 % de los kWh de esa hora (lo que la CREG permite facturar).</t>
  </si>
  <si>
    <t xml:space="preserve">kg</t>
  </si>
  <si>
    <t xml:space="preserve">Mes</t>
  </si>
  <si>
    <t xml:space="preserve">Kg producidos por día, línea y turno (archivo KG producidos 2026, hoja Data PA 2026). Turno 1 = A, turno 2 = B.</t>
  </si>
  <si>
    <t xml:space="preserve">Medidor</t>
  </si>
  <si>
    <t xml:space="preserve">Archivo</t>
  </si>
  <si>
    <t xml:space="preserve">Lecturas diarias de los informes semanales (carpeta INFORME LINEAS), una por día hábil, tomadas en la mañana (entre 6:45 y 10:30 aprox.). Julio venía sin punto decimal; agosto y septiembre en MWh: todo está convertido a kWh.</t>
  </si>
  <si>
    <t xml:space="preserve">JULIO SEMANA 2</t>
  </si>
  <si>
    <t xml:space="preserve">L19 no tiene IP en la red de medidores: se identifica como L19. Las correcciones de digitación se explican en la columna Nota.</t>
  </si>
  <si>
    <t xml:space="preserve">JULIO SEMANA 3</t>
  </si>
  <si>
    <t xml:space="preserve">JULIO SEMANA 4</t>
  </si>
  <si>
    <t xml:space="preserve">AGOSTO SEMANA 1</t>
  </si>
  <si>
    <t xml:space="preserve">AGOSTO SEMANA 3</t>
  </si>
  <si>
    <t xml:space="preserve">AGOSTO SEMANA 4</t>
  </si>
  <si>
    <t xml:space="preserve">SEPTIEMBRE SEMANA 1</t>
  </si>
  <si>
    <t xml:space="preserve">SEPTIEMBRE SEMANA 2</t>
  </si>
  <si>
    <t xml:space="preserve">SEPTIEMBRE SEMANA 3</t>
  </si>
  <si>
    <t xml:space="preserve">OCTUBRE SEMANA 1.xlsx</t>
  </si>
  <si>
    <t xml:space="preserve">OCTUBRE SEMANA 2 - copia.xlsx</t>
  </si>
  <si>
    <t xml:space="preserve">kVAh corregido: 2407.67 → 24070.7</t>
  </si>
  <si>
    <t xml:space="preserve">kVAh corregido: 399718 → 369718</t>
  </si>
  <si>
    <t xml:space="preserve">kWh corregido: 13842.8 → 13442.8</t>
  </si>
  <si>
    <t xml:space="preserve">kWh corregido: 6801.4 → 5801.4</t>
  </si>
  <si>
    <t xml:space="preserve">kWh corregido: 1.05946e+08 → 105946</t>
  </si>
  <si>
    <t xml:space="preserve">Cómo usar este tablero</t>
  </si>
  <si>
    <t xml:space="preserve">1. En la hoja Tablero, elige el día en la celda amarilla B5 y el medidor para la gráfica en E5.</t>
  </si>
  <si>
    <t xml:space="preserve">2. Para agregar lecturas a mano: pega las filas al final de la hoja Datos (Fecha, IP, Hora, kWh, kVARh, kVAh).</t>
  </si>
  <si>
    <t xml:space="preserve">   Las columnas Minuto, kW intervalo y Línea se calculan solas. Mantén las filas ordenadas por Fecha, IP y Hora (de menor a mayor).</t>
  </si>
  <si>
    <t xml:space="preserve">3. Si agregas un día nuevo a mano, escribe también esa fecha al final de la columna A de la hoja Histórico y copia las fórmulas de la fila anterior.</t>
  </si>
  <si>
    <t xml:space="preserve">4. Los nombres de las líneas se cambian en la hoja Medidores.</t>
  </si>
  <si>
    <t xml:space="preserve">5. Reloj de los medidores: varios guardan la hora en UTC (5 horas adelante). La hoja Medidores indica el desfase de cada uno</t>
  </si>
  <si>
    <t xml:space="preserve">   y las horas de Datos ya están en hora de Colombia; la columna Hora en el medidor conserva la hora original.</t>
  </si>
  <si>
    <t xml:space="preserve">6. Hora de corte (Tablero!D5): se usa para el consumo de 24 h. Debe ser una hora que aparezca en las fotos de todos los días (hoy: 11:00).</t>
  </si>
  <si>
    <t xml:space="preserve">7. EMCALI y Turnos: los datos horarios de EMCALI se cargan desde emcali_horario.csv. La hoja Turnos reparte el consumo en A, B y C.</t>
  </si>
  <si>
    <t xml:space="preserve">8. Producción: kg por día, línea y turno en produccion_kg.csv (hoja DatosProd). La hoja Producción calcula kWh por tonelada con EMCALI.</t>
  </si>
  <si>
    <t xml:space="preserve">9. Histórico líneas: lecturas de los informes semanales (lecturas_informes.csv, hoja DatosInformes). Cambia las fechas amarillas para calcular kWh/t de otro periodo.</t>
  </si>
  <si>
    <t xml:space="preserve">Requiere Excel 2019 o Microsoft 365 (usa las funciones MAXIFS y MINIFS). No necesita internet.</t>
  </si>
  <si>
    <t xml:space="preserve">Fuente de los datos: fotos de la pantalla Data Log de cada medidor, transcritas.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</si>
</sst>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yyyy\-mm\-dd"/>
    <numFmt numFmtId="166" formatCode="hh:mm"/>
    <numFmt numFmtId="167" formatCode="#,##0.0"/>
    <numFmt numFmtId="168" formatCode="0.000"/>
    <numFmt numFmtId="169" formatCode="@"/>
    <numFmt numFmtId="170" formatCode="General"/>
    <numFmt numFmtId="171" formatCode="#,##0.000"/>
    <numFmt numFmtId="172" formatCode="#,##0.00"/>
    <numFmt numFmtId="173" formatCode="0%"/>
    <numFmt numFmtId="174" formatCode="\+0%;\-0%;0%"/>
    <numFmt numFmtId="175" formatCode="#,##0"/>
    <numFmt numFmtId="176" formatCode="0.0%"/>
    <numFmt numFmtId="177" formatCode="0"/>
    <numFmt numFmtId="178" formatCode="0.0"/>
    <numFmt numFmtId="179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8201A"/>
      <name val="Arial"/>
      <family val="0"/>
      <charset val="1"/>
    </font>
    <font>
      <sz val="10"/>
      <color rgb="FF7B877D"/>
      <name val="Arial"/>
      <family val="0"/>
      <charset val="1"/>
    </font>
    <font>
      <b val="true"/>
      <sz val="9"/>
      <color rgb="FF7B877D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3F5F2"/>
        <bgColor rgb="FFFFFFFF"/>
      </patternFill>
    </fill>
    <fill>
      <patternFill patternType="solid">
        <fgColor rgb="FF2F7A34"/>
        <bgColor rgb="FF0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E3DC"/>
      </left>
      <right style="thin">
        <color rgb="FFDDE3DC"/>
      </right>
      <top style="thin">
        <color rgb="FFDDE3DC"/>
      </top>
      <bottom style="thin">
        <color rgb="FFDDE3DC"/>
      </bottom>
      <diagonal/>
    </border>
    <border diagonalUp="false" diagonalDown="false">
      <left style="thin">
        <color rgb="FFDDE3DC"/>
      </left>
      <right/>
      <top style="thin">
        <color rgb="FFDDE3DC"/>
      </top>
      <bottom style="thin">
        <color rgb="FFDDE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2F7A34"/>
      </font>
      <fill>
        <patternFill>
          <bgColor rgb="FFE2EFE0"/>
        </patternFill>
      </fill>
    </dxf>
    <dxf>
      <font>
        <name val="Arial"/>
        <charset val="1"/>
        <family val="0"/>
        <b val="1"/>
        <color rgb="FFB3261E"/>
      </font>
      <fill>
        <patternFill>
          <bgColor rgb="FFF8E0DD"/>
        </patternFill>
      </fill>
    </dxf>
    <dxf>
      <font>
        <name val="Arial"/>
        <charset val="1"/>
        <family val="0"/>
        <b val="1"/>
        <color rgb="FFA46A00"/>
      </font>
      <fill>
        <patternFill>
          <bgColor rgb="FFFBEFD5"/>
        </patternFill>
      </fill>
    </dxf>
    <dxf>
      <fill>
        <patternFill patternType="solid">
          <fgColor rgb="FF2F7A3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46A00"/>
      <rgbColor rgb="FF800080"/>
      <rgbColor rgb="FF008080"/>
      <rgbColor rgb="FFC0C0C0"/>
      <rgbColor rgb="FF7B877D"/>
      <rgbColor rgb="FF9999FF"/>
      <rgbColor rgb="FF993366"/>
      <rgbColor rgb="FFFBEFD5"/>
      <rgbColor rgb="FFF3F5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3DC"/>
      <rgbColor rgb="FFE2EFE0"/>
      <rgbColor rgb="FFFFFF99"/>
      <rgbColor rgb="FF99CCFF"/>
      <rgbColor rgb="FFFF99CC"/>
      <rgbColor rgb="FFCC99FF"/>
      <rgbColor rgb="FFF8E0DD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2F7A34"/>
      <rgbColor rgb="FF18201A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Consumo por medidor en el periodo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Tablero!H11</c:f>
              <c:strCache>
                <c:ptCount val="1"/>
                <c:pt idx="0">
                  <c:v>kWh</c:v>
                </c:pt>
              </c:strCache>
            </c:strRef>
          </c:tx>
          <c:spPr>
            <a:solidFill>
              <a:srgbClr val="2f7a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Tablero!$B$12:$B$21</c:f>
              <c:strCache>
                <c:ptCount val="10"/>
                <c:pt idx="0">
                  <c:v>L50</c:v>
                </c:pt>
                <c:pt idx="1">
                  <c:v>L21</c:v>
                </c:pt>
                <c:pt idx="2">
                  <c:v>L14</c:v>
                </c:pt>
                <c:pt idx="3">
                  <c:v>L20</c:v>
                </c:pt>
                <c:pt idx="4">
                  <c:v>L16</c:v>
                </c:pt>
                <c:pt idx="5">
                  <c:v>L22</c:v>
                </c:pt>
                <c:pt idx="6">
                  <c:v>Estación planta</c:v>
                </c:pt>
                <c:pt idx="7">
                  <c:v>Estación celda 3</c:v>
                </c:pt>
                <c:pt idx="8">
                  <c:v>Estación celda 2</c:v>
                </c:pt>
                <c:pt idx="9">
                  <c:v>Estación celda 1</c:v>
                </c:pt>
              </c:strCache>
            </c:strRef>
          </c:cat>
          <c:val>
            <c:numRef>
              <c:f>Tablero!$H$12:$H$21</c:f>
              <c:numCache>
                <c:formatCode>#,##0.000</c:formatCode>
                <c:ptCount val="10"/>
                <c:pt idx="0">
                  <c:v>2.96499999999833</c:v>
                </c:pt>
                <c:pt idx="1">
                  <c:v>2.95799999999872</c:v>
                </c:pt>
                <c:pt idx="2">
                  <c:v>17.4159999999993</c:v>
                </c:pt>
                <c:pt idx="3">
                  <c:v>16.1989999999987</c:v>
                </c:pt>
                <c:pt idx="4">
                  <c:v>0.7450000000008</c:v>
                </c:pt>
                <c:pt idx="5">
                  <c:v>27.7580000000016</c:v>
                </c:pt>
                <c:pt idx="6">
                  <c:v>127.945999999996</c:v>
                </c:pt>
                <c:pt idx="7">
                  <c:v>341.218999999983</c:v>
                </c:pt>
                <c:pt idx="8">
                  <c:v>427.342999999994</c:v>
                </c:pt>
                <c:pt idx="9">
                  <c:v>430.219000000041</c:v>
                </c:pt>
              </c:numCache>
            </c:numRef>
          </c:val>
        </c:ser>
        <c:gapWidth val="150"/>
        <c:overlap val="0"/>
        <c:axId val="1105297"/>
        <c:axId val="91891854"/>
      </c:barChart>
      <c:catAx>
        <c:axId val="11052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91854"/>
        <c:crosses val="autoZero"/>
        <c:auto val="1"/>
        <c:lblAlgn val="ctr"/>
        <c:lblOffset val="100"/>
        <c:noMultiLvlLbl val="0"/>
      </c:catAx>
      <c:valAx>
        <c:axId val="9189185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52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Demanda cada 15 min (kW) del medidor elegido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Calc!C1</c:f>
              <c:strCache>
                <c:ptCount val="1"/>
                <c:pt idx="0">
                  <c:v>kW</c:v>
                </c:pt>
              </c:strCache>
            </c:strRef>
          </c:tx>
          <c:spPr>
            <a:solidFill>
              <a:srgbClr val="2f7a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Calc!$B$2:$B$97</c:f>
              <c:strCache>
                <c:ptCount val="96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</c:strCache>
            </c:strRef>
          </c:cat>
          <c:val>
            <c:numRef>
              <c:f>Calc!$C$2:$C$97</c:f>
              <c:numCache>
                <c:formatCode>#,##0.00</c:formatCode>
                <c:ptCount val="96"/>
                <c:pt idx="37">
                  <c:v>110.876000000164</c:v>
                </c:pt>
                <c:pt idx="38">
                  <c:v>130.247999999905</c:v>
                </c:pt>
                <c:pt idx="39">
                  <c:v>98.8759999999311</c:v>
                </c:pt>
                <c:pt idx="40">
                  <c:v>96.8760000001639</c:v>
                </c:pt>
                <c:pt idx="41">
                  <c:v>101.623999999836</c:v>
                </c:pt>
                <c:pt idx="42">
                  <c:v>88.8760000001639</c:v>
                </c:pt>
                <c:pt idx="43">
                  <c:v>66.747999999905</c:v>
                </c:pt>
                <c:pt idx="44">
                  <c:v>56.6240000000689</c:v>
                </c:pt>
                <c:pt idx="45">
                  <c:v>79.5</c:v>
                </c:pt>
                <c:pt idx="46">
                  <c:v>83.1280000000261</c:v>
                </c:pt>
                <c:pt idx="47">
                  <c:v>81.1239999998361</c:v>
                </c:pt>
                <c:pt idx="48">
                  <c:v>88.1240000000689</c:v>
                </c:pt>
                <c:pt idx="49">
                  <c:v>86.8759999999311</c:v>
                </c:pt>
                <c:pt idx="50">
                  <c:v>91.3760000001639</c:v>
                </c:pt>
                <c:pt idx="51">
                  <c:v>96.8719999999739</c:v>
                </c:pt>
                <c:pt idx="52">
                  <c:v>87.6280000000261</c:v>
                </c:pt>
                <c:pt idx="53">
                  <c:v>87.1239999998361</c:v>
                </c:pt>
                <c:pt idx="54">
                  <c:v>94.1240000000689</c:v>
                </c:pt>
                <c:pt idx="55">
                  <c:v>94.252000000095</c:v>
                </c:pt>
              </c:numCache>
            </c:numRef>
          </c:val>
        </c:ser>
        <c:gapWidth val="20"/>
        <c:overlap val="0"/>
        <c:axId val="40224280"/>
        <c:axId val="7336023"/>
      </c:barChart>
      <c:catAx>
        <c:axId val="4022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6023"/>
        <c:crosses val="autoZero"/>
        <c:auto val="1"/>
        <c:lblAlgn val="ctr"/>
        <c:lblOffset val="100"/>
        <c:noMultiLvlLbl val="0"/>
      </c:catAx>
      <c:valAx>
        <c:axId val="73360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242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Consumo total por día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Histórico!L2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7a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Histórico!$A$3:$A$5</c:f>
              <c:strCache>
                <c:ptCount val="3"/>
                <c:pt idx="0">
                  <c:v>2026-10-07</c:v>
                </c:pt>
                <c:pt idx="1">
                  <c:v>2026-10-08</c:v>
                </c:pt>
                <c:pt idx="2">
                  <c:v>2026-10-09</c:v>
                </c:pt>
              </c:strCache>
            </c:strRef>
          </c:cat>
          <c:val>
            <c:numRef>
              <c:f>Histórico!$L$3:$L$5</c:f>
              <c:numCache>
                <c:formatCode>#,##0.0</c:formatCode>
                <c:ptCount val="3"/>
                <c:pt idx="0">
                  <c:v>883.842999999994</c:v>
                </c:pt>
                <c:pt idx="1">
                  <c:v>1283.50900000002</c:v>
                </c:pt>
                <c:pt idx="2">
                  <c:v>1326.72700000001</c:v>
                </c:pt>
              </c:numCache>
            </c:numRef>
          </c:val>
        </c:ser>
        <c:gapWidth val="150"/>
        <c:overlap val="0"/>
        <c:axId val="54688918"/>
        <c:axId val="96911154"/>
      </c:barChart>
      <c:catAx>
        <c:axId val="5468891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11154"/>
        <c:crosses val="autoZero"/>
        <c:auto val="1"/>
        <c:lblAlgn val="ctr"/>
        <c:lblOffset val="100"/>
        <c:noMultiLvlLbl val="0"/>
      </c:catAx>
      <c:valAx>
        <c:axId val="96911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889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kW medio por turno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Turnos!G4</c:f>
              <c:strCache>
                <c:ptCount val="1"/>
                <c:pt idx="0">
                  <c:v>kW medio</c:v>
                </c:pt>
              </c:strCache>
            </c:strRef>
          </c:tx>
          <c:spPr>
            <a:solidFill>
              <a:srgbClr val="2f7a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Turnos!$A$5:$A$9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Entre turnos</c:v>
                </c:pt>
                <c:pt idx="4">
                  <c:v>Sin turno</c:v>
                </c:pt>
              </c:strCache>
            </c:strRef>
          </c:cat>
          <c:val>
            <c:numRef>
              <c:f>Turnos!$G$5:$G$9</c:f>
              <c:numCache>
                <c:formatCode>#,##0.0</c:formatCode>
                <c:ptCount val="5"/>
                <c:pt idx="0">
                  <c:v>211.144864864865</c:v>
                </c:pt>
                <c:pt idx="1">
                  <c:v>187.455703125</c:v>
                </c:pt>
                <c:pt idx="2">
                  <c:v>100.712893401015</c:v>
                </c:pt>
                <c:pt idx="3">
                  <c:v>120.307397260274</c:v>
                </c:pt>
                <c:pt idx="4">
                  <c:v>51.6775</c:v>
                </c:pt>
              </c:numCache>
            </c:numRef>
          </c:val>
        </c:ser>
        <c:gapWidth val="150"/>
        <c:overlap val="0"/>
        <c:axId val="46559342"/>
        <c:axId val="80299266"/>
      </c:barChart>
      <c:catAx>
        <c:axId val="46559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99266"/>
        <c:crosses val="autoZero"/>
        <c:auto val="1"/>
        <c:lblAlgn val="ctr"/>
        <c:lblOffset val="100"/>
        <c:noMultiLvlLbl val="0"/>
      </c:catAx>
      <c:valAx>
        <c:axId val="80299266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593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Consumo diario de la planta según EMCALI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Turnos!H14</c:f>
              <c:strCache>
                <c:ptCount val="1"/>
                <c:pt idx="0">
                  <c:v>Total día</c:v>
                </c:pt>
              </c:strCache>
            </c:strRef>
          </c:tx>
          <c:spPr>
            <a:solidFill>
              <a:srgbClr val="2f7a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Turnos!$A$15:$A$98</c:f>
              <c:strCache>
                <c:ptCount val="84"/>
                <c:pt idx="0">
                  <c:v>2026-07-13</c:v>
                </c:pt>
                <c:pt idx="1">
                  <c:v>2026-07-14</c:v>
                </c:pt>
                <c:pt idx="2">
                  <c:v>2026-07-15</c:v>
                </c:pt>
                <c:pt idx="3">
                  <c:v>2026-07-16</c:v>
                </c:pt>
                <c:pt idx="4">
                  <c:v>2026-07-17</c:v>
                </c:pt>
                <c:pt idx="5">
                  <c:v>2026-07-20</c:v>
                </c:pt>
                <c:pt idx="6">
                  <c:v>2026-07-21</c:v>
                </c:pt>
                <c:pt idx="7">
                  <c:v>2026-07-22</c:v>
                </c:pt>
                <c:pt idx="8">
                  <c:v>2026-07-23</c:v>
                </c:pt>
                <c:pt idx="9">
                  <c:v>2026-07-24</c:v>
                </c:pt>
                <c:pt idx="10">
                  <c:v>2026-07-27</c:v>
                </c:pt>
                <c:pt idx="11">
                  <c:v>2026-07-28</c:v>
                </c:pt>
                <c:pt idx="12">
                  <c:v>2026-07-29</c:v>
                </c:pt>
                <c:pt idx="13">
                  <c:v>2026-07-30</c:v>
                </c:pt>
                <c:pt idx="14">
                  <c:v>2026-08-01</c:v>
                </c:pt>
                <c:pt idx="15">
                  <c:v>2026-08-02</c:v>
                </c:pt>
                <c:pt idx="16">
                  <c:v>2026-08-03</c:v>
                </c:pt>
                <c:pt idx="17">
                  <c:v>2026-08-04</c:v>
                </c:pt>
                <c:pt idx="18">
                  <c:v>2026-08-05</c:v>
                </c:pt>
                <c:pt idx="19">
                  <c:v>2026-08-06</c:v>
                </c:pt>
                <c:pt idx="20">
                  <c:v>2026-08-07</c:v>
                </c:pt>
                <c:pt idx="21">
                  <c:v>2026-08-08</c:v>
                </c:pt>
                <c:pt idx="22">
                  <c:v>2026-08-09</c:v>
                </c:pt>
                <c:pt idx="23">
                  <c:v>2026-08-10</c:v>
                </c:pt>
                <c:pt idx="24">
                  <c:v>2026-08-11</c:v>
                </c:pt>
                <c:pt idx="25">
                  <c:v>2026-08-12</c:v>
                </c:pt>
                <c:pt idx="26">
                  <c:v>2026-08-13</c:v>
                </c:pt>
                <c:pt idx="27">
                  <c:v>2026-08-14</c:v>
                </c:pt>
                <c:pt idx="28">
                  <c:v>2026-08-15</c:v>
                </c:pt>
                <c:pt idx="29">
                  <c:v>2026-08-16</c:v>
                </c:pt>
                <c:pt idx="30">
                  <c:v>2026-08-17</c:v>
                </c:pt>
                <c:pt idx="31">
                  <c:v>2026-08-18</c:v>
                </c:pt>
                <c:pt idx="32">
                  <c:v>2026-08-19</c:v>
                </c:pt>
                <c:pt idx="33">
                  <c:v>2026-08-20</c:v>
                </c:pt>
                <c:pt idx="34">
                  <c:v>2026-08-21</c:v>
                </c:pt>
                <c:pt idx="35">
                  <c:v>2026-08-22</c:v>
                </c:pt>
                <c:pt idx="36">
                  <c:v>2026-08-23</c:v>
                </c:pt>
                <c:pt idx="37">
                  <c:v>2026-08-24</c:v>
                </c:pt>
                <c:pt idx="38">
                  <c:v>2026-08-25</c:v>
                </c:pt>
                <c:pt idx="39">
                  <c:v>2026-08-26</c:v>
                </c:pt>
                <c:pt idx="40">
                  <c:v>2026-08-27</c:v>
                </c:pt>
                <c:pt idx="41">
                  <c:v>2026-08-28</c:v>
                </c:pt>
                <c:pt idx="42">
                  <c:v>2026-08-29</c:v>
                </c:pt>
                <c:pt idx="43">
                  <c:v>2026-08-30</c:v>
                </c:pt>
                <c:pt idx="44">
                  <c:v>2026-08-31</c:v>
                </c:pt>
                <c:pt idx="45">
                  <c:v>2026-09-01</c:v>
                </c:pt>
                <c:pt idx="46">
                  <c:v>2026-09-02</c:v>
                </c:pt>
                <c:pt idx="47">
                  <c:v>2026-09-03</c:v>
                </c:pt>
                <c:pt idx="48">
                  <c:v>2026-09-04</c:v>
                </c:pt>
                <c:pt idx="49">
                  <c:v>2026-09-05</c:v>
                </c:pt>
                <c:pt idx="50">
                  <c:v>2026-09-06</c:v>
                </c:pt>
                <c:pt idx="51">
                  <c:v>2026-09-07</c:v>
                </c:pt>
                <c:pt idx="52">
                  <c:v>2026-09-08</c:v>
                </c:pt>
                <c:pt idx="53">
                  <c:v>2026-09-09</c:v>
                </c:pt>
                <c:pt idx="54">
                  <c:v>2026-09-10</c:v>
                </c:pt>
                <c:pt idx="55">
                  <c:v>2026-09-11</c:v>
                </c:pt>
                <c:pt idx="56">
                  <c:v>2026-09-12</c:v>
                </c:pt>
                <c:pt idx="57">
                  <c:v>2026-09-13</c:v>
                </c:pt>
                <c:pt idx="58">
                  <c:v>2026-09-14</c:v>
                </c:pt>
                <c:pt idx="59">
                  <c:v>2026-09-15</c:v>
                </c:pt>
                <c:pt idx="60">
                  <c:v>2026-09-16</c:v>
                </c:pt>
                <c:pt idx="61">
                  <c:v>2026-09-17</c:v>
                </c:pt>
                <c:pt idx="62">
                  <c:v>2026-09-18</c:v>
                </c:pt>
                <c:pt idx="63">
                  <c:v>2026-09-19</c:v>
                </c:pt>
                <c:pt idx="64">
                  <c:v>2026-09-20</c:v>
                </c:pt>
                <c:pt idx="65">
                  <c:v>2026-09-21</c:v>
                </c:pt>
                <c:pt idx="66">
                  <c:v>2026-09-22</c:v>
                </c:pt>
                <c:pt idx="67">
                  <c:v>2026-09-23</c:v>
                </c:pt>
                <c:pt idx="68">
                  <c:v>2026-09-24</c:v>
                </c:pt>
                <c:pt idx="69">
                  <c:v>2026-09-25</c:v>
                </c:pt>
                <c:pt idx="70">
                  <c:v>2026-09-26</c:v>
                </c:pt>
                <c:pt idx="71">
                  <c:v>2026-09-27</c:v>
                </c:pt>
                <c:pt idx="72">
                  <c:v>2026-09-28</c:v>
                </c:pt>
                <c:pt idx="73">
                  <c:v>2026-09-29</c:v>
                </c:pt>
                <c:pt idx="74">
                  <c:v>2026-09-30</c:v>
                </c:pt>
                <c:pt idx="75">
                  <c:v>2026-10-01</c:v>
                </c:pt>
                <c:pt idx="76">
                  <c:v>2026-10-02</c:v>
                </c:pt>
                <c:pt idx="77">
                  <c:v>2026-10-03</c:v>
                </c:pt>
                <c:pt idx="78">
                  <c:v>2026-10-04</c:v>
                </c:pt>
                <c:pt idx="79">
                  <c:v>2026-10-05</c:v>
                </c:pt>
                <c:pt idx="80">
                  <c:v>2026-10-06</c:v>
                </c:pt>
                <c:pt idx="81">
                  <c:v>2026-10-07</c:v>
                </c:pt>
                <c:pt idx="82">
                  <c:v>2026-10-08</c:v>
                </c:pt>
                <c:pt idx="83">
                  <c:v>2026-10-09</c:v>
                </c:pt>
              </c:strCache>
            </c:strRef>
          </c:cat>
          <c:val>
            <c:numRef>
              <c:f>Turnos!$H$15:$H$98</c:f>
              <c:numCache>
                <c:formatCode>#,##0</c:formatCode>
                <c:ptCount val="84"/>
                <c:pt idx="0">
                  <c:v>1354.56</c:v>
                </c:pt>
                <c:pt idx="1">
                  <c:v>4471.68</c:v>
                </c:pt>
                <c:pt idx="2">
                  <c:v>4237.08</c:v>
                </c:pt>
                <c:pt idx="3">
                  <c:v>4313.28</c:v>
                </c:pt>
                <c:pt idx="4">
                  <c:v>4017.24</c:v>
                </c:pt>
                <c:pt idx="5">
                  <c:v>1570.56</c:v>
                </c:pt>
                <c:pt idx="6">
                  <c:v>4178.04</c:v>
                </c:pt>
                <c:pt idx="7">
                  <c:v>4356.48</c:v>
                </c:pt>
                <c:pt idx="8">
                  <c:v>4470.12</c:v>
                </c:pt>
                <c:pt idx="9">
                  <c:v>3964.8</c:v>
                </c:pt>
                <c:pt idx="10">
                  <c:v>4065.48</c:v>
                </c:pt>
                <c:pt idx="11">
                  <c:v>3967.2</c:v>
                </c:pt>
                <c:pt idx="12">
                  <c:v>4014.36</c:v>
                </c:pt>
                <c:pt idx="13">
                  <c:v>2367.12</c:v>
                </c:pt>
                <c:pt idx="14">
                  <c:v>2767.2</c:v>
                </c:pt>
                <c:pt idx="15">
                  <c:v>1316.4</c:v>
                </c:pt>
                <c:pt idx="16">
                  <c:v>4151.76</c:v>
                </c:pt>
                <c:pt idx="17">
                  <c:v>4000.08</c:v>
                </c:pt>
                <c:pt idx="18">
                  <c:v>4349.64</c:v>
                </c:pt>
                <c:pt idx="19">
                  <c:v>3839.04</c:v>
                </c:pt>
                <c:pt idx="20">
                  <c:v>773.04</c:v>
                </c:pt>
                <c:pt idx="21">
                  <c:v>3074.64</c:v>
                </c:pt>
                <c:pt idx="22">
                  <c:v>869.64</c:v>
                </c:pt>
                <c:pt idx="23">
                  <c:v>2183.52</c:v>
                </c:pt>
                <c:pt idx="24">
                  <c:v>1617.36</c:v>
                </c:pt>
                <c:pt idx="25">
                  <c:v>1609.2</c:v>
                </c:pt>
                <c:pt idx="26">
                  <c:v>1621.68</c:v>
                </c:pt>
                <c:pt idx="27">
                  <c:v>1756.92</c:v>
                </c:pt>
                <c:pt idx="28">
                  <c:v>1540.92</c:v>
                </c:pt>
                <c:pt idx="29">
                  <c:v>1235.4</c:v>
                </c:pt>
                <c:pt idx="30">
                  <c:v>1791.48</c:v>
                </c:pt>
                <c:pt idx="31">
                  <c:v>3337.8</c:v>
                </c:pt>
                <c:pt idx="32">
                  <c:v>4305.12</c:v>
                </c:pt>
                <c:pt idx="33">
                  <c:v>4449</c:v>
                </c:pt>
                <c:pt idx="34">
                  <c:v>4365</c:v>
                </c:pt>
                <c:pt idx="35">
                  <c:v>3622.08</c:v>
                </c:pt>
                <c:pt idx="36">
                  <c:v>1361.16</c:v>
                </c:pt>
                <c:pt idx="37">
                  <c:v>4750.56</c:v>
                </c:pt>
                <c:pt idx="38">
                  <c:v>4962.84</c:v>
                </c:pt>
                <c:pt idx="39">
                  <c:v>5101.2</c:v>
                </c:pt>
                <c:pt idx="40">
                  <c:v>4860.36</c:v>
                </c:pt>
                <c:pt idx="41">
                  <c:v>4994.64</c:v>
                </c:pt>
                <c:pt idx="42">
                  <c:v>4367.88</c:v>
                </c:pt>
                <c:pt idx="43">
                  <c:v>1282.08</c:v>
                </c:pt>
                <c:pt idx="44">
                  <c:v>3303.12</c:v>
                </c:pt>
                <c:pt idx="45">
                  <c:v>4564.68</c:v>
                </c:pt>
                <c:pt idx="46">
                  <c:v>4578.96</c:v>
                </c:pt>
                <c:pt idx="47">
                  <c:v>4440.96</c:v>
                </c:pt>
                <c:pt idx="48">
                  <c:v>4674.96</c:v>
                </c:pt>
                <c:pt idx="49">
                  <c:v>1405.56</c:v>
                </c:pt>
                <c:pt idx="50">
                  <c:v>1119.84</c:v>
                </c:pt>
                <c:pt idx="51">
                  <c:v>4491.36</c:v>
                </c:pt>
                <c:pt idx="52">
                  <c:v>4874.88</c:v>
                </c:pt>
                <c:pt idx="53">
                  <c:v>4740.72</c:v>
                </c:pt>
                <c:pt idx="54">
                  <c:v>4461.24</c:v>
                </c:pt>
                <c:pt idx="55">
                  <c:v>4450.2</c:v>
                </c:pt>
                <c:pt idx="56">
                  <c:v>1513.8</c:v>
                </c:pt>
                <c:pt idx="57">
                  <c:v>1508.52</c:v>
                </c:pt>
                <c:pt idx="58">
                  <c:v>4400.4</c:v>
                </c:pt>
                <c:pt idx="59">
                  <c:v>4614.36</c:v>
                </c:pt>
                <c:pt idx="60">
                  <c:v>4500.96</c:v>
                </c:pt>
                <c:pt idx="61">
                  <c:v>4448.04</c:v>
                </c:pt>
                <c:pt idx="62">
                  <c:v>4488.24</c:v>
                </c:pt>
                <c:pt idx="63">
                  <c:v>3876.36</c:v>
                </c:pt>
                <c:pt idx="64">
                  <c:v>1152.84</c:v>
                </c:pt>
                <c:pt idx="65">
                  <c:v>4976.4</c:v>
                </c:pt>
                <c:pt idx="66">
                  <c:v>4811.76</c:v>
                </c:pt>
                <c:pt idx="67">
                  <c:v>4612.32</c:v>
                </c:pt>
                <c:pt idx="68">
                  <c:v>4701.84</c:v>
                </c:pt>
                <c:pt idx="69">
                  <c:v>4345.08</c:v>
                </c:pt>
                <c:pt idx="70">
                  <c:v>1924.68</c:v>
                </c:pt>
                <c:pt idx="71">
                  <c:v>1597.8</c:v>
                </c:pt>
                <c:pt idx="72">
                  <c:v>4521.72</c:v>
                </c:pt>
                <c:pt idx="73">
                  <c:v>4589.88</c:v>
                </c:pt>
                <c:pt idx="74">
                  <c:v>3124.08</c:v>
                </c:pt>
                <c:pt idx="75">
                  <c:v>4326.24</c:v>
                </c:pt>
                <c:pt idx="76">
                  <c:v>4681.8</c:v>
                </c:pt>
                <c:pt idx="77">
                  <c:v>3650.4</c:v>
                </c:pt>
                <c:pt idx="78">
                  <c:v>1180.92</c:v>
                </c:pt>
                <c:pt idx="79">
                  <c:v>4546.32</c:v>
                </c:pt>
                <c:pt idx="80">
                  <c:v>4538.64</c:v>
                </c:pt>
                <c:pt idx="81">
                  <c:v>4243.68</c:v>
                </c:pt>
                <c:pt idx="82">
                  <c:v>4455.6</c:v>
                </c:pt>
                <c:pt idx="83">
                  <c:v>4794.36</c:v>
                </c:pt>
              </c:numCache>
            </c:numRef>
          </c:val>
        </c:ser>
        <c:gapWidth val="30"/>
        <c:overlap val="0"/>
        <c:axId val="52923945"/>
        <c:axId val="96421383"/>
      </c:barChart>
      <c:catAx>
        <c:axId val="52923945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21383"/>
        <c:crosses val="autoZero"/>
        <c:auto val="1"/>
        <c:lblAlgn val="ctr"/>
        <c:lblOffset val="100"/>
        <c:noMultiLvlLbl val="0"/>
      </c:catAx>
      <c:valAx>
        <c:axId val="96421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239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kWh por tonelada producida, por día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Producción!G12</c:f>
              <c:strCache>
                <c:ptCount val="1"/>
                <c:pt idx="0">
                  <c:v>kWh/t día</c:v>
                </c:pt>
              </c:strCache>
            </c:strRef>
          </c:tx>
          <c:spPr>
            <a:solidFill>
              <a:srgbClr val="2f7a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Producción!$A$13:$A$101</c:f>
              <c:strCache>
                <c:ptCount val="89"/>
                <c:pt idx="0">
                  <c:v>2026-07-13</c:v>
                </c:pt>
                <c:pt idx="1">
                  <c:v>2026-07-14</c:v>
                </c:pt>
                <c:pt idx="2">
                  <c:v>2026-07-15</c:v>
                </c:pt>
                <c:pt idx="3">
                  <c:v>2026-07-16</c:v>
                </c:pt>
                <c:pt idx="4">
                  <c:v>2026-07-17</c:v>
                </c:pt>
                <c:pt idx="5">
                  <c:v>2026-07-18</c:v>
                </c:pt>
                <c:pt idx="6">
                  <c:v>2026-07-19</c:v>
                </c:pt>
                <c:pt idx="7">
                  <c:v>2026-07-20</c:v>
                </c:pt>
                <c:pt idx="8">
                  <c:v>2026-07-21</c:v>
                </c:pt>
                <c:pt idx="9">
                  <c:v>2026-07-22</c:v>
                </c:pt>
                <c:pt idx="10">
                  <c:v>2026-07-23</c:v>
                </c:pt>
                <c:pt idx="11">
                  <c:v>2026-07-24</c:v>
                </c:pt>
                <c:pt idx="12">
                  <c:v>2026-07-25</c:v>
                </c:pt>
                <c:pt idx="13">
                  <c:v>2026-07-26</c:v>
                </c:pt>
                <c:pt idx="14">
                  <c:v>2026-07-27</c:v>
                </c:pt>
                <c:pt idx="15">
                  <c:v>2026-07-28</c:v>
                </c:pt>
                <c:pt idx="16">
                  <c:v>2026-07-29</c:v>
                </c:pt>
                <c:pt idx="17">
                  <c:v>2026-07-30</c:v>
                </c:pt>
                <c:pt idx="18">
                  <c:v>2026-07-31</c:v>
                </c:pt>
                <c:pt idx="19">
                  <c:v>2026-08-01</c:v>
                </c:pt>
                <c:pt idx="20">
                  <c:v>2026-08-02</c:v>
                </c:pt>
                <c:pt idx="21">
                  <c:v>2026-08-03</c:v>
                </c:pt>
                <c:pt idx="22">
                  <c:v>2026-08-04</c:v>
                </c:pt>
                <c:pt idx="23">
                  <c:v>2026-08-05</c:v>
                </c:pt>
                <c:pt idx="24">
                  <c:v>2026-08-06</c:v>
                </c:pt>
                <c:pt idx="25">
                  <c:v>2026-08-07</c:v>
                </c:pt>
                <c:pt idx="26">
                  <c:v>2026-08-08</c:v>
                </c:pt>
                <c:pt idx="27">
                  <c:v>2026-08-09</c:v>
                </c:pt>
                <c:pt idx="28">
                  <c:v>2026-08-10</c:v>
                </c:pt>
                <c:pt idx="29">
                  <c:v>2026-08-11</c:v>
                </c:pt>
                <c:pt idx="30">
                  <c:v>2026-08-12</c:v>
                </c:pt>
                <c:pt idx="31">
                  <c:v>2026-08-13</c:v>
                </c:pt>
                <c:pt idx="32">
                  <c:v>2026-08-14</c:v>
                </c:pt>
                <c:pt idx="33">
                  <c:v>2026-08-15</c:v>
                </c:pt>
                <c:pt idx="34">
                  <c:v>2026-08-16</c:v>
                </c:pt>
                <c:pt idx="35">
                  <c:v>2026-08-17</c:v>
                </c:pt>
                <c:pt idx="36">
                  <c:v>2026-08-18</c:v>
                </c:pt>
                <c:pt idx="37">
                  <c:v>2026-08-19</c:v>
                </c:pt>
                <c:pt idx="38">
                  <c:v>2026-08-20</c:v>
                </c:pt>
                <c:pt idx="39">
                  <c:v>2026-08-21</c:v>
                </c:pt>
                <c:pt idx="40">
                  <c:v>2026-08-22</c:v>
                </c:pt>
                <c:pt idx="41">
                  <c:v>2026-08-23</c:v>
                </c:pt>
                <c:pt idx="42">
                  <c:v>2026-08-24</c:v>
                </c:pt>
                <c:pt idx="43">
                  <c:v>2026-08-25</c:v>
                </c:pt>
                <c:pt idx="44">
                  <c:v>2026-08-26</c:v>
                </c:pt>
                <c:pt idx="45">
                  <c:v>2026-08-27</c:v>
                </c:pt>
                <c:pt idx="46">
                  <c:v>2026-08-28</c:v>
                </c:pt>
                <c:pt idx="47">
                  <c:v>2026-08-29</c:v>
                </c:pt>
                <c:pt idx="48">
                  <c:v>2026-08-30</c:v>
                </c:pt>
                <c:pt idx="49">
                  <c:v>2026-08-31</c:v>
                </c:pt>
                <c:pt idx="50">
                  <c:v>2026-09-01</c:v>
                </c:pt>
                <c:pt idx="51">
                  <c:v>2026-09-02</c:v>
                </c:pt>
                <c:pt idx="52">
                  <c:v>2026-09-03</c:v>
                </c:pt>
                <c:pt idx="53">
                  <c:v>2026-09-04</c:v>
                </c:pt>
                <c:pt idx="54">
                  <c:v>2026-09-05</c:v>
                </c:pt>
                <c:pt idx="55">
                  <c:v>2026-09-06</c:v>
                </c:pt>
                <c:pt idx="56">
                  <c:v>2026-09-07</c:v>
                </c:pt>
                <c:pt idx="57">
                  <c:v>2026-09-08</c:v>
                </c:pt>
                <c:pt idx="58">
                  <c:v>2026-09-09</c:v>
                </c:pt>
                <c:pt idx="59">
                  <c:v>2026-09-10</c:v>
                </c:pt>
                <c:pt idx="60">
                  <c:v>2026-09-11</c:v>
                </c:pt>
                <c:pt idx="61">
                  <c:v>2026-09-12</c:v>
                </c:pt>
                <c:pt idx="62">
                  <c:v>2026-09-13</c:v>
                </c:pt>
                <c:pt idx="63">
                  <c:v>2026-09-14</c:v>
                </c:pt>
                <c:pt idx="64">
                  <c:v>2026-09-15</c:v>
                </c:pt>
                <c:pt idx="65">
                  <c:v>2026-09-16</c:v>
                </c:pt>
                <c:pt idx="66">
                  <c:v>2026-09-17</c:v>
                </c:pt>
                <c:pt idx="67">
                  <c:v>2026-09-18</c:v>
                </c:pt>
                <c:pt idx="68">
                  <c:v>2026-09-19</c:v>
                </c:pt>
                <c:pt idx="69">
                  <c:v>2026-09-20</c:v>
                </c:pt>
                <c:pt idx="70">
                  <c:v>2026-09-21</c:v>
                </c:pt>
                <c:pt idx="71">
                  <c:v>2026-09-22</c:v>
                </c:pt>
                <c:pt idx="72">
                  <c:v>2026-09-23</c:v>
                </c:pt>
                <c:pt idx="73">
                  <c:v>2026-09-24</c:v>
                </c:pt>
                <c:pt idx="74">
                  <c:v>2026-09-25</c:v>
                </c:pt>
                <c:pt idx="75">
                  <c:v>2026-09-26</c:v>
                </c:pt>
                <c:pt idx="76">
                  <c:v>2026-09-27</c:v>
                </c:pt>
                <c:pt idx="77">
                  <c:v>2026-09-28</c:v>
                </c:pt>
                <c:pt idx="78">
                  <c:v>2026-09-29</c:v>
                </c:pt>
                <c:pt idx="79">
                  <c:v>2026-09-30</c:v>
                </c:pt>
                <c:pt idx="80">
                  <c:v>2026-10-01</c:v>
                </c:pt>
                <c:pt idx="81">
                  <c:v>2026-10-02</c:v>
                </c:pt>
                <c:pt idx="82">
                  <c:v>2026-10-03</c:v>
                </c:pt>
                <c:pt idx="83">
                  <c:v>2026-10-04</c:v>
                </c:pt>
                <c:pt idx="84">
                  <c:v>2026-10-05</c:v>
                </c:pt>
                <c:pt idx="85">
                  <c:v>2026-10-06</c:v>
                </c:pt>
                <c:pt idx="86">
                  <c:v>2026-10-07</c:v>
                </c:pt>
                <c:pt idx="87">
                  <c:v>2026-10-08</c:v>
                </c:pt>
                <c:pt idx="88">
                  <c:v>2026-10-09</c:v>
                </c:pt>
              </c:strCache>
            </c:strRef>
          </c:cat>
          <c:val>
            <c:numRef>
              <c:f>Producción!$G$13:$G$101</c:f>
              <c:numCache>
                <c:formatCode>0.0</c:formatCode>
                <c:ptCount val="89"/>
                <c:pt idx="1">
                  <c:v>63.2925591286029</c:v>
                </c:pt>
                <c:pt idx="2">
                  <c:v>57.3100883747619</c:v>
                </c:pt>
                <c:pt idx="3">
                  <c:v>42.7015311885924</c:v>
                </c:pt>
                <c:pt idx="4">
                  <c:v>56.6877805803415</c:v>
                </c:pt>
                <c:pt idx="8">
                  <c:v>47.1043530127416</c:v>
                </c:pt>
                <c:pt idx="9">
                  <c:v>46.3785702321264</c:v>
                </c:pt>
                <c:pt idx="10">
                  <c:v>48.6899795291908</c:v>
                </c:pt>
                <c:pt idx="11">
                  <c:v>51.5289253921257</c:v>
                </c:pt>
                <c:pt idx="14">
                  <c:v>51.6861752054903</c:v>
                </c:pt>
                <c:pt idx="15">
                  <c:v>63.8732087825082</c:v>
                </c:pt>
                <c:pt idx="16">
                  <c:v>38.4648246529711</c:v>
                </c:pt>
                <c:pt idx="19">
                  <c:v>75.9550457679107</c:v>
                </c:pt>
                <c:pt idx="21">
                  <c:v>70.1157929956759</c:v>
                </c:pt>
                <c:pt idx="22">
                  <c:v>110.04374481498</c:v>
                </c:pt>
              </c:numCache>
            </c:numRef>
          </c:val>
        </c:ser>
        <c:gapWidth val="40"/>
        <c:overlap val="0"/>
        <c:axId val="17606690"/>
        <c:axId val="51133022"/>
      </c:barChart>
      <c:catAx>
        <c:axId val="17606690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33022"/>
        <c:crosses val="autoZero"/>
        <c:auto val="1"/>
        <c:lblAlgn val="ctr"/>
        <c:lblOffset val="100"/>
        <c:noMultiLvlLbl val="0"/>
      </c:catAx>
      <c:valAx>
        <c:axId val="51133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066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kWh por tonelada por línea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'Histórico líneas'!D23</c:f>
              <c:strCache>
                <c:ptCount val="1"/>
                <c:pt idx="0">
                  <c:v>kWh/t</c:v>
                </c:pt>
              </c:strCache>
            </c:strRef>
          </c:tx>
          <c:spPr>
            <a:solidFill>
              <a:srgbClr val="2f7a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'Histórico líneas'!$A$24:$A$30</c:f>
              <c:strCache>
                <c:ptCount val="7"/>
                <c:pt idx="0">
                  <c:v>L14</c:v>
                </c:pt>
                <c:pt idx="1">
                  <c:v>L16</c:v>
                </c:pt>
                <c:pt idx="2">
                  <c:v>L19</c:v>
                </c:pt>
                <c:pt idx="3">
                  <c:v>L20</c:v>
                </c:pt>
                <c:pt idx="4">
                  <c:v>L21 (L18-21)</c:v>
                </c:pt>
                <c:pt idx="5">
                  <c:v>L22</c:v>
                </c:pt>
                <c:pt idx="6">
                  <c:v>L50</c:v>
                </c:pt>
              </c:strCache>
            </c:strRef>
          </c:cat>
          <c:val>
            <c:numRef>
              <c:f>'Histórico líneas'!$D$24:$D$30</c:f>
              <c:numCache>
                <c:formatCode>0.00</c:formatCode>
                <c:ptCount val="7"/>
                <c:pt idx="0">
                  <c:v>3.63050317114117</c:v>
                </c:pt>
                <c:pt idx="1">
                  <c:v>18.1828623112981</c:v>
                </c:pt>
                <c:pt idx="2">
                  <c:v>3.35862370629159</c:v>
                </c:pt>
                <c:pt idx="4">
                  <c:v>12.7151930330134</c:v>
                </c:pt>
                <c:pt idx="5">
                  <c:v>7.77139152548272</c:v>
                </c:pt>
              </c:numCache>
            </c:numRef>
          </c:val>
        </c:ser>
        <c:gapWidth val="150"/>
        <c:overlap val="0"/>
        <c:axId val="82301410"/>
        <c:axId val="29519209"/>
      </c:barChart>
      <c:catAx>
        <c:axId val="823014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19209"/>
        <c:crosses val="autoZero"/>
        <c:auto val="1"/>
        <c:lblAlgn val="ctr"/>
        <c:lblOffset val="100"/>
        <c:noMultiLvlLbl val="0"/>
      </c:catAx>
      <c:valAx>
        <c:axId val="2951920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014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kWh por día de todas las líneas,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'Histórico líneas'!I4</c:f>
              <c:strCache>
                <c:ptCount val="1"/>
                <c:pt idx="0">
                  <c:v>Total líneas</c:v>
                </c:pt>
              </c:strCache>
            </c:strRef>
          </c:tx>
          <c:spPr>
            <a:solidFill>
              <a:srgbClr val="2f7a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'Histórico líneas'!$A$5:$A$17</c:f>
              <c:strCache>
                <c:ptCount val="13"/>
                <c:pt idx="0">
                  <c:v>2026-07-13</c:v>
                </c:pt>
                <c:pt idx="1">
                  <c:v>2026-07-20</c:v>
                </c:pt>
                <c:pt idx="2">
                  <c:v>2026-07-27</c:v>
                </c:pt>
                <c:pt idx="3">
                  <c:v>2026-08-03</c:v>
                </c:pt>
                <c:pt idx="4">
                  <c:v>2026-08-10</c:v>
                </c:pt>
                <c:pt idx="5">
                  <c:v>2026-08-17</c:v>
                </c:pt>
                <c:pt idx="6">
                  <c:v>2026-08-24</c:v>
                </c:pt>
                <c:pt idx="7">
                  <c:v>2026-08-31</c:v>
                </c:pt>
                <c:pt idx="8">
                  <c:v>2026-09-07</c:v>
                </c:pt>
                <c:pt idx="9">
                  <c:v>2026-09-14</c:v>
                </c:pt>
                <c:pt idx="10">
                  <c:v>2026-09-21</c:v>
                </c:pt>
                <c:pt idx="11">
                  <c:v>2026-09-28</c:v>
                </c:pt>
                <c:pt idx="12">
                  <c:v>2026-10-05</c:v>
                </c:pt>
              </c:strCache>
            </c:strRef>
          </c:cat>
          <c:val>
            <c:numRef>
              <c:f>'Histórico líneas'!$I$5:$I$17</c:f>
              <c:numCache>
                <c:formatCode>#,##0.0</c:formatCode>
                <c:ptCount val="13"/>
                <c:pt idx="0">
                  <c:v>316.333333333333</c:v>
                </c:pt>
                <c:pt idx="1">
                  <c:v>314.366666666666</c:v>
                </c:pt>
                <c:pt idx="2">
                  <c:v>250.843333333333</c:v>
                </c:pt>
                <c:pt idx="3">
                  <c:v>346</c:v>
                </c:pt>
                <c:pt idx="5">
                  <c:v>306.449999999999</c:v>
                </c:pt>
                <c:pt idx="6">
                  <c:v>356.9</c:v>
                </c:pt>
                <c:pt idx="7">
                  <c:v>271.175</c:v>
                </c:pt>
                <c:pt idx="8">
                  <c:v>336.125</c:v>
                </c:pt>
                <c:pt idx="10">
                  <c:v>443</c:v>
                </c:pt>
                <c:pt idx="11">
                  <c:v>282.515999999999</c:v>
                </c:pt>
                <c:pt idx="12">
                  <c:v>286.105000000004</c:v>
                </c:pt>
              </c:numCache>
            </c:numRef>
          </c:val>
        </c:ser>
        <c:gapWidth val="150"/>
        <c:overlap val="0"/>
        <c:axId val="50678098"/>
        <c:axId val="24068919"/>
      </c:barChart>
      <c:catAx>
        <c:axId val="5067809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68919"/>
        <c:crosses val="autoZero"/>
        <c:auto val="1"/>
        <c:lblAlgn val="ctr"/>
        <c:lblOffset val="100"/>
        <c:noMultiLvlLbl val="0"/>
      </c:catAx>
      <c:valAx>
        <c:axId val="240689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780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11520</xdr:rowOff>
    </xdr:from>
    <xdr:to>
      <xdr:col>7</xdr:col>
      <xdr:colOff>113400</xdr:colOff>
      <xdr:row>44</xdr:row>
      <xdr:rowOff>12600</xdr:rowOff>
    </xdr:to>
    <xdr:graphicFrame>
      <xdr:nvGraphicFramePr>
        <xdr:cNvPr id="0" name="Chart 1"/>
        <xdr:cNvGraphicFramePr/>
      </xdr:nvGraphicFramePr>
      <xdr:xfrm>
        <a:off x="141120" y="5524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27</xdr:row>
      <xdr:rowOff>11520</xdr:rowOff>
    </xdr:from>
    <xdr:to>
      <xdr:col>16</xdr:col>
      <xdr:colOff>269280</xdr:colOff>
      <xdr:row>44</xdr:row>
      <xdr:rowOff>12600</xdr:rowOff>
    </xdr:to>
    <xdr:graphicFrame>
      <xdr:nvGraphicFramePr>
        <xdr:cNvPr id="1" name="Chart 2"/>
        <xdr:cNvGraphicFramePr/>
      </xdr:nvGraphicFramePr>
      <xdr:xfrm>
        <a:off x="6273000" y="55245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161280</xdr:rowOff>
    </xdr:from>
    <xdr:to>
      <xdr:col>6</xdr:col>
      <xdr:colOff>276840</xdr:colOff>
      <xdr:row>28</xdr:row>
      <xdr:rowOff>183240</xdr:rowOff>
    </xdr:to>
    <xdr:graphicFrame>
      <xdr:nvGraphicFramePr>
        <xdr:cNvPr id="2" name="Chart 1"/>
        <xdr:cNvGraphicFramePr/>
      </xdr:nvGraphicFramePr>
      <xdr:xfrm>
        <a:off x="0" y="2666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21</xdr:col>
      <xdr:colOff>147600</xdr:colOff>
      <xdr:row>15</xdr:row>
      <xdr:rowOff>13320</xdr:rowOff>
    </xdr:to>
    <xdr:graphicFrame>
      <xdr:nvGraphicFramePr>
        <xdr:cNvPr id="3" name="Chart 1"/>
        <xdr:cNvGraphicFramePr/>
      </xdr:nvGraphicFramePr>
      <xdr:xfrm>
        <a:off x="1315800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160560</xdr:rowOff>
    </xdr:from>
    <xdr:to>
      <xdr:col>25</xdr:col>
      <xdr:colOff>581760</xdr:colOff>
      <xdr:row>33</xdr:row>
      <xdr:rowOff>182520</xdr:rowOff>
    </xdr:to>
    <xdr:graphicFrame>
      <xdr:nvGraphicFramePr>
        <xdr:cNvPr id="4" name="Chart 2"/>
        <xdr:cNvGraphicFramePr/>
      </xdr:nvGraphicFramePr>
      <xdr:xfrm>
        <a:off x="13158000" y="38098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24</xdr:col>
      <xdr:colOff>473040</xdr:colOff>
      <xdr:row>16</xdr:row>
      <xdr:rowOff>93600</xdr:rowOff>
    </xdr:to>
    <xdr:graphicFrame>
      <xdr:nvGraphicFramePr>
        <xdr:cNvPr id="5" name="Chart 1"/>
        <xdr:cNvGraphicFramePr/>
      </xdr:nvGraphicFramePr>
      <xdr:xfrm>
        <a:off x="10479240" y="571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21</xdr:row>
      <xdr:rowOff>160920</xdr:rowOff>
    </xdr:from>
    <xdr:to>
      <xdr:col>10</xdr:col>
      <xdr:colOff>402840</xdr:colOff>
      <xdr:row>35</xdr:row>
      <xdr:rowOff>13320</xdr:rowOff>
    </xdr:to>
    <xdr:graphicFrame>
      <xdr:nvGraphicFramePr>
        <xdr:cNvPr id="6" name="Chart 1"/>
        <xdr:cNvGraphicFramePr/>
      </xdr:nvGraphicFramePr>
      <xdr:xfrm>
        <a:off x="4722480" y="4191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160920</xdr:rowOff>
    </xdr:from>
    <xdr:to>
      <xdr:col>20</xdr:col>
      <xdr:colOff>255960</xdr:colOff>
      <xdr:row>16</xdr:row>
      <xdr:rowOff>13320</xdr:rowOff>
    </xdr:to>
    <xdr:graphicFrame>
      <xdr:nvGraphicFramePr>
        <xdr:cNvPr id="7" name="Chart 2"/>
        <xdr:cNvGraphicFramePr/>
      </xdr:nvGraphicFramePr>
      <xdr:xfrm>
        <a:off x="9610560" y="571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Datos" displayName="tDatos" ref="A1:J581" headerRowCount="1" totalsRowCount="0" totalsRowShown="0">
  <autoFilter ref="A1:J581"/>
  <tableColumns count="10">
    <tableColumn id="1" name="Fecha"/>
    <tableColumn id="2" name="IP"/>
    <tableColumn id="3" name="Hora"/>
    <tableColumn id="4" name="kWh"/>
    <tableColumn id="5" name="kVARh"/>
    <tableColumn id="6" name="kVAh"/>
    <tableColumn id="7" name="Minuto"/>
    <tableColumn id="8" name="kW intervalo"/>
    <tableColumn id="9" name="Línea"/>
    <tableColumn id="10" name="Hora en el medidor"/>
  </tableColumns>
</table>
</file>

<file path=xl/tables/table2.xml><?xml version="1.0" encoding="utf-8"?>
<table xmlns="http://schemas.openxmlformats.org/spreadsheetml/2006/main" id="2" name="tEmcali" displayName="tEmcali" ref="A1:H2017" headerRowCount="1" totalsRowCount="0" totalsRowShown="0">
  <autoFilter ref="A1:H2017"/>
  <tableColumns count="8">
    <tableColumn id="1" name="Fecha"/>
    <tableColumn id="2" name="Hora inicio"/>
    <tableColumn id="3" name="kWh"/>
    <tableColumn id="4" name="kVARh inductiva"/>
    <tableColumn id="5" name="kVARh capacitiva"/>
    <tableColumn id="6" name="Día (1=lun)"/>
    <tableColumn id="7" name="Turno"/>
    <tableColumn id="8" name="Inductiva sobre 50 %"/>
  </tableColumns>
</table>
</file>

<file path=xl/tables/table3.xml><?xml version="1.0" encoding="utf-8"?>
<table xmlns="http://schemas.openxmlformats.org/spreadsheetml/2006/main" id="3" name="tInformes" displayName="tInformes" ref="A1:H262" headerRowCount="1" totalsRowCount="0" totalsRowShown="0">
  <autoFilter ref="A1:H262"/>
  <tableColumns count="8">
    <tableColumn id="1" name="Fecha"/>
    <tableColumn id="2" name="IP"/>
    <tableColumn id="3" name="Medidor"/>
    <tableColumn id="4" name="kWh"/>
    <tableColumn id="5" name="kVARh"/>
    <tableColumn id="6" name="kVAh"/>
    <tableColumn id="7" name="Archivo"/>
    <tableColumn id="8" name="Nota"/>
  </tableColumns>
</table>
</file>

<file path=xl/tables/table4.xml><?xml version="1.0" encoding="utf-8"?>
<table xmlns="http://schemas.openxmlformats.org/spreadsheetml/2006/main" id="4" name="tProd" displayName="tProd" ref="A1:E1575" headerRowCount="1" totalsRowCount="0" totalsRowShown="0">
  <autoFilter ref="A1:E1575"/>
  <tableColumns count="5">
    <tableColumn id="1" name="Fecha"/>
    <tableColumn id="2" name="Línea"/>
    <tableColumn id="3" name="Turno"/>
    <tableColumn id="4" name="kg"/>
    <tableColumn id="5" name="M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8"/>
    <col collapsed="false" customWidth="true" hidden="false" outlineLevel="0" max="7" min="7" style="0" width="9"/>
    <col collapsed="false" customWidth="true" hidden="false" outlineLevel="0" max="10" min="8" style="0" width="12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true" outlineLevel="0" max="24" min="19" style="0" width="13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D4" s="3" t="s">
        <v>3</v>
      </c>
      <c r="F4" s="3" t="s">
        <v>4</v>
      </c>
    </row>
    <row r="5" customFormat="false" ht="15" hidden="false" customHeight="false" outlineLevel="0" collapsed="false">
      <c r="B5" s="4" t="n">
        <v>46304</v>
      </c>
      <c r="D5" s="5" t="n">
        <v>0.458333333333333</v>
      </c>
      <c r="F5" s="6" t="s">
        <v>5</v>
      </c>
      <c r="G5" s="6"/>
      <c r="H5" s="6"/>
      <c r="I5" s="2" t="str">
        <f aca="false">IFERROR(INDEX(Medidores!$A:$A,MATCH($F$5,Medidores!$B:$B,0)),"")</f>
        <v>192.168.50.11</v>
      </c>
    </row>
    <row r="7" customFormat="false" ht="15" hidden="false" customHeight="false" outlineLevel="0" collapsed="false">
      <c r="B7" s="3" t="s">
        <v>6</v>
      </c>
      <c r="D7" s="3" t="s">
        <v>7</v>
      </c>
      <c r="G7" s="3" t="s">
        <v>8</v>
      </c>
      <c r="J7" s="3" t="s">
        <v>9</v>
      </c>
      <c r="M7" s="3" t="s">
        <v>10</v>
      </c>
    </row>
    <row r="8" customFormat="false" ht="22.05" hidden="false" customHeight="false" outlineLevel="0" collapsed="false">
      <c r="B8" s="7" t="n">
        <f aca="false">SUMPRODUCT(W12:W21,H12:H21)</f>
        <v>1326.72700000001</v>
      </c>
      <c r="D8" s="7" t="n">
        <f aca="false">SUMPRODUCT(W12:W21,K12:K21)</f>
        <v>279.310947368424</v>
      </c>
      <c r="G8" s="7" t="n">
        <f aca="false">IF(COUNT(P12:P21)=0,"Falta el día anterior",SUMPRODUCT(X12:X21,P12:P21))</f>
        <v>4514.00799999994</v>
      </c>
      <c r="J8" s="8" t="n">
        <f aca="false">IFERROR(SUMPRODUCT(W12:W21*ISNUMBER(L12:L21),H12:H21)/SUMPRODUCT(W12:W21*ISNUMBER(L12:L21),J12:J21),"")</f>
        <v>0.91047696300657</v>
      </c>
      <c r="M8" s="9" t="str">
        <f aca="false">COUNTIF(D12:D21,"&lt;&gt;Normal")&amp;" de "&amp;COUNTA(C12:C21)</f>
        <v>3 de 10</v>
      </c>
    </row>
    <row r="11" customFormat="false" ht="30" hidden="false" customHeight="true" outlineLevel="0" collapsed="false">
      <c r="B11" s="10" t="s">
        <v>11</v>
      </c>
      <c r="C11" s="10" t="s">
        <v>12</v>
      </c>
      <c r="D11" s="10" t="s">
        <v>13</v>
      </c>
      <c r="E11" s="10" t="s">
        <v>14</v>
      </c>
      <c r="F11" s="10" t="s">
        <v>15</v>
      </c>
      <c r="G11" s="10" t="s">
        <v>16</v>
      </c>
      <c r="H11" s="10" t="s">
        <v>17</v>
      </c>
      <c r="I11" s="10" t="s">
        <v>18</v>
      </c>
      <c r="J11" s="10" t="s">
        <v>19</v>
      </c>
      <c r="K11" s="10" t="s">
        <v>20</v>
      </c>
      <c r="L11" s="10" t="s">
        <v>21</v>
      </c>
      <c r="M11" s="10" t="s">
        <v>22</v>
      </c>
      <c r="N11" s="10" t="s">
        <v>23</v>
      </c>
      <c r="O11" s="10" t="s">
        <v>24</v>
      </c>
      <c r="P11" s="10" t="s">
        <v>25</v>
      </c>
      <c r="Q11" s="10" t="s">
        <v>26</v>
      </c>
      <c r="R11" s="10" t="s">
        <v>27</v>
      </c>
      <c r="S11" s="10" t="s">
        <v>28</v>
      </c>
      <c r="T11" s="10" t="s">
        <v>29</v>
      </c>
      <c r="U11" s="10" t="s">
        <v>30</v>
      </c>
      <c r="V11" s="10" t="s">
        <v>31</v>
      </c>
      <c r="W11" s="10" t="s">
        <v>32</v>
      </c>
      <c r="X11" s="10" t="s">
        <v>33</v>
      </c>
    </row>
    <row r="12" customFormat="false" ht="15" hidden="false" customHeight="false" outlineLevel="0" collapsed="false">
      <c r="B12" s="11" t="str">
        <f aca="false">Medidores!B2</f>
        <v>L50</v>
      </c>
      <c r="C12" s="11" t="str">
        <f aca="false">Medidores!A2</f>
        <v>192.168.50.3</v>
      </c>
      <c r="D12" s="12" t="str">
        <f aca="false">IF(S12&lt;2,"Sin datos",IF(T12&gt;0,"Lectura en cero",IF(U12&lt;2,"Falta kVAh",IF(H12&lt;=0.001,"Sin consumo",IF(AND(ISNUMBER(M12),M12&gt;0.5),"Reactiva &gt; 50 %","Normal")))))</f>
        <v>Normal</v>
      </c>
      <c r="E12" s="13" t="n">
        <f aca="false">IF(S12&lt;2,"",_xlfn.MINIFS(Datos!$G:$G,Datos!$B:$B,$C12,Datos!$A:$A,$B$5,Datos!$D:$D,"&gt;0")/1440)</f>
        <v>0.375</v>
      </c>
      <c r="F12" s="13" t="n">
        <f aca="false">IF(S12&lt;2,"",_xlfn.MAXIFS(Datos!$G:$G,Datos!$B:$B,$C12,Datos!$A:$A,$B$5,Datos!$D:$D,"&gt;0")/1440)</f>
        <v>0.572916666666667</v>
      </c>
      <c r="G12" s="14" t="n">
        <f aca="false">COUNTIFS(Datos!$B:$B,$C12,Datos!$A:$A,$B$5)</f>
        <v>20</v>
      </c>
      <c r="H12" s="15" t="n">
        <f aca="false">IF(S12&lt;2,"",_xlfn.MAXIFS(Datos!$D:$D,Datos!$B:$B,$C12,Datos!$A:$A,$B$5,Datos!$D:$D,"&gt;0")-_xlfn.MINIFS(Datos!$D:$D,Datos!$B:$B,$C12,Datos!$A:$A,$B$5,Datos!$D:$D,"&gt;0"))</f>
        <v>2.96499999999833</v>
      </c>
      <c r="I12" s="15" t="n">
        <f aca="false">IF(S12&lt;2,"",_xlfn.MAXIFS(Datos!$E:$E,Datos!$B:$B,$C12,Datos!$A:$A,$B$5,Datos!$D:$D,"&gt;0")-_xlfn.MINIFS(Datos!$E:$E,Datos!$B:$B,$C12,Datos!$A:$A,$B$5,Datos!$D:$D,"&gt;0"))</f>
        <v>0</v>
      </c>
      <c r="J12" s="15" t="n">
        <f aca="false">IF(U12&lt;2,"",_xlfn.MAXIFS(Datos!$F:$F,Datos!$B:$B,$C12,Datos!$A:$A,$B$5,Datos!$F:$F,"&gt;0")-_xlfn.MINIFS(Datos!$F:$F,Datos!$B:$B,$C12,Datos!$A:$A,$B$5,Datos!$F:$F,"&gt;0"))</f>
        <v>3.08200000000033</v>
      </c>
      <c r="K12" s="16" t="n">
        <f aca="false">IF(H12="","",IF(F12&gt;E12,H12/((F12-E12)*24),""))</f>
        <v>0.624210526315437</v>
      </c>
      <c r="L12" s="17" t="n">
        <f aca="false">IF(OR(H12="",J12=""),"",IF(J12&gt;0,H12/J12,""))</f>
        <v>0.962037637896822</v>
      </c>
      <c r="M12" s="18" t="n">
        <f aca="false">IF(OR(H12="",I12=""),"",IF(H12&gt;0,I12/H12,""))</f>
        <v>0</v>
      </c>
      <c r="N12" s="16" t="n">
        <f aca="false">IF(S12&lt;2,"",_xlfn.MAXIFS(Datos!$H:$H,Datos!$B:$B,$C12,Datos!$A:$A,$B$5))</f>
        <v>0.627999999996973</v>
      </c>
      <c r="O12" s="13" t="n">
        <f aca="false">IF(N12="","",_xlfn.MINIFS(Datos!$G:$G,Datos!$B:$B,$C12,Datos!$A:$A,$B$5,Datos!$H:$H,N12)/1440)</f>
        <v>0.447916666666667</v>
      </c>
      <c r="P12" s="19" t="n">
        <f aca="false">IF(OR(COUNTIFS(Datos!$B:$B,$C12,Datos!$A:$A,$B$5,Datos!$D:$D,"&gt;0",Datos!$G:$G,(HOUR($D$5)*60+MINUTE($D$5)))=0,COUNTIFS(Datos!$B:$B,$C12,Datos!$A:$A,$B$5-1,Datos!$D:$D,"&gt;0",Datos!$G:$G,(HOUR($D$5)*60+MINUTE($D$5)))=0),"",SUMIFS(Datos!$D:$D,Datos!$B:$B,$C12,Datos!$A:$A,$B$5,Datos!$D:$D,"&gt;0",Datos!$G:$G,(HOUR($D$5)*60+MINUTE($D$5)))-SUMIFS(Datos!$D:$D,Datos!$B:$B,$C12,Datos!$A:$A,$B$5-1,Datos!$D:$D,"&gt;0",Datos!$G:$G,(HOUR($D$5)*60+MINUTE($D$5))))</f>
        <v>31.3410000000004</v>
      </c>
      <c r="Q12" s="20" t="n">
        <f aca="false">IF(OR(K12="",V12=""),"",IF(V12&gt;0,K12/V12-1,""))</f>
        <v>-0.0687814070360249</v>
      </c>
      <c r="R12" s="15" t="n">
        <f aca="false">IF(S12=0,"",_xlfn.MAXIFS(Datos!$D:$D,Datos!$B:$B,$C12,Datos!$A:$A,$B$5,Datos!$D:$D,"&gt;0"))</f>
        <v>8766.844</v>
      </c>
      <c r="S12" s="11" t="n">
        <f aca="false">COUNTIFS(Datos!$B:$B,$C12,Datos!$A:$A,$B$5,Datos!$D:$D,"&gt;0")</f>
        <v>20</v>
      </c>
      <c r="T12" s="11" t="n">
        <f aca="false">COUNTIFS(Datos!$B:$B,$C12,Datos!$A:$A,$B$5,Datos!$D:$D,0)</f>
        <v>0</v>
      </c>
      <c r="U12" s="11" t="n">
        <f aca="false">COUNTIFS(Datos!$B:$B,$C12,Datos!$A:$A,$B$5,Datos!$F:$F,"&gt;0")</f>
        <v>20</v>
      </c>
      <c r="V12" s="11" t="n">
        <f aca="false">IF(COUNTIFS(Datos!$B:$B,$C12,Datos!$A:$A,$B$5-1,Datos!$D:$D,"&gt;0")&lt;2,"",IFERROR((_xlfn.MAXIFS(Datos!$D:$D,Datos!$B:$B,$C12,Datos!$A:$A,$B$5-1,Datos!$D:$D,"&gt;0")-_xlfn.MINIFS(Datos!$D:$D,Datos!$B:$B,$C12,Datos!$A:$A,$B$5-1,Datos!$D:$D,"&gt;0"))/((_xlfn.MAXIFS(Datos!$G:$G,Datos!$B:$B,$C12,Datos!$A:$A,$B$5-1,Datos!$D:$D,"&gt;0")-_xlfn.MINIFS(Datos!$G:$G,Datos!$B:$B,$C12,Datos!$A:$A,$B$5-1,Datos!$D:$D,"&gt;0"))/60),""))</f>
        <v>0.670315789473917</v>
      </c>
      <c r="W12" s="11" t="n">
        <f aca="false">IF(Medidores!C2="",1,IFERROR(IF(INDEX($H$12:$H$21,MATCH(Medidores!C2,$C$12:$C$21,0))="",1,0),1))</f>
        <v>0</v>
      </c>
      <c r="X12" s="11" t="n">
        <f aca="false">IF(Medidores!C2="",1,IFERROR(IF(INDEX($P$12:$P$21,MATCH(Medidores!C2,$C$12:$C$21,0))="",1,0),1))</f>
        <v>0</v>
      </c>
    </row>
    <row r="13" customFormat="false" ht="15" hidden="false" customHeight="false" outlineLevel="0" collapsed="false">
      <c r="B13" s="11" t="str">
        <f aca="false">Medidores!B3</f>
        <v>L21</v>
      </c>
      <c r="C13" s="11" t="str">
        <f aca="false">Medidores!A3</f>
        <v>192.168.50.4</v>
      </c>
      <c r="D13" s="12" t="str">
        <f aca="false">IF(S13&lt;2,"Sin datos",IF(T13&gt;0,"Lectura en cero",IF(U13&lt;2,"Falta kVAh",IF(H13&lt;=0.001,"Sin consumo",IF(AND(ISNUMBER(M13),M13&gt;0.5),"Reactiva &gt; 50 %","Normal")))))</f>
        <v>Normal</v>
      </c>
      <c r="E13" s="13" t="n">
        <f aca="false">IF(S13&lt;2,"",_xlfn.MINIFS(Datos!$G:$G,Datos!$B:$B,$C13,Datos!$A:$A,$B$5,Datos!$D:$D,"&gt;0")/1440)</f>
        <v>0.385416666666667</v>
      </c>
      <c r="F13" s="13" t="n">
        <f aca="false">IF(S13&lt;2,"",_xlfn.MAXIFS(Datos!$G:$G,Datos!$B:$B,$C13,Datos!$A:$A,$B$5,Datos!$D:$D,"&gt;0")/1440)</f>
        <v>0.583333333333333</v>
      </c>
      <c r="G13" s="14" t="n">
        <f aca="false">COUNTIFS(Datos!$B:$B,$C13,Datos!$A:$A,$B$5)</f>
        <v>20</v>
      </c>
      <c r="H13" s="15" t="n">
        <f aca="false">IF(S13&lt;2,"",_xlfn.MAXIFS(Datos!$D:$D,Datos!$B:$B,$C13,Datos!$A:$A,$B$5,Datos!$D:$D,"&gt;0")-_xlfn.MINIFS(Datos!$D:$D,Datos!$B:$B,$C13,Datos!$A:$A,$B$5,Datos!$D:$D,"&gt;0"))</f>
        <v>2.95799999999872</v>
      </c>
      <c r="I13" s="15" t="n">
        <f aca="false">IF(S13&lt;2,"",_xlfn.MAXIFS(Datos!$E:$E,Datos!$B:$B,$C13,Datos!$A:$A,$B$5,Datos!$D:$D,"&gt;0")-_xlfn.MINIFS(Datos!$E:$E,Datos!$B:$B,$C13,Datos!$A:$A,$B$5,Datos!$D:$D,"&gt;0"))</f>
        <v>0</v>
      </c>
      <c r="J13" s="15" t="n">
        <f aca="false">IF(U13&lt;2,"",_xlfn.MAXIFS(Datos!$F:$F,Datos!$B:$B,$C13,Datos!$A:$A,$B$5,Datos!$F:$F,"&gt;0")-_xlfn.MINIFS(Datos!$F:$F,Datos!$B:$B,$C13,Datos!$A:$A,$B$5,Datos!$F:$F,"&gt;0"))</f>
        <v>3.00300000000061</v>
      </c>
      <c r="K13" s="16" t="n">
        <f aca="false">IF(H13="","",IF(F13&gt;E13,H13/((F13-E13)*24),""))</f>
        <v>0.622736842104994</v>
      </c>
      <c r="L13" s="17" t="n">
        <f aca="false">IF(OR(H13="",J13=""),"",IF(J13&gt;0,H13/J13,""))</f>
        <v>0.985014985014358</v>
      </c>
      <c r="M13" s="18" t="n">
        <f aca="false">IF(OR(H13="",I13=""),"",IF(H13&gt;0,I13/H13,""))</f>
        <v>0</v>
      </c>
      <c r="N13" s="16" t="n">
        <f aca="false">IF(S13&lt;2,"",_xlfn.MAXIFS(Datos!$H:$H,Datos!$B:$B,$C13,Datos!$A:$A,$B$5))</f>
        <v>0.680000000000291</v>
      </c>
      <c r="O13" s="13" t="n">
        <f aca="false">IF(N13="","",_xlfn.MINIFS(Datos!$G:$G,Datos!$B:$B,$C13,Datos!$A:$A,$B$5,Datos!$H:$H,N13)/1440)</f>
        <v>0.583333333333333</v>
      </c>
      <c r="P13" s="19" t="n">
        <f aca="false">IF(OR(COUNTIFS(Datos!$B:$B,$C13,Datos!$A:$A,$B$5,Datos!$D:$D,"&gt;0",Datos!$G:$G,(HOUR($D$5)*60+MINUTE($D$5)))=0,COUNTIFS(Datos!$B:$B,$C13,Datos!$A:$A,$B$5-1,Datos!$D:$D,"&gt;0",Datos!$G:$G,(HOUR($D$5)*60+MINUTE($D$5)))=0),"",SUMIFS(Datos!$D:$D,Datos!$B:$B,$C13,Datos!$A:$A,$B$5,Datos!$D:$D,"&gt;0",Datos!$G:$G,(HOUR($D$5)*60+MINUTE($D$5)))-SUMIFS(Datos!$D:$D,Datos!$B:$B,$C13,Datos!$A:$A,$B$5-1,Datos!$D:$D,"&gt;0",Datos!$G:$G,(HOUR($D$5)*60+MINUTE($D$5))))</f>
        <v>40.6410000000014</v>
      </c>
      <c r="Q13" s="20" t="n">
        <f aca="false">IF(OR(K13="",V13=""),"",IF(V13&gt;0,K13/V13-1,""))</f>
        <v>-0.4205680705193</v>
      </c>
      <c r="R13" s="15" t="n">
        <f aca="false">IF(S13=0,"",_xlfn.MAXIFS(Datos!$D:$D,Datos!$B:$B,$C13,Datos!$A:$A,$B$5,Datos!$D:$D,"&gt;0"))</f>
        <v>9961.256</v>
      </c>
      <c r="S13" s="11" t="n">
        <f aca="false">COUNTIFS(Datos!$B:$B,$C13,Datos!$A:$A,$B$5,Datos!$D:$D,"&gt;0")</f>
        <v>20</v>
      </c>
      <c r="T13" s="11" t="n">
        <f aca="false">COUNTIFS(Datos!$B:$B,$C13,Datos!$A:$A,$B$5,Datos!$D:$D,0)</f>
        <v>0</v>
      </c>
      <c r="U13" s="11" t="n">
        <f aca="false">COUNTIFS(Datos!$B:$B,$C13,Datos!$A:$A,$B$5,Datos!$F:$F,"&gt;0")</f>
        <v>20</v>
      </c>
      <c r="V13" s="11" t="n">
        <f aca="false">IF(COUNTIFS(Datos!$B:$B,$C13,Datos!$A:$A,$B$5-1,Datos!$D:$D,"&gt;0")&lt;2,"",IFERROR((_xlfn.MAXIFS(Datos!$D:$D,Datos!$B:$B,$C13,Datos!$A:$A,$B$5-1,Datos!$D:$D,"&gt;0")-_xlfn.MINIFS(Datos!$D:$D,Datos!$B:$B,$C13,Datos!$A:$A,$B$5-1,Datos!$D:$D,"&gt;0"))/((_xlfn.MAXIFS(Datos!$G:$G,Datos!$B:$B,$C13,Datos!$A:$A,$B$5-1,Datos!$D:$D,"&gt;0")-_xlfn.MINIFS(Datos!$G:$G,Datos!$B:$B,$C13,Datos!$A:$A,$B$5-1,Datos!$D:$D,"&gt;0"))/60),""))</f>
        <v>1.07473684210517</v>
      </c>
      <c r="W13" s="11" t="n">
        <f aca="false">IF(Medidores!C3="",1,IFERROR(IF(INDEX($H$12:$H$21,MATCH(Medidores!C3,$C$12:$C$21,0))="",1,0),1))</f>
        <v>0</v>
      </c>
      <c r="X13" s="11" t="n">
        <f aca="false">IF(Medidores!C3="",1,IFERROR(IF(INDEX($P$12:$P$21,MATCH(Medidores!C3,$C$12:$C$21,0))="",1,0),1))</f>
        <v>0</v>
      </c>
    </row>
    <row r="14" customFormat="false" ht="15" hidden="false" customHeight="false" outlineLevel="0" collapsed="false">
      <c r="B14" s="11" t="str">
        <f aca="false">Medidores!B4</f>
        <v>L14</v>
      </c>
      <c r="C14" s="11" t="str">
        <f aca="false">Medidores!A4</f>
        <v>192.168.50.5</v>
      </c>
      <c r="D14" s="12" t="str">
        <f aca="false">IF(S14&lt;2,"Sin datos",IF(T14&gt;0,"Lectura en cero",IF(U14&lt;2,"Falta kVAh",IF(H14&lt;=0.001,"Sin consumo",IF(AND(ISNUMBER(M14),M14&gt;0.5),"Reactiva &gt; 50 %","Normal")))))</f>
        <v>Reactiva &gt; 50 %</v>
      </c>
      <c r="E14" s="13" t="n">
        <f aca="false">IF(S14&lt;2,"",_xlfn.MINIFS(Datos!$G:$G,Datos!$B:$B,$C14,Datos!$A:$A,$B$5,Datos!$D:$D,"&gt;0")/1440)</f>
        <v>0.385416666666667</v>
      </c>
      <c r="F14" s="13" t="n">
        <f aca="false">IF(S14&lt;2,"",_xlfn.MAXIFS(Datos!$G:$G,Datos!$B:$B,$C14,Datos!$A:$A,$B$5,Datos!$D:$D,"&gt;0")/1440)</f>
        <v>0.583333333333333</v>
      </c>
      <c r="G14" s="14" t="n">
        <f aca="false">COUNTIFS(Datos!$B:$B,$C14,Datos!$A:$A,$B$5)</f>
        <v>20</v>
      </c>
      <c r="H14" s="15" t="n">
        <f aca="false">IF(S14&lt;2,"",_xlfn.MAXIFS(Datos!$D:$D,Datos!$B:$B,$C14,Datos!$A:$A,$B$5,Datos!$D:$D,"&gt;0")-_xlfn.MINIFS(Datos!$D:$D,Datos!$B:$B,$C14,Datos!$A:$A,$B$5,Datos!$D:$D,"&gt;0"))</f>
        <v>17.4159999999993</v>
      </c>
      <c r="I14" s="15" t="n">
        <f aca="false">IF(S14&lt;2,"",_xlfn.MAXIFS(Datos!$E:$E,Datos!$B:$B,$C14,Datos!$A:$A,$B$5,Datos!$D:$D,"&gt;0")-_xlfn.MINIFS(Datos!$E:$E,Datos!$B:$B,$C14,Datos!$A:$A,$B$5,Datos!$D:$D,"&gt;0"))</f>
        <v>9.01400000000012</v>
      </c>
      <c r="J14" s="15" t="n">
        <f aca="false">IF(U14&lt;2,"",_xlfn.MAXIFS(Datos!$F:$F,Datos!$B:$B,$C14,Datos!$A:$A,$B$5,Datos!$F:$F,"&gt;0")-_xlfn.MINIFS(Datos!$F:$F,Datos!$B:$B,$C14,Datos!$A:$A,$B$5,Datos!$F:$F,"&gt;0"))</f>
        <v>19.6790000000001</v>
      </c>
      <c r="K14" s="16" t="n">
        <f aca="false">IF(H14="","",IF(F14&gt;E14,H14/((F14-E14)*24),""))</f>
        <v>3.66652631578932</v>
      </c>
      <c r="L14" s="17" t="n">
        <f aca="false">IF(OR(H14="",J14=""),"",IF(J14&gt;0,H14/J14,""))</f>
        <v>0.885004319325127</v>
      </c>
      <c r="M14" s="18" t="n">
        <f aca="false">IF(OR(H14="",I14=""),"",IF(H14&gt;0,I14/H14,""))</f>
        <v>0.517570050528279</v>
      </c>
      <c r="N14" s="16" t="n">
        <f aca="false">IF(S14&lt;2,"",_xlfn.MAXIFS(Datos!$H:$H,Datos!$B:$B,$C14,Datos!$A:$A,$B$5))</f>
        <v>4.24399999999878</v>
      </c>
      <c r="O14" s="13" t="n">
        <f aca="false">IF(N14="","",_xlfn.MINIFS(Datos!$G:$G,Datos!$B:$B,$C14,Datos!$A:$A,$B$5,Datos!$H:$H,N14)/1440)</f>
        <v>0.479166666666667</v>
      </c>
      <c r="P14" s="19" t="n">
        <f aca="false">IF(OR(COUNTIFS(Datos!$B:$B,$C14,Datos!$A:$A,$B$5,Datos!$D:$D,"&gt;0",Datos!$G:$G,(HOUR($D$5)*60+MINUTE($D$5)))=0,COUNTIFS(Datos!$B:$B,$C14,Datos!$A:$A,$B$5-1,Datos!$D:$D,"&gt;0",Datos!$G:$G,(HOUR($D$5)*60+MINUTE($D$5)))=0),"",SUMIFS(Datos!$D:$D,Datos!$B:$B,$C14,Datos!$A:$A,$B$5,Datos!$D:$D,"&gt;0",Datos!$G:$G,(HOUR($D$5)*60+MINUTE($D$5)))-SUMIFS(Datos!$D:$D,Datos!$B:$B,$C14,Datos!$A:$A,$B$5-1,Datos!$D:$D,"&gt;0",Datos!$G:$G,(HOUR($D$5)*60+MINUTE($D$5))))</f>
        <v>58.982</v>
      </c>
      <c r="Q14" s="20" t="n">
        <f aca="false">IF(OR(K14="",V14=""),"",IF(V14&gt;0,K14/V14-1,""))</f>
        <v>-0.0159896039324966</v>
      </c>
      <c r="R14" s="15" t="n">
        <f aca="false">IF(S14=0,"",_xlfn.MAXIFS(Datos!$D:$D,Datos!$B:$B,$C14,Datos!$A:$A,$B$5,Datos!$D:$D,"&gt;0"))</f>
        <v>10579.974</v>
      </c>
      <c r="S14" s="11" t="n">
        <f aca="false">COUNTIFS(Datos!$B:$B,$C14,Datos!$A:$A,$B$5,Datos!$D:$D,"&gt;0")</f>
        <v>20</v>
      </c>
      <c r="T14" s="11" t="n">
        <f aca="false">COUNTIFS(Datos!$B:$B,$C14,Datos!$A:$A,$B$5,Datos!$D:$D,0)</f>
        <v>0</v>
      </c>
      <c r="U14" s="11" t="n">
        <f aca="false">COUNTIFS(Datos!$B:$B,$C14,Datos!$A:$A,$B$5,Datos!$F:$F,"&gt;0")</f>
        <v>20</v>
      </c>
      <c r="V14" s="11" t="n">
        <f aca="false">IF(COUNTIFS(Datos!$B:$B,$C14,Datos!$A:$A,$B$5-1,Datos!$D:$D,"&gt;0")&lt;2,"",IFERROR((_xlfn.MAXIFS(Datos!$D:$D,Datos!$B:$B,$C14,Datos!$A:$A,$B$5-1,Datos!$D:$D,"&gt;0")-_xlfn.MINIFS(Datos!$D:$D,Datos!$B:$B,$C14,Datos!$A:$A,$B$5-1,Datos!$D:$D,"&gt;0"))/((_xlfn.MAXIFS(Datos!$G:$G,Datos!$B:$B,$C14,Datos!$A:$A,$B$5-1,Datos!$D:$D,"&gt;0")-_xlfn.MINIFS(Datos!$G:$G,Datos!$B:$B,$C14,Datos!$A:$A,$B$5-1,Datos!$D:$D,"&gt;0"))/60),""))</f>
        <v>3.72610526315801</v>
      </c>
      <c r="W14" s="11" t="n">
        <f aca="false">IF(Medidores!C4="",1,IFERROR(IF(INDEX($H$12:$H$21,MATCH(Medidores!C4,$C$12:$C$21,0))="",1,0),1))</f>
        <v>0</v>
      </c>
      <c r="X14" s="11" t="n">
        <f aca="false">IF(Medidores!C4="",1,IFERROR(IF(INDEX($P$12:$P$21,MATCH(Medidores!C4,$C$12:$C$21,0))="",1,0),1))</f>
        <v>0</v>
      </c>
    </row>
    <row r="15" customFormat="false" ht="15" hidden="false" customHeight="false" outlineLevel="0" collapsed="false">
      <c r="B15" s="11" t="str">
        <f aca="false">Medidores!B5</f>
        <v>L20</v>
      </c>
      <c r="C15" s="11" t="str">
        <f aca="false">Medidores!A5</f>
        <v>192.168.50.6</v>
      </c>
      <c r="D15" s="12" t="str">
        <f aca="false">IF(S15&lt;2,"Sin datos",IF(T15&gt;0,"Lectura en cero",IF(U15&lt;2,"Falta kVAh",IF(H15&lt;=0.001,"Sin consumo",IF(AND(ISNUMBER(M15),M15&gt;0.5),"Reactiva &gt; 50 %","Normal")))))</f>
        <v>Reactiva &gt; 50 %</v>
      </c>
      <c r="E15" s="13" t="n">
        <f aca="false">IF(S15&lt;2,"",_xlfn.MINIFS(Datos!$G:$G,Datos!$B:$B,$C15,Datos!$A:$A,$B$5,Datos!$D:$D,"&gt;0")/1440)</f>
        <v>0.375</v>
      </c>
      <c r="F15" s="13" t="n">
        <f aca="false">IF(S15&lt;2,"",_xlfn.MAXIFS(Datos!$G:$G,Datos!$B:$B,$C15,Datos!$A:$A,$B$5,Datos!$D:$D,"&gt;0")/1440)</f>
        <v>0.572916666666667</v>
      </c>
      <c r="G15" s="14" t="n">
        <f aca="false">COUNTIFS(Datos!$B:$B,$C15,Datos!$A:$A,$B$5)</f>
        <v>20</v>
      </c>
      <c r="H15" s="15" t="n">
        <f aca="false">IF(S15&lt;2,"",_xlfn.MAXIFS(Datos!$D:$D,Datos!$B:$B,$C15,Datos!$A:$A,$B$5,Datos!$D:$D,"&gt;0")-_xlfn.MINIFS(Datos!$D:$D,Datos!$B:$B,$C15,Datos!$A:$A,$B$5,Datos!$D:$D,"&gt;0"))</f>
        <v>16.1989999999987</v>
      </c>
      <c r="I15" s="15" t="n">
        <f aca="false">IF(S15&lt;2,"",_xlfn.MAXIFS(Datos!$E:$E,Datos!$B:$B,$C15,Datos!$A:$A,$B$5,Datos!$D:$D,"&gt;0")-_xlfn.MINIFS(Datos!$E:$E,Datos!$B:$B,$C15,Datos!$A:$A,$B$5,Datos!$D:$D,"&gt;0"))</f>
        <v>12.25</v>
      </c>
      <c r="J15" s="15" t="n">
        <f aca="false">IF(U15&lt;2,"",_xlfn.MAXIFS(Datos!$F:$F,Datos!$B:$B,$C15,Datos!$A:$A,$B$5,Datos!$F:$F,"&gt;0")-_xlfn.MINIFS(Datos!$F:$F,Datos!$B:$B,$C15,Datos!$A:$A,$B$5,Datos!$F:$F,"&gt;0"))</f>
        <v>20.382999999998</v>
      </c>
      <c r="K15" s="16" t="n">
        <f aca="false">IF(H15="","",IF(F15&gt;E15,H15/((F15-E15)*24),""))</f>
        <v>3.41031578947341</v>
      </c>
      <c r="L15" s="17" t="n">
        <f aca="false">IF(OR(H15="",J15=""),"",IF(J15&gt;0,H15/J15,""))</f>
        <v>0.794730903203665</v>
      </c>
      <c r="M15" s="18" t="n">
        <f aca="false">IF(OR(H15="",I15=""),"",IF(H15&gt;0,I15/H15,""))</f>
        <v>0.7562195197235</v>
      </c>
      <c r="N15" s="16" t="n">
        <f aca="false">IF(S15&lt;2,"",_xlfn.MAXIFS(Datos!$H:$H,Datos!$B:$B,$C15,Datos!$A:$A,$B$5))</f>
        <v>4.08400000000256</v>
      </c>
      <c r="O15" s="13" t="n">
        <f aca="false">IF(N15="","",_xlfn.MINIFS(Datos!$G:$G,Datos!$B:$B,$C15,Datos!$A:$A,$B$5,Datos!$H:$H,N15)/1440)</f>
        <v>0.489583333333333</v>
      </c>
      <c r="P15" s="19" t="n">
        <f aca="false">IF(OR(COUNTIFS(Datos!$B:$B,$C15,Datos!$A:$A,$B$5,Datos!$D:$D,"&gt;0",Datos!$G:$G,(HOUR($D$5)*60+MINUTE($D$5)))=0,COUNTIFS(Datos!$B:$B,$C15,Datos!$A:$A,$B$5-1,Datos!$D:$D,"&gt;0",Datos!$G:$G,(HOUR($D$5)*60+MINUTE($D$5)))=0),"",SUMIFS(Datos!$D:$D,Datos!$B:$B,$C15,Datos!$A:$A,$B$5,Datos!$D:$D,"&gt;0",Datos!$G:$G,(HOUR($D$5)*60+MINUTE($D$5)))-SUMIFS(Datos!$D:$D,Datos!$B:$B,$C15,Datos!$A:$A,$B$5-1,Datos!$D:$D,"&gt;0",Datos!$G:$G,(HOUR($D$5)*60+MINUTE($D$5))))</f>
        <v>57.5959999999996</v>
      </c>
      <c r="Q15" s="20" t="n">
        <f aca="false">IF(OR(K15="",V15=""),"",IF(V15&gt;0,K15/V15-1,""))</f>
        <v>-0.00270885920099029</v>
      </c>
      <c r="R15" s="15" t="n">
        <f aca="false">IF(S15=0,"",_xlfn.MAXIFS(Datos!$D:$D,Datos!$B:$B,$C15,Datos!$A:$A,$B$5,Datos!$D:$D,"&gt;0"))</f>
        <v>13652.201</v>
      </c>
      <c r="S15" s="11" t="n">
        <f aca="false">COUNTIFS(Datos!$B:$B,$C15,Datos!$A:$A,$B$5,Datos!$D:$D,"&gt;0")</f>
        <v>20</v>
      </c>
      <c r="T15" s="11" t="n">
        <f aca="false">COUNTIFS(Datos!$B:$B,$C15,Datos!$A:$A,$B$5,Datos!$D:$D,0)</f>
        <v>0</v>
      </c>
      <c r="U15" s="11" t="n">
        <f aca="false">COUNTIFS(Datos!$B:$B,$C15,Datos!$A:$A,$B$5,Datos!$F:$F,"&gt;0")</f>
        <v>20</v>
      </c>
      <c r="V15" s="11" t="n">
        <f aca="false">IF(COUNTIFS(Datos!$B:$B,$C15,Datos!$A:$A,$B$5-1,Datos!$D:$D,"&gt;0")&lt;2,"",IFERROR((_xlfn.MAXIFS(Datos!$D:$D,Datos!$B:$B,$C15,Datos!$A:$A,$B$5-1,Datos!$D:$D,"&gt;0")-_xlfn.MINIFS(Datos!$D:$D,Datos!$B:$B,$C15,Datos!$A:$A,$B$5-1,Datos!$D:$D,"&gt;0"))/((_xlfn.MAXIFS(Datos!$G:$G,Datos!$B:$B,$C15,Datos!$A:$A,$B$5-1,Datos!$D:$D,"&gt;0")-_xlfn.MINIFS(Datos!$G:$G,Datos!$B:$B,$C15,Datos!$A:$A,$B$5-1,Datos!$D:$D,"&gt;0"))/60),""))</f>
        <v>3.4195789473685</v>
      </c>
      <c r="W15" s="11" t="n">
        <f aca="false">IF(Medidores!C5="",1,IFERROR(IF(INDEX($H$12:$H$21,MATCH(Medidores!C5,$C$12:$C$21,0))="",1,0),1))</f>
        <v>0</v>
      </c>
      <c r="X15" s="11" t="n">
        <f aca="false">IF(Medidores!C5="",1,IFERROR(IF(INDEX($P$12:$P$21,MATCH(Medidores!C5,$C$12:$C$21,0))="",1,0),1))</f>
        <v>0</v>
      </c>
    </row>
    <row r="16" customFormat="false" ht="15" hidden="false" customHeight="false" outlineLevel="0" collapsed="false">
      <c r="B16" s="11" t="str">
        <f aca="false">Medidores!B6</f>
        <v>L16</v>
      </c>
      <c r="C16" s="11" t="str">
        <f aca="false">Medidores!A6</f>
        <v>192.168.50.7</v>
      </c>
      <c r="D16" s="12" t="str">
        <f aca="false">IF(S16&lt;2,"Sin datos",IF(T16&gt;0,"Lectura en cero",IF(U16&lt;2,"Falta kVAh",IF(H16&lt;=0.001,"Sin consumo",IF(AND(ISNUMBER(M16),M16&gt;0.5),"Reactiva &gt; 50 %","Normal")))))</f>
        <v>Normal</v>
      </c>
      <c r="E16" s="13" t="n">
        <f aca="false">IF(S16&lt;2,"",_xlfn.MINIFS(Datos!$G:$G,Datos!$B:$B,$C16,Datos!$A:$A,$B$5,Datos!$D:$D,"&gt;0")/1440)</f>
        <v>0.385416666666667</v>
      </c>
      <c r="F16" s="13" t="n">
        <f aca="false">IF(S16&lt;2,"",_xlfn.MAXIFS(Datos!$G:$G,Datos!$B:$B,$C16,Datos!$A:$A,$B$5,Datos!$D:$D,"&gt;0")/1440)</f>
        <v>0.583333333333333</v>
      </c>
      <c r="G16" s="14" t="n">
        <f aca="false">COUNTIFS(Datos!$B:$B,$C16,Datos!$A:$A,$B$5)</f>
        <v>20</v>
      </c>
      <c r="H16" s="15" t="n">
        <f aca="false">IF(S16&lt;2,"",_xlfn.MAXIFS(Datos!$D:$D,Datos!$B:$B,$C16,Datos!$A:$A,$B$5,Datos!$D:$D,"&gt;0")-_xlfn.MINIFS(Datos!$D:$D,Datos!$B:$B,$C16,Datos!$A:$A,$B$5,Datos!$D:$D,"&gt;0"))</f>
        <v>0.7450000000008</v>
      </c>
      <c r="I16" s="15" t="n">
        <f aca="false">IF(S16&lt;2,"",_xlfn.MAXIFS(Datos!$E:$E,Datos!$B:$B,$C16,Datos!$A:$A,$B$5,Datos!$D:$D,"&gt;0")-_xlfn.MINIFS(Datos!$E:$E,Datos!$B:$B,$C16,Datos!$A:$A,$B$5,Datos!$D:$D,"&gt;0"))</f>
        <v>0</v>
      </c>
      <c r="J16" s="15" t="n">
        <f aca="false">IF(U16&lt;2,"",_xlfn.MAXIFS(Datos!$F:$F,Datos!$B:$B,$C16,Datos!$A:$A,$B$5,Datos!$F:$F,"&gt;0")-_xlfn.MINIFS(Datos!$F:$F,Datos!$B:$B,$C16,Datos!$A:$A,$B$5,Datos!$F:$F,"&gt;0"))</f>
        <v>2.01699999999983</v>
      </c>
      <c r="K16" s="16" t="n">
        <f aca="false">IF(H16="","",IF(F16&gt;E16,H16/((F16-E16)*24),""))</f>
        <v>0.156842105263326</v>
      </c>
      <c r="L16" s="17" t="n">
        <f aca="false">IF(OR(H16="",J16=""),"",IF(J16&gt;0,H16/J16,""))</f>
        <v>0.369360436291951</v>
      </c>
      <c r="M16" s="18" t="n">
        <f aca="false">IF(OR(H16="",I16=""),"",IF(H16&gt;0,I16/H16,""))</f>
        <v>0</v>
      </c>
      <c r="N16" s="16" t="n">
        <f aca="false">IF(S16&lt;2,"",_xlfn.MAXIFS(Datos!$H:$H,Datos!$B:$B,$C16,Datos!$A:$A,$B$5))</f>
        <v>0.160000000003492</v>
      </c>
      <c r="O16" s="13" t="n">
        <f aca="false">IF(N16="","",_xlfn.MINIFS(Datos!$G:$G,Datos!$B:$B,$C16,Datos!$A:$A,$B$5,Datos!$H:$H,N16)/1440)</f>
        <v>0.395833333333333</v>
      </c>
      <c r="P16" s="19" t="n">
        <f aca="false">IF(OR(COUNTIFS(Datos!$B:$B,$C16,Datos!$A:$A,$B$5,Datos!$D:$D,"&gt;0",Datos!$G:$G,(HOUR($D$5)*60+MINUTE($D$5)))=0,COUNTIFS(Datos!$B:$B,$C16,Datos!$A:$A,$B$5-1,Datos!$D:$D,"&gt;0",Datos!$G:$G,(HOUR($D$5)*60+MINUTE($D$5)))=0),"",SUMIFS(Datos!$D:$D,Datos!$B:$B,$C16,Datos!$A:$A,$B$5,Datos!$D:$D,"&gt;0",Datos!$G:$G,(HOUR($D$5)*60+MINUTE($D$5)))-SUMIFS(Datos!$D:$D,Datos!$B:$B,$C16,Datos!$A:$A,$B$5-1,Datos!$D:$D,"&gt;0",Datos!$G:$G,(HOUR($D$5)*60+MINUTE($D$5))))</f>
        <v>3.76800000000003</v>
      </c>
      <c r="Q16" s="20" t="n">
        <f aca="false">IF(OR(K16="",V16=""),"",IF(V16&gt;0,K16/V16-1,""))</f>
        <v>0.00539811066236839</v>
      </c>
      <c r="R16" s="15" t="n">
        <f aca="false">IF(S16=0,"",_xlfn.MAXIFS(Datos!$D:$D,Datos!$B:$B,$C16,Datos!$A:$A,$B$5,Datos!$D:$D,"&gt;0"))</f>
        <v>6628.975</v>
      </c>
      <c r="S16" s="11" t="n">
        <f aca="false">COUNTIFS(Datos!$B:$B,$C16,Datos!$A:$A,$B$5,Datos!$D:$D,"&gt;0")</f>
        <v>20</v>
      </c>
      <c r="T16" s="11" t="n">
        <f aca="false">COUNTIFS(Datos!$B:$B,$C16,Datos!$A:$A,$B$5,Datos!$D:$D,0)</f>
        <v>0</v>
      </c>
      <c r="U16" s="11" t="n">
        <f aca="false">COUNTIFS(Datos!$B:$B,$C16,Datos!$A:$A,$B$5,Datos!$F:$F,"&gt;0")</f>
        <v>20</v>
      </c>
      <c r="V16" s="11" t="n">
        <f aca="false">IF(COUNTIFS(Datos!$B:$B,$C16,Datos!$A:$A,$B$5-1,Datos!$D:$D,"&gt;0")&lt;2,"",IFERROR((_xlfn.MAXIFS(Datos!$D:$D,Datos!$B:$B,$C16,Datos!$A:$A,$B$5-1,Datos!$D:$D,"&gt;0")-_xlfn.MINIFS(Datos!$D:$D,Datos!$B:$B,$C16,Datos!$A:$A,$B$5-1,Datos!$D:$D,"&gt;0"))/((_xlfn.MAXIFS(Datos!$G:$G,Datos!$B:$B,$C16,Datos!$A:$A,$B$5-1,Datos!$D:$D,"&gt;0")-_xlfn.MINIFS(Datos!$G:$G,Datos!$B:$B,$C16,Datos!$A:$A,$B$5-1,Datos!$D:$D,"&gt;0"))/60),""))</f>
        <v>0.155999999999997</v>
      </c>
      <c r="W16" s="11" t="n">
        <f aca="false">IF(Medidores!C6="",1,IFERROR(IF(INDEX($H$12:$H$21,MATCH(Medidores!C6,$C$12:$C$21,0))="",1,0),1))</f>
        <v>0</v>
      </c>
      <c r="X16" s="11" t="n">
        <f aca="false">IF(Medidores!C6="",1,IFERROR(IF(INDEX($P$12:$P$21,MATCH(Medidores!C6,$C$12:$C$21,0))="",1,0),1))</f>
        <v>0</v>
      </c>
    </row>
    <row r="17" customFormat="false" ht="15" hidden="false" customHeight="false" outlineLevel="0" collapsed="false">
      <c r="B17" s="11" t="str">
        <f aca="false">Medidores!B7</f>
        <v>L22</v>
      </c>
      <c r="C17" s="11" t="str">
        <f aca="false">Medidores!A7</f>
        <v>192.168.1.168</v>
      </c>
      <c r="D17" s="12" t="str">
        <f aca="false">IF(S17&lt;2,"Sin datos",IF(T17&gt;0,"Lectura en cero",IF(U17&lt;2,"Falta kVAh",IF(H17&lt;=0.001,"Sin consumo",IF(AND(ISNUMBER(M17),M17&gt;0.5),"Reactiva &gt; 50 %","Normal")))))</f>
        <v>Normal</v>
      </c>
      <c r="E17" s="13" t="n">
        <f aca="false">IF(S17&lt;2,"",_xlfn.MINIFS(Datos!$G:$G,Datos!$B:$B,$C17,Datos!$A:$A,$B$5,Datos!$D:$D,"&gt;0")/1440)</f>
        <v>0.385416666666667</v>
      </c>
      <c r="F17" s="13" t="n">
        <f aca="false">IF(S17&lt;2,"",_xlfn.MAXIFS(Datos!$G:$G,Datos!$B:$B,$C17,Datos!$A:$A,$B$5,Datos!$D:$D,"&gt;0")/1440)</f>
        <v>0.583333333333333</v>
      </c>
      <c r="G17" s="14" t="n">
        <f aca="false">COUNTIFS(Datos!$B:$B,$C17,Datos!$A:$A,$B$5)</f>
        <v>20</v>
      </c>
      <c r="H17" s="15" t="n">
        <f aca="false">IF(S17&lt;2,"",_xlfn.MAXIFS(Datos!$D:$D,Datos!$B:$B,$C17,Datos!$A:$A,$B$5,Datos!$D:$D,"&gt;0")-_xlfn.MINIFS(Datos!$D:$D,Datos!$B:$B,$C17,Datos!$A:$A,$B$5,Datos!$D:$D,"&gt;0"))</f>
        <v>27.7580000000016</v>
      </c>
      <c r="I17" s="15" t="n">
        <f aca="false">IF(S17&lt;2,"",_xlfn.MAXIFS(Datos!$E:$E,Datos!$B:$B,$C17,Datos!$A:$A,$B$5,Datos!$D:$D,"&gt;0")-_xlfn.MINIFS(Datos!$E:$E,Datos!$B:$B,$C17,Datos!$A:$A,$B$5,Datos!$D:$D,"&gt;0"))</f>
        <v>8.00700000000052</v>
      </c>
      <c r="J17" s="15" t="n">
        <f aca="false">IF(U17&lt;2,"",_xlfn.MAXIFS(Datos!$F:$F,Datos!$B:$B,$C17,Datos!$A:$A,$B$5,Datos!$F:$F,"&gt;0")-_xlfn.MINIFS(Datos!$F:$F,Datos!$B:$B,$C17,Datos!$A:$A,$B$5,Datos!$F:$F,"&gt;0"))</f>
        <v>29.1440000000002</v>
      </c>
      <c r="K17" s="16" t="n">
        <f aca="false">IF(H17="","",IF(F17&gt;E17,H17/((F17-E17)*24),""))</f>
        <v>5.84378947368455</v>
      </c>
      <c r="L17" s="17" t="n">
        <f aca="false">IF(OR(H17="",J17=""),"",IF(J17&gt;0,H17/J17,""))</f>
        <v>0.952443041449403</v>
      </c>
      <c r="M17" s="18" t="n">
        <f aca="false">IF(OR(H17="",I17=""),"",IF(H17&gt;0,I17/H17,""))</f>
        <v>0.288457381655741</v>
      </c>
      <c r="N17" s="16" t="n">
        <f aca="false">IF(S17&lt;2,"",_xlfn.MAXIFS(Datos!$H:$H,Datos!$B:$B,$C17,Datos!$A:$A,$B$5))</f>
        <v>6.77599999999802</v>
      </c>
      <c r="O17" s="13" t="n">
        <f aca="false">IF(N17="","",_xlfn.MINIFS(Datos!$G:$G,Datos!$B:$B,$C17,Datos!$A:$A,$B$5,Datos!$H:$H,N17)/1440)</f>
        <v>0.583333333333333</v>
      </c>
      <c r="P17" s="19" t="n">
        <f aca="false">IF(OR(COUNTIFS(Datos!$B:$B,$C17,Datos!$A:$A,$B$5,Datos!$D:$D,"&gt;0",Datos!$G:$G,(HOUR($D$5)*60+MINUTE($D$5)))=0,COUNTIFS(Datos!$B:$B,$C17,Datos!$A:$A,$B$5-1,Datos!$D:$D,"&gt;0",Datos!$G:$G,(HOUR($D$5)*60+MINUTE($D$5)))=0),"",SUMIFS(Datos!$D:$D,Datos!$B:$B,$C17,Datos!$A:$A,$B$5,Datos!$D:$D,"&gt;0",Datos!$G:$G,(HOUR($D$5)*60+MINUTE($D$5)))-SUMIFS(Datos!$D:$D,Datos!$B:$B,$C17,Datos!$A:$A,$B$5-1,Datos!$D:$D,"&gt;0",Datos!$G:$G,(HOUR($D$5)*60+MINUTE($D$5))))</f>
        <v>104.231</v>
      </c>
      <c r="Q17" s="20" t="n">
        <f aca="false">IF(OR(K17="",V17=""),"",IF(V17&gt;0,K17/V17-1,""))</f>
        <v>-0.0601977248103475</v>
      </c>
      <c r="R17" s="15" t="n">
        <f aca="false">IF(S17=0,"",_xlfn.MAXIFS(Datos!$D:$D,Datos!$B:$B,$C17,Datos!$A:$A,$B$5,Datos!$D:$D,"&gt;0"))</f>
        <v>23462.465</v>
      </c>
      <c r="S17" s="11" t="n">
        <f aca="false">COUNTIFS(Datos!$B:$B,$C17,Datos!$A:$A,$B$5,Datos!$D:$D,"&gt;0")</f>
        <v>20</v>
      </c>
      <c r="T17" s="11" t="n">
        <f aca="false">COUNTIFS(Datos!$B:$B,$C17,Datos!$A:$A,$B$5,Datos!$D:$D,0)</f>
        <v>0</v>
      </c>
      <c r="U17" s="11" t="n">
        <f aca="false">COUNTIFS(Datos!$B:$B,$C17,Datos!$A:$A,$B$5,Datos!$F:$F,"&gt;0")</f>
        <v>20</v>
      </c>
      <c r="V17" s="11" t="n">
        <f aca="false">IF(COUNTIFS(Datos!$B:$B,$C17,Datos!$A:$A,$B$5-1,Datos!$D:$D,"&gt;0")&lt;2,"",IFERROR((_xlfn.MAXIFS(Datos!$D:$D,Datos!$B:$B,$C17,Datos!$A:$A,$B$5-1,Datos!$D:$D,"&gt;0")-_xlfn.MINIFS(Datos!$D:$D,Datos!$B:$B,$C17,Datos!$A:$A,$B$5-1,Datos!$D:$D,"&gt;0"))/((_xlfn.MAXIFS(Datos!$G:$G,Datos!$B:$B,$C17,Datos!$A:$A,$B$5-1,Datos!$D:$D,"&gt;0")-_xlfn.MINIFS(Datos!$G:$G,Datos!$B:$B,$C17,Datos!$A:$A,$B$5-1,Datos!$D:$D,"&gt;0"))/60),""))</f>
        <v>6.21810526315791</v>
      </c>
      <c r="W17" s="11" t="n">
        <f aca="false">IF(Medidores!C7="",1,IFERROR(IF(INDEX($H$12:$H$21,MATCH(Medidores!C7,$C$12:$C$21,0))="",1,0),1))</f>
        <v>0</v>
      </c>
      <c r="X17" s="11" t="n">
        <f aca="false">IF(Medidores!C7="",1,IFERROR(IF(INDEX($P$12:$P$21,MATCH(Medidores!C7,$C$12:$C$21,0))="",1,0),1))</f>
        <v>0</v>
      </c>
    </row>
    <row r="18" customFormat="false" ht="15" hidden="false" customHeight="false" outlineLevel="0" collapsed="false">
      <c r="B18" s="11" t="str">
        <f aca="false">Medidores!B8</f>
        <v>Estación planta</v>
      </c>
      <c r="C18" s="11" t="str">
        <f aca="false">Medidores!A8</f>
        <v>192.168.50.8</v>
      </c>
      <c r="D18" s="12" t="str">
        <f aca="false">IF(S18&lt;2,"Sin datos",IF(T18&gt;0,"Lectura en cero",IF(U18&lt;2,"Falta kVAh",IF(H18&lt;=0.001,"Sin consumo",IF(AND(ISNUMBER(M18),M18&gt;0.5),"Reactiva &gt; 50 %","Normal")))))</f>
        <v>Normal</v>
      </c>
      <c r="E18" s="13" t="n">
        <f aca="false">IF(S18&lt;2,"",_xlfn.MINIFS(Datos!$G:$G,Datos!$B:$B,$C18,Datos!$A:$A,$B$5,Datos!$D:$D,"&gt;0")/1440)</f>
        <v>0.385416666666667</v>
      </c>
      <c r="F18" s="13" t="n">
        <f aca="false">IF(S18&lt;2,"",_xlfn.MAXIFS(Datos!$G:$G,Datos!$B:$B,$C18,Datos!$A:$A,$B$5,Datos!$D:$D,"&gt;0")/1440)</f>
        <v>0.583333333333333</v>
      </c>
      <c r="G18" s="14" t="n">
        <f aca="false">COUNTIFS(Datos!$B:$B,$C18,Datos!$A:$A,$B$5)</f>
        <v>20</v>
      </c>
      <c r="H18" s="15" t="n">
        <f aca="false">IF(S18&lt;2,"",_xlfn.MAXIFS(Datos!$D:$D,Datos!$B:$B,$C18,Datos!$A:$A,$B$5,Datos!$D:$D,"&gt;0")-_xlfn.MINIFS(Datos!$D:$D,Datos!$B:$B,$C18,Datos!$A:$A,$B$5,Datos!$D:$D,"&gt;0"))</f>
        <v>127.945999999996</v>
      </c>
      <c r="I18" s="15" t="n">
        <f aca="false">IF(S18&lt;2,"",_xlfn.MAXIFS(Datos!$E:$E,Datos!$B:$B,$C18,Datos!$A:$A,$B$5,Datos!$D:$D,"&gt;0")-_xlfn.MINIFS(Datos!$E:$E,Datos!$B:$B,$C18,Datos!$A:$A,$B$5,Datos!$D:$D,"&gt;0"))</f>
        <v>6.65000000000146</v>
      </c>
      <c r="J18" s="15" t="n">
        <f aca="false">IF(U18&lt;2,"",_xlfn.MAXIFS(Datos!$F:$F,Datos!$B:$B,$C18,Datos!$A:$A,$B$5,Datos!$F:$F,"&gt;0")-_xlfn.MINIFS(Datos!$F:$F,Datos!$B:$B,$C18,Datos!$A:$A,$B$5,Datos!$F:$F,"&gt;0"))</f>
        <v>128.148000000001</v>
      </c>
      <c r="K18" s="16" t="n">
        <f aca="false">IF(H18="","",IF(F18&gt;E18,H18/((F18-E18)*24),""))</f>
        <v>26.9359999999992</v>
      </c>
      <c r="L18" s="17" t="n">
        <f aca="false">IF(OR(H18="",J18=""),"",IF(J18&gt;0,H18/J18,""))</f>
        <v>0.998423697599613</v>
      </c>
      <c r="M18" s="18" t="n">
        <f aca="false">IF(OR(H18="",I18=""),"",IF(H18&gt;0,I18/H18,""))</f>
        <v>0.0519750519750649</v>
      </c>
      <c r="N18" s="16" t="n">
        <f aca="false">IF(S18&lt;2,"",_xlfn.MAXIFS(Datos!$H:$H,Datos!$B:$B,$C18,Datos!$A:$A,$B$5))</f>
        <v>29.8759999999893</v>
      </c>
      <c r="O18" s="13" t="n">
        <f aca="false">IF(N18="","",_xlfn.MINIFS(Datos!$G:$G,Datos!$B:$B,$C18,Datos!$A:$A,$B$5,Datos!$H:$H,N18)/1440)</f>
        <v>0.427083333333333</v>
      </c>
      <c r="P18" s="19" t="n">
        <f aca="false">IF(OR(COUNTIFS(Datos!$B:$B,$C18,Datos!$A:$A,$B$5,Datos!$D:$D,"&gt;0",Datos!$G:$G,(HOUR($D$5)*60+MINUTE($D$5)))=0,COUNTIFS(Datos!$B:$B,$C18,Datos!$A:$A,$B$5-1,Datos!$D:$D,"&gt;0",Datos!$G:$G,(HOUR($D$5)*60+MINUTE($D$5)))=0),"",SUMIFS(Datos!$D:$D,Datos!$B:$B,$C18,Datos!$A:$A,$B$5,Datos!$D:$D,"&gt;0",Datos!$G:$G,(HOUR($D$5)*60+MINUTE($D$5)))-SUMIFS(Datos!$D:$D,Datos!$B:$B,$C18,Datos!$A:$A,$B$5-1,Datos!$D:$D,"&gt;0",Datos!$G:$G,(HOUR($D$5)*60+MINUTE($D$5))))</f>
        <v>476.008000000002</v>
      </c>
      <c r="Q18" s="20" t="n">
        <f aca="false">IF(OR(K18="",V18=""),"",IF(V18&gt;0,K18/V18-1,""))</f>
        <v>-0.137370972417935</v>
      </c>
      <c r="R18" s="15" t="n">
        <f aca="false">IF(S18=0,"",_xlfn.MAXIFS(Datos!$D:$D,Datos!$B:$B,$C18,Datos!$A:$A,$B$5,Datos!$D:$D,"&gt;0"))</f>
        <v>107913.102</v>
      </c>
      <c r="S18" s="11" t="n">
        <f aca="false">COUNTIFS(Datos!$B:$B,$C18,Datos!$A:$A,$B$5,Datos!$D:$D,"&gt;0")</f>
        <v>20</v>
      </c>
      <c r="T18" s="11" t="n">
        <f aca="false">COUNTIFS(Datos!$B:$B,$C18,Datos!$A:$A,$B$5,Datos!$D:$D,0)</f>
        <v>0</v>
      </c>
      <c r="U18" s="11" t="n">
        <f aca="false">COUNTIFS(Datos!$B:$B,$C18,Datos!$A:$A,$B$5,Datos!$F:$F,"&gt;0")</f>
        <v>20</v>
      </c>
      <c r="V18" s="11" t="n">
        <f aca="false">IF(COUNTIFS(Datos!$B:$B,$C18,Datos!$A:$A,$B$5-1,Datos!$D:$D,"&gt;0")&lt;2,"",IFERROR((_xlfn.MAXIFS(Datos!$D:$D,Datos!$B:$B,$C18,Datos!$A:$A,$B$5-1,Datos!$D:$D,"&gt;0")-_xlfn.MINIFS(Datos!$D:$D,Datos!$B:$B,$C18,Datos!$A:$A,$B$5-1,Datos!$D:$D,"&gt;0"))/((_xlfn.MAXIFS(Datos!$G:$G,Datos!$B:$B,$C18,Datos!$A:$A,$B$5-1,Datos!$D:$D,"&gt;0")-_xlfn.MINIFS(Datos!$G:$G,Datos!$B:$B,$C18,Datos!$A:$A,$B$5-1,Datos!$D:$D,"&gt;0"))/60),""))</f>
        <v>31.2254736842097</v>
      </c>
      <c r="W18" s="11" t="n">
        <f aca="false">IF(Medidores!C8="",1,IFERROR(IF(INDEX($H$12:$H$21,MATCH(Medidores!C8,$C$12:$C$21,0))="",1,0),1))</f>
        <v>1</v>
      </c>
      <c r="X18" s="11" t="n">
        <f aca="false">IF(Medidores!C8="",1,IFERROR(IF(INDEX($P$12:$P$21,MATCH(Medidores!C8,$C$12:$C$21,0))="",1,0),1))</f>
        <v>1</v>
      </c>
    </row>
    <row r="19" customFormat="false" ht="15" hidden="false" customHeight="false" outlineLevel="0" collapsed="false">
      <c r="B19" s="11" t="str">
        <f aca="false">Medidores!B9</f>
        <v>Estación celda 3</v>
      </c>
      <c r="C19" s="11" t="str">
        <f aca="false">Medidores!A9</f>
        <v>192.168.50.9</v>
      </c>
      <c r="D19" s="12" t="str">
        <f aca="false">IF(S19&lt;2,"Sin datos",IF(T19&gt;0,"Lectura en cero",IF(U19&lt;2,"Falta kVAh",IF(H19&lt;=0.001,"Sin consumo",IF(AND(ISNUMBER(M19),M19&gt;0.5),"Reactiva &gt; 50 %","Normal")))))</f>
        <v>Normal</v>
      </c>
      <c r="E19" s="13" t="n">
        <f aca="false">IF(S19&lt;2,"",_xlfn.MINIFS(Datos!$G:$G,Datos!$B:$B,$C19,Datos!$A:$A,$B$5,Datos!$D:$D,"&gt;0")/1440)</f>
        <v>0.385416666666667</v>
      </c>
      <c r="F19" s="13" t="n">
        <f aca="false">IF(S19&lt;2,"",_xlfn.MAXIFS(Datos!$G:$G,Datos!$B:$B,$C19,Datos!$A:$A,$B$5,Datos!$D:$D,"&gt;0")/1440)</f>
        <v>0.583333333333333</v>
      </c>
      <c r="G19" s="14" t="n">
        <f aca="false">COUNTIFS(Datos!$B:$B,$C19,Datos!$A:$A,$B$5)</f>
        <v>20</v>
      </c>
      <c r="H19" s="15" t="n">
        <f aca="false">IF(S19&lt;2,"",_xlfn.MAXIFS(Datos!$D:$D,Datos!$B:$B,$C19,Datos!$A:$A,$B$5,Datos!$D:$D,"&gt;0")-_xlfn.MINIFS(Datos!$D:$D,Datos!$B:$B,$C19,Datos!$A:$A,$B$5,Datos!$D:$D,"&gt;0"))</f>
        <v>341.218999999983</v>
      </c>
      <c r="I19" s="15" t="n">
        <f aca="false">IF(S19&lt;2,"",_xlfn.MAXIFS(Datos!$E:$E,Datos!$B:$B,$C19,Datos!$A:$A,$B$5,Datos!$D:$D,"&gt;0")-_xlfn.MINIFS(Datos!$E:$E,Datos!$B:$B,$C19,Datos!$A:$A,$B$5,Datos!$D:$D,"&gt;0"))</f>
        <v>137.774000000005</v>
      </c>
      <c r="J19" s="15" t="n">
        <f aca="false">IF(U19&lt;2,"",_xlfn.MAXIFS(Datos!$F:$F,Datos!$B:$B,$C19,Datos!$A:$A,$B$5,Datos!$F:$F,"&gt;0")-_xlfn.MINIFS(Datos!$F:$F,Datos!$B:$B,$C19,Datos!$A:$A,$B$5,Datos!$F:$F,"&gt;0"))</f>
        <v>368.25</v>
      </c>
      <c r="K19" s="16" t="n">
        <f aca="false">IF(H19="","",IF(F19&gt;E19,H19/((F19-E19)*24),""))</f>
        <v>71.8355789473648</v>
      </c>
      <c r="L19" s="17" t="n">
        <f aca="false">IF(OR(H19="",J19=""),"",IF(J19&gt;0,H19/J19,""))</f>
        <v>0.926596062457523</v>
      </c>
      <c r="M19" s="18" t="n">
        <f aca="false">IF(OR(H19="",I19=""),"",IF(H19&gt;0,I19/H19,""))</f>
        <v>0.403770012807059</v>
      </c>
      <c r="N19" s="16" t="n">
        <f aca="false">IF(S19&lt;2,"",_xlfn.MAXIFS(Datos!$H:$H,Datos!$B:$B,$C19,Datos!$A:$A,$B$5))</f>
        <v>86.7519999998622</v>
      </c>
      <c r="O19" s="13" t="n">
        <f aca="false">IF(N19="","",_xlfn.MINIFS(Datos!$G:$G,Datos!$B:$B,$C19,Datos!$A:$A,$B$5,Datos!$H:$H,N19)/1440)</f>
        <v>0.572916666666667</v>
      </c>
      <c r="P19" s="19" t="n">
        <f aca="false">IF(OR(COUNTIFS(Datos!$B:$B,$C19,Datos!$A:$A,$B$5,Datos!$D:$D,"&gt;0",Datos!$G:$G,(HOUR($D$5)*60+MINUTE($D$5)))=0,COUNTIFS(Datos!$B:$B,$C19,Datos!$A:$A,$B$5-1,Datos!$D:$D,"&gt;0",Datos!$G:$G,(HOUR($D$5)*60+MINUTE($D$5)))=0),"",SUMIFS(Datos!$D:$D,Datos!$B:$B,$C19,Datos!$A:$A,$B$5,Datos!$D:$D,"&gt;0",Datos!$G:$G,(HOUR($D$5)*60+MINUTE($D$5)))-SUMIFS(Datos!$D:$D,Datos!$B:$B,$C19,Datos!$A:$A,$B$5-1,Datos!$D:$D,"&gt;0",Datos!$G:$G,(HOUR($D$5)*60+MINUTE($D$5))))</f>
        <v>1117.93799999997</v>
      </c>
      <c r="Q19" s="20" t="n">
        <f aca="false">IF(OR(K19="",V19=""),"",IF(V19&gt;0,K19/V19-1,""))</f>
        <v>0.0208496634255282</v>
      </c>
      <c r="R19" s="15" t="n">
        <f aca="false">IF(S19=0,"",_xlfn.MAXIFS(Datos!$D:$D,Datos!$B:$B,$C19,Datos!$A:$A,$B$5,Datos!$D:$D,"&gt;0"))</f>
        <v>267912.5</v>
      </c>
      <c r="S19" s="11" t="n">
        <f aca="false">COUNTIFS(Datos!$B:$B,$C19,Datos!$A:$A,$B$5,Datos!$D:$D,"&gt;0")</f>
        <v>20</v>
      </c>
      <c r="T19" s="11" t="n">
        <f aca="false">COUNTIFS(Datos!$B:$B,$C19,Datos!$A:$A,$B$5,Datos!$D:$D,0)</f>
        <v>0</v>
      </c>
      <c r="U19" s="11" t="n">
        <f aca="false">COUNTIFS(Datos!$B:$B,$C19,Datos!$A:$A,$B$5,Datos!$F:$F,"&gt;0")</f>
        <v>20</v>
      </c>
      <c r="V19" s="11" t="n">
        <f aca="false">IF(COUNTIFS(Datos!$B:$B,$C19,Datos!$A:$A,$B$5-1,Datos!$D:$D,"&gt;0")&lt;2,"",IFERROR((_xlfn.MAXIFS(Datos!$D:$D,Datos!$B:$B,$C19,Datos!$A:$A,$B$5-1,Datos!$D:$D,"&gt;0")-_xlfn.MINIFS(Datos!$D:$D,Datos!$B:$B,$C19,Datos!$A:$A,$B$5-1,Datos!$D:$D,"&gt;0"))/((_xlfn.MAXIFS(Datos!$G:$G,Datos!$B:$B,$C19,Datos!$A:$A,$B$5-1,Datos!$D:$D,"&gt;0")-_xlfn.MINIFS(Datos!$G:$G,Datos!$B:$B,$C19,Datos!$A:$A,$B$5-1,Datos!$D:$D,"&gt;0"))/60),""))</f>
        <v>70.3684210526316</v>
      </c>
      <c r="W19" s="11" t="n">
        <f aca="false">IF(Medidores!C9="",1,IFERROR(IF(INDEX($H$12:$H$21,MATCH(Medidores!C9,$C$12:$C$21,0))="",1,0),1))</f>
        <v>1</v>
      </c>
      <c r="X19" s="11" t="n">
        <f aca="false">IF(Medidores!C9="",1,IFERROR(IF(INDEX($P$12:$P$21,MATCH(Medidores!C9,$C$12:$C$21,0))="",1,0),1))</f>
        <v>1</v>
      </c>
    </row>
    <row r="20" customFormat="false" ht="15" hidden="false" customHeight="false" outlineLevel="0" collapsed="false">
      <c r="B20" s="11" t="str">
        <f aca="false">Medidores!B10</f>
        <v>Estación celda 2</v>
      </c>
      <c r="C20" s="11" t="str">
        <f aca="false">Medidores!A10</f>
        <v>192.168.50.10</v>
      </c>
      <c r="D20" s="12" t="str">
        <f aca="false">IF(S20&lt;2,"Sin datos",IF(T20&gt;0,"Lectura en cero",IF(U20&lt;2,"Falta kVAh",IF(H20&lt;=0.001,"Sin consumo",IF(AND(ISNUMBER(M20),M20&gt;0.5),"Reactiva &gt; 50 %","Normal")))))</f>
        <v>Normal</v>
      </c>
      <c r="E20" s="13" t="n">
        <f aca="false">IF(S20&lt;2,"",_xlfn.MINIFS(Datos!$G:$G,Datos!$B:$B,$C20,Datos!$A:$A,$B$5,Datos!$D:$D,"&gt;0")/1440)</f>
        <v>0.385416666666667</v>
      </c>
      <c r="F20" s="13" t="n">
        <f aca="false">IF(S20&lt;2,"",_xlfn.MAXIFS(Datos!$G:$G,Datos!$B:$B,$C20,Datos!$A:$A,$B$5,Datos!$D:$D,"&gt;0")/1440)</f>
        <v>0.583333333333333</v>
      </c>
      <c r="G20" s="14" t="n">
        <f aca="false">COUNTIFS(Datos!$B:$B,$C20,Datos!$A:$A,$B$5)</f>
        <v>20</v>
      </c>
      <c r="H20" s="15" t="n">
        <f aca="false">IF(S20&lt;2,"",_xlfn.MAXIFS(Datos!$D:$D,Datos!$B:$B,$C20,Datos!$A:$A,$B$5,Datos!$D:$D,"&gt;0")-_xlfn.MINIFS(Datos!$D:$D,Datos!$B:$B,$C20,Datos!$A:$A,$B$5,Datos!$D:$D,"&gt;0"))</f>
        <v>427.342999999994</v>
      </c>
      <c r="I20" s="15" t="n">
        <f aca="false">IF(S20&lt;2,"",_xlfn.MAXIFS(Datos!$E:$E,Datos!$B:$B,$C20,Datos!$A:$A,$B$5,Datos!$D:$D,"&gt;0")-_xlfn.MINIFS(Datos!$E:$E,Datos!$B:$B,$C20,Datos!$A:$A,$B$5,Datos!$D:$D,"&gt;0"))</f>
        <v>184.921999999991</v>
      </c>
      <c r="J20" s="15" t="n">
        <f aca="false">IF(U20&lt;2,"",_xlfn.MAXIFS(Datos!$F:$F,Datos!$B:$B,$C20,Datos!$A:$A,$B$5,Datos!$F:$F,"&gt;0")-_xlfn.MINIFS(Datos!$F:$F,Datos!$B:$B,$C20,Datos!$A:$A,$B$5,Datos!$F:$F,"&gt;0"))</f>
        <v>465.717999999994</v>
      </c>
      <c r="K20" s="16" t="n">
        <f aca="false">IF(H20="","",IF(F20&gt;E20,H20/((F20-E20)*24),""))</f>
        <v>89.9669473684197</v>
      </c>
      <c r="L20" s="17" t="n">
        <f aca="false">IF(OR(H20="",J20=""),"",IF(J20&gt;0,H20/J20,""))</f>
        <v>0.917600350426652</v>
      </c>
      <c r="M20" s="18" t="n">
        <f aca="false">IF(OR(H20="",I20=""),"",IF(H20&gt;0,I20/H20,""))</f>
        <v>0.4327250007605</v>
      </c>
      <c r="N20" s="16" t="n">
        <f aca="false">IF(S20&lt;2,"",_xlfn.MAXIFS(Datos!$H:$H,Datos!$B:$B,$C20,Datos!$A:$A,$B$5))</f>
        <v>100.251999999862</v>
      </c>
      <c r="O20" s="13" t="n">
        <f aca="false">IF(N20="","",_xlfn.MINIFS(Datos!$G:$G,Datos!$B:$B,$C20,Datos!$A:$A,$B$5,Datos!$H:$H,N20)/1440)</f>
        <v>0.572916666666667</v>
      </c>
      <c r="P20" s="19" t="n">
        <f aca="false">IF(OR(COUNTIFS(Datos!$B:$B,$C20,Datos!$A:$A,$B$5,Datos!$D:$D,"&gt;0",Datos!$G:$G,(HOUR($D$5)*60+MINUTE($D$5)))=0,COUNTIFS(Datos!$B:$B,$C20,Datos!$A:$A,$B$5-1,Datos!$D:$D,"&gt;0",Datos!$G:$G,(HOUR($D$5)*60+MINUTE($D$5)))=0),"",SUMIFS(Datos!$D:$D,Datos!$B:$B,$C20,Datos!$A:$A,$B$5,Datos!$D:$D,"&gt;0",Datos!$G:$G,(HOUR($D$5)*60+MINUTE($D$5)))-SUMIFS(Datos!$D:$D,Datos!$B:$B,$C20,Datos!$A:$A,$B$5-1,Datos!$D:$D,"&gt;0",Datos!$G:$G,(HOUR($D$5)*60+MINUTE($D$5))))</f>
        <v>1557.125</v>
      </c>
      <c r="Q20" s="20" t="n">
        <f aca="false">IF(OR(K20="",V20=""),"",IF(V20&gt;0,K20/V20-1,""))</f>
        <v>0.0183926124515783</v>
      </c>
      <c r="R20" s="15" t="n">
        <f aca="false">IF(S20=0,"",_xlfn.MAXIFS(Datos!$D:$D,Datos!$B:$B,$C20,Datos!$A:$A,$B$5,Datos!$D:$D,"&gt;0"))</f>
        <v>436443.531</v>
      </c>
      <c r="S20" s="11" t="n">
        <f aca="false">COUNTIFS(Datos!$B:$B,$C20,Datos!$A:$A,$B$5,Datos!$D:$D,"&gt;0")</f>
        <v>20</v>
      </c>
      <c r="T20" s="11" t="n">
        <f aca="false">COUNTIFS(Datos!$B:$B,$C20,Datos!$A:$A,$B$5,Datos!$D:$D,0)</f>
        <v>0</v>
      </c>
      <c r="U20" s="11" t="n">
        <f aca="false">COUNTIFS(Datos!$B:$B,$C20,Datos!$A:$A,$B$5,Datos!$F:$F,"&gt;0")</f>
        <v>20</v>
      </c>
      <c r="V20" s="11" t="n">
        <f aca="false">IF(COUNTIFS(Datos!$B:$B,$C20,Datos!$A:$A,$B$5-1,Datos!$D:$D,"&gt;0")&lt;2,"",IFERROR((_xlfn.MAXIFS(Datos!$D:$D,Datos!$B:$B,$C20,Datos!$A:$A,$B$5-1,Datos!$D:$D,"&gt;0")-_xlfn.MINIFS(Datos!$D:$D,Datos!$B:$B,$C20,Datos!$A:$A,$B$5-1,Datos!$D:$D,"&gt;0"))/((_xlfn.MAXIFS(Datos!$G:$G,Datos!$B:$B,$C20,Datos!$A:$A,$B$5-1,Datos!$D:$D,"&gt;0")-_xlfn.MINIFS(Datos!$G:$G,Datos!$B:$B,$C20,Datos!$A:$A,$B$5-1,Datos!$D:$D,"&gt;0"))/60),""))</f>
        <v>88.3421052631579</v>
      </c>
      <c r="W20" s="11" t="n">
        <f aca="false">IF(Medidores!C10="",1,IFERROR(IF(INDEX($H$12:$H$21,MATCH(Medidores!C10,$C$12:$C$21,0))="",1,0),1))</f>
        <v>1</v>
      </c>
      <c r="X20" s="11" t="n">
        <f aca="false">IF(Medidores!C10="",1,IFERROR(IF(INDEX($P$12:$P$21,MATCH(Medidores!C10,$C$12:$C$21,0))="",1,0),1))</f>
        <v>1</v>
      </c>
    </row>
    <row r="21" customFormat="false" ht="15" hidden="false" customHeight="false" outlineLevel="0" collapsed="false">
      <c r="B21" s="11" t="str">
        <f aca="false">Medidores!B11</f>
        <v>Estación celda 1</v>
      </c>
      <c r="C21" s="11" t="str">
        <f aca="false">Medidores!A11</f>
        <v>192.168.50.11</v>
      </c>
      <c r="D21" s="12" t="str">
        <f aca="false">IF(S21&lt;2,"Sin datos",IF(T21&gt;0,"Lectura en cero",IF(U21&lt;2,"Falta kVAh",IF(H21&lt;=0.001,"Sin consumo",IF(AND(ISNUMBER(M21),M21&gt;0.5),"Reactiva &gt; 50 %","Normal")))))</f>
        <v>Reactiva &gt; 50 %</v>
      </c>
      <c r="E21" s="13" t="n">
        <f aca="false">IF(S21&lt;2,"",_xlfn.MINIFS(Datos!$G:$G,Datos!$B:$B,$C21,Datos!$A:$A,$B$5,Datos!$D:$D,"&gt;0")/1440)</f>
        <v>0.385416666666667</v>
      </c>
      <c r="F21" s="13" t="n">
        <f aca="false">IF(S21&lt;2,"",_xlfn.MAXIFS(Datos!$G:$G,Datos!$B:$B,$C21,Datos!$A:$A,$B$5,Datos!$D:$D,"&gt;0")/1440)</f>
        <v>0.583333333333333</v>
      </c>
      <c r="G21" s="14" t="n">
        <f aca="false">COUNTIFS(Datos!$B:$B,$C21,Datos!$A:$A,$B$5)</f>
        <v>20</v>
      </c>
      <c r="H21" s="15" t="n">
        <f aca="false">IF(S21&lt;2,"",_xlfn.MAXIFS(Datos!$D:$D,Datos!$B:$B,$C21,Datos!$A:$A,$B$5,Datos!$D:$D,"&gt;0")-_xlfn.MINIFS(Datos!$D:$D,Datos!$B:$B,$C21,Datos!$A:$A,$B$5,Datos!$D:$D,"&gt;0"))</f>
        <v>430.219000000041</v>
      </c>
      <c r="I21" s="15" t="n">
        <f aca="false">IF(S21&lt;2,"",_xlfn.MAXIFS(Datos!$E:$E,Datos!$B:$B,$C21,Datos!$A:$A,$B$5,Datos!$D:$D,"&gt;0")-_xlfn.MINIFS(Datos!$E:$E,Datos!$B:$B,$C21,Datos!$A:$A,$B$5,Datos!$D:$D,"&gt;0"))</f>
        <v>229.546999999991</v>
      </c>
      <c r="J21" s="15" t="n">
        <f aca="false">IF(U21&lt;2,"",_xlfn.MAXIFS(Datos!$F:$F,Datos!$B:$B,$C21,Datos!$A:$A,$B$5,Datos!$F:$F,"&gt;0")-_xlfn.MINIFS(Datos!$F:$F,Datos!$B:$B,$C21,Datos!$A:$A,$B$5,Datos!$F:$F,"&gt;0"))</f>
        <v>495.062000000034</v>
      </c>
      <c r="K21" s="16" t="n">
        <f aca="false">IF(H21="","",IF(F21&gt;E21,H21/((F21-E21)*24),""))</f>
        <v>90.5724210526402</v>
      </c>
      <c r="L21" s="17" t="n">
        <f aca="false">IF(OR(H21="",J21=""),"",IF(J21&gt;0,H21/J21,""))</f>
        <v>0.869020445923967</v>
      </c>
      <c r="M21" s="18" t="n">
        <f aca="false">IF(OR(H21="",I21=""),"",IF(H21&gt;0,I21/H21,""))</f>
        <v>0.533558489978289</v>
      </c>
      <c r="N21" s="16" t="n">
        <f aca="false">IF(S21&lt;2,"",_xlfn.MAXIFS(Datos!$H:$H,Datos!$B:$B,$C21,Datos!$A:$A,$B$5))</f>
        <v>130.247999999905</v>
      </c>
      <c r="O21" s="13" t="n">
        <f aca="false">IF(N21="","",_xlfn.MINIFS(Datos!$G:$G,Datos!$B:$B,$C21,Datos!$A:$A,$B$5,Datos!$H:$H,N21)/1440)</f>
        <v>0.40625</v>
      </c>
      <c r="P21" s="19" t="n">
        <f aca="false">IF(OR(COUNTIFS(Datos!$B:$B,$C21,Datos!$A:$A,$B$5,Datos!$D:$D,"&gt;0",Datos!$G:$G,(HOUR($D$5)*60+MINUTE($D$5)))=0,COUNTIFS(Datos!$B:$B,$C21,Datos!$A:$A,$B$5-1,Datos!$D:$D,"&gt;0",Datos!$G:$G,(HOUR($D$5)*60+MINUTE($D$5)))=0),"",SUMIFS(Datos!$D:$D,Datos!$B:$B,$C21,Datos!$A:$A,$B$5,Datos!$D:$D,"&gt;0",Datos!$G:$G,(HOUR($D$5)*60+MINUTE($D$5)))-SUMIFS(Datos!$D:$D,Datos!$B:$B,$C21,Datos!$A:$A,$B$5-1,Datos!$D:$D,"&gt;0",Datos!$G:$G,(HOUR($D$5)*60+MINUTE($D$5))))</f>
        <v>1362.93699999998</v>
      </c>
      <c r="Q21" s="20" t="n">
        <f aca="false">IF(OR(K21="",V21=""),"",IF(V21&gt;0,K21/V21-1,""))</f>
        <v>0.128256838869942</v>
      </c>
      <c r="R21" s="15" t="n">
        <f aca="false">IF(S21=0,"",_xlfn.MAXIFS(Datos!$D:$D,Datos!$B:$B,$C21,Datos!$A:$A,$B$5,Datos!$D:$D,"&gt;0"))</f>
        <v>331773.063</v>
      </c>
      <c r="S21" s="11" t="n">
        <f aca="false">COUNTIFS(Datos!$B:$B,$C21,Datos!$A:$A,$B$5,Datos!$D:$D,"&gt;0")</f>
        <v>20</v>
      </c>
      <c r="T21" s="11" t="n">
        <f aca="false">COUNTIFS(Datos!$B:$B,$C21,Datos!$A:$A,$B$5,Datos!$D:$D,0)</f>
        <v>0</v>
      </c>
      <c r="U21" s="11" t="n">
        <f aca="false">COUNTIFS(Datos!$B:$B,$C21,Datos!$A:$A,$B$5,Datos!$F:$F,"&gt;0")</f>
        <v>20</v>
      </c>
      <c r="V21" s="11" t="n">
        <f aca="false">IF(COUNTIFS(Datos!$B:$B,$C21,Datos!$A:$A,$B$5-1,Datos!$D:$D,"&gt;0")&lt;2,"",IFERROR((_xlfn.MAXIFS(Datos!$D:$D,Datos!$B:$B,$C21,Datos!$A:$A,$B$5-1,Datos!$D:$D,"&gt;0")-_xlfn.MINIFS(Datos!$D:$D,Datos!$B:$B,$C21,Datos!$A:$A,$B$5-1,Datos!$D:$D,"&gt;0"))/((_xlfn.MAXIFS(Datos!$G:$G,Datos!$B:$B,$C21,Datos!$A:$A,$B$5-1,Datos!$D:$D,"&gt;0")-_xlfn.MINIFS(Datos!$G:$G,Datos!$B:$B,$C21,Datos!$A:$A,$B$5-1,Datos!$D:$D,"&gt;0"))/60),""))</f>
        <v>80.2764210526366</v>
      </c>
      <c r="W21" s="11" t="n">
        <f aca="false">IF(Medidores!C11="",1,IFERROR(IF(INDEX($H$12:$H$21,MATCH(Medidores!C11,$C$12:$C$21,0))="",1,0),1))</f>
        <v>1</v>
      </c>
      <c r="X21" s="11" t="n">
        <f aca="false">IF(Medidores!C11="",1,IFERROR(IF(INDEX($P$12:$P$21,MATCH(Medidores!C11,$C$12:$C$21,0))="",1,0),1))</f>
        <v>1</v>
      </c>
    </row>
    <row r="23" customFormat="false" ht="15" hidden="false" customHeight="false" outlineLevel="0" collapsed="false">
      <c r="B23" s="2" t="s">
        <v>34</v>
      </c>
    </row>
    <row r="24" customFormat="false" ht="15" hidden="false" customHeight="false" outlineLevel="0" collapsed="false">
      <c r="B24" s="2" t="s">
        <v>35</v>
      </c>
    </row>
    <row r="25" customFormat="false" ht="15" hidden="false" customHeight="false" outlineLevel="0" collapsed="false">
      <c r="B25" s="2" t="s">
        <v>36</v>
      </c>
    </row>
    <row r="26" customFormat="false" ht="15" hidden="false" customHeight="false" outlineLevel="0" collapsed="false">
      <c r="B26" s="2" t="s">
        <v>37</v>
      </c>
    </row>
    <row r="27" customFormat="false" ht="15" hidden="false" customHeight="false" outlineLevel="0" collapsed="false">
      <c r="B27" s="2" t="s">
        <v>38</v>
      </c>
    </row>
  </sheetData>
  <mergeCells count="1">
    <mergeCell ref="F5:H5"/>
  </mergeCells>
  <conditionalFormatting sqref="D12:D21">
    <cfRule type="expression" priority="2" aboveAverage="0" equalAverage="0" bottom="0" percent="0" rank="0" text="" dxfId="0">
      <formula>D12="Normal"</formula>
    </cfRule>
    <cfRule type="expression" priority="3" aboveAverage="0" equalAverage="0" bottom="0" percent="0" rank="0" text="" dxfId="1">
      <formula>OR(D12="Sin datos",D12="Reactiva &gt; 50 %")</formula>
    </cfRule>
    <cfRule type="expression" priority="4" aboveAverage="0" equalAverage="0" bottom="0" percent="0" rank="0" text="" dxfId="2">
      <formula>D12&lt;&gt;"Normal"</formula>
    </cfRule>
  </conditionalFormatting>
  <conditionalFormatting sqref="M12:M21">
    <cfRule type="expression" priority="5" aboveAverage="0" equalAverage="0" bottom="0" percent="0" rank="0" text="" dxfId="1">
      <formula>AND(ISNUMBER(M12),M12&gt;0.5)</formula>
    </cfRule>
  </conditionalFormatting>
  <conditionalFormatting sqref="L12:L21">
    <cfRule type="expression" priority="6" aboveAverage="0" equalAverage="0" bottom="0" percent="0" rank="0" text="" dxfId="2">
      <formula>AND(ISNUMBER(L12),L12&lt;0.9)</formula>
    </cfRule>
  </conditionalFormatting>
  <dataValidations count="3">
    <dataValidation allowBlank="false" error="Elige un día de la lista." errorStyle="stop" errorTitle="Día no válido" operator="between" showDropDown="false" showErrorMessage="false" showInputMessage="false" sqref="B5" type="list">
      <formula1>Histórico!$A$3:$A$5</formula1>
      <formula2>0</formula2>
    </dataValidation>
    <dataValidation allowBlank="false" error="Elige un medidor de la lista." errorStyle="stop" errorTitle="Medidor no válido" operator="between" showDropDown="false" showErrorMessage="false" showInputMessage="false" sqref="F5" type="list">
      <formula1>Medidores!$B$2:$B$200</formula1>
      <formula2>0</formula2>
    </dataValidation>
    <dataValidation allowBlank="false" error="Escribe una hora, por ejemplo 14:45." errorStyle="stop" errorTitle="Hora no válida" operator="between" showDropDown="false" showErrorMessage="false" showInputMessage="false" sqref="D5" type="time">
      <formula1>0</formula1>
      <formula2>0.999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6" min="4" style="0" width="14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9"/>
  </cols>
  <sheetData>
    <row r="1" customFormat="false" ht="15" hidden="false" customHeight="false" outlineLevel="0" collapsed="false">
      <c r="A1" s="10" t="s">
        <v>39</v>
      </c>
      <c r="B1" s="10" t="s">
        <v>12</v>
      </c>
      <c r="C1" s="10" t="s">
        <v>40</v>
      </c>
      <c r="D1" s="10" t="s">
        <v>17</v>
      </c>
      <c r="E1" s="10" t="s">
        <v>18</v>
      </c>
      <c r="F1" s="10" t="s">
        <v>19</v>
      </c>
      <c r="G1" s="10" t="s">
        <v>41</v>
      </c>
      <c r="H1" s="10" t="s">
        <v>42</v>
      </c>
      <c r="I1" s="10" t="s">
        <v>11</v>
      </c>
      <c r="J1" s="10" t="s">
        <v>43</v>
      </c>
    </row>
    <row r="2" customFormat="false" ht="15" hidden="false" customHeight="false" outlineLevel="0" collapsed="false">
      <c r="A2" s="21" t="n">
        <v>46302</v>
      </c>
      <c r="B2" s="22" t="s">
        <v>44</v>
      </c>
      <c r="C2" s="23" t="n">
        <v>0.260416666666667</v>
      </c>
      <c r="D2" s="24" t="n">
        <v>23213.115</v>
      </c>
      <c r="E2" s="24" t="n">
        <v>5870.396</v>
      </c>
      <c r="F2" s="24" t="n">
        <v>24149.643</v>
      </c>
      <c r="G2" s="22" t="n">
        <f aca="false">HOUR(C2)*60+MINUTE(C2)</f>
        <v>375</v>
      </c>
      <c r="H2" s="25" t="str">
        <f aca="false">IF(AND(B2=B1,A2=A1,D2&gt;0,N(D1)&gt;0,G2&gt;N(G1)),(D2-D1)/((G2-G1)/60),"")</f>
        <v/>
      </c>
      <c r="I2" s="22" t="str">
        <f aca="false">IFERROR(INDEX(Medidores!$B:$B,MATCH(B2,Medidores!$A:$A,0)),"")</f>
        <v>L22</v>
      </c>
      <c r="J2" s="22" t="s">
        <v>45</v>
      </c>
    </row>
    <row r="3" customFormat="false" ht="15" hidden="false" customHeight="false" outlineLevel="0" collapsed="false">
      <c r="A3" s="21" t="n">
        <v>46302</v>
      </c>
      <c r="B3" s="22" t="s">
        <v>44</v>
      </c>
      <c r="C3" s="23" t="n">
        <v>0.270833333333333</v>
      </c>
      <c r="D3" s="24" t="n">
        <v>23213.744</v>
      </c>
      <c r="E3" s="24" t="n">
        <v>5870.521</v>
      </c>
      <c r="F3" s="24" t="n">
        <v>24150.285</v>
      </c>
      <c r="G3" s="22" t="n">
        <f aca="false">HOUR(C3)*60+MINUTE(C3)</f>
        <v>390</v>
      </c>
      <c r="H3" s="25" t="n">
        <f aca="false">IF(AND(B3=B2,A3=A2,D3&gt;0,N(D2)&gt;0,G3&gt;N(G2)),(D3-D2)/((G3-G2)/60),"")</f>
        <v>2.51599999998871</v>
      </c>
      <c r="I3" s="22" t="str">
        <f aca="false">IFERROR(INDEX(Medidores!$B:$B,MATCH(B3,Medidores!$A:$A,0)),"")</f>
        <v>L22</v>
      </c>
      <c r="J3" s="22" t="s">
        <v>46</v>
      </c>
    </row>
    <row r="4" customFormat="false" ht="15" hidden="false" customHeight="false" outlineLevel="0" collapsed="false">
      <c r="A4" s="21" t="n">
        <v>46302</v>
      </c>
      <c r="B4" s="22" t="s">
        <v>44</v>
      </c>
      <c r="C4" s="23" t="n">
        <v>0.28125</v>
      </c>
      <c r="D4" s="24" t="n">
        <v>23214.371</v>
      </c>
      <c r="E4" s="24" t="n">
        <v>5870.632</v>
      </c>
      <c r="F4" s="24" t="n">
        <v>24150.926</v>
      </c>
      <c r="G4" s="22" t="n">
        <f aca="false">HOUR(C4)*60+MINUTE(C4)</f>
        <v>405</v>
      </c>
      <c r="H4" s="25" t="n">
        <f aca="false">IF(AND(B4=B3,A4=A3,D4&gt;0,N(D3)&gt;0,G4&gt;N(G3)),(D4-D3)/((G4-G3)/60),"")</f>
        <v>2.50800000000163</v>
      </c>
      <c r="I4" s="22" t="str">
        <f aca="false">IFERROR(INDEX(Medidores!$B:$B,MATCH(B4,Medidores!$A:$A,0)),"")</f>
        <v>L22</v>
      </c>
      <c r="J4" s="22" t="s">
        <v>47</v>
      </c>
    </row>
    <row r="5" customFormat="false" ht="15" hidden="false" customHeight="false" outlineLevel="0" collapsed="false">
      <c r="A5" s="21" t="n">
        <v>46302</v>
      </c>
      <c r="B5" s="22" t="s">
        <v>44</v>
      </c>
      <c r="C5" s="23" t="n">
        <v>0.291666666666667</v>
      </c>
      <c r="D5" s="24" t="n">
        <v>23215.045</v>
      </c>
      <c r="E5" s="24" t="n">
        <v>5870.742</v>
      </c>
      <c r="F5" s="24" t="n">
        <v>24151.609</v>
      </c>
      <c r="G5" s="22" t="n">
        <f aca="false">HOUR(C5)*60+MINUTE(C5)</f>
        <v>420</v>
      </c>
      <c r="H5" s="25" t="n">
        <f aca="false">IF(AND(B5=B4,A5=A4,D5&gt;0,N(D4)&gt;0,G5&gt;N(G4)),(D5-D4)/((G5-G4)/60),"")</f>
        <v>2.69599999999627</v>
      </c>
      <c r="I5" s="22" t="str">
        <f aca="false">IFERROR(INDEX(Medidores!$B:$B,MATCH(B5,Medidores!$A:$A,0)),"")</f>
        <v>L22</v>
      </c>
      <c r="J5" s="22" t="s">
        <v>48</v>
      </c>
    </row>
    <row r="6" customFormat="false" ht="15" hidden="false" customHeight="false" outlineLevel="0" collapsed="false">
      <c r="A6" s="21" t="n">
        <v>46302</v>
      </c>
      <c r="B6" s="22" t="s">
        <v>44</v>
      </c>
      <c r="C6" s="23" t="n">
        <v>0.302083333333333</v>
      </c>
      <c r="D6" s="24" t="n">
        <v>23216.727</v>
      </c>
      <c r="E6" s="24" t="n">
        <v>5871.275</v>
      </c>
      <c r="F6" s="24" t="n">
        <v>24153.393</v>
      </c>
      <c r="G6" s="22" t="n">
        <f aca="false">HOUR(C6)*60+MINUTE(C6)</f>
        <v>435</v>
      </c>
      <c r="H6" s="25" t="n">
        <f aca="false">IF(AND(B6=B5,A6=A5,D6&gt;0,N(D5)&gt;0,G6&gt;N(G5)),(D6-D5)/((G6-G5)/60),"")</f>
        <v>6.72800000000279</v>
      </c>
      <c r="I6" s="22" t="str">
        <f aca="false">IFERROR(INDEX(Medidores!$B:$B,MATCH(B6,Medidores!$A:$A,0)),"")</f>
        <v>L22</v>
      </c>
      <c r="J6" s="22" t="s">
        <v>49</v>
      </c>
    </row>
    <row r="7" customFormat="false" ht="15" hidden="false" customHeight="false" outlineLevel="0" collapsed="false">
      <c r="A7" s="21" t="n">
        <v>46302</v>
      </c>
      <c r="B7" s="22" t="s">
        <v>44</v>
      </c>
      <c r="C7" s="23" t="n">
        <v>0.3125</v>
      </c>
      <c r="D7" s="24" t="n">
        <v>23218.24</v>
      </c>
      <c r="E7" s="24" t="n">
        <v>5871.698</v>
      </c>
      <c r="F7" s="24" t="n">
        <v>24154.981</v>
      </c>
      <c r="G7" s="22" t="n">
        <f aca="false">HOUR(C7)*60+MINUTE(C7)</f>
        <v>450</v>
      </c>
      <c r="H7" s="25" t="n">
        <f aca="false">IF(AND(B7=B6,A7=A6,D7&gt;0,N(D6)&gt;0,G7&gt;N(G6)),(D7-D6)/((G7-G6)/60),"")</f>
        <v>6.05200000001059</v>
      </c>
      <c r="I7" s="22" t="str">
        <f aca="false">IFERROR(INDEX(Medidores!$B:$B,MATCH(B7,Medidores!$A:$A,0)),"")</f>
        <v>L22</v>
      </c>
      <c r="J7" s="22" t="s">
        <v>50</v>
      </c>
    </row>
    <row r="8" customFormat="false" ht="15" hidden="false" customHeight="false" outlineLevel="0" collapsed="false">
      <c r="A8" s="21" t="n">
        <v>46302</v>
      </c>
      <c r="B8" s="22" t="s">
        <v>44</v>
      </c>
      <c r="C8" s="23" t="n">
        <v>0.322916666666667</v>
      </c>
      <c r="D8" s="24" t="n">
        <v>23219.891</v>
      </c>
      <c r="E8" s="24" t="n">
        <v>5872.194</v>
      </c>
      <c r="F8" s="24" t="n">
        <v>24156.713</v>
      </c>
      <c r="G8" s="22" t="n">
        <f aca="false">HOUR(C8)*60+MINUTE(C8)</f>
        <v>465</v>
      </c>
      <c r="H8" s="25" t="n">
        <f aca="false">IF(AND(B8=B7,A8=A7,D8&gt;0,N(D7)&gt;0,G8&gt;N(G7)),(D8-D7)/((G8-G7)/60),"")</f>
        <v>6.60399999999208</v>
      </c>
      <c r="I8" s="22" t="str">
        <f aca="false">IFERROR(INDEX(Medidores!$B:$B,MATCH(B8,Medidores!$A:$A,0)),"")</f>
        <v>L22</v>
      </c>
      <c r="J8" s="22" t="s">
        <v>51</v>
      </c>
    </row>
    <row r="9" customFormat="false" ht="15" hidden="false" customHeight="false" outlineLevel="0" collapsed="false">
      <c r="A9" s="21" t="n">
        <v>46302</v>
      </c>
      <c r="B9" s="22" t="s">
        <v>44</v>
      </c>
      <c r="C9" s="23" t="n">
        <v>0.333333333333333</v>
      </c>
      <c r="D9" s="24" t="n">
        <v>23221.516</v>
      </c>
      <c r="E9" s="24" t="n">
        <v>5872.683</v>
      </c>
      <c r="F9" s="24" t="n">
        <v>24158.422</v>
      </c>
      <c r="G9" s="22" t="n">
        <f aca="false">HOUR(C9)*60+MINUTE(C9)</f>
        <v>480</v>
      </c>
      <c r="H9" s="25" t="n">
        <f aca="false">IF(AND(B9=B8,A9=A8,D9&gt;0,N(D8)&gt;0,G9&gt;N(G8)),(D9-D8)/((G9-G8)/60),"")</f>
        <v>6.5</v>
      </c>
      <c r="I9" s="22" t="str">
        <f aca="false">IFERROR(INDEX(Medidores!$B:$B,MATCH(B9,Medidores!$A:$A,0)),"")</f>
        <v>L22</v>
      </c>
      <c r="J9" s="22" t="s">
        <v>52</v>
      </c>
    </row>
    <row r="10" customFormat="false" ht="15" hidden="false" customHeight="false" outlineLevel="0" collapsed="false">
      <c r="A10" s="21" t="n">
        <v>46302</v>
      </c>
      <c r="B10" s="22" t="s">
        <v>44</v>
      </c>
      <c r="C10" s="23" t="n">
        <v>0.34375</v>
      </c>
      <c r="D10" s="24" t="n">
        <v>23223.152</v>
      </c>
      <c r="E10" s="24" t="n">
        <v>5873.226</v>
      </c>
      <c r="F10" s="24" t="n">
        <v>24160.164</v>
      </c>
      <c r="G10" s="22" t="n">
        <f aca="false">HOUR(C10)*60+MINUTE(C10)</f>
        <v>495</v>
      </c>
      <c r="H10" s="25" t="n">
        <f aca="false">IF(AND(B10=B9,A10=A9,D10&gt;0,N(D9)&gt;0,G10&gt;N(G9)),(D10-D9)/((G10-G9)/60),"")</f>
        <v>6.54399999999441</v>
      </c>
      <c r="I10" s="22" t="str">
        <f aca="false">IFERROR(INDEX(Medidores!$B:$B,MATCH(B10,Medidores!$A:$A,0)),"")</f>
        <v>L22</v>
      </c>
      <c r="J10" s="22" t="s">
        <v>53</v>
      </c>
    </row>
    <row r="11" customFormat="false" ht="15" hidden="false" customHeight="false" outlineLevel="0" collapsed="false">
      <c r="A11" s="21" t="n">
        <v>46302</v>
      </c>
      <c r="B11" s="22" t="s">
        <v>44</v>
      </c>
      <c r="C11" s="23" t="n">
        <v>0.354166666666667</v>
      </c>
      <c r="D11" s="24" t="n">
        <v>23224.775</v>
      </c>
      <c r="E11" s="24" t="n">
        <v>5873.71</v>
      </c>
      <c r="F11" s="24" t="n">
        <v>24161.877</v>
      </c>
      <c r="G11" s="22" t="n">
        <f aca="false">HOUR(C11)*60+MINUTE(C11)</f>
        <v>510</v>
      </c>
      <c r="H11" s="25" t="n">
        <f aca="false">IF(AND(B11=B10,A11=A10,D11&gt;0,N(D10)&gt;0,G11&gt;N(G10)),(D11-D10)/((G11-G10)/60),"")</f>
        <v>6.49200000001292</v>
      </c>
      <c r="I11" s="22" t="str">
        <f aca="false">IFERROR(INDEX(Medidores!$B:$B,MATCH(B11,Medidores!$A:$A,0)),"")</f>
        <v>L22</v>
      </c>
      <c r="J11" s="22" t="s">
        <v>54</v>
      </c>
    </row>
    <row r="12" customFormat="false" ht="15" hidden="false" customHeight="false" outlineLevel="0" collapsed="false">
      <c r="A12" s="21" t="n">
        <v>46302</v>
      </c>
      <c r="B12" s="22" t="s">
        <v>44</v>
      </c>
      <c r="C12" s="23" t="n">
        <v>0.364583333333333</v>
      </c>
      <c r="D12" s="24" t="n">
        <v>23226.219</v>
      </c>
      <c r="E12" s="24" t="n">
        <v>5874.117</v>
      </c>
      <c r="F12" s="24" t="n">
        <v>24163.389</v>
      </c>
      <c r="G12" s="22" t="n">
        <f aca="false">HOUR(C12)*60+MINUTE(C12)</f>
        <v>525</v>
      </c>
      <c r="H12" s="25" t="n">
        <f aca="false">IF(AND(B12=B11,A12=A11,D12&gt;0,N(D11)&gt;0,G12&gt;N(G11)),(D12-D11)/((G12-G11)/60),"")</f>
        <v>5.77599999999802</v>
      </c>
      <c r="I12" s="22" t="str">
        <f aca="false">IFERROR(INDEX(Medidores!$B:$B,MATCH(B12,Medidores!$A:$A,0)),"")</f>
        <v>L22</v>
      </c>
      <c r="J12" s="22" t="s">
        <v>55</v>
      </c>
    </row>
    <row r="13" customFormat="false" ht="15" hidden="false" customHeight="false" outlineLevel="0" collapsed="false">
      <c r="A13" s="21" t="n">
        <v>46302</v>
      </c>
      <c r="B13" s="22" t="s">
        <v>44</v>
      </c>
      <c r="C13" s="23" t="n">
        <v>0.375</v>
      </c>
      <c r="D13" s="24" t="n">
        <v>23227.84</v>
      </c>
      <c r="E13" s="24" t="n">
        <v>5874.638</v>
      </c>
      <c r="F13" s="24" t="n">
        <v>24165.106</v>
      </c>
      <c r="G13" s="22" t="n">
        <f aca="false">HOUR(C13)*60+MINUTE(C13)</f>
        <v>540</v>
      </c>
      <c r="H13" s="25" t="n">
        <f aca="false">IF(AND(B13=B12,A13=A12,D13&gt;0,N(D12)&gt;0,G13&gt;N(G12)),(D13-D12)/((G13-G12)/60),"")</f>
        <v>6.48399999999674</v>
      </c>
      <c r="I13" s="22" t="str">
        <f aca="false">IFERROR(INDEX(Medidores!$B:$B,MATCH(B13,Medidores!$A:$A,0)),"")</f>
        <v>L22</v>
      </c>
      <c r="J13" s="22" t="s">
        <v>56</v>
      </c>
    </row>
    <row r="14" customFormat="false" ht="15" hidden="false" customHeight="false" outlineLevel="0" collapsed="false">
      <c r="A14" s="21" t="n">
        <v>46302</v>
      </c>
      <c r="B14" s="22" t="s">
        <v>44</v>
      </c>
      <c r="C14" s="23" t="n">
        <v>0.385416666666667</v>
      </c>
      <c r="D14" s="24" t="n">
        <v>23229.453</v>
      </c>
      <c r="E14" s="24" t="n">
        <v>5875.126</v>
      </c>
      <c r="F14" s="24" t="n">
        <v>24166.809</v>
      </c>
      <c r="G14" s="22" t="n">
        <f aca="false">HOUR(C14)*60+MINUTE(C14)</f>
        <v>555</v>
      </c>
      <c r="H14" s="25" t="n">
        <f aca="false">IF(AND(B14=B13,A14=A13,D14&gt;0,N(D13)&gt;0,G14&gt;N(G13)),(D14-D13)/((G14-G13)/60),"")</f>
        <v>6.45200000000477</v>
      </c>
      <c r="I14" s="22" t="str">
        <f aca="false">IFERROR(INDEX(Medidores!$B:$B,MATCH(B14,Medidores!$A:$A,0)),"")</f>
        <v>L22</v>
      </c>
      <c r="J14" s="22" t="s">
        <v>57</v>
      </c>
    </row>
    <row r="15" customFormat="false" ht="15" hidden="false" customHeight="false" outlineLevel="0" collapsed="false">
      <c r="A15" s="21" t="n">
        <v>46302</v>
      </c>
      <c r="B15" s="22" t="s">
        <v>44</v>
      </c>
      <c r="C15" s="23" t="n">
        <v>0.395833333333333</v>
      </c>
      <c r="D15" s="24" t="n">
        <v>23231.076</v>
      </c>
      <c r="E15" s="24" t="n">
        <v>5875.638</v>
      </c>
      <c r="F15" s="24" t="n">
        <v>24168.521</v>
      </c>
      <c r="G15" s="22" t="n">
        <f aca="false">HOUR(C15)*60+MINUTE(C15)</f>
        <v>570</v>
      </c>
      <c r="H15" s="25" t="n">
        <f aca="false">IF(AND(B15=B14,A15=A14,D15&gt;0,N(D14)&gt;0,G15&gt;N(G14)),(D15-D14)/((G15-G14)/60),"")</f>
        <v>6.49199999999837</v>
      </c>
      <c r="I15" s="22" t="str">
        <f aca="false">IFERROR(INDEX(Medidores!$B:$B,MATCH(B15,Medidores!$A:$A,0)),"")</f>
        <v>L22</v>
      </c>
      <c r="J15" s="22" t="s">
        <v>58</v>
      </c>
    </row>
    <row r="16" customFormat="false" ht="15" hidden="false" customHeight="false" outlineLevel="0" collapsed="false">
      <c r="A16" s="21" t="n">
        <v>46302</v>
      </c>
      <c r="B16" s="22" t="s">
        <v>44</v>
      </c>
      <c r="C16" s="23" t="n">
        <v>0.40625</v>
      </c>
      <c r="D16" s="24" t="n">
        <v>23232.705</v>
      </c>
      <c r="E16" s="24" t="n">
        <v>5876.125</v>
      </c>
      <c r="F16" s="24" t="n">
        <v>24170.236</v>
      </c>
      <c r="G16" s="22" t="n">
        <f aca="false">HOUR(C16)*60+MINUTE(C16)</f>
        <v>585</v>
      </c>
      <c r="H16" s="25" t="n">
        <f aca="false">IF(AND(B16=B15,A16=A15,D16&gt;0,N(D15)&gt;0,G16&gt;N(G15)),(D16-D15)/((G16-G15)/60),"")</f>
        <v>6.51600000000326</v>
      </c>
      <c r="I16" s="22" t="str">
        <f aca="false">IFERROR(INDEX(Medidores!$B:$B,MATCH(B16,Medidores!$A:$A,0)),"")</f>
        <v>L22</v>
      </c>
      <c r="J16" s="22" t="s">
        <v>59</v>
      </c>
    </row>
    <row r="17" customFormat="false" ht="15" hidden="false" customHeight="false" outlineLevel="0" collapsed="false">
      <c r="A17" s="21" t="n">
        <v>46302</v>
      </c>
      <c r="B17" s="22" t="s">
        <v>44</v>
      </c>
      <c r="C17" s="23" t="n">
        <v>0.416666666666667</v>
      </c>
      <c r="D17" s="24" t="n">
        <v>23234.332</v>
      </c>
      <c r="E17" s="24" t="n">
        <v>5876.677</v>
      </c>
      <c r="F17" s="24" t="n">
        <v>24171.973</v>
      </c>
      <c r="G17" s="22" t="n">
        <f aca="false">HOUR(C17)*60+MINUTE(C17)</f>
        <v>600</v>
      </c>
      <c r="H17" s="25" t="n">
        <f aca="false">IF(AND(B17=B16,A17=A16,D17&gt;0,N(D16)&gt;0,G17&gt;N(G16)),(D17-D16)/((G17-G16)/60),"")</f>
        <v>6.50799999998708</v>
      </c>
      <c r="I17" s="22" t="str">
        <f aca="false">IFERROR(INDEX(Medidores!$B:$B,MATCH(B17,Medidores!$A:$A,0)),"")</f>
        <v>L22</v>
      </c>
      <c r="J17" s="22" t="s">
        <v>60</v>
      </c>
    </row>
    <row r="18" customFormat="false" ht="15" hidden="false" customHeight="false" outlineLevel="0" collapsed="false">
      <c r="A18" s="21" t="n">
        <v>46302</v>
      </c>
      <c r="B18" s="22" t="s">
        <v>44</v>
      </c>
      <c r="C18" s="23" t="n">
        <v>0.427083333333333</v>
      </c>
      <c r="D18" s="24" t="n">
        <v>23235.955</v>
      </c>
      <c r="E18" s="24" t="n">
        <v>5877.181</v>
      </c>
      <c r="F18" s="24" t="n">
        <v>24173.682</v>
      </c>
      <c r="G18" s="22" t="n">
        <f aca="false">HOUR(C18)*60+MINUTE(C18)</f>
        <v>615</v>
      </c>
      <c r="H18" s="25" t="n">
        <f aca="false">IF(AND(B18=B17,A18=A17,D18&gt;0,N(D17)&gt;0,G18&gt;N(G17)),(D18-D17)/((G18-G17)/60),"")</f>
        <v>6.49200000001292</v>
      </c>
      <c r="I18" s="22" t="str">
        <f aca="false">IFERROR(INDEX(Medidores!$B:$B,MATCH(B18,Medidores!$A:$A,0)),"")</f>
        <v>L22</v>
      </c>
      <c r="J18" s="22" t="s">
        <v>61</v>
      </c>
    </row>
    <row r="19" customFormat="false" ht="15" hidden="false" customHeight="false" outlineLevel="0" collapsed="false">
      <c r="A19" s="21" t="n">
        <v>46302</v>
      </c>
      <c r="B19" s="22" t="s">
        <v>44</v>
      </c>
      <c r="C19" s="23" t="n">
        <v>0.4375</v>
      </c>
      <c r="D19" s="24" t="n">
        <v>23237.582</v>
      </c>
      <c r="E19" s="24" t="n">
        <v>5877.691</v>
      </c>
      <c r="F19" s="24" t="n">
        <v>24175.404</v>
      </c>
      <c r="G19" s="22" t="n">
        <f aca="false">HOUR(C19)*60+MINUTE(C19)</f>
        <v>630</v>
      </c>
      <c r="H19" s="25" t="n">
        <f aca="false">IF(AND(B19=B18,A19=A18,D19&gt;0,N(D18)&gt;0,G19&gt;N(G18)),(D19-D18)/((G19-G18)/60),"")</f>
        <v>6.50799999998708</v>
      </c>
      <c r="I19" s="22" t="str">
        <f aca="false">IFERROR(INDEX(Medidores!$B:$B,MATCH(B19,Medidores!$A:$A,0)),"")</f>
        <v>L22</v>
      </c>
      <c r="J19" s="22" t="s">
        <v>62</v>
      </c>
    </row>
    <row r="20" customFormat="false" ht="15" hidden="false" customHeight="false" outlineLevel="0" collapsed="false">
      <c r="A20" s="21" t="n">
        <v>46302</v>
      </c>
      <c r="B20" s="22" t="s">
        <v>44</v>
      </c>
      <c r="C20" s="23" t="n">
        <v>0.447916666666667</v>
      </c>
      <c r="D20" s="24" t="n">
        <v>23238.707</v>
      </c>
      <c r="E20" s="24" t="n">
        <v>5877.976</v>
      </c>
      <c r="F20" s="24" t="n">
        <v>24176.576</v>
      </c>
      <c r="G20" s="22" t="n">
        <f aca="false">HOUR(C20)*60+MINUTE(C20)</f>
        <v>645</v>
      </c>
      <c r="H20" s="25" t="n">
        <f aca="false">IF(AND(B20=B19,A20=A19,D20&gt;0,N(D19)&gt;0,G20&gt;N(G19)),(D20-D19)/((G20-G19)/60),"")</f>
        <v>4.5</v>
      </c>
      <c r="I20" s="22" t="str">
        <f aca="false">IFERROR(INDEX(Medidores!$B:$B,MATCH(B20,Medidores!$A:$A,0)),"")</f>
        <v>L22</v>
      </c>
      <c r="J20" s="22" t="s">
        <v>63</v>
      </c>
    </row>
    <row r="21" customFormat="false" ht="15" hidden="false" customHeight="false" outlineLevel="0" collapsed="false">
      <c r="A21" s="21" t="n">
        <v>46302</v>
      </c>
      <c r="B21" s="22" t="s">
        <v>44</v>
      </c>
      <c r="C21" s="23" t="n">
        <v>0.458333333333333</v>
      </c>
      <c r="D21" s="24" t="n">
        <v>23239.469</v>
      </c>
      <c r="E21" s="24" t="n">
        <v>5878.095</v>
      </c>
      <c r="F21" s="24" t="n">
        <v>24177.35</v>
      </c>
      <c r="G21" s="22" t="n">
        <f aca="false">HOUR(C21)*60+MINUTE(C21)</f>
        <v>660</v>
      </c>
      <c r="H21" s="25" t="n">
        <f aca="false">IF(AND(B21=B20,A21=A20,D21&gt;0,N(D20)&gt;0,G21&gt;N(G20)),(D21-D20)/((G21-G20)/60),"")</f>
        <v>3.04800000000978</v>
      </c>
      <c r="I21" s="22" t="str">
        <f aca="false">IFERROR(INDEX(Medidores!$B:$B,MATCH(B21,Medidores!$A:$A,0)),"")</f>
        <v>L22</v>
      </c>
      <c r="J21" s="22" t="s">
        <v>64</v>
      </c>
    </row>
    <row r="22" customFormat="false" ht="15" hidden="false" customHeight="false" outlineLevel="0" collapsed="false">
      <c r="A22" s="21" t="n">
        <v>46302</v>
      </c>
      <c r="B22" s="22" t="s">
        <v>65</v>
      </c>
      <c r="C22" s="23" t="n">
        <v>0.270833333333333</v>
      </c>
      <c r="D22" s="24" t="n">
        <v>8718.495</v>
      </c>
      <c r="E22" s="24" t="n">
        <v>5315.24</v>
      </c>
      <c r="F22" s="24" t="n">
        <v>11570.61</v>
      </c>
      <c r="G22" s="22" t="n">
        <f aca="false">HOUR(C22)*60+MINUTE(C22)</f>
        <v>390</v>
      </c>
      <c r="H22" s="25" t="str">
        <f aca="false">IF(AND(B22=B21,A22=A21,D22&gt;0,N(D21)&gt;0,G22&gt;N(G21)),(D22-D21)/((G22-G21)/60),"")</f>
        <v/>
      </c>
      <c r="I22" s="22" t="str">
        <f aca="false">IFERROR(INDEX(Medidores!$B:$B,MATCH(B22,Medidores!$A:$A,0)),"")</f>
        <v>L50</v>
      </c>
      <c r="J22" s="22" t="s">
        <v>66</v>
      </c>
    </row>
    <row r="23" customFormat="false" ht="15" hidden="false" customHeight="false" outlineLevel="0" collapsed="false">
      <c r="A23" s="21" t="n">
        <v>46302</v>
      </c>
      <c r="B23" s="22" t="s">
        <v>65</v>
      </c>
      <c r="C23" s="23" t="n">
        <v>0.28125</v>
      </c>
      <c r="D23" s="24" t="n">
        <v>8718.629</v>
      </c>
      <c r="E23" s="24" t="n">
        <v>5315.24</v>
      </c>
      <c r="F23" s="24" t="n">
        <v>11570.75</v>
      </c>
      <c r="G23" s="22" t="n">
        <f aca="false">HOUR(C23)*60+MINUTE(C23)</f>
        <v>405</v>
      </c>
      <c r="H23" s="25" t="n">
        <f aca="false">IF(AND(B23=B22,A23=A22,D23&gt;0,N(D22)&gt;0,G23&gt;N(G22)),(D23-D22)/((G23-G22)/60),"")</f>
        <v>0.536000000000058</v>
      </c>
      <c r="I23" s="22" t="str">
        <f aca="false">IFERROR(INDEX(Medidores!$B:$B,MATCH(B23,Medidores!$A:$A,0)),"")</f>
        <v>L50</v>
      </c>
      <c r="J23" s="22" t="s">
        <v>67</v>
      </c>
    </row>
    <row r="24" customFormat="false" ht="15" hidden="false" customHeight="false" outlineLevel="0" collapsed="false">
      <c r="A24" s="21" t="n">
        <v>46302</v>
      </c>
      <c r="B24" s="22" t="s">
        <v>65</v>
      </c>
      <c r="C24" s="23" t="n">
        <v>0.291666666666667</v>
      </c>
      <c r="D24" s="24" t="n">
        <v>8718.763</v>
      </c>
      <c r="E24" s="24" t="n">
        <v>5315.24</v>
      </c>
      <c r="F24" s="24" t="n">
        <v>11570.89</v>
      </c>
      <c r="G24" s="22" t="n">
        <f aca="false">HOUR(C24)*60+MINUTE(C24)</f>
        <v>420</v>
      </c>
      <c r="H24" s="25" t="n">
        <f aca="false">IF(AND(B24=B23,A24=A23,D24&gt;0,N(D23)&gt;0,G24&gt;N(G23)),(D24-D23)/((G24-G23)/60),"")</f>
        <v>0.536000000000058</v>
      </c>
      <c r="I24" s="22" t="str">
        <f aca="false">IFERROR(INDEX(Medidores!$B:$B,MATCH(B24,Medidores!$A:$A,0)),"")</f>
        <v>L50</v>
      </c>
      <c r="J24" s="22" t="s">
        <v>68</v>
      </c>
    </row>
    <row r="25" customFormat="false" ht="15" hidden="false" customHeight="false" outlineLevel="0" collapsed="false">
      <c r="A25" s="21" t="n">
        <v>46302</v>
      </c>
      <c r="B25" s="22" t="s">
        <v>65</v>
      </c>
      <c r="C25" s="23" t="n">
        <v>0.302083333333333</v>
      </c>
      <c r="D25" s="24" t="n">
        <v>8718.897</v>
      </c>
      <c r="E25" s="24" t="n">
        <v>5315.24</v>
      </c>
      <c r="F25" s="24" t="n">
        <v>11571.03</v>
      </c>
      <c r="G25" s="22" t="n">
        <f aca="false">HOUR(C25)*60+MINUTE(C25)</f>
        <v>435</v>
      </c>
      <c r="H25" s="25" t="n">
        <f aca="false">IF(AND(B25=B24,A25=A24,D25&gt;0,N(D24)&gt;0,G25&gt;N(G24)),(D25-D24)/((G25-G24)/60),"")</f>
        <v>0.536000000000058</v>
      </c>
      <c r="I25" s="22" t="str">
        <f aca="false">IFERROR(INDEX(Medidores!$B:$B,MATCH(B25,Medidores!$A:$A,0)),"")</f>
        <v>L50</v>
      </c>
      <c r="J25" s="22" t="s">
        <v>69</v>
      </c>
    </row>
    <row r="26" customFormat="false" ht="15" hidden="false" customHeight="false" outlineLevel="0" collapsed="false">
      <c r="A26" s="21" t="n">
        <v>46302</v>
      </c>
      <c r="B26" s="22" t="s">
        <v>65</v>
      </c>
      <c r="C26" s="23" t="n">
        <v>0.3125</v>
      </c>
      <c r="D26" s="24" t="n">
        <v>8719.03</v>
      </c>
      <c r="E26" s="24" t="n">
        <v>5315.24</v>
      </c>
      <c r="F26" s="24" t="n">
        <v>11571.17</v>
      </c>
      <c r="G26" s="22" t="n">
        <f aca="false">HOUR(C26)*60+MINUTE(C26)</f>
        <v>450</v>
      </c>
      <c r="H26" s="25" t="n">
        <f aca="false">IF(AND(B26=B25,A26=A25,D26&gt;0,N(D25)&gt;0,G26&gt;N(G25)),(D26-D25)/((G26-G25)/60),"")</f>
        <v>0.531999999999243</v>
      </c>
      <c r="I26" s="22" t="str">
        <f aca="false">IFERROR(INDEX(Medidores!$B:$B,MATCH(B26,Medidores!$A:$A,0)),"")</f>
        <v>L50</v>
      </c>
      <c r="J26" s="22" t="s">
        <v>70</v>
      </c>
    </row>
    <row r="27" customFormat="false" ht="15" hidden="false" customHeight="false" outlineLevel="0" collapsed="false">
      <c r="A27" s="21" t="n">
        <v>46302</v>
      </c>
      <c r="B27" s="22" t="s">
        <v>65</v>
      </c>
      <c r="C27" s="23" t="n">
        <v>0.322916666666667</v>
      </c>
      <c r="D27" s="24" t="n">
        <v>8719.164</v>
      </c>
      <c r="E27" s="24" t="n">
        <v>5315.24</v>
      </c>
      <c r="F27" s="24" t="n">
        <v>11571.31</v>
      </c>
      <c r="G27" s="22" t="n">
        <f aca="false">HOUR(C27)*60+MINUTE(C27)</f>
        <v>465</v>
      </c>
      <c r="H27" s="25" t="n">
        <f aca="false">IF(AND(B27=B26,A27=A26,D27&gt;0,N(D26)&gt;0,G27&gt;N(G26)),(D27-D26)/((G27-G26)/60),"")</f>
        <v>0.536000000000058</v>
      </c>
      <c r="I27" s="22" t="str">
        <f aca="false">IFERROR(INDEX(Medidores!$B:$B,MATCH(B27,Medidores!$A:$A,0)),"")</f>
        <v>L50</v>
      </c>
      <c r="J27" s="22" t="s">
        <v>71</v>
      </c>
    </row>
    <row r="28" customFormat="false" ht="15" hidden="false" customHeight="false" outlineLevel="0" collapsed="false">
      <c r="A28" s="21" t="n">
        <v>46302</v>
      </c>
      <c r="B28" s="22" t="s">
        <v>65</v>
      </c>
      <c r="C28" s="23" t="n">
        <v>0.333333333333333</v>
      </c>
      <c r="D28" s="24" t="n">
        <v>8719.297</v>
      </c>
      <c r="E28" s="24" t="n">
        <v>5315.24</v>
      </c>
      <c r="F28" s="24" t="n">
        <v>11571.45</v>
      </c>
      <c r="G28" s="22" t="n">
        <f aca="false">HOUR(C28)*60+MINUTE(C28)</f>
        <v>480</v>
      </c>
      <c r="H28" s="25" t="n">
        <f aca="false">IF(AND(B28=B27,A28=A27,D28&gt;0,N(D27)&gt;0,G28&gt;N(G27)),(D28-D27)/((G28-G27)/60),"")</f>
        <v>0.531999999999243</v>
      </c>
      <c r="I28" s="22" t="str">
        <f aca="false">IFERROR(INDEX(Medidores!$B:$B,MATCH(B28,Medidores!$A:$A,0)),"")</f>
        <v>L50</v>
      </c>
      <c r="J28" s="22" t="s">
        <v>72</v>
      </c>
    </row>
    <row r="29" customFormat="false" ht="15" hidden="false" customHeight="false" outlineLevel="0" collapsed="false">
      <c r="A29" s="21" t="n">
        <v>46302</v>
      </c>
      <c r="B29" s="22" t="s">
        <v>65</v>
      </c>
      <c r="C29" s="23" t="n">
        <v>0.34375</v>
      </c>
      <c r="D29" s="24" t="n">
        <v>8719.431</v>
      </c>
      <c r="E29" s="24" t="n">
        <v>5315.24</v>
      </c>
      <c r="F29" s="24" t="n">
        <v>11571.589</v>
      </c>
      <c r="G29" s="22" t="n">
        <f aca="false">HOUR(C29)*60+MINUTE(C29)</f>
        <v>495</v>
      </c>
      <c r="H29" s="25" t="n">
        <f aca="false">IF(AND(B29=B28,A29=A28,D29&gt;0,N(D28)&gt;0,G29&gt;N(G28)),(D29-D28)/((G29-G28)/60),"")</f>
        <v>0.536000000000058</v>
      </c>
      <c r="I29" s="22" t="str">
        <f aca="false">IFERROR(INDEX(Medidores!$B:$B,MATCH(B29,Medidores!$A:$A,0)),"")</f>
        <v>L50</v>
      </c>
      <c r="J29" s="22" t="s">
        <v>73</v>
      </c>
    </row>
    <row r="30" customFormat="false" ht="15" hidden="false" customHeight="false" outlineLevel="0" collapsed="false">
      <c r="A30" s="21" t="n">
        <v>46302</v>
      </c>
      <c r="B30" s="22" t="s">
        <v>65</v>
      </c>
      <c r="C30" s="23" t="n">
        <v>0.354166666666667</v>
      </c>
      <c r="D30" s="24" t="n">
        <v>8719.564</v>
      </c>
      <c r="E30" s="24" t="n">
        <v>5315.24</v>
      </c>
      <c r="F30" s="24" t="n">
        <v>11571.728</v>
      </c>
      <c r="G30" s="22" t="n">
        <f aca="false">HOUR(C30)*60+MINUTE(C30)</f>
        <v>510</v>
      </c>
      <c r="H30" s="25" t="n">
        <f aca="false">IF(AND(B30=B29,A30=A29,D30&gt;0,N(D29)&gt;0,G30&gt;N(G29)),(D30-D29)/((G30-G29)/60),"")</f>
        <v>0.531999999999243</v>
      </c>
      <c r="I30" s="22" t="str">
        <f aca="false">IFERROR(INDEX(Medidores!$B:$B,MATCH(B30,Medidores!$A:$A,0)),"")</f>
        <v>L50</v>
      </c>
      <c r="J30" s="22" t="s">
        <v>74</v>
      </c>
    </row>
    <row r="31" customFormat="false" ht="15" hidden="false" customHeight="false" outlineLevel="0" collapsed="false">
      <c r="A31" s="21" t="n">
        <v>46302</v>
      </c>
      <c r="B31" s="22" t="s">
        <v>65</v>
      </c>
      <c r="C31" s="23" t="n">
        <v>0.364583333333333</v>
      </c>
      <c r="D31" s="24" t="n">
        <v>8719.698</v>
      </c>
      <c r="E31" s="24" t="n">
        <v>5315.24</v>
      </c>
      <c r="F31" s="24" t="n">
        <v>11571.869</v>
      </c>
      <c r="G31" s="22" t="n">
        <f aca="false">HOUR(C31)*60+MINUTE(C31)</f>
        <v>525</v>
      </c>
      <c r="H31" s="25" t="n">
        <f aca="false">IF(AND(B31=B30,A31=A30,D31&gt;0,N(D30)&gt;0,G31&gt;N(G30)),(D31-D30)/((G31-G30)/60),"")</f>
        <v>0.536000000000058</v>
      </c>
      <c r="I31" s="22" t="str">
        <f aca="false">IFERROR(INDEX(Medidores!$B:$B,MATCH(B31,Medidores!$A:$A,0)),"")</f>
        <v>L50</v>
      </c>
      <c r="J31" s="22" t="s">
        <v>75</v>
      </c>
    </row>
    <row r="32" customFormat="false" ht="15" hidden="false" customHeight="false" outlineLevel="0" collapsed="false">
      <c r="A32" s="21" t="n">
        <v>46302</v>
      </c>
      <c r="B32" s="22" t="s">
        <v>65</v>
      </c>
      <c r="C32" s="23" t="n">
        <v>0.375</v>
      </c>
      <c r="D32" s="24" t="n">
        <v>8719.832</v>
      </c>
      <c r="E32" s="24" t="n">
        <v>5315.24</v>
      </c>
      <c r="F32" s="24" t="n">
        <v>11572.008</v>
      </c>
      <c r="G32" s="22" t="n">
        <f aca="false">HOUR(C32)*60+MINUTE(C32)</f>
        <v>540</v>
      </c>
      <c r="H32" s="25" t="n">
        <f aca="false">IF(AND(B32=B31,A32=A31,D32&gt;0,N(D31)&gt;0,G32&gt;N(G31)),(D32-D31)/((G32-G31)/60),"")</f>
        <v>0.536000000000058</v>
      </c>
      <c r="I32" s="22" t="str">
        <f aca="false">IFERROR(INDEX(Medidores!$B:$B,MATCH(B32,Medidores!$A:$A,0)),"")</f>
        <v>L50</v>
      </c>
      <c r="J32" s="22" t="s">
        <v>76</v>
      </c>
    </row>
    <row r="33" customFormat="false" ht="15" hidden="false" customHeight="false" outlineLevel="0" collapsed="false">
      <c r="A33" s="21" t="n">
        <v>46302</v>
      </c>
      <c r="B33" s="22" t="s">
        <v>65</v>
      </c>
      <c r="C33" s="23" t="n">
        <v>0.385416666666667</v>
      </c>
      <c r="D33" s="24" t="n">
        <v>8719.965</v>
      </c>
      <c r="E33" s="24" t="n">
        <v>5315.24</v>
      </c>
      <c r="F33" s="24" t="n">
        <v>11572.148</v>
      </c>
      <c r="G33" s="22" t="n">
        <f aca="false">HOUR(C33)*60+MINUTE(C33)</f>
        <v>555</v>
      </c>
      <c r="H33" s="25" t="n">
        <f aca="false">IF(AND(B33=B32,A33=A32,D33&gt;0,N(D32)&gt;0,G33&gt;N(G32)),(D33-D32)/((G33-G32)/60),"")</f>
        <v>0.531999999999243</v>
      </c>
      <c r="I33" s="22" t="str">
        <f aca="false">IFERROR(INDEX(Medidores!$B:$B,MATCH(B33,Medidores!$A:$A,0)),"")</f>
        <v>L50</v>
      </c>
      <c r="J33" s="22" t="s">
        <v>77</v>
      </c>
    </row>
    <row r="34" customFormat="false" ht="15" hidden="false" customHeight="false" outlineLevel="0" collapsed="false">
      <c r="A34" s="21" t="n">
        <v>46302</v>
      </c>
      <c r="B34" s="22" t="s">
        <v>65</v>
      </c>
      <c r="C34" s="23" t="n">
        <v>0.395833333333333</v>
      </c>
      <c r="D34" s="24" t="n">
        <v>8720.098</v>
      </c>
      <c r="E34" s="24" t="n">
        <v>5315.24</v>
      </c>
      <c r="F34" s="24" t="n">
        <v>11572.288</v>
      </c>
      <c r="G34" s="22" t="n">
        <f aca="false">HOUR(C34)*60+MINUTE(C34)</f>
        <v>570</v>
      </c>
      <c r="H34" s="25" t="n">
        <f aca="false">IF(AND(B34=B33,A34=A33,D34&gt;0,N(D33)&gt;0,G34&gt;N(G33)),(D34-D33)/((G34-G33)/60),"")</f>
        <v>0.531999999999243</v>
      </c>
      <c r="I34" s="22" t="str">
        <f aca="false">IFERROR(INDEX(Medidores!$B:$B,MATCH(B34,Medidores!$A:$A,0)),"")</f>
        <v>L50</v>
      </c>
      <c r="J34" s="22" t="s">
        <v>78</v>
      </c>
    </row>
    <row r="35" customFormat="false" ht="15" hidden="false" customHeight="false" outlineLevel="0" collapsed="false">
      <c r="A35" s="21" t="n">
        <v>46302</v>
      </c>
      <c r="B35" s="22" t="s">
        <v>65</v>
      </c>
      <c r="C35" s="23" t="n">
        <v>0.40625</v>
      </c>
      <c r="D35" s="24" t="n">
        <v>8720.232</v>
      </c>
      <c r="E35" s="24" t="n">
        <v>5315.24</v>
      </c>
      <c r="F35" s="24" t="n">
        <v>11572.427</v>
      </c>
      <c r="G35" s="22" t="n">
        <f aca="false">HOUR(C35)*60+MINUTE(C35)</f>
        <v>585</v>
      </c>
      <c r="H35" s="25" t="n">
        <f aca="false">IF(AND(B35=B34,A35=A34,D35&gt;0,N(D34)&gt;0,G35&gt;N(G34)),(D35-D34)/((G35-G34)/60),"")</f>
        <v>0.536000000000058</v>
      </c>
      <c r="I35" s="22" t="str">
        <f aca="false">IFERROR(INDEX(Medidores!$B:$B,MATCH(B35,Medidores!$A:$A,0)),"")</f>
        <v>L50</v>
      </c>
      <c r="J35" s="22" t="s">
        <v>79</v>
      </c>
    </row>
    <row r="36" customFormat="false" ht="15" hidden="false" customHeight="false" outlineLevel="0" collapsed="false">
      <c r="A36" s="21" t="n">
        <v>46302</v>
      </c>
      <c r="B36" s="22" t="s">
        <v>65</v>
      </c>
      <c r="C36" s="23" t="n">
        <v>0.416666666666667</v>
      </c>
      <c r="D36" s="24" t="n">
        <v>8720.367</v>
      </c>
      <c r="E36" s="24" t="n">
        <v>5315.243</v>
      </c>
      <c r="F36" s="24" t="n">
        <v>11572.569</v>
      </c>
      <c r="G36" s="22" t="n">
        <f aca="false">HOUR(C36)*60+MINUTE(C36)</f>
        <v>600</v>
      </c>
      <c r="H36" s="25" t="n">
        <f aca="false">IF(AND(B36=B35,A36=A35,D36&gt;0,N(D35)&gt;0,G36&gt;N(G35)),(D36-D35)/((G36-G35)/60),"")</f>
        <v>0.540000000000873</v>
      </c>
      <c r="I36" s="22" t="str">
        <f aca="false">IFERROR(INDEX(Medidores!$B:$B,MATCH(B36,Medidores!$A:$A,0)),"")</f>
        <v>L50</v>
      </c>
      <c r="J36" s="22" t="s">
        <v>80</v>
      </c>
    </row>
    <row r="37" customFormat="false" ht="15" hidden="false" customHeight="false" outlineLevel="0" collapsed="false">
      <c r="A37" s="21" t="n">
        <v>46302</v>
      </c>
      <c r="B37" s="22" t="s">
        <v>65</v>
      </c>
      <c r="C37" s="23" t="n">
        <v>0.427083333333333</v>
      </c>
      <c r="D37" s="24" t="n">
        <v>8720.513</v>
      </c>
      <c r="E37" s="24" t="n">
        <v>5315.276</v>
      </c>
      <c r="F37" s="24" t="n">
        <v>11572.734</v>
      </c>
      <c r="G37" s="22" t="n">
        <f aca="false">HOUR(C37)*60+MINUTE(C37)</f>
        <v>615</v>
      </c>
      <c r="H37" s="25" t="n">
        <f aca="false">IF(AND(B37=B36,A37=A36,D37&gt;0,N(D36)&gt;0,G37&gt;N(G36)),(D37-D36)/((G37-G36)/60),"")</f>
        <v>0.584000000002561</v>
      </c>
      <c r="I37" s="22" t="str">
        <f aca="false">IFERROR(INDEX(Medidores!$B:$B,MATCH(B37,Medidores!$A:$A,0)),"")</f>
        <v>L50</v>
      </c>
      <c r="J37" s="22" t="s">
        <v>81</v>
      </c>
    </row>
    <row r="38" customFormat="false" ht="15" hidden="false" customHeight="false" outlineLevel="0" collapsed="false">
      <c r="A38" s="21" t="n">
        <v>46302</v>
      </c>
      <c r="B38" s="22" t="s">
        <v>65</v>
      </c>
      <c r="C38" s="23" t="n">
        <v>0.4375</v>
      </c>
      <c r="D38" s="24" t="n">
        <v>8720.647</v>
      </c>
      <c r="E38" s="24" t="n">
        <v>5315.276</v>
      </c>
      <c r="F38" s="24" t="n">
        <v>11572.874</v>
      </c>
      <c r="G38" s="22" t="n">
        <f aca="false">HOUR(C38)*60+MINUTE(C38)</f>
        <v>630</v>
      </c>
      <c r="H38" s="25" t="n">
        <f aca="false">IF(AND(B38=B37,A38=A37,D38&gt;0,N(D37)&gt;0,G38&gt;N(G37)),(D38-D37)/((G38-G37)/60),"")</f>
        <v>0.536000000000058</v>
      </c>
      <c r="I38" s="22" t="str">
        <f aca="false">IFERROR(INDEX(Medidores!$B:$B,MATCH(B38,Medidores!$A:$A,0)),"")</f>
        <v>L50</v>
      </c>
      <c r="J38" s="22" t="s">
        <v>82</v>
      </c>
    </row>
    <row r="39" customFormat="false" ht="15" hidden="false" customHeight="false" outlineLevel="0" collapsed="false">
      <c r="A39" s="21" t="n">
        <v>46302</v>
      </c>
      <c r="B39" s="22" t="s">
        <v>65</v>
      </c>
      <c r="C39" s="23" t="n">
        <v>0.447916666666667</v>
      </c>
      <c r="D39" s="24" t="n">
        <v>8720.78</v>
      </c>
      <c r="E39" s="24" t="n">
        <v>5315.276</v>
      </c>
      <c r="F39" s="24" t="n">
        <v>11573.013</v>
      </c>
      <c r="G39" s="22" t="n">
        <f aca="false">HOUR(C39)*60+MINUTE(C39)</f>
        <v>645</v>
      </c>
      <c r="H39" s="25" t="n">
        <f aca="false">IF(AND(B39=B38,A39=A38,D39&gt;0,N(D38)&gt;0,G39&gt;N(G38)),(D39-D38)/((G39-G38)/60),"")</f>
        <v>0.531999999999243</v>
      </c>
      <c r="I39" s="22" t="str">
        <f aca="false">IFERROR(INDEX(Medidores!$B:$B,MATCH(B39,Medidores!$A:$A,0)),"")</f>
        <v>L50</v>
      </c>
      <c r="J39" s="22" t="s">
        <v>83</v>
      </c>
    </row>
    <row r="40" customFormat="false" ht="15" hidden="false" customHeight="false" outlineLevel="0" collapsed="false">
      <c r="A40" s="21" t="n">
        <v>46302</v>
      </c>
      <c r="B40" s="22" t="s">
        <v>65</v>
      </c>
      <c r="C40" s="23" t="n">
        <v>0.458333333333333</v>
      </c>
      <c r="D40" s="24" t="n">
        <v>8720.914</v>
      </c>
      <c r="E40" s="24" t="n">
        <v>5315.276</v>
      </c>
      <c r="F40" s="24" t="n">
        <v>11573.153</v>
      </c>
      <c r="G40" s="22" t="n">
        <f aca="false">HOUR(C40)*60+MINUTE(C40)</f>
        <v>660</v>
      </c>
      <c r="H40" s="25" t="n">
        <f aca="false">IF(AND(B40=B39,A40=A39,D40&gt;0,N(D39)&gt;0,G40&gt;N(G39)),(D40-D39)/((G40-G39)/60),"")</f>
        <v>0.536000000000058</v>
      </c>
      <c r="I40" s="22" t="str">
        <f aca="false">IFERROR(INDEX(Medidores!$B:$B,MATCH(B40,Medidores!$A:$A,0)),"")</f>
        <v>L50</v>
      </c>
      <c r="J40" s="22" t="s">
        <v>84</v>
      </c>
    </row>
    <row r="41" customFormat="false" ht="15" hidden="false" customHeight="false" outlineLevel="0" collapsed="false">
      <c r="A41" s="21" t="n">
        <v>46302</v>
      </c>
      <c r="B41" s="22" t="s">
        <v>65</v>
      </c>
      <c r="C41" s="23" t="n">
        <v>0.46875</v>
      </c>
      <c r="D41" s="24" t="n">
        <v>8721.047</v>
      </c>
      <c r="E41" s="24" t="n">
        <v>5315.276</v>
      </c>
      <c r="F41" s="24" t="n">
        <v>11573.292</v>
      </c>
      <c r="G41" s="22" t="n">
        <f aca="false">HOUR(C41)*60+MINUTE(C41)</f>
        <v>675</v>
      </c>
      <c r="H41" s="25" t="n">
        <f aca="false">IF(AND(B41=B40,A41=A40,D41&gt;0,N(D40)&gt;0,G41&gt;N(G40)),(D41-D40)/((G41-G40)/60),"")</f>
        <v>0.531999999999243</v>
      </c>
      <c r="I41" s="22" t="str">
        <f aca="false">IFERROR(INDEX(Medidores!$B:$B,MATCH(B41,Medidores!$A:$A,0)),"")</f>
        <v>L50</v>
      </c>
      <c r="J41" s="22" t="s">
        <v>45</v>
      </c>
    </row>
    <row r="42" customFormat="false" ht="15" hidden="false" customHeight="false" outlineLevel="0" collapsed="false">
      <c r="A42" s="21" t="n">
        <v>46302</v>
      </c>
      <c r="B42" s="22" t="s">
        <v>85</v>
      </c>
      <c r="C42" s="23" t="n">
        <v>0.270833333333333</v>
      </c>
      <c r="D42" s="24" t="n">
        <v>9875.243</v>
      </c>
      <c r="E42" s="24" t="n">
        <v>3623.815</v>
      </c>
      <c r="F42" s="24" t="n">
        <v>10948.83</v>
      </c>
      <c r="G42" s="22" t="n">
        <f aca="false">HOUR(C42)*60+MINUTE(C42)</f>
        <v>390</v>
      </c>
      <c r="H42" s="25" t="str">
        <f aca="false">IF(AND(B42=B41,A42=A41,D42&gt;0,N(D41)&gt;0,G42&gt;N(G41)),(D42-D41)/((G42-G41)/60),"")</f>
        <v/>
      </c>
      <c r="I42" s="22" t="str">
        <f aca="false">IFERROR(INDEX(Medidores!$B:$B,MATCH(B42,Medidores!$A:$A,0)),"")</f>
        <v>L21</v>
      </c>
      <c r="J42" s="22" t="s">
        <v>46</v>
      </c>
    </row>
    <row r="43" customFormat="false" ht="15" hidden="false" customHeight="false" outlineLevel="0" collapsed="false">
      <c r="A43" s="21" t="n">
        <v>46302</v>
      </c>
      <c r="B43" s="22" t="s">
        <v>85</v>
      </c>
      <c r="C43" s="23" t="n">
        <v>0.28125</v>
      </c>
      <c r="D43" s="24" t="n">
        <v>9875.399</v>
      </c>
      <c r="E43" s="24" t="n">
        <v>3623.815</v>
      </c>
      <c r="F43" s="24" t="n">
        <v>10948.988</v>
      </c>
      <c r="G43" s="22" t="n">
        <f aca="false">HOUR(C43)*60+MINUTE(C43)</f>
        <v>405</v>
      </c>
      <c r="H43" s="25" t="n">
        <f aca="false">IF(AND(B43=B42,A43=A42,D43&gt;0,N(D42)&gt;0,G43&gt;N(G42)),(D43-D42)/((G43-G42)/60),"")</f>
        <v>0.623999999996158</v>
      </c>
      <c r="I43" s="22" t="str">
        <f aca="false">IFERROR(INDEX(Medidores!$B:$B,MATCH(B43,Medidores!$A:$A,0)),"")</f>
        <v>L21</v>
      </c>
      <c r="J43" s="22" t="s">
        <v>47</v>
      </c>
    </row>
    <row r="44" customFormat="false" ht="15" hidden="false" customHeight="false" outlineLevel="0" collapsed="false">
      <c r="A44" s="21" t="n">
        <v>46302</v>
      </c>
      <c r="B44" s="22" t="s">
        <v>85</v>
      </c>
      <c r="C44" s="23" t="n">
        <v>0.291666666666667</v>
      </c>
      <c r="D44" s="24" t="n">
        <v>9875.555</v>
      </c>
      <c r="E44" s="24" t="n">
        <v>3623.815</v>
      </c>
      <c r="F44" s="24" t="n">
        <v>10949.147</v>
      </c>
      <c r="G44" s="22" t="n">
        <f aca="false">HOUR(C44)*60+MINUTE(C44)</f>
        <v>420</v>
      </c>
      <c r="H44" s="25" t="n">
        <f aca="false">IF(AND(B44=B43,A44=A43,D44&gt;0,N(D43)&gt;0,G44&gt;N(G43)),(D44-D43)/((G44-G43)/60),"")</f>
        <v>0.624000000003434</v>
      </c>
      <c r="I44" s="22" t="str">
        <f aca="false">IFERROR(INDEX(Medidores!$B:$B,MATCH(B44,Medidores!$A:$A,0)),"")</f>
        <v>L21</v>
      </c>
      <c r="J44" s="22" t="s">
        <v>48</v>
      </c>
    </row>
    <row r="45" customFormat="false" ht="15" hidden="false" customHeight="false" outlineLevel="0" collapsed="false">
      <c r="A45" s="21" t="n">
        <v>46302</v>
      </c>
      <c r="B45" s="22" t="s">
        <v>85</v>
      </c>
      <c r="C45" s="23" t="n">
        <v>0.302083333333333</v>
      </c>
      <c r="D45" s="24" t="n">
        <v>9875.711</v>
      </c>
      <c r="E45" s="24" t="n">
        <v>3623.815</v>
      </c>
      <c r="F45" s="24" t="n">
        <v>10949.305</v>
      </c>
      <c r="G45" s="22" t="n">
        <f aca="false">HOUR(C45)*60+MINUTE(C45)</f>
        <v>435</v>
      </c>
      <c r="H45" s="25" t="n">
        <f aca="false">IF(AND(B45=B44,A45=A44,D45&gt;0,N(D44)&gt;0,G45&gt;N(G44)),(D45-D44)/((G45-G44)/60),"")</f>
        <v>0.623999999996158</v>
      </c>
      <c r="I45" s="22" t="str">
        <f aca="false">IFERROR(INDEX(Medidores!$B:$B,MATCH(B45,Medidores!$A:$A,0)),"")</f>
        <v>L21</v>
      </c>
      <c r="J45" s="22" t="s">
        <v>49</v>
      </c>
    </row>
    <row r="46" customFormat="false" ht="15" hidden="false" customHeight="false" outlineLevel="0" collapsed="false">
      <c r="A46" s="21" t="n">
        <v>46302</v>
      </c>
      <c r="B46" s="22" t="s">
        <v>85</v>
      </c>
      <c r="C46" s="23" t="n">
        <v>0.3125</v>
      </c>
      <c r="D46" s="24" t="n">
        <v>9875.866</v>
      </c>
      <c r="E46" s="24" t="n">
        <v>3623.815</v>
      </c>
      <c r="F46" s="24" t="n">
        <v>10949.462</v>
      </c>
      <c r="G46" s="22" t="n">
        <f aca="false">HOUR(C46)*60+MINUTE(C46)</f>
        <v>450</v>
      </c>
      <c r="H46" s="25" t="n">
        <f aca="false">IF(AND(B46=B45,A46=A45,D46&gt;0,N(D45)&gt;0,G46&gt;N(G45)),(D46-D45)/((G46-G45)/60),"")</f>
        <v>0.620000000002619</v>
      </c>
      <c r="I46" s="22" t="str">
        <f aca="false">IFERROR(INDEX(Medidores!$B:$B,MATCH(B46,Medidores!$A:$A,0)),"")</f>
        <v>L21</v>
      </c>
      <c r="J46" s="22" t="s">
        <v>50</v>
      </c>
    </row>
    <row r="47" customFormat="false" ht="15" hidden="false" customHeight="false" outlineLevel="0" collapsed="false">
      <c r="A47" s="21" t="n">
        <v>46302</v>
      </c>
      <c r="B47" s="22" t="s">
        <v>85</v>
      </c>
      <c r="C47" s="23" t="n">
        <v>0.322916666666667</v>
      </c>
      <c r="D47" s="24" t="n">
        <v>9876.021</v>
      </c>
      <c r="E47" s="24" t="n">
        <v>3623.815</v>
      </c>
      <c r="F47" s="24" t="n">
        <v>10949.62</v>
      </c>
      <c r="G47" s="22" t="n">
        <f aca="false">HOUR(C47)*60+MINUTE(C47)</f>
        <v>465</v>
      </c>
      <c r="H47" s="25" t="n">
        <f aca="false">IF(AND(B47=B46,A47=A46,D47&gt;0,N(D46)&gt;0,G47&gt;N(G46)),(D47-D46)/((G47-G46)/60),"")</f>
        <v>0.620000000002619</v>
      </c>
      <c r="I47" s="22" t="str">
        <f aca="false">IFERROR(INDEX(Medidores!$B:$B,MATCH(B47,Medidores!$A:$A,0)),"")</f>
        <v>L21</v>
      </c>
      <c r="J47" s="22" t="s">
        <v>51</v>
      </c>
    </row>
    <row r="48" customFormat="false" ht="15" hidden="false" customHeight="false" outlineLevel="0" collapsed="false">
      <c r="A48" s="21" t="n">
        <v>46302</v>
      </c>
      <c r="B48" s="22" t="s">
        <v>85</v>
      </c>
      <c r="C48" s="23" t="n">
        <v>0.333333333333333</v>
      </c>
      <c r="D48" s="24" t="n">
        <v>9876.176</v>
      </c>
      <c r="E48" s="24" t="n">
        <v>3623.815</v>
      </c>
      <c r="F48" s="24" t="n">
        <v>10949.777</v>
      </c>
      <c r="G48" s="22" t="n">
        <f aca="false">HOUR(C48)*60+MINUTE(C48)</f>
        <v>480</v>
      </c>
      <c r="H48" s="25" t="n">
        <f aca="false">IF(AND(B48=B47,A48=A47,D48&gt;0,N(D47)&gt;0,G48&gt;N(G47)),(D48-D47)/((G48-G47)/60),"")</f>
        <v>0.619999999995343</v>
      </c>
      <c r="I48" s="22" t="str">
        <f aca="false">IFERROR(INDEX(Medidores!$B:$B,MATCH(B48,Medidores!$A:$A,0)),"")</f>
        <v>L21</v>
      </c>
      <c r="J48" s="22" t="s">
        <v>52</v>
      </c>
    </row>
    <row r="49" customFormat="false" ht="15" hidden="false" customHeight="false" outlineLevel="0" collapsed="false">
      <c r="A49" s="21" t="n">
        <v>46302</v>
      </c>
      <c r="B49" s="22" t="s">
        <v>85</v>
      </c>
      <c r="C49" s="23" t="n">
        <v>0.34375</v>
      </c>
      <c r="D49" s="24" t="n">
        <v>9876.331</v>
      </c>
      <c r="E49" s="24" t="n">
        <v>3623.815</v>
      </c>
      <c r="F49" s="24" t="n">
        <v>10949.935</v>
      </c>
      <c r="G49" s="22" t="n">
        <f aca="false">HOUR(C49)*60+MINUTE(C49)</f>
        <v>495</v>
      </c>
      <c r="H49" s="25" t="n">
        <f aca="false">IF(AND(B49=B48,A49=A48,D49&gt;0,N(D48)&gt;0,G49&gt;N(G48)),(D49-D48)/((G49-G48)/60),"")</f>
        <v>0.620000000002619</v>
      </c>
      <c r="I49" s="22" t="str">
        <f aca="false">IFERROR(INDEX(Medidores!$B:$B,MATCH(B49,Medidores!$A:$A,0)),"")</f>
        <v>L21</v>
      </c>
      <c r="J49" s="22" t="s">
        <v>53</v>
      </c>
    </row>
    <row r="50" customFormat="false" ht="15" hidden="false" customHeight="false" outlineLevel="0" collapsed="false">
      <c r="A50" s="21" t="n">
        <v>46302</v>
      </c>
      <c r="B50" s="22" t="s">
        <v>85</v>
      </c>
      <c r="C50" s="23" t="n">
        <v>0.354166666666667</v>
      </c>
      <c r="D50" s="24" t="n">
        <v>9876.486</v>
      </c>
      <c r="E50" s="24" t="n">
        <v>3623.815</v>
      </c>
      <c r="F50" s="24" t="n">
        <v>10950.092</v>
      </c>
      <c r="G50" s="22" t="n">
        <f aca="false">HOUR(C50)*60+MINUTE(C50)</f>
        <v>510</v>
      </c>
      <c r="H50" s="25" t="n">
        <f aca="false">IF(AND(B50=B49,A50=A49,D50&gt;0,N(D49)&gt;0,G50&gt;N(G49)),(D50-D49)/((G50-G49)/60),"")</f>
        <v>0.620000000002619</v>
      </c>
      <c r="I50" s="22" t="str">
        <f aca="false">IFERROR(INDEX(Medidores!$B:$B,MATCH(B50,Medidores!$A:$A,0)),"")</f>
        <v>L21</v>
      </c>
      <c r="J50" s="22" t="s">
        <v>54</v>
      </c>
    </row>
    <row r="51" customFormat="false" ht="15" hidden="false" customHeight="false" outlineLevel="0" collapsed="false">
      <c r="A51" s="21" t="n">
        <v>46302</v>
      </c>
      <c r="B51" s="22" t="s">
        <v>85</v>
      </c>
      <c r="C51" s="23" t="n">
        <v>0.364583333333333</v>
      </c>
      <c r="D51" s="24" t="n">
        <v>9876.641</v>
      </c>
      <c r="E51" s="24" t="n">
        <v>3623.815</v>
      </c>
      <c r="F51" s="24" t="n">
        <v>10950.25</v>
      </c>
      <c r="G51" s="22" t="n">
        <f aca="false">HOUR(C51)*60+MINUTE(C51)</f>
        <v>525</v>
      </c>
      <c r="H51" s="25" t="n">
        <f aca="false">IF(AND(B51=B50,A51=A50,D51&gt;0,N(D50)&gt;0,G51&gt;N(G50)),(D51-D50)/((G51-G50)/60),"")</f>
        <v>0.619999999995343</v>
      </c>
      <c r="I51" s="22" t="str">
        <f aca="false">IFERROR(INDEX(Medidores!$B:$B,MATCH(B51,Medidores!$A:$A,0)),"")</f>
        <v>L21</v>
      </c>
      <c r="J51" s="22" t="s">
        <v>55</v>
      </c>
    </row>
    <row r="52" customFormat="false" ht="15" hidden="false" customHeight="false" outlineLevel="0" collapsed="false">
      <c r="A52" s="21" t="n">
        <v>46302</v>
      </c>
      <c r="B52" s="22" t="s">
        <v>85</v>
      </c>
      <c r="C52" s="23" t="n">
        <v>0.375</v>
      </c>
      <c r="D52" s="24" t="n">
        <v>9876.796</v>
      </c>
      <c r="E52" s="24" t="n">
        <v>3623.815</v>
      </c>
      <c r="F52" s="24" t="n">
        <v>10950.407</v>
      </c>
      <c r="G52" s="22" t="n">
        <f aca="false">HOUR(C52)*60+MINUTE(C52)</f>
        <v>540</v>
      </c>
      <c r="H52" s="25" t="n">
        <f aca="false">IF(AND(B52=B51,A52=A51,D52&gt;0,N(D51)&gt;0,G52&gt;N(G51)),(D52-D51)/((G52-G51)/60),"")</f>
        <v>0.620000000002619</v>
      </c>
      <c r="I52" s="22" t="str">
        <f aca="false">IFERROR(INDEX(Medidores!$B:$B,MATCH(B52,Medidores!$A:$A,0)),"")</f>
        <v>L21</v>
      </c>
      <c r="J52" s="22" t="s">
        <v>56</v>
      </c>
    </row>
    <row r="53" customFormat="false" ht="15" hidden="false" customHeight="false" outlineLevel="0" collapsed="false">
      <c r="A53" s="21" t="n">
        <v>46302</v>
      </c>
      <c r="B53" s="22" t="s">
        <v>85</v>
      </c>
      <c r="C53" s="23" t="n">
        <v>0.385416666666667</v>
      </c>
      <c r="D53" s="24" t="n">
        <v>9876.952</v>
      </c>
      <c r="E53" s="24" t="n">
        <v>3623.815</v>
      </c>
      <c r="F53" s="24" t="n">
        <v>10950.565</v>
      </c>
      <c r="G53" s="22" t="n">
        <f aca="false">HOUR(C53)*60+MINUTE(C53)</f>
        <v>555</v>
      </c>
      <c r="H53" s="25" t="n">
        <f aca="false">IF(AND(B53=B52,A53=A52,D53&gt;0,N(D52)&gt;0,G53&gt;N(G52)),(D53-D52)/((G53-G52)/60),"")</f>
        <v>0.623999999996158</v>
      </c>
      <c r="I53" s="22" t="str">
        <f aca="false">IFERROR(INDEX(Medidores!$B:$B,MATCH(B53,Medidores!$A:$A,0)),"")</f>
        <v>L21</v>
      </c>
      <c r="J53" s="22" t="s">
        <v>57</v>
      </c>
    </row>
    <row r="54" customFormat="false" ht="15" hidden="false" customHeight="false" outlineLevel="0" collapsed="false">
      <c r="A54" s="21" t="n">
        <v>46302</v>
      </c>
      <c r="B54" s="22" t="s">
        <v>85</v>
      </c>
      <c r="C54" s="23" t="n">
        <v>0.395833333333333</v>
      </c>
      <c r="D54" s="24" t="n">
        <v>9877.108</v>
      </c>
      <c r="E54" s="24" t="n">
        <v>3623.815</v>
      </c>
      <c r="F54" s="24" t="n">
        <v>10950.724</v>
      </c>
      <c r="G54" s="22" t="n">
        <f aca="false">HOUR(C54)*60+MINUTE(C54)</f>
        <v>570</v>
      </c>
      <c r="H54" s="25" t="n">
        <f aca="false">IF(AND(B54=B53,A54=A53,D54&gt;0,N(D53)&gt;0,G54&gt;N(G53)),(D54-D53)/((G54-G53)/60),"")</f>
        <v>0.624000000003434</v>
      </c>
      <c r="I54" s="22" t="str">
        <f aca="false">IFERROR(INDEX(Medidores!$B:$B,MATCH(B54,Medidores!$A:$A,0)),"")</f>
        <v>L21</v>
      </c>
      <c r="J54" s="22" t="s">
        <v>58</v>
      </c>
    </row>
    <row r="55" customFormat="false" ht="15" hidden="false" customHeight="false" outlineLevel="0" collapsed="false">
      <c r="A55" s="21" t="n">
        <v>46302</v>
      </c>
      <c r="B55" s="22" t="s">
        <v>85</v>
      </c>
      <c r="C55" s="23" t="n">
        <v>0.40625</v>
      </c>
      <c r="D55" s="24" t="n">
        <v>9877.263</v>
      </c>
      <c r="E55" s="24" t="n">
        <v>3623.815</v>
      </c>
      <c r="F55" s="24" t="n">
        <v>10950.882</v>
      </c>
      <c r="G55" s="22" t="n">
        <f aca="false">HOUR(C55)*60+MINUTE(C55)</f>
        <v>585</v>
      </c>
      <c r="H55" s="25" t="n">
        <f aca="false">IF(AND(B55=B54,A55=A54,D55&gt;0,N(D54)&gt;0,G55&gt;N(G54)),(D55-D54)/((G55-G54)/60),"")</f>
        <v>0.620000000002619</v>
      </c>
      <c r="I55" s="22" t="str">
        <f aca="false">IFERROR(INDEX(Medidores!$B:$B,MATCH(B55,Medidores!$A:$A,0)),"")</f>
        <v>L21</v>
      </c>
      <c r="J55" s="22" t="s">
        <v>59</v>
      </c>
    </row>
    <row r="56" customFormat="false" ht="15" hidden="false" customHeight="false" outlineLevel="0" collapsed="false">
      <c r="A56" s="21" t="n">
        <v>46302</v>
      </c>
      <c r="B56" s="22" t="s">
        <v>85</v>
      </c>
      <c r="C56" s="23" t="n">
        <v>0.416666666666667</v>
      </c>
      <c r="D56" s="24" t="n">
        <v>9877.417</v>
      </c>
      <c r="E56" s="24" t="n">
        <v>3623.815</v>
      </c>
      <c r="F56" s="24" t="n">
        <v>10951.038</v>
      </c>
      <c r="G56" s="22" t="n">
        <f aca="false">HOUR(C56)*60+MINUTE(C56)</f>
        <v>600</v>
      </c>
      <c r="H56" s="25" t="n">
        <f aca="false">IF(AND(B56=B55,A56=A55,D56&gt;0,N(D55)&gt;0,G56&gt;N(G55)),(D56-D55)/((G56-G55)/60),"")</f>
        <v>0.615999999994529</v>
      </c>
      <c r="I56" s="22" t="str">
        <f aca="false">IFERROR(INDEX(Medidores!$B:$B,MATCH(B56,Medidores!$A:$A,0)),"")</f>
        <v>L21</v>
      </c>
      <c r="J56" s="22" t="s">
        <v>60</v>
      </c>
    </row>
    <row r="57" customFormat="false" ht="15" hidden="false" customHeight="false" outlineLevel="0" collapsed="false">
      <c r="A57" s="21" t="n">
        <v>46302</v>
      </c>
      <c r="B57" s="22" t="s">
        <v>85</v>
      </c>
      <c r="C57" s="23" t="n">
        <v>0.427083333333333</v>
      </c>
      <c r="D57" s="24" t="n">
        <v>9877.572</v>
      </c>
      <c r="E57" s="24" t="n">
        <v>3623.815</v>
      </c>
      <c r="F57" s="24" t="n">
        <v>10951.195</v>
      </c>
      <c r="G57" s="22" t="n">
        <f aca="false">HOUR(C57)*60+MINUTE(C57)</f>
        <v>615</v>
      </c>
      <c r="H57" s="25" t="n">
        <f aca="false">IF(AND(B57=B56,A57=A56,D57&gt;0,N(D56)&gt;0,G57&gt;N(G56)),(D57-D56)/((G57-G56)/60),"")</f>
        <v>0.620000000002619</v>
      </c>
      <c r="I57" s="22" t="str">
        <f aca="false">IFERROR(INDEX(Medidores!$B:$B,MATCH(B57,Medidores!$A:$A,0)),"")</f>
        <v>L21</v>
      </c>
      <c r="J57" s="22" t="s">
        <v>61</v>
      </c>
    </row>
    <row r="58" customFormat="false" ht="15" hidden="false" customHeight="false" outlineLevel="0" collapsed="false">
      <c r="A58" s="21" t="n">
        <v>46302</v>
      </c>
      <c r="B58" s="22" t="s">
        <v>85</v>
      </c>
      <c r="C58" s="23" t="n">
        <v>0.4375</v>
      </c>
      <c r="D58" s="24" t="n">
        <v>9877.726</v>
      </c>
      <c r="E58" s="24" t="n">
        <v>3623.815</v>
      </c>
      <c r="F58" s="24" t="n">
        <v>10951.352</v>
      </c>
      <c r="G58" s="22" t="n">
        <f aca="false">HOUR(C58)*60+MINUTE(C58)</f>
        <v>630</v>
      </c>
      <c r="H58" s="25" t="n">
        <f aca="false">IF(AND(B58=B57,A58=A57,D58&gt;0,N(D57)&gt;0,G58&gt;N(G57)),(D58-D57)/((G58-G57)/60),"")</f>
        <v>0.616000000001804</v>
      </c>
      <c r="I58" s="22" t="str">
        <f aca="false">IFERROR(INDEX(Medidores!$B:$B,MATCH(B58,Medidores!$A:$A,0)),"")</f>
        <v>L21</v>
      </c>
      <c r="J58" s="22" t="s">
        <v>62</v>
      </c>
    </row>
    <row r="59" customFormat="false" ht="15" hidden="false" customHeight="false" outlineLevel="0" collapsed="false">
      <c r="A59" s="21" t="n">
        <v>46302</v>
      </c>
      <c r="B59" s="22" t="s">
        <v>85</v>
      </c>
      <c r="C59" s="23" t="n">
        <v>0.447916666666667</v>
      </c>
      <c r="D59" s="24" t="n">
        <v>9877.881</v>
      </c>
      <c r="E59" s="24" t="n">
        <v>3623.815</v>
      </c>
      <c r="F59" s="24" t="n">
        <v>10951.509</v>
      </c>
      <c r="G59" s="22" t="n">
        <f aca="false">HOUR(C59)*60+MINUTE(C59)</f>
        <v>645</v>
      </c>
      <c r="H59" s="25" t="n">
        <f aca="false">IF(AND(B59=B58,A59=A58,D59&gt;0,N(D58)&gt;0,G59&gt;N(G58)),(D59-D58)/((G59-G58)/60),"")</f>
        <v>0.619999999995343</v>
      </c>
      <c r="I59" s="22" t="str">
        <f aca="false">IFERROR(INDEX(Medidores!$B:$B,MATCH(B59,Medidores!$A:$A,0)),"")</f>
        <v>L21</v>
      </c>
      <c r="J59" s="22" t="s">
        <v>63</v>
      </c>
    </row>
    <row r="60" customFormat="false" ht="15" hidden="false" customHeight="false" outlineLevel="0" collapsed="false">
      <c r="A60" s="21" t="n">
        <v>46302</v>
      </c>
      <c r="B60" s="22" t="s">
        <v>85</v>
      </c>
      <c r="C60" s="23" t="n">
        <v>0.458333333333333</v>
      </c>
      <c r="D60" s="24" t="n">
        <v>9878.036</v>
      </c>
      <c r="E60" s="24" t="n">
        <v>3623.815</v>
      </c>
      <c r="F60" s="24" t="n">
        <v>10951.666</v>
      </c>
      <c r="G60" s="22" t="n">
        <f aca="false">HOUR(C60)*60+MINUTE(C60)</f>
        <v>660</v>
      </c>
      <c r="H60" s="25" t="n">
        <f aca="false">IF(AND(B60=B59,A60=A59,D60&gt;0,N(D59)&gt;0,G60&gt;N(G59)),(D60-D59)/((G60-G59)/60),"")</f>
        <v>0.620000000002619</v>
      </c>
      <c r="I60" s="22" t="str">
        <f aca="false">IFERROR(INDEX(Medidores!$B:$B,MATCH(B60,Medidores!$A:$A,0)),"")</f>
        <v>L21</v>
      </c>
      <c r="J60" s="22" t="s">
        <v>64</v>
      </c>
    </row>
    <row r="61" customFormat="false" ht="15" hidden="false" customHeight="false" outlineLevel="0" collapsed="false">
      <c r="A61" s="21" t="n">
        <v>46302</v>
      </c>
      <c r="B61" s="22" t="s">
        <v>85</v>
      </c>
      <c r="C61" s="23" t="n">
        <v>0.46875</v>
      </c>
      <c r="D61" s="24" t="n">
        <v>9878.192</v>
      </c>
      <c r="E61" s="24" t="n">
        <v>3623.815</v>
      </c>
      <c r="F61" s="24" t="n">
        <v>10951.825</v>
      </c>
      <c r="G61" s="22" t="n">
        <f aca="false">HOUR(C61)*60+MINUTE(C61)</f>
        <v>675</v>
      </c>
      <c r="H61" s="25" t="n">
        <f aca="false">IF(AND(B61=B60,A61=A60,D61&gt;0,N(D60)&gt;0,G61&gt;N(G60)),(D61-D60)/((G61-G60)/60),"")</f>
        <v>0.623999999996158</v>
      </c>
      <c r="I61" s="22" t="str">
        <f aca="false">IFERROR(INDEX(Medidores!$B:$B,MATCH(B61,Medidores!$A:$A,0)),"")</f>
        <v>L21</v>
      </c>
      <c r="J61" s="22" t="s">
        <v>86</v>
      </c>
    </row>
    <row r="62" customFormat="false" ht="15" hidden="false" customHeight="false" outlineLevel="0" collapsed="false">
      <c r="A62" s="21" t="n">
        <v>46302</v>
      </c>
      <c r="B62" s="22" t="s">
        <v>87</v>
      </c>
      <c r="C62" s="23" t="n">
        <v>0.260416666666667</v>
      </c>
      <c r="D62" s="24" t="n">
        <v>10454.288</v>
      </c>
      <c r="E62" s="24" t="n">
        <v>4885.767</v>
      </c>
      <c r="F62" s="24" t="n">
        <v>11719.125</v>
      </c>
      <c r="G62" s="22" t="n">
        <f aca="false">HOUR(C62)*60+MINUTE(C62)</f>
        <v>375</v>
      </c>
      <c r="H62" s="25" t="str">
        <f aca="false">IF(AND(B62=B61,A62=A61,D62&gt;0,N(D61)&gt;0,G62&gt;N(G61)),(D62-D61)/((G62-G61)/60),"")</f>
        <v/>
      </c>
      <c r="I62" s="22" t="str">
        <f aca="false">IFERROR(INDEX(Medidores!$B:$B,MATCH(B62,Medidores!$A:$A,0)),"")</f>
        <v>L14</v>
      </c>
      <c r="J62" s="22" t="s">
        <v>88</v>
      </c>
    </row>
    <row r="63" customFormat="false" ht="15" hidden="false" customHeight="false" outlineLevel="0" collapsed="false">
      <c r="A63" s="21" t="n">
        <v>46302</v>
      </c>
      <c r="B63" s="22" t="s">
        <v>87</v>
      </c>
      <c r="C63" s="23" t="n">
        <v>0.270833333333333</v>
      </c>
      <c r="D63" s="24" t="n">
        <v>10454.704</v>
      </c>
      <c r="E63" s="24" t="n">
        <v>4885.915</v>
      </c>
      <c r="F63" s="24" t="n">
        <v>11719.573</v>
      </c>
      <c r="G63" s="22" t="n">
        <f aca="false">HOUR(C63)*60+MINUTE(C63)</f>
        <v>390</v>
      </c>
      <c r="H63" s="25" t="n">
        <f aca="false">IF(AND(B63=B62,A63=A62,D63&gt;0,N(D62)&gt;0,G63&gt;N(G62)),(D63-D62)/((G63-G62)/60),"")</f>
        <v>1.66399999999703</v>
      </c>
      <c r="I63" s="22" t="str">
        <f aca="false">IFERROR(INDEX(Medidores!$B:$B,MATCH(B63,Medidores!$A:$A,0)),"")</f>
        <v>L14</v>
      </c>
      <c r="J63" s="22" t="s">
        <v>66</v>
      </c>
    </row>
    <row r="64" customFormat="false" ht="15" hidden="false" customHeight="false" outlineLevel="0" collapsed="false">
      <c r="A64" s="21" t="n">
        <v>46302</v>
      </c>
      <c r="B64" s="22" t="s">
        <v>87</v>
      </c>
      <c r="C64" s="23" t="n">
        <v>0.28125</v>
      </c>
      <c r="D64" s="24" t="n">
        <v>10455.12</v>
      </c>
      <c r="E64" s="24" t="n">
        <v>4886.056</v>
      </c>
      <c r="F64" s="24" t="n">
        <v>11720.02</v>
      </c>
      <c r="G64" s="22" t="n">
        <f aca="false">HOUR(C64)*60+MINUTE(C64)</f>
        <v>405</v>
      </c>
      <c r="H64" s="25" t="n">
        <f aca="false">IF(AND(B64=B63,A64=A63,D64&gt;0,N(D63)&gt;0,G64&gt;N(G63)),(D64-D63)/((G64-G63)/60),"")</f>
        <v>1.66400000000431</v>
      </c>
      <c r="I64" s="22" t="str">
        <f aca="false">IFERROR(INDEX(Medidores!$B:$B,MATCH(B64,Medidores!$A:$A,0)),"")</f>
        <v>L14</v>
      </c>
      <c r="J64" s="22" t="s">
        <v>67</v>
      </c>
    </row>
    <row r="65" customFormat="false" ht="15" hidden="false" customHeight="false" outlineLevel="0" collapsed="false">
      <c r="A65" s="21" t="n">
        <v>46302</v>
      </c>
      <c r="B65" s="22" t="s">
        <v>87</v>
      </c>
      <c r="C65" s="23" t="n">
        <v>0.291666666666667</v>
      </c>
      <c r="D65" s="24" t="n">
        <v>10455.566</v>
      </c>
      <c r="E65" s="24" t="n">
        <v>4886.249</v>
      </c>
      <c r="F65" s="24" t="n">
        <v>11720.514</v>
      </c>
      <c r="G65" s="22" t="n">
        <f aca="false">HOUR(C65)*60+MINUTE(C65)</f>
        <v>420</v>
      </c>
      <c r="H65" s="25" t="n">
        <f aca="false">IF(AND(B65=B64,A65=A64,D65&gt;0,N(D64)&gt;0,G65&gt;N(G64)),(D65-D64)/((G65-G64)/60),"")</f>
        <v>1.78399999999965</v>
      </c>
      <c r="I65" s="22" t="str">
        <f aca="false">IFERROR(INDEX(Medidores!$B:$B,MATCH(B65,Medidores!$A:$A,0)),"")</f>
        <v>L14</v>
      </c>
      <c r="J65" s="22" t="s">
        <v>68</v>
      </c>
    </row>
    <row r="66" customFormat="false" ht="15" hidden="false" customHeight="false" outlineLevel="0" collapsed="false">
      <c r="A66" s="21" t="n">
        <v>46302</v>
      </c>
      <c r="B66" s="22" t="s">
        <v>87</v>
      </c>
      <c r="C66" s="23" t="n">
        <v>0.302083333333333</v>
      </c>
      <c r="D66" s="24" t="n">
        <v>10456.553</v>
      </c>
      <c r="E66" s="24" t="n">
        <v>4886.762</v>
      </c>
      <c r="F66" s="24" t="n">
        <v>11721.629</v>
      </c>
      <c r="G66" s="22" t="n">
        <f aca="false">HOUR(C66)*60+MINUTE(C66)</f>
        <v>435</v>
      </c>
      <c r="H66" s="25" t="n">
        <f aca="false">IF(AND(B66=B65,A66=A65,D66&gt;0,N(D65)&gt;0,G66&gt;N(G65)),(D66-D65)/((G66-G65)/60),"")</f>
        <v>3.94799999999668</v>
      </c>
      <c r="I66" s="22" t="str">
        <f aca="false">IFERROR(INDEX(Medidores!$B:$B,MATCH(B66,Medidores!$A:$A,0)),"")</f>
        <v>L14</v>
      </c>
      <c r="J66" s="22" t="s">
        <v>69</v>
      </c>
    </row>
    <row r="67" customFormat="false" ht="15" hidden="false" customHeight="false" outlineLevel="0" collapsed="false">
      <c r="A67" s="21" t="n">
        <v>46302</v>
      </c>
      <c r="B67" s="22" t="s">
        <v>87</v>
      </c>
      <c r="C67" s="23" t="n">
        <v>0.3125</v>
      </c>
      <c r="D67" s="24" t="n">
        <v>10457.413</v>
      </c>
      <c r="E67" s="24" t="n">
        <v>4887.248</v>
      </c>
      <c r="F67" s="24" t="n">
        <v>11722.619</v>
      </c>
      <c r="G67" s="22" t="n">
        <f aca="false">HOUR(C67)*60+MINUTE(C67)</f>
        <v>450</v>
      </c>
      <c r="H67" s="25" t="n">
        <f aca="false">IF(AND(B67=B66,A67=A66,D67&gt;0,N(D66)&gt;0,G67&gt;N(G66)),(D67-D66)/((G67-G66)/60),"")</f>
        <v>3.44000000000233</v>
      </c>
      <c r="I67" s="22" t="str">
        <f aca="false">IFERROR(INDEX(Medidores!$B:$B,MATCH(B67,Medidores!$A:$A,0)),"")</f>
        <v>L14</v>
      </c>
      <c r="J67" s="22" t="s">
        <v>70</v>
      </c>
    </row>
    <row r="68" customFormat="false" ht="15" hidden="false" customHeight="false" outlineLevel="0" collapsed="false">
      <c r="A68" s="21" t="n">
        <v>46302</v>
      </c>
      <c r="B68" s="22" t="s">
        <v>87</v>
      </c>
      <c r="C68" s="23" t="n">
        <v>0.322916666666667</v>
      </c>
      <c r="D68" s="24" t="n">
        <v>10458.349</v>
      </c>
      <c r="E68" s="24" t="n">
        <v>4887.75</v>
      </c>
      <c r="F68" s="24" t="n">
        <v>11723.684</v>
      </c>
      <c r="G68" s="22" t="n">
        <f aca="false">HOUR(C68)*60+MINUTE(C68)</f>
        <v>465</v>
      </c>
      <c r="H68" s="25" t="n">
        <f aca="false">IF(AND(B68=B67,A68=A67,D68&gt;0,N(D67)&gt;0,G68&gt;N(G67)),(D68-D67)/((G68-G67)/60),"")</f>
        <v>3.74399999999878</v>
      </c>
      <c r="I68" s="22" t="str">
        <f aca="false">IFERROR(INDEX(Medidores!$B:$B,MATCH(B68,Medidores!$A:$A,0)),"")</f>
        <v>L14</v>
      </c>
      <c r="J68" s="22" t="s">
        <v>71</v>
      </c>
    </row>
    <row r="69" customFormat="false" ht="15" hidden="false" customHeight="false" outlineLevel="0" collapsed="false">
      <c r="A69" s="21" t="n">
        <v>46302</v>
      </c>
      <c r="B69" s="22" t="s">
        <v>87</v>
      </c>
      <c r="C69" s="23" t="n">
        <v>0.333333333333333</v>
      </c>
      <c r="D69" s="24" t="n">
        <v>10459.325</v>
      </c>
      <c r="E69" s="24" t="n">
        <v>4888.286</v>
      </c>
      <c r="F69" s="24" t="n">
        <v>11724.798</v>
      </c>
      <c r="G69" s="22" t="n">
        <f aca="false">HOUR(C69)*60+MINUTE(C69)</f>
        <v>480</v>
      </c>
      <c r="H69" s="25" t="n">
        <f aca="false">IF(AND(B69=B68,A69=A68,D69&gt;0,N(D68)&gt;0,G69&gt;N(G68)),(D69-D68)/((G69-G68)/60),"")</f>
        <v>3.90400000000227</v>
      </c>
      <c r="I69" s="22" t="str">
        <f aca="false">IFERROR(INDEX(Medidores!$B:$B,MATCH(B69,Medidores!$A:$A,0)),"")</f>
        <v>L14</v>
      </c>
      <c r="J69" s="22" t="s">
        <v>72</v>
      </c>
    </row>
    <row r="70" customFormat="false" ht="15" hidden="false" customHeight="false" outlineLevel="0" collapsed="false">
      <c r="A70" s="21" t="n">
        <v>46302</v>
      </c>
      <c r="B70" s="22" t="s">
        <v>87</v>
      </c>
      <c r="C70" s="23" t="n">
        <v>0.34375</v>
      </c>
      <c r="D70" s="24" t="n">
        <v>10460.272</v>
      </c>
      <c r="E70" s="24" t="n">
        <v>4888.797</v>
      </c>
      <c r="F70" s="24" t="n">
        <v>11725.875</v>
      </c>
      <c r="G70" s="22" t="n">
        <f aca="false">HOUR(C70)*60+MINUTE(C70)</f>
        <v>495</v>
      </c>
      <c r="H70" s="25" t="n">
        <f aca="false">IF(AND(B70=B69,A70=A69,D70&gt;0,N(D69)&gt;0,G70&gt;N(G69)),(D70-D69)/((G70-G69)/60),"")</f>
        <v>3.78800000000047</v>
      </c>
      <c r="I70" s="22" t="str">
        <f aca="false">IFERROR(INDEX(Medidores!$B:$B,MATCH(B70,Medidores!$A:$A,0)),"")</f>
        <v>L14</v>
      </c>
      <c r="J70" s="22" t="s">
        <v>73</v>
      </c>
    </row>
    <row r="71" customFormat="false" ht="15" hidden="false" customHeight="false" outlineLevel="0" collapsed="false">
      <c r="A71" s="21" t="n">
        <v>46302</v>
      </c>
      <c r="B71" s="22" t="s">
        <v>87</v>
      </c>
      <c r="C71" s="23" t="n">
        <v>0.354166666666667</v>
      </c>
      <c r="D71" s="24" t="n">
        <v>10461.246</v>
      </c>
      <c r="E71" s="24" t="n">
        <v>4889.328</v>
      </c>
      <c r="F71" s="24" t="n">
        <v>11726.986</v>
      </c>
      <c r="G71" s="22" t="n">
        <f aca="false">HOUR(C71)*60+MINUTE(C71)</f>
        <v>510</v>
      </c>
      <c r="H71" s="25" t="n">
        <f aca="false">IF(AND(B71=B70,A71=A70,D71&gt;0,N(D70)&gt;0,G71&gt;N(G70)),(D71-D70)/((G71-G70)/60),"")</f>
        <v>3.89599999999336</v>
      </c>
      <c r="I71" s="22" t="str">
        <f aca="false">IFERROR(INDEX(Medidores!$B:$B,MATCH(B71,Medidores!$A:$A,0)),"")</f>
        <v>L14</v>
      </c>
      <c r="J71" s="22" t="s">
        <v>74</v>
      </c>
    </row>
    <row r="72" customFormat="false" ht="15" hidden="false" customHeight="false" outlineLevel="0" collapsed="false">
      <c r="A72" s="21" t="n">
        <v>46302</v>
      </c>
      <c r="B72" s="22" t="s">
        <v>87</v>
      </c>
      <c r="C72" s="23" t="n">
        <v>0.364583333333333</v>
      </c>
      <c r="D72" s="24" t="n">
        <v>10462.072</v>
      </c>
      <c r="E72" s="24" t="n">
        <v>4889.793</v>
      </c>
      <c r="F72" s="24" t="n">
        <v>11727.935</v>
      </c>
      <c r="G72" s="22" t="n">
        <f aca="false">HOUR(C72)*60+MINUTE(C72)</f>
        <v>525</v>
      </c>
      <c r="H72" s="25" t="n">
        <f aca="false">IF(AND(B72=B71,A72=A71,D72&gt;0,N(D71)&gt;0,G72&gt;N(G71)),(D72-D71)/((G72-G71)/60),"")</f>
        <v>3.30400000000373</v>
      </c>
      <c r="I72" s="22" t="str">
        <f aca="false">IFERROR(INDEX(Medidores!$B:$B,MATCH(B72,Medidores!$A:$A,0)),"")</f>
        <v>L14</v>
      </c>
      <c r="J72" s="22" t="s">
        <v>75</v>
      </c>
    </row>
    <row r="73" customFormat="false" ht="15" hidden="false" customHeight="false" outlineLevel="0" collapsed="false">
      <c r="A73" s="21" t="n">
        <v>46302</v>
      </c>
      <c r="B73" s="22" t="s">
        <v>87</v>
      </c>
      <c r="C73" s="23" t="n">
        <v>0.375</v>
      </c>
      <c r="D73" s="24" t="n">
        <v>10462.995</v>
      </c>
      <c r="E73" s="24" t="n">
        <v>4890.293</v>
      </c>
      <c r="F73" s="24" t="n">
        <v>11728.988</v>
      </c>
      <c r="G73" s="22" t="n">
        <f aca="false">HOUR(C73)*60+MINUTE(C73)</f>
        <v>540</v>
      </c>
      <c r="H73" s="25" t="n">
        <f aca="false">IF(AND(B73=B72,A73=A72,D73&gt;0,N(D72)&gt;0,G73&gt;N(G72)),(D73-D72)/((G73-G72)/60),"")</f>
        <v>3.69200000000274</v>
      </c>
      <c r="I73" s="22" t="str">
        <f aca="false">IFERROR(INDEX(Medidores!$B:$B,MATCH(B73,Medidores!$A:$A,0)),"")</f>
        <v>L14</v>
      </c>
      <c r="J73" s="22" t="s">
        <v>76</v>
      </c>
    </row>
    <row r="74" customFormat="false" ht="15" hidden="false" customHeight="false" outlineLevel="0" collapsed="false">
      <c r="A74" s="21" t="n">
        <v>46302</v>
      </c>
      <c r="B74" s="22" t="s">
        <v>87</v>
      </c>
      <c r="C74" s="23" t="n">
        <v>0.385416666666667</v>
      </c>
      <c r="D74" s="24" t="n">
        <v>10463.809</v>
      </c>
      <c r="E74" s="24" t="n">
        <v>4890.762</v>
      </c>
      <c r="F74" s="24" t="n">
        <v>11729.931</v>
      </c>
      <c r="G74" s="22" t="n">
        <f aca="false">HOUR(C74)*60+MINUTE(C74)</f>
        <v>555</v>
      </c>
      <c r="H74" s="25" t="n">
        <f aca="false">IF(AND(B74=B73,A74=A73,D74&gt;0,N(D73)&gt;0,G74&gt;N(G73)),(D74-D73)/((G74-G73)/60),"")</f>
        <v>3.25599999999395</v>
      </c>
      <c r="I74" s="22" t="str">
        <f aca="false">IFERROR(INDEX(Medidores!$B:$B,MATCH(B74,Medidores!$A:$A,0)),"")</f>
        <v>L14</v>
      </c>
      <c r="J74" s="22" t="s">
        <v>77</v>
      </c>
    </row>
    <row r="75" customFormat="false" ht="15" hidden="false" customHeight="false" outlineLevel="0" collapsed="false">
      <c r="A75" s="21" t="n">
        <v>46302</v>
      </c>
      <c r="B75" s="22" t="s">
        <v>87</v>
      </c>
      <c r="C75" s="23" t="n">
        <v>0.395833333333333</v>
      </c>
      <c r="D75" s="24" t="n">
        <v>10464.531</v>
      </c>
      <c r="E75" s="24" t="n">
        <v>4891.191</v>
      </c>
      <c r="F75" s="24" t="n">
        <v>11730.773</v>
      </c>
      <c r="G75" s="22" t="n">
        <f aca="false">HOUR(C75)*60+MINUTE(C75)</f>
        <v>570</v>
      </c>
      <c r="H75" s="25" t="n">
        <f aca="false">IF(AND(B75=B74,A75=A74,D75&gt;0,N(D74)&gt;0,G75&gt;N(G74)),(D75-D74)/((G75-G74)/60),"")</f>
        <v>2.88800000000629</v>
      </c>
      <c r="I75" s="22" t="str">
        <f aca="false">IFERROR(INDEX(Medidores!$B:$B,MATCH(B75,Medidores!$A:$A,0)),"")</f>
        <v>L14</v>
      </c>
      <c r="J75" s="22" t="s">
        <v>78</v>
      </c>
    </row>
    <row r="76" customFormat="false" ht="15" hidden="false" customHeight="false" outlineLevel="0" collapsed="false">
      <c r="A76" s="21" t="n">
        <v>46302</v>
      </c>
      <c r="B76" s="22" t="s">
        <v>87</v>
      </c>
      <c r="C76" s="23" t="n">
        <v>0.40625</v>
      </c>
      <c r="D76" s="24" t="n">
        <v>10465.328</v>
      </c>
      <c r="E76" s="24" t="n">
        <v>4891.657</v>
      </c>
      <c r="F76" s="24" t="n">
        <v>11731.699</v>
      </c>
      <c r="G76" s="22" t="n">
        <f aca="false">HOUR(C76)*60+MINUTE(C76)</f>
        <v>585</v>
      </c>
      <c r="H76" s="25" t="n">
        <f aca="false">IF(AND(B76=B75,A76=A75,D76&gt;0,N(D75)&gt;0,G76&gt;N(G75)),(D76-D75)/((G76-G75)/60),"")</f>
        <v>3.18799999999465</v>
      </c>
      <c r="I76" s="22" t="str">
        <f aca="false">IFERROR(INDEX(Medidores!$B:$B,MATCH(B76,Medidores!$A:$A,0)),"")</f>
        <v>L14</v>
      </c>
      <c r="J76" s="22" t="s">
        <v>79</v>
      </c>
    </row>
    <row r="77" customFormat="false" ht="15" hidden="false" customHeight="false" outlineLevel="0" collapsed="false">
      <c r="A77" s="21" t="n">
        <v>46302</v>
      </c>
      <c r="B77" s="22" t="s">
        <v>87</v>
      </c>
      <c r="C77" s="23" t="n">
        <v>0.416666666666667</v>
      </c>
      <c r="D77" s="24" t="n">
        <v>10466.288</v>
      </c>
      <c r="E77" s="24" t="n">
        <v>4892.169</v>
      </c>
      <c r="F77" s="24" t="n">
        <v>11732.788</v>
      </c>
      <c r="G77" s="22" t="n">
        <f aca="false">HOUR(C77)*60+MINUTE(C77)</f>
        <v>600</v>
      </c>
      <c r="H77" s="25" t="n">
        <f aca="false">IF(AND(B77=B76,A77=A76,D77&gt;0,N(D76)&gt;0,G77&gt;N(G76)),(D77-D76)/((G77-G76)/60),"")</f>
        <v>3.84000000000378</v>
      </c>
      <c r="I77" s="22" t="str">
        <f aca="false">IFERROR(INDEX(Medidores!$B:$B,MATCH(B77,Medidores!$A:$A,0)),"")</f>
        <v>L14</v>
      </c>
      <c r="J77" s="22" t="s">
        <v>80</v>
      </c>
    </row>
    <row r="78" customFormat="false" ht="15" hidden="false" customHeight="false" outlineLevel="0" collapsed="false">
      <c r="A78" s="21" t="n">
        <v>46302</v>
      </c>
      <c r="B78" s="22" t="s">
        <v>87</v>
      </c>
      <c r="C78" s="23" t="n">
        <v>0.427083333333333</v>
      </c>
      <c r="D78" s="24" t="n">
        <v>10467.175</v>
      </c>
      <c r="E78" s="24" t="n">
        <v>4892.66</v>
      </c>
      <c r="F78" s="24" t="n">
        <v>11733.804</v>
      </c>
      <c r="G78" s="22" t="n">
        <f aca="false">HOUR(C78)*60+MINUTE(C78)</f>
        <v>615</v>
      </c>
      <c r="H78" s="25" t="n">
        <f aca="false">IF(AND(B78=B77,A78=A77,D78&gt;0,N(D77)&gt;0,G78&gt;N(G77)),(D78-D77)/((G78-G77)/60),"")</f>
        <v>3.54799999999523</v>
      </c>
      <c r="I78" s="22" t="str">
        <f aca="false">IFERROR(INDEX(Medidores!$B:$B,MATCH(B78,Medidores!$A:$A,0)),"")</f>
        <v>L14</v>
      </c>
      <c r="J78" s="22" t="s">
        <v>81</v>
      </c>
    </row>
    <row r="79" customFormat="false" ht="15" hidden="false" customHeight="false" outlineLevel="0" collapsed="false">
      <c r="A79" s="21" t="n">
        <v>46302</v>
      </c>
      <c r="B79" s="22" t="s">
        <v>87</v>
      </c>
      <c r="C79" s="23" t="n">
        <v>0.4375</v>
      </c>
      <c r="D79" s="24" t="n">
        <v>10468.064</v>
      </c>
      <c r="E79" s="24" t="n">
        <v>4893.147</v>
      </c>
      <c r="F79" s="24" t="n">
        <v>11734.819</v>
      </c>
      <c r="G79" s="22" t="n">
        <f aca="false">HOUR(C79)*60+MINUTE(C79)</f>
        <v>630</v>
      </c>
      <c r="H79" s="25" t="n">
        <f aca="false">IF(AND(B79=B78,A79=A78,D79&gt;0,N(D78)&gt;0,G79&gt;N(G78)),(D79-D78)/((G79-G78)/60),"")</f>
        <v>3.55600000000413</v>
      </c>
      <c r="I79" s="22" t="str">
        <f aca="false">IFERROR(INDEX(Medidores!$B:$B,MATCH(B79,Medidores!$A:$A,0)),"")</f>
        <v>L14</v>
      </c>
      <c r="J79" s="22" t="s">
        <v>82</v>
      </c>
    </row>
    <row r="80" customFormat="false" ht="15" hidden="false" customHeight="false" outlineLevel="0" collapsed="false">
      <c r="A80" s="21" t="n">
        <v>46302</v>
      </c>
      <c r="B80" s="22" t="s">
        <v>87</v>
      </c>
      <c r="C80" s="23" t="n">
        <v>0.447916666666667</v>
      </c>
      <c r="D80" s="24" t="n">
        <v>10468.81</v>
      </c>
      <c r="E80" s="24" t="n">
        <v>4893.495</v>
      </c>
      <c r="F80" s="24" t="n">
        <v>11735.652</v>
      </c>
      <c r="G80" s="22" t="n">
        <f aca="false">HOUR(C80)*60+MINUTE(C80)</f>
        <v>645</v>
      </c>
      <c r="H80" s="25" t="n">
        <f aca="false">IF(AND(B80=B79,A80=A79,D80&gt;0,N(D79)&gt;0,G80&gt;N(G79)),(D80-D79)/((G80-G79)/60),"")</f>
        <v>2.98399999999674</v>
      </c>
      <c r="I80" s="22" t="str">
        <f aca="false">IFERROR(INDEX(Medidores!$B:$B,MATCH(B80,Medidores!$A:$A,0)),"")</f>
        <v>L14</v>
      </c>
      <c r="J80" s="22" t="s">
        <v>83</v>
      </c>
    </row>
    <row r="81" customFormat="false" ht="15" hidden="false" customHeight="false" outlineLevel="0" collapsed="false">
      <c r="A81" s="21" t="n">
        <v>46302</v>
      </c>
      <c r="B81" s="22" t="s">
        <v>87</v>
      </c>
      <c r="C81" s="23" t="n">
        <v>0.458333333333333</v>
      </c>
      <c r="D81" s="24" t="n">
        <v>10469.273</v>
      </c>
      <c r="E81" s="24" t="n">
        <v>4893.623</v>
      </c>
      <c r="F81" s="24" t="n">
        <v>11736.136</v>
      </c>
      <c r="G81" s="22" t="n">
        <f aca="false">HOUR(C81)*60+MINUTE(C81)</f>
        <v>660</v>
      </c>
      <c r="H81" s="25" t="n">
        <f aca="false">IF(AND(B81=B80,A81=A80,D81&gt;0,N(D80)&gt;0,G81&gt;N(G80)),(D81-D80)/((G81-G80)/60),"")</f>
        <v>1.85199999999895</v>
      </c>
      <c r="I81" s="22" t="str">
        <f aca="false">IFERROR(INDEX(Medidores!$B:$B,MATCH(B81,Medidores!$A:$A,0)),"")</f>
        <v>L14</v>
      </c>
      <c r="J81" s="22" t="s">
        <v>84</v>
      </c>
    </row>
    <row r="82" customFormat="false" ht="15" hidden="false" customHeight="false" outlineLevel="0" collapsed="false">
      <c r="A82" s="21" t="n">
        <v>46302</v>
      </c>
      <c r="B82" s="22" t="s">
        <v>89</v>
      </c>
      <c r="C82" s="23" t="n">
        <v>0.302083333333333</v>
      </c>
      <c r="D82" s="24" t="n">
        <v>13520.754</v>
      </c>
      <c r="E82" s="24" t="n">
        <v>10907.94</v>
      </c>
      <c r="F82" s="24" t="n">
        <v>17620.676</v>
      </c>
      <c r="G82" s="22" t="n">
        <f aca="false">HOUR(C82)*60+MINUTE(C82)</f>
        <v>435</v>
      </c>
      <c r="H82" s="25" t="str">
        <f aca="false">IF(AND(B82=B81,A82=A81,D82&gt;0,N(D81)&gt;0,G82&gt;N(G81)),(D82-D81)/((G82-G81)/60),"")</f>
        <v/>
      </c>
      <c r="I82" s="22" t="str">
        <f aca="false">IFERROR(INDEX(Medidores!$B:$B,MATCH(B82,Medidores!$A:$A,0)),"")</f>
        <v>L20</v>
      </c>
      <c r="J82" s="22" t="s">
        <v>49</v>
      </c>
    </row>
    <row r="83" customFormat="false" ht="15" hidden="false" customHeight="false" outlineLevel="0" collapsed="false">
      <c r="A83" s="21" t="n">
        <v>46302</v>
      </c>
      <c r="B83" s="22" t="s">
        <v>89</v>
      </c>
      <c r="C83" s="23" t="n">
        <v>0.3125</v>
      </c>
      <c r="D83" s="24" t="n">
        <v>13521.147</v>
      </c>
      <c r="E83" s="24" t="n">
        <v>10908.319</v>
      </c>
      <c r="F83" s="24" t="n">
        <v>17621.225</v>
      </c>
      <c r="G83" s="22" t="n">
        <f aca="false">HOUR(C83)*60+MINUTE(C83)</f>
        <v>450</v>
      </c>
      <c r="H83" s="25" t="n">
        <f aca="false">IF(AND(B83=B82,A83=A82,D83&gt;0,N(D82)&gt;0,G83&gt;N(G82)),(D83-D82)/((G83-G82)/60),"")</f>
        <v>1.57200000000012</v>
      </c>
      <c r="I83" s="22" t="str">
        <f aca="false">IFERROR(INDEX(Medidores!$B:$B,MATCH(B83,Medidores!$A:$A,0)),"")</f>
        <v>L20</v>
      </c>
      <c r="J83" s="22" t="s">
        <v>50</v>
      </c>
    </row>
    <row r="84" customFormat="false" ht="15" hidden="false" customHeight="false" outlineLevel="0" collapsed="false">
      <c r="A84" s="21" t="n">
        <v>46302</v>
      </c>
      <c r="B84" s="22" t="s">
        <v>89</v>
      </c>
      <c r="C84" s="23" t="n">
        <v>0.322916666666667</v>
      </c>
      <c r="D84" s="24" t="n">
        <v>13521.497</v>
      </c>
      <c r="E84" s="24" t="n">
        <v>10908.548</v>
      </c>
      <c r="F84" s="24" t="n">
        <v>17621.652</v>
      </c>
      <c r="G84" s="22" t="n">
        <f aca="false">HOUR(C84)*60+MINUTE(C84)</f>
        <v>465</v>
      </c>
      <c r="H84" s="25" t="n">
        <f aca="false">IF(AND(B84=B83,A84=A83,D84&gt;0,N(D83)&gt;0,G84&gt;N(G83)),(D84-D83)/((G84-G83)/60),"")</f>
        <v>1.39999999999418</v>
      </c>
      <c r="I84" s="22" t="str">
        <f aca="false">IFERROR(INDEX(Medidores!$B:$B,MATCH(B84,Medidores!$A:$A,0)),"")</f>
        <v>L20</v>
      </c>
      <c r="J84" s="22" t="s">
        <v>51</v>
      </c>
    </row>
    <row r="85" customFormat="false" ht="15" hidden="false" customHeight="false" outlineLevel="0" collapsed="false">
      <c r="A85" s="21" t="n">
        <v>46302</v>
      </c>
      <c r="B85" s="22" t="s">
        <v>89</v>
      </c>
      <c r="C85" s="23" t="n">
        <v>0.333333333333333</v>
      </c>
      <c r="D85" s="24" t="n">
        <v>13521.921</v>
      </c>
      <c r="E85" s="24" t="n">
        <v>10908.843</v>
      </c>
      <c r="F85" s="24" t="n">
        <v>17622.176</v>
      </c>
      <c r="G85" s="22" t="n">
        <f aca="false">HOUR(C85)*60+MINUTE(C85)</f>
        <v>480</v>
      </c>
      <c r="H85" s="25" t="n">
        <f aca="false">IF(AND(B85=B84,A85=A84,D85&gt;0,N(D84)&gt;0,G85&gt;N(G84)),(D85-D84)/((G85-G84)/60),"")</f>
        <v>1.69600000000355</v>
      </c>
      <c r="I85" s="22" t="str">
        <f aca="false">IFERROR(INDEX(Medidores!$B:$B,MATCH(B85,Medidores!$A:$A,0)),"")</f>
        <v>L20</v>
      </c>
      <c r="J85" s="22" t="s">
        <v>52</v>
      </c>
    </row>
    <row r="86" customFormat="false" ht="15" hidden="false" customHeight="false" outlineLevel="0" collapsed="false">
      <c r="A86" s="21" t="n">
        <v>46302</v>
      </c>
      <c r="B86" s="22" t="s">
        <v>89</v>
      </c>
      <c r="C86" s="23" t="n">
        <v>0.34375</v>
      </c>
      <c r="D86" s="24" t="n">
        <v>13522.454</v>
      </c>
      <c r="E86" s="24" t="n">
        <v>10909.31</v>
      </c>
      <c r="F86" s="24" t="n">
        <v>17622.889</v>
      </c>
      <c r="G86" s="22" t="n">
        <f aca="false">HOUR(C86)*60+MINUTE(C86)</f>
        <v>495</v>
      </c>
      <c r="H86" s="25" t="n">
        <f aca="false">IF(AND(B86=B85,A86=A85,D86&gt;0,N(D85)&gt;0,G86&gt;N(G85)),(D86-D85)/((G86-G85)/60),"")</f>
        <v>2.13199999999779</v>
      </c>
      <c r="I86" s="22" t="str">
        <f aca="false">IFERROR(INDEX(Medidores!$B:$B,MATCH(B86,Medidores!$A:$A,0)),"")</f>
        <v>L20</v>
      </c>
      <c r="J86" s="22" t="s">
        <v>53</v>
      </c>
    </row>
    <row r="87" customFormat="false" ht="15" hidden="false" customHeight="false" outlineLevel="0" collapsed="false">
      <c r="A87" s="21" t="n">
        <v>46302</v>
      </c>
      <c r="B87" s="22" t="s">
        <v>89</v>
      </c>
      <c r="C87" s="23" t="n">
        <v>0.354166666666667</v>
      </c>
      <c r="D87" s="24" t="n">
        <v>13522.935</v>
      </c>
      <c r="E87" s="24" t="n">
        <v>10909.783</v>
      </c>
      <c r="F87" s="24" t="n">
        <v>17623.565</v>
      </c>
      <c r="G87" s="22" t="n">
        <f aca="false">HOUR(C87)*60+MINUTE(C87)</f>
        <v>510</v>
      </c>
      <c r="H87" s="25" t="n">
        <f aca="false">IF(AND(B87=B86,A87=A86,D87&gt;0,N(D86)&gt;0,G87&gt;N(G86)),(D87-D86)/((G87-G86)/60),"")</f>
        <v>1.92399999999907</v>
      </c>
      <c r="I87" s="22" t="str">
        <f aca="false">IFERROR(INDEX(Medidores!$B:$B,MATCH(B87,Medidores!$A:$A,0)),"")</f>
        <v>L20</v>
      </c>
      <c r="J87" s="22" t="s">
        <v>54</v>
      </c>
    </row>
    <row r="88" customFormat="false" ht="15" hidden="false" customHeight="false" outlineLevel="0" collapsed="false">
      <c r="A88" s="21" t="n">
        <v>46302</v>
      </c>
      <c r="B88" s="22" t="s">
        <v>89</v>
      </c>
      <c r="C88" s="23" t="n">
        <v>0.364583333333333</v>
      </c>
      <c r="D88" s="24" t="n">
        <v>13523.397</v>
      </c>
      <c r="E88" s="24" t="n">
        <v>10910.186</v>
      </c>
      <c r="F88" s="24" t="n">
        <v>17624.184</v>
      </c>
      <c r="G88" s="22" t="n">
        <f aca="false">HOUR(C88)*60+MINUTE(C88)</f>
        <v>525</v>
      </c>
      <c r="H88" s="25" t="n">
        <f aca="false">IF(AND(B88=B87,A88=A87,D88&gt;0,N(D87)&gt;0,G88&gt;N(G87)),(D88-D87)/((G88-G87)/60),"")</f>
        <v>1.84800000000541</v>
      </c>
      <c r="I88" s="22" t="str">
        <f aca="false">IFERROR(INDEX(Medidores!$B:$B,MATCH(B88,Medidores!$A:$A,0)),"")</f>
        <v>L20</v>
      </c>
      <c r="J88" s="22" t="s">
        <v>55</v>
      </c>
    </row>
    <row r="89" customFormat="false" ht="15" hidden="false" customHeight="false" outlineLevel="0" collapsed="false">
      <c r="A89" s="21" t="n">
        <v>46302</v>
      </c>
      <c r="B89" s="22" t="s">
        <v>89</v>
      </c>
      <c r="C89" s="23" t="n">
        <v>0.375</v>
      </c>
      <c r="D89" s="24" t="n">
        <v>13523.849</v>
      </c>
      <c r="E89" s="24" t="n">
        <v>10910.522</v>
      </c>
      <c r="F89" s="24" t="n">
        <v>17624.752</v>
      </c>
      <c r="G89" s="22" t="n">
        <f aca="false">HOUR(C89)*60+MINUTE(C89)</f>
        <v>540</v>
      </c>
      <c r="H89" s="25" t="n">
        <f aca="false">IF(AND(B89=B88,A89=A88,D89&gt;0,N(D88)&gt;0,G89&gt;N(G88)),(D89-D88)/((G89-G88)/60),"")</f>
        <v>1.80799999999726</v>
      </c>
      <c r="I89" s="22" t="str">
        <f aca="false">IFERROR(INDEX(Medidores!$B:$B,MATCH(B89,Medidores!$A:$A,0)),"")</f>
        <v>L20</v>
      </c>
      <c r="J89" s="22" t="s">
        <v>56</v>
      </c>
    </row>
    <row r="90" customFormat="false" ht="15" hidden="false" customHeight="false" outlineLevel="0" collapsed="false">
      <c r="A90" s="21" t="n">
        <v>46302</v>
      </c>
      <c r="B90" s="22" t="s">
        <v>89</v>
      </c>
      <c r="C90" s="23" t="n">
        <v>0.385416666666667</v>
      </c>
      <c r="D90" s="24" t="n">
        <v>13524.398</v>
      </c>
      <c r="E90" s="24" t="n">
        <v>10910.886</v>
      </c>
      <c r="F90" s="24" t="n">
        <v>17625.412</v>
      </c>
      <c r="G90" s="22" t="n">
        <f aca="false">HOUR(C90)*60+MINUTE(C90)</f>
        <v>555</v>
      </c>
      <c r="H90" s="25" t="n">
        <f aca="false">IF(AND(B90=B89,A90=A89,D90&gt;0,N(D89)&gt;0,G90&gt;N(G89)),(D90-D89)/((G90-G89)/60),"")</f>
        <v>2.19599999999627</v>
      </c>
      <c r="I90" s="22" t="str">
        <f aca="false">IFERROR(INDEX(Medidores!$B:$B,MATCH(B90,Medidores!$A:$A,0)),"")</f>
        <v>L20</v>
      </c>
      <c r="J90" s="22" t="s">
        <v>57</v>
      </c>
    </row>
    <row r="91" customFormat="false" ht="15" hidden="false" customHeight="false" outlineLevel="0" collapsed="false">
      <c r="A91" s="21" t="n">
        <v>46302</v>
      </c>
      <c r="B91" s="22" t="s">
        <v>89</v>
      </c>
      <c r="C91" s="23" t="n">
        <v>0.395833333333333</v>
      </c>
      <c r="D91" s="24" t="n">
        <v>13524.923</v>
      </c>
      <c r="E91" s="24" t="n">
        <v>10911.224</v>
      </c>
      <c r="F91" s="24" t="n">
        <v>17626.039</v>
      </c>
      <c r="G91" s="22" t="n">
        <f aca="false">HOUR(C91)*60+MINUTE(C91)</f>
        <v>570</v>
      </c>
      <c r="H91" s="25" t="n">
        <f aca="false">IF(AND(B91=B90,A91=A90,D91&gt;0,N(D90)&gt;0,G91&gt;N(G90)),(D91-D90)/((G91-G90)/60),"")</f>
        <v>2.10000000000582</v>
      </c>
      <c r="I91" s="22" t="str">
        <f aca="false">IFERROR(INDEX(Medidores!$B:$B,MATCH(B91,Medidores!$A:$A,0)),"")</f>
        <v>L20</v>
      </c>
      <c r="J91" s="22" t="s">
        <v>58</v>
      </c>
    </row>
    <row r="92" customFormat="false" ht="15" hidden="false" customHeight="false" outlineLevel="0" collapsed="false">
      <c r="A92" s="21" t="n">
        <v>46302</v>
      </c>
      <c r="B92" s="22" t="s">
        <v>89</v>
      </c>
      <c r="C92" s="23" t="n">
        <v>0.40625</v>
      </c>
      <c r="D92" s="24" t="n">
        <v>13525.543</v>
      </c>
      <c r="E92" s="24" t="n">
        <v>10911.652</v>
      </c>
      <c r="F92" s="24" t="n">
        <v>17626.797</v>
      </c>
      <c r="G92" s="22" t="n">
        <f aca="false">HOUR(C92)*60+MINUTE(C92)</f>
        <v>585</v>
      </c>
      <c r="H92" s="25" t="n">
        <f aca="false">IF(AND(B92=B91,A92=A91,D92&gt;0,N(D91)&gt;0,G92&gt;N(G91)),(D92-D91)/((G92-G91)/60),"")</f>
        <v>2.47999999999593</v>
      </c>
      <c r="I92" s="22" t="str">
        <f aca="false">IFERROR(INDEX(Medidores!$B:$B,MATCH(B92,Medidores!$A:$A,0)),"")</f>
        <v>L20</v>
      </c>
      <c r="J92" s="22" t="s">
        <v>59</v>
      </c>
    </row>
    <row r="93" customFormat="false" ht="15" hidden="false" customHeight="false" outlineLevel="0" collapsed="false">
      <c r="A93" s="21" t="n">
        <v>46302</v>
      </c>
      <c r="B93" s="22" t="s">
        <v>89</v>
      </c>
      <c r="C93" s="23" t="n">
        <v>0.416666666666667</v>
      </c>
      <c r="D93" s="24" t="n">
        <v>13526.436</v>
      </c>
      <c r="E93" s="24" t="n">
        <v>10912.324</v>
      </c>
      <c r="F93" s="24" t="n">
        <v>17627.916</v>
      </c>
      <c r="G93" s="22" t="n">
        <f aca="false">HOUR(C93)*60+MINUTE(C93)</f>
        <v>600</v>
      </c>
      <c r="H93" s="25" t="n">
        <f aca="false">IF(AND(B93=B92,A93=A92,D93&gt;0,N(D92)&gt;0,G93&gt;N(G92)),(D93-D92)/((G93-G92)/60),"")</f>
        <v>3.57200000000012</v>
      </c>
      <c r="I93" s="22" t="str">
        <f aca="false">IFERROR(INDEX(Medidores!$B:$B,MATCH(B93,Medidores!$A:$A,0)),"")</f>
        <v>L20</v>
      </c>
      <c r="J93" s="22" t="s">
        <v>60</v>
      </c>
    </row>
    <row r="94" customFormat="false" ht="15" hidden="false" customHeight="false" outlineLevel="0" collapsed="false">
      <c r="A94" s="21" t="n">
        <v>46302</v>
      </c>
      <c r="B94" s="22" t="s">
        <v>89</v>
      </c>
      <c r="C94" s="23" t="n">
        <v>0.427083333333333</v>
      </c>
      <c r="D94" s="24" t="n">
        <v>13526.971</v>
      </c>
      <c r="E94" s="24" t="n">
        <v>10912.777</v>
      </c>
      <c r="F94" s="24" t="n">
        <v>17628.619</v>
      </c>
      <c r="G94" s="22" t="n">
        <f aca="false">HOUR(C94)*60+MINUTE(C94)</f>
        <v>615</v>
      </c>
      <c r="H94" s="25" t="n">
        <f aca="false">IF(AND(B94=B93,A94=A93,D94&gt;0,N(D93)&gt;0,G94&gt;N(G93)),(D94-D93)/((G94-G93)/60),"")</f>
        <v>2.13999999999942</v>
      </c>
      <c r="I94" s="22" t="str">
        <f aca="false">IFERROR(INDEX(Medidores!$B:$B,MATCH(B94,Medidores!$A:$A,0)),"")</f>
        <v>L20</v>
      </c>
      <c r="J94" s="22" t="s">
        <v>61</v>
      </c>
    </row>
    <row r="95" customFormat="false" ht="15" hidden="false" customHeight="false" outlineLevel="0" collapsed="false">
      <c r="A95" s="21" t="n">
        <v>46302</v>
      </c>
      <c r="B95" s="22" t="s">
        <v>89</v>
      </c>
      <c r="C95" s="23" t="n">
        <v>0.4375</v>
      </c>
      <c r="D95" s="24" t="n">
        <v>13527.443</v>
      </c>
      <c r="E95" s="24" t="n">
        <v>10913.228</v>
      </c>
      <c r="F95" s="24" t="n">
        <v>17629.275</v>
      </c>
      <c r="G95" s="22" t="n">
        <f aca="false">HOUR(C95)*60+MINUTE(C95)</f>
        <v>630</v>
      </c>
      <c r="H95" s="25" t="n">
        <f aca="false">IF(AND(B95=B94,A95=A94,D95&gt;0,N(D94)&gt;0,G95&gt;N(G94)),(D95-D94)/((G95-G94)/60),"")</f>
        <v>1.88799999999901</v>
      </c>
      <c r="I95" s="22" t="str">
        <f aca="false">IFERROR(INDEX(Medidores!$B:$B,MATCH(B95,Medidores!$A:$A,0)),"")</f>
        <v>L20</v>
      </c>
      <c r="J95" s="22" t="s">
        <v>62</v>
      </c>
    </row>
    <row r="96" customFormat="false" ht="15" hidden="false" customHeight="false" outlineLevel="0" collapsed="false">
      <c r="A96" s="21" t="n">
        <v>46302</v>
      </c>
      <c r="B96" s="22" t="s">
        <v>89</v>
      </c>
      <c r="C96" s="23" t="n">
        <v>0.447916666666667</v>
      </c>
      <c r="D96" s="24" t="n">
        <v>13527.81</v>
      </c>
      <c r="E96" s="24" t="n">
        <v>10913.622</v>
      </c>
      <c r="F96" s="24" t="n">
        <v>17629.816</v>
      </c>
      <c r="G96" s="22" t="n">
        <f aca="false">HOUR(C96)*60+MINUTE(C96)</f>
        <v>645</v>
      </c>
      <c r="H96" s="25" t="n">
        <f aca="false">IF(AND(B96=B95,A96=A95,D96&gt;0,N(D95)&gt;0,G96&gt;N(G95)),(D96-D95)/((G96-G95)/60),"")</f>
        <v>1.46800000000076</v>
      </c>
      <c r="I96" s="22" t="str">
        <f aca="false">IFERROR(INDEX(Medidores!$B:$B,MATCH(B96,Medidores!$A:$A,0)),"")</f>
        <v>L20</v>
      </c>
      <c r="J96" s="22" t="s">
        <v>63</v>
      </c>
    </row>
    <row r="97" customFormat="false" ht="15" hidden="false" customHeight="false" outlineLevel="0" collapsed="false">
      <c r="A97" s="21" t="n">
        <v>46302</v>
      </c>
      <c r="B97" s="22" t="s">
        <v>89</v>
      </c>
      <c r="C97" s="23" t="n">
        <v>0.458333333333333</v>
      </c>
      <c r="D97" s="24" t="n">
        <v>13528.364</v>
      </c>
      <c r="E97" s="24" t="n">
        <v>10914.108</v>
      </c>
      <c r="F97" s="24" t="n">
        <v>17630.559</v>
      </c>
      <c r="G97" s="22" t="n">
        <f aca="false">HOUR(C97)*60+MINUTE(C97)</f>
        <v>660</v>
      </c>
      <c r="H97" s="25" t="n">
        <f aca="false">IF(AND(B97=B96,A97=A96,D97&gt;0,N(D96)&gt;0,G97&gt;N(G96)),(D97-D96)/((G97-G96)/60),"")</f>
        <v>2.21600000000035</v>
      </c>
      <c r="I97" s="22" t="str">
        <f aca="false">IFERROR(INDEX(Medidores!$B:$B,MATCH(B97,Medidores!$A:$A,0)),"")</f>
        <v>L20</v>
      </c>
      <c r="J97" s="22" t="s">
        <v>64</v>
      </c>
    </row>
    <row r="98" customFormat="false" ht="15" hidden="false" customHeight="false" outlineLevel="0" collapsed="false">
      <c r="A98" s="21" t="n">
        <v>46302</v>
      </c>
      <c r="B98" s="22" t="s">
        <v>90</v>
      </c>
      <c r="C98" s="23" t="n">
        <v>0.260416666666667</v>
      </c>
      <c r="D98" s="24" t="n">
        <v>6593.832</v>
      </c>
      <c r="E98" s="24" t="n">
        <v>1750.864</v>
      </c>
      <c r="F98" s="24" t="n">
        <v>8186.162</v>
      </c>
      <c r="G98" s="22" t="n">
        <f aca="false">HOUR(C98)*60+MINUTE(C98)</f>
        <v>375</v>
      </c>
      <c r="H98" s="25" t="str">
        <f aca="false">IF(AND(B98=B97,A98=A97,D98&gt;0,N(D97)&gt;0,G98&gt;N(G97)),(D98-D97)/((G98-G97)/60),"")</f>
        <v/>
      </c>
      <c r="I98" s="22" t="str">
        <f aca="false">IFERROR(INDEX(Medidores!$B:$B,MATCH(B98,Medidores!$A:$A,0)),"")</f>
        <v>L16</v>
      </c>
      <c r="J98" s="22" t="s">
        <v>45</v>
      </c>
    </row>
    <row r="99" customFormat="false" ht="15" hidden="false" customHeight="false" outlineLevel="0" collapsed="false">
      <c r="A99" s="21" t="n">
        <v>46302</v>
      </c>
      <c r="B99" s="22" t="s">
        <v>90</v>
      </c>
      <c r="C99" s="23" t="n">
        <v>0.270833333333333</v>
      </c>
      <c r="D99" s="24" t="n">
        <v>6593.861</v>
      </c>
      <c r="E99" s="24" t="n">
        <v>1750.864</v>
      </c>
      <c r="F99" s="24" t="n">
        <v>8186.26</v>
      </c>
      <c r="G99" s="22" t="n">
        <f aca="false">HOUR(C99)*60+MINUTE(C99)</f>
        <v>390</v>
      </c>
      <c r="H99" s="25" t="n">
        <f aca="false">IF(AND(B99=B98,A99=A98,D99&gt;0,N(D98)&gt;0,G99&gt;N(G98)),(D99-D98)/((G99-G98)/60),"")</f>
        <v>0.115999999998166</v>
      </c>
      <c r="I99" s="22" t="str">
        <f aca="false">IFERROR(INDEX(Medidores!$B:$B,MATCH(B99,Medidores!$A:$A,0)),"")</f>
        <v>L16</v>
      </c>
      <c r="J99" s="22" t="s">
        <v>46</v>
      </c>
    </row>
    <row r="100" customFormat="false" ht="15" hidden="false" customHeight="false" outlineLevel="0" collapsed="false">
      <c r="A100" s="21" t="n">
        <v>46302</v>
      </c>
      <c r="B100" s="22" t="s">
        <v>90</v>
      </c>
      <c r="C100" s="23" t="n">
        <v>0.28125</v>
      </c>
      <c r="D100" s="24" t="n">
        <v>6593.891</v>
      </c>
      <c r="E100" s="24" t="n">
        <v>1750.864</v>
      </c>
      <c r="F100" s="24" t="n">
        <v>8186.359</v>
      </c>
      <c r="G100" s="22" t="n">
        <f aca="false">HOUR(C100)*60+MINUTE(C100)</f>
        <v>405</v>
      </c>
      <c r="H100" s="25" t="n">
        <f aca="false">IF(AND(B100=B99,A100=A99,D100&gt;0,N(D99)&gt;0,G100&gt;N(G99)),(D100-D99)/((G100-G99)/60),"")</f>
        <v>0.119999999998981</v>
      </c>
      <c r="I100" s="22" t="str">
        <f aca="false">IFERROR(INDEX(Medidores!$B:$B,MATCH(B100,Medidores!$A:$A,0)),"")</f>
        <v>L16</v>
      </c>
      <c r="J100" s="22" t="s">
        <v>47</v>
      </c>
    </row>
    <row r="101" customFormat="false" ht="15" hidden="false" customHeight="false" outlineLevel="0" collapsed="false">
      <c r="A101" s="21" t="n">
        <v>46302</v>
      </c>
      <c r="B101" s="22" t="s">
        <v>90</v>
      </c>
      <c r="C101" s="23" t="n">
        <v>0.291666666666667</v>
      </c>
      <c r="D101" s="24" t="n">
        <v>6593.92</v>
      </c>
      <c r="E101" s="24" t="n">
        <v>1750.864</v>
      </c>
      <c r="F101" s="24" t="n">
        <v>8186.458</v>
      </c>
      <c r="G101" s="22" t="n">
        <f aca="false">HOUR(C101)*60+MINUTE(C101)</f>
        <v>420</v>
      </c>
      <c r="H101" s="25" t="n">
        <f aca="false">IF(AND(B101=B100,A101=A100,D101&gt;0,N(D100)&gt;0,G101&gt;N(G100)),(D101-D100)/((G101-G100)/60),"")</f>
        <v>0.116000000001804</v>
      </c>
      <c r="I101" s="22" t="str">
        <f aca="false">IFERROR(INDEX(Medidores!$B:$B,MATCH(B101,Medidores!$A:$A,0)),"")</f>
        <v>L16</v>
      </c>
      <c r="J101" s="22" t="s">
        <v>48</v>
      </c>
    </row>
    <row r="102" customFormat="false" ht="15" hidden="false" customHeight="false" outlineLevel="0" collapsed="false">
      <c r="A102" s="21" t="n">
        <v>46302</v>
      </c>
      <c r="B102" s="22" t="s">
        <v>90</v>
      </c>
      <c r="C102" s="23" t="n">
        <v>0.302083333333333</v>
      </c>
      <c r="D102" s="24" t="n">
        <v>6593.95</v>
      </c>
      <c r="E102" s="24" t="n">
        <v>1750.864</v>
      </c>
      <c r="F102" s="24" t="n">
        <v>8186.557</v>
      </c>
      <c r="G102" s="22" t="n">
        <f aca="false">HOUR(C102)*60+MINUTE(C102)</f>
        <v>435</v>
      </c>
      <c r="H102" s="25" t="n">
        <f aca="false">IF(AND(B102=B101,A102=A101,D102&gt;0,N(D101)&gt;0,G102&gt;N(G101)),(D102-D101)/((G102-G101)/60),"")</f>
        <v>0.119999999998981</v>
      </c>
      <c r="I102" s="22" t="str">
        <f aca="false">IFERROR(INDEX(Medidores!$B:$B,MATCH(B102,Medidores!$A:$A,0)),"")</f>
        <v>L16</v>
      </c>
      <c r="J102" s="22" t="s">
        <v>49</v>
      </c>
    </row>
    <row r="103" customFormat="false" ht="15" hidden="false" customHeight="false" outlineLevel="0" collapsed="false">
      <c r="A103" s="21" t="n">
        <v>46302</v>
      </c>
      <c r="B103" s="22" t="s">
        <v>90</v>
      </c>
      <c r="C103" s="23" t="n">
        <v>0.3125</v>
      </c>
      <c r="D103" s="24" t="n">
        <v>6593.979</v>
      </c>
      <c r="E103" s="24" t="n">
        <v>1750.864</v>
      </c>
      <c r="F103" s="24" t="n">
        <v>8186.655</v>
      </c>
      <c r="G103" s="22" t="n">
        <f aca="false">HOUR(C103)*60+MINUTE(C103)</f>
        <v>450</v>
      </c>
      <c r="H103" s="25" t="n">
        <f aca="false">IF(AND(B103=B102,A103=A102,D103&gt;0,N(D102)&gt;0,G103&gt;N(G102)),(D103-D102)/((G103-G102)/60),"")</f>
        <v>0.116000000001804</v>
      </c>
      <c r="I103" s="22" t="str">
        <f aca="false">IFERROR(INDEX(Medidores!$B:$B,MATCH(B103,Medidores!$A:$A,0)),"")</f>
        <v>L16</v>
      </c>
      <c r="J103" s="22" t="s">
        <v>50</v>
      </c>
    </row>
    <row r="104" customFormat="false" ht="15" hidden="false" customHeight="false" outlineLevel="0" collapsed="false">
      <c r="A104" s="21" t="n">
        <v>46302</v>
      </c>
      <c r="B104" s="22" t="s">
        <v>90</v>
      </c>
      <c r="C104" s="23" t="n">
        <v>0.322916666666667</v>
      </c>
      <c r="D104" s="24" t="n">
        <v>6594.008</v>
      </c>
      <c r="E104" s="24" t="n">
        <v>1750.864</v>
      </c>
      <c r="F104" s="24" t="n">
        <v>8186.754</v>
      </c>
      <c r="G104" s="22" t="n">
        <f aca="false">HOUR(C104)*60+MINUTE(C104)</f>
        <v>465</v>
      </c>
      <c r="H104" s="25" t="n">
        <f aca="false">IF(AND(B104=B103,A104=A103,D104&gt;0,N(D103)&gt;0,G104&gt;N(G103)),(D104-D103)/((G104-G103)/60),"")</f>
        <v>0.115999999998166</v>
      </c>
      <c r="I104" s="22" t="str">
        <f aca="false">IFERROR(INDEX(Medidores!$B:$B,MATCH(B104,Medidores!$A:$A,0)),"")</f>
        <v>L16</v>
      </c>
      <c r="J104" s="22" t="s">
        <v>51</v>
      </c>
    </row>
    <row r="105" customFormat="false" ht="15" hidden="false" customHeight="false" outlineLevel="0" collapsed="false">
      <c r="A105" s="21" t="n">
        <v>46302</v>
      </c>
      <c r="B105" s="22" t="s">
        <v>90</v>
      </c>
      <c r="C105" s="23" t="n">
        <v>0.333333333333333</v>
      </c>
      <c r="D105" s="24" t="n">
        <v>6594.038</v>
      </c>
      <c r="E105" s="24" t="n">
        <v>1750.864</v>
      </c>
      <c r="F105" s="24" t="n">
        <v>8186.853</v>
      </c>
      <c r="G105" s="22" t="n">
        <f aca="false">HOUR(C105)*60+MINUTE(C105)</f>
        <v>480</v>
      </c>
      <c r="H105" s="25" t="n">
        <f aca="false">IF(AND(B105=B104,A105=A104,D105&gt;0,N(D104)&gt;0,G105&gt;N(G104)),(D105-D104)/((G105-G104)/60),"")</f>
        <v>0.119999999998981</v>
      </c>
      <c r="I105" s="22" t="str">
        <f aca="false">IFERROR(INDEX(Medidores!$B:$B,MATCH(B105,Medidores!$A:$A,0)),"")</f>
        <v>L16</v>
      </c>
      <c r="J105" s="22" t="s">
        <v>52</v>
      </c>
    </row>
    <row r="106" customFormat="false" ht="15" hidden="false" customHeight="false" outlineLevel="0" collapsed="false">
      <c r="A106" s="21" t="n">
        <v>46302</v>
      </c>
      <c r="B106" s="22" t="s">
        <v>90</v>
      </c>
      <c r="C106" s="23" t="n">
        <v>0.34375</v>
      </c>
      <c r="D106" s="24" t="n">
        <v>6594.067</v>
      </c>
      <c r="E106" s="24" t="n">
        <v>1750.864</v>
      </c>
      <c r="F106" s="24" t="n">
        <v>8186.951</v>
      </c>
      <c r="G106" s="22" t="n">
        <f aca="false">HOUR(C106)*60+MINUTE(C106)</f>
        <v>495</v>
      </c>
      <c r="H106" s="25" t="n">
        <f aca="false">IF(AND(B106=B105,A106=A105,D106&gt;0,N(D105)&gt;0,G106&gt;N(G105)),(D106-D105)/((G106-G105)/60),"")</f>
        <v>0.116000000001804</v>
      </c>
      <c r="I106" s="22" t="str">
        <f aca="false">IFERROR(INDEX(Medidores!$B:$B,MATCH(B106,Medidores!$A:$A,0)),"")</f>
        <v>L16</v>
      </c>
      <c r="J106" s="22" t="s">
        <v>53</v>
      </c>
    </row>
    <row r="107" customFormat="false" ht="15" hidden="false" customHeight="false" outlineLevel="0" collapsed="false">
      <c r="A107" s="21" t="n">
        <v>46302</v>
      </c>
      <c r="B107" s="22" t="s">
        <v>90</v>
      </c>
      <c r="C107" s="23" t="n">
        <v>0.354166666666667</v>
      </c>
      <c r="D107" s="24" t="n">
        <v>6594.097</v>
      </c>
      <c r="E107" s="24" t="n">
        <v>1750.864</v>
      </c>
      <c r="F107" s="24" t="n">
        <v>8187.05</v>
      </c>
      <c r="G107" s="22" t="n">
        <f aca="false">HOUR(C107)*60+MINUTE(C107)</f>
        <v>510</v>
      </c>
      <c r="H107" s="25" t="n">
        <f aca="false">IF(AND(B107=B106,A107=A106,D107&gt;0,N(D106)&gt;0,G107&gt;N(G106)),(D107-D106)/((G107-G106)/60),"")</f>
        <v>0.119999999998981</v>
      </c>
      <c r="I107" s="22" t="str">
        <f aca="false">IFERROR(INDEX(Medidores!$B:$B,MATCH(B107,Medidores!$A:$A,0)),"")</f>
        <v>L16</v>
      </c>
      <c r="J107" s="22" t="s">
        <v>54</v>
      </c>
    </row>
    <row r="108" customFormat="false" ht="15" hidden="false" customHeight="false" outlineLevel="0" collapsed="false">
      <c r="A108" s="21" t="n">
        <v>46302</v>
      </c>
      <c r="B108" s="22" t="s">
        <v>90</v>
      </c>
      <c r="C108" s="23" t="n">
        <v>0.364583333333333</v>
      </c>
      <c r="D108" s="24" t="n">
        <v>6594.126</v>
      </c>
      <c r="E108" s="24" t="n">
        <v>1750.864</v>
      </c>
      <c r="F108" s="24" t="n">
        <v>8187.149</v>
      </c>
      <c r="G108" s="22" t="n">
        <f aca="false">HOUR(C108)*60+MINUTE(C108)</f>
        <v>525</v>
      </c>
      <c r="H108" s="25" t="n">
        <f aca="false">IF(AND(B108=B107,A108=A107,D108&gt;0,N(D107)&gt;0,G108&gt;N(G107)),(D108-D107)/((G108-G107)/60),"")</f>
        <v>0.116000000001804</v>
      </c>
      <c r="I108" s="22" t="str">
        <f aca="false">IFERROR(INDEX(Medidores!$B:$B,MATCH(B108,Medidores!$A:$A,0)),"")</f>
        <v>L16</v>
      </c>
      <c r="J108" s="22" t="s">
        <v>55</v>
      </c>
    </row>
    <row r="109" customFormat="false" ht="15" hidden="false" customHeight="false" outlineLevel="0" collapsed="false">
      <c r="A109" s="21" t="n">
        <v>46302</v>
      </c>
      <c r="B109" s="22" t="s">
        <v>90</v>
      </c>
      <c r="C109" s="23" t="n">
        <v>0.375</v>
      </c>
      <c r="D109" s="24" t="n">
        <v>6594.156</v>
      </c>
      <c r="E109" s="24" t="n">
        <v>1750.864</v>
      </c>
      <c r="F109" s="24" t="n">
        <v>8187.248</v>
      </c>
      <c r="G109" s="22" t="n">
        <f aca="false">HOUR(C109)*60+MINUTE(C109)</f>
        <v>540</v>
      </c>
      <c r="H109" s="25" t="n">
        <f aca="false">IF(AND(B109=B108,A109=A108,D109&gt;0,N(D108)&gt;0,G109&gt;N(G108)),(D109-D108)/((G109-G108)/60),"")</f>
        <v>0.119999999998981</v>
      </c>
      <c r="I109" s="22" t="str">
        <f aca="false">IFERROR(INDEX(Medidores!$B:$B,MATCH(B109,Medidores!$A:$A,0)),"")</f>
        <v>L16</v>
      </c>
      <c r="J109" s="22" t="s">
        <v>56</v>
      </c>
    </row>
    <row r="110" customFormat="false" ht="15" hidden="false" customHeight="false" outlineLevel="0" collapsed="false">
      <c r="A110" s="21" t="n">
        <v>46302</v>
      </c>
      <c r="B110" s="22" t="s">
        <v>90</v>
      </c>
      <c r="C110" s="23" t="n">
        <v>0.385416666666667</v>
      </c>
      <c r="D110" s="24" t="n">
        <v>6594.186</v>
      </c>
      <c r="E110" s="24" t="n">
        <v>1750.864</v>
      </c>
      <c r="F110" s="24" t="n">
        <v>8187.346</v>
      </c>
      <c r="G110" s="22" t="n">
        <f aca="false">HOUR(C110)*60+MINUTE(C110)</f>
        <v>555</v>
      </c>
      <c r="H110" s="25" t="n">
        <f aca="false">IF(AND(B110=B109,A110=A109,D110&gt;0,N(D109)&gt;0,G110&gt;N(G109)),(D110-D109)/((G110-G109)/60),"")</f>
        <v>0.119999999998981</v>
      </c>
      <c r="I110" s="22" t="str">
        <f aca="false">IFERROR(INDEX(Medidores!$B:$B,MATCH(B110,Medidores!$A:$A,0)),"")</f>
        <v>L16</v>
      </c>
      <c r="J110" s="22" t="s">
        <v>57</v>
      </c>
    </row>
    <row r="111" customFormat="false" ht="15" hidden="false" customHeight="false" outlineLevel="0" collapsed="false">
      <c r="A111" s="21" t="n">
        <v>46302</v>
      </c>
      <c r="B111" s="22" t="s">
        <v>90</v>
      </c>
      <c r="C111" s="23" t="n">
        <v>0.395833333333333</v>
      </c>
      <c r="D111" s="24" t="n">
        <v>6594.215</v>
      </c>
      <c r="E111" s="24" t="n">
        <v>1750.864</v>
      </c>
      <c r="F111" s="24" t="n">
        <v>8187.445</v>
      </c>
      <c r="G111" s="22" t="n">
        <f aca="false">HOUR(C111)*60+MINUTE(C111)</f>
        <v>570</v>
      </c>
      <c r="H111" s="25" t="n">
        <f aca="false">IF(AND(B111=B110,A111=A110,D111&gt;0,N(D110)&gt;0,G111&gt;N(G110)),(D111-D110)/((G111-G110)/60),"")</f>
        <v>0.116000000001804</v>
      </c>
      <c r="I111" s="22" t="str">
        <f aca="false">IFERROR(INDEX(Medidores!$B:$B,MATCH(B111,Medidores!$A:$A,0)),"")</f>
        <v>L16</v>
      </c>
      <c r="J111" s="22" t="s">
        <v>58</v>
      </c>
    </row>
    <row r="112" customFormat="false" ht="15" hidden="false" customHeight="false" outlineLevel="0" collapsed="false">
      <c r="A112" s="21" t="n">
        <v>46302</v>
      </c>
      <c r="B112" s="22" t="s">
        <v>90</v>
      </c>
      <c r="C112" s="23" t="n">
        <v>0.40625</v>
      </c>
      <c r="D112" s="24" t="n">
        <v>6594.245</v>
      </c>
      <c r="E112" s="24" t="n">
        <v>1750.864</v>
      </c>
      <c r="F112" s="24" t="n">
        <v>8187.543</v>
      </c>
      <c r="G112" s="22" t="n">
        <f aca="false">HOUR(C112)*60+MINUTE(C112)</f>
        <v>585</v>
      </c>
      <c r="H112" s="25" t="n">
        <f aca="false">IF(AND(B112=B111,A112=A111,D112&gt;0,N(D111)&gt;0,G112&gt;N(G111)),(D112-D111)/((G112-G111)/60),"")</f>
        <v>0.119999999998981</v>
      </c>
      <c r="I112" s="22" t="str">
        <f aca="false">IFERROR(INDEX(Medidores!$B:$B,MATCH(B112,Medidores!$A:$A,0)),"")</f>
        <v>L16</v>
      </c>
      <c r="J112" s="22" t="s">
        <v>59</v>
      </c>
    </row>
    <row r="113" customFormat="false" ht="15" hidden="false" customHeight="false" outlineLevel="0" collapsed="false">
      <c r="A113" s="21" t="n">
        <v>46302</v>
      </c>
      <c r="B113" s="22" t="s">
        <v>90</v>
      </c>
      <c r="C113" s="23" t="n">
        <v>0.416666666666667</v>
      </c>
      <c r="D113" s="24" t="n">
        <v>6594.274</v>
      </c>
      <c r="E113" s="24" t="n">
        <v>1750.864</v>
      </c>
      <c r="F113" s="24" t="n">
        <v>8187.642</v>
      </c>
      <c r="G113" s="22" t="n">
        <f aca="false">HOUR(C113)*60+MINUTE(C113)</f>
        <v>600</v>
      </c>
      <c r="H113" s="25" t="n">
        <f aca="false">IF(AND(B113=B112,A113=A112,D113&gt;0,N(D112)&gt;0,G113&gt;N(G112)),(D113-D112)/((G113-G112)/60),"")</f>
        <v>0.116000000001804</v>
      </c>
      <c r="I113" s="22" t="str">
        <f aca="false">IFERROR(INDEX(Medidores!$B:$B,MATCH(B113,Medidores!$A:$A,0)),"")</f>
        <v>L16</v>
      </c>
      <c r="J113" s="22" t="s">
        <v>60</v>
      </c>
    </row>
    <row r="114" customFormat="false" ht="15" hidden="false" customHeight="false" outlineLevel="0" collapsed="false">
      <c r="A114" s="21" t="n">
        <v>46302</v>
      </c>
      <c r="B114" s="22" t="s">
        <v>90</v>
      </c>
      <c r="C114" s="23" t="n">
        <v>0.427083333333333</v>
      </c>
      <c r="D114" s="24" t="n">
        <v>6594.304</v>
      </c>
      <c r="E114" s="24" t="n">
        <v>1750.864</v>
      </c>
      <c r="F114" s="24" t="n">
        <v>8187.74</v>
      </c>
      <c r="G114" s="22" t="n">
        <f aca="false">HOUR(C114)*60+MINUTE(C114)</f>
        <v>615</v>
      </c>
      <c r="H114" s="25" t="n">
        <f aca="false">IF(AND(B114=B113,A114=A113,D114&gt;0,N(D113)&gt;0,G114&gt;N(G113)),(D114-D113)/((G114-G113)/60),"")</f>
        <v>0.119999999998981</v>
      </c>
      <c r="I114" s="22" t="str">
        <f aca="false">IFERROR(INDEX(Medidores!$B:$B,MATCH(B114,Medidores!$A:$A,0)),"")</f>
        <v>L16</v>
      </c>
      <c r="J114" s="22" t="s">
        <v>61</v>
      </c>
    </row>
    <row r="115" customFormat="false" ht="15" hidden="false" customHeight="false" outlineLevel="0" collapsed="false">
      <c r="A115" s="21" t="n">
        <v>46302</v>
      </c>
      <c r="B115" s="22" t="s">
        <v>90</v>
      </c>
      <c r="C115" s="23" t="n">
        <v>0.4375</v>
      </c>
      <c r="D115" s="24" t="n">
        <v>6594.334</v>
      </c>
      <c r="E115" s="24" t="n">
        <v>1750.864</v>
      </c>
      <c r="F115" s="24" t="n">
        <v>8187.837</v>
      </c>
      <c r="G115" s="22" t="n">
        <f aca="false">HOUR(C115)*60+MINUTE(C115)</f>
        <v>630</v>
      </c>
      <c r="H115" s="25" t="n">
        <f aca="false">IF(AND(B115=B114,A115=A114,D115&gt;0,N(D114)&gt;0,G115&gt;N(G114)),(D115-D114)/((G115-G114)/60),"")</f>
        <v>0.119999999998981</v>
      </c>
      <c r="I115" s="22" t="str">
        <f aca="false">IFERROR(INDEX(Medidores!$B:$B,MATCH(B115,Medidores!$A:$A,0)),"")</f>
        <v>L16</v>
      </c>
      <c r="J115" s="22" t="s">
        <v>62</v>
      </c>
    </row>
    <row r="116" customFormat="false" ht="15" hidden="false" customHeight="false" outlineLevel="0" collapsed="false">
      <c r="A116" s="21" t="n">
        <v>46302</v>
      </c>
      <c r="B116" s="22" t="s">
        <v>90</v>
      </c>
      <c r="C116" s="23" t="n">
        <v>0.447916666666667</v>
      </c>
      <c r="D116" s="24" t="n">
        <v>6594.363</v>
      </c>
      <c r="E116" s="24" t="n">
        <v>1750.864</v>
      </c>
      <c r="F116" s="24" t="n">
        <v>8187.935</v>
      </c>
      <c r="G116" s="22" t="n">
        <f aca="false">HOUR(C116)*60+MINUTE(C116)</f>
        <v>645</v>
      </c>
      <c r="H116" s="25" t="n">
        <f aca="false">IF(AND(B116=B115,A116=A115,D116&gt;0,N(D115)&gt;0,G116&gt;N(G115)),(D116-D115)/((G116-G115)/60),"")</f>
        <v>0.116000000001804</v>
      </c>
      <c r="I116" s="22" t="str">
        <f aca="false">IFERROR(INDEX(Medidores!$B:$B,MATCH(B116,Medidores!$A:$A,0)),"")</f>
        <v>L16</v>
      </c>
      <c r="J116" s="22" t="s">
        <v>63</v>
      </c>
    </row>
    <row r="117" customFormat="false" ht="15" hidden="false" customHeight="false" outlineLevel="0" collapsed="false">
      <c r="A117" s="21" t="n">
        <v>46302</v>
      </c>
      <c r="B117" s="22" t="s">
        <v>90</v>
      </c>
      <c r="C117" s="23" t="n">
        <v>0.458333333333333</v>
      </c>
      <c r="D117" s="24" t="n">
        <v>6594.392</v>
      </c>
      <c r="E117" s="24" t="n">
        <v>1750.864</v>
      </c>
      <c r="F117" s="24" t="n">
        <v>8188.033</v>
      </c>
      <c r="G117" s="22" t="n">
        <f aca="false">HOUR(C117)*60+MINUTE(C117)</f>
        <v>660</v>
      </c>
      <c r="H117" s="25" t="n">
        <f aca="false">IF(AND(B117=B116,A117=A116,D117&gt;0,N(D116)&gt;0,G117&gt;N(G116)),(D117-D116)/((G117-G116)/60),"")</f>
        <v>0.115999999998166</v>
      </c>
      <c r="I117" s="22" t="str">
        <f aca="false">IFERROR(INDEX(Medidores!$B:$B,MATCH(B117,Medidores!$A:$A,0)),"")</f>
        <v>L16</v>
      </c>
      <c r="J117" s="22" t="s">
        <v>64</v>
      </c>
    </row>
    <row r="118" customFormat="false" ht="15" hidden="false" customHeight="false" outlineLevel="0" collapsed="false">
      <c r="A118" s="21" t="n">
        <v>46302</v>
      </c>
      <c r="B118" s="22" t="s">
        <v>91</v>
      </c>
      <c r="C118" s="23" t="n">
        <v>0.322916666666667</v>
      </c>
      <c r="D118" s="24" t="n">
        <v>0</v>
      </c>
      <c r="E118" s="24" t="n">
        <v>0</v>
      </c>
      <c r="F118" s="24" t="n">
        <v>0</v>
      </c>
      <c r="G118" s="22" t="n">
        <f aca="false">HOUR(C118)*60+MINUTE(C118)</f>
        <v>465</v>
      </c>
      <c r="H118" s="25" t="str">
        <f aca="false">IF(AND(B118=B117,A118=A117,D118&gt;0,N(D117)&gt;0,G118&gt;N(G117)),(D118-D117)/((G118-G117)/60),"")</f>
        <v/>
      </c>
      <c r="I118" s="22" t="str">
        <f aca="false">IFERROR(INDEX(Medidores!$B:$B,MATCH(B118,Medidores!$A:$A,0)),"")</f>
        <v>Estación planta</v>
      </c>
      <c r="J118" s="22" t="s">
        <v>51</v>
      </c>
    </row>
    <row r="119" customFormat="false" ht="15" hidden="false" customHeight="false" outlineLevel="0" collapsed="false">
      <c r="A119" s="21" t="n">
        <v>46302</v>
      </c>
      <c r="B119" s="22" t="s">
        <v>91</v>
      </c>
      <c r="C119" s="23" t="n">
        <v>0.333333333333333</v>
      </c>
      <c r="D119" s="24" t="n">
        <v>106805.727</v>
      </c>
      <c r="E119" s="24" t="n">
        <v>22789.602</v>
      </c>
      <c r="F119" s="24" t="n">
        <v>109763.266</v>
      </c>
      <c r="G119" s="22" t="n">
        <f aca="false">HOUR(C119)*60+MINUTE(C119)</f>
        <v>480</v>
      </c>
      <c r="H119" s="25" t="str">
        <f aca="false">IF(AND(B119=B118,A119=A118,D119&gt;0,N(D118)&gt;0,G119&gt;N(G118)),(D119-D118)/((G119-G118)/60),"")</f>
        <v/>
      </c>
      <c r="I119" s="22" t="str">
        <f aca="false">IFERROR(INDEX(Medidores!$B:$B,MATCH(B119,Medidores!$A:$A,0)),"")</f>
        <v>Estación planta</v>
      </c>
      <c r="J119" s="22" t="s">
        <v>52</v>
      </c>
    </row>
    <row r="120" customFormat="false" ht="15" hidden="false" customHeight="false" outlineLevel="0" collapsed="false">
      <c r="A120" s="21" t="n">
        <v>46302</v>
      </c>
      <c r="B120" s="22" t="s">
        <v>91</v>
      </c>
      <c r="C120" s="23" t="n">
        <v>0.34375</v>
      </c>
      <c r="D120" s="24" t="n">
        <v>106812.055</v>
      </c>
      <c r="E120" s="24" t="n">
        <v>22789.846</v>
      </c>
      <c r="F120" s="24" t="n">
        <v>109769.602</v>
      </c>
      <c r="G120" s="22" t="n">
        <f aca="false">HOUR(C120)*60+MINUTE(C120)</f>
        <v>495</v>
      </c>
      <c r="H120" s="25" t="n">
        <f aca="false">IF(AND(B120=B119,A120=A119,D120&gt;0,N(D119)&gt;0,G120&gt;N(G119)),(D120-D119)/((G120-G119)/60),"")</f>
        <v>25.3119999999763</v>
      </c>
      <c r="I120" s="22" t="str">
        <f aca="false">IFERROR(INDEX(Medidores!$B:$B,MATCH(B120,Medidores!$A:$A,0)),"")</f>
        <v>Estación planta</v>
      </c>
      <c r="J120" s="22" t="s">
        <v>53</v>
      </c>
    </row>
    <row r="121" customFormat="false" ht="15" hidden="false" customHeight="false" outlineLevel="0" collapsed="false">
      <c r="A121" s="21" t="n">
        <v>46302</v>
      </c>
      <c r="B121" s="22" t="s">
        <v>91</v>
      </c>
      <c r="C121" s="23" t="n">
        <v>0.354166666666667</v>
      </c>
      <c r="D121" s="24" t="n">
        <v>106818.852</v>
      </c>
      <c r="E121" s="24" t="n">
        <v>22790.152</v>
      </c>
      <c r="F121" s="24" t="n">
        <v>109776.398</v>
      </c>
      <c r="G121" s="22" t="n">
        <f aca="false">HOUR(C121)*60+MINUTE(C121)</f>
        <v>510</v>
      </c>
      <c r="H121" s="25" t="n">
        <f aca="false">IF(AND(B121=B120,A121=A120,D121&gt;0,N(D120)&gt;0,G121&gt;N(G120)),(D121-D120)/((G121-G120)/60),"")</f>
        <v>27.1880000000238</v>
      </c>
      <c r="I121" s="22" t="str">
        <f aca="false">IFERROR(INDEX(Medidores!$B:$B,MATCH(B121,Medidores!$A:$A,0)),"")</f>
        <v>Estación planta</v>
      </c>
      <c r="J121" s="22" t="s">
        <v>54</v>
      </c>
    </row>
    <row r="122" customFormat="false" ht="15" hidden="false" customHeight="false" outlineLevel="0" collapsed="false">
      <c r="A122" s="21" t="n">
        <v>46302</v>
      </c>
      <c r="B122" s="22" t="s">
        <v>92</v>
      </c>
      <c r="C122" s="23" t="n">
        <v>0.270833333333333</v>
      </c>
      <c r="D122" s="24" t="n">
        <v>265368.781</v>
      </c>
      <c r="E122" s="24" t="n">
        <v>109231.531</v>
      </c>
      <c r="F122" s="24"/>
      <c r="G122" s="22" t="n">
        <f aca="false">HOUR(C122)*60+MINUTE(C122)</f>
        <v>390</v>
      </c>
      <c r="H122" s="25" t="str">
        <f aca="false">IF(AND(B122=B121,A122=A121,D122&gt;0,N(D121)&gt;0,G122&gt;N(G121)),(D122-D121)/((G122-G121)/60),"")</f>
        <v/>
      </c>
      <c r="I122" s="22" t="str">
        <f aca="false">IFERROR(INDEX(Medidores!$B:$B,MATCH(B122,Medidores!$A:$A,0)),"")</f>
        <v>Estación celda 3</v>
      </c>
      <c r="J122" s="22" t="s">
        <v>46</v>
      </c>
    </row>
    <row r="123" customFormat="false" ht="15" hidden="false" customHeight="false" outlineLevel="0" collapsed="false">
      <c r="A123" s="21" t="n">
        <v>46302</v>
      </c>
      <c r="B123" s="22" t="s">
        <v>92</v>
      </c>
      <c r="C123" s="23" t="n">
        <v>0.28125</v>
      </c>
      <c r="D123" s="24" t="n">
        <v>265380.438</v>
      </c>
      <c r="E123" s="24" t="n">
        <v>109235.914</v>
      </c>
      <c r="F123" s="24"/>
      <c r="G123" s="22" t="n">
        <f aca="false">HOUR(C123)*60+MINUTE(C123)</f>
        <v>405</v>
      </c>
      <c r="H123" s="25" t="n">
        <f aca="false">IF(AND(B123=B122,A123=A122,D123&gt;0,N(D122)&gt;0,G123&gt;N(G122)),(D123-D122)/((G123-G122)/60),"")</f>
        <v>46.6280000000261</v>
      </c>
      <c r="I123" s="22" t="str">
        <f aca="false">IFERROR(INDEX(Medidores!$B:$B,MATCH(B123,Medidores!$A:$A,0)),"")</f>
        <v>Estación celda 3</v>
      </c>
      <c r="J123" s="22" t="s">
        <v>47</v>
      </c>
    </row>
    <row r="124" customFormat="false" ht="15" hidden="false" customHeight="false" outlineLevel="0" collapsed="false">
      <c r="A124" s="21" t="n">
        <v>46302</v>
      </c>
      <c r="B124" s="22" t="s">
        <v>92</v>
      </c>
      <c r="C124" s="23" t="n">
        <v>0.291666666666667</v>
      </c>
      <c r="D124" s="24" t="n">
        <v>265388.25</v>
      </c>
      <c r="E124" s="24" t="n">
        <v>109238.117</v>
      </c>
      <c r="F124" s="24"/>
      <c r="G124" s="22" t="n">
        <f aca="false">HOUR(C124)*60+MINUTE(C124)</f>
        <v>420</v>
      </c>
      <c r="H124" s="25" t="n">
        <f aca="false">IF(AND(B124=B123,A124=A123,D124&gt;0,N(D123)&gt;0,G124&gt;N(G123)),(D124-D123)/((G124-G123)/60),"")</f>
        <v>31.247999999905</v>
      </c>
      <c r="I124" s="22" t="str">
        <f aca="false">IFERROR(INDEX(Medidores!$B:$B,MATCH(B124,Medidores!$A:$A,0)),"")</f>
        <v>Estación celda 3</v>
      </c>
      <c r="J124" s="22" t="s">
        <v>48</v>
      </c>
    </row>
    <row r="125" customFormat="false" ht="15" hidden="false" customHeight="false" outlineLevel="0" collapsed="false">
      <c r="A125" s="21" t="n">
        <v>46302</v>
      </c>
      <c r="B125" s="22" t="s">
        <v>92</v>
      </c>
      <c r="C125" s="23" t="n">
        <v>0.302083333333333</v>
      </c>
      <c r="D125" s="24" t="n">
        <v>265398.281</v>
      </c>
      <c r="E125" s="24" t="n">
        <v>109242.859</v>
      </c>
      <c r="F125" s="24"/>
      <c r="G125" s="22" t="n">
        <f aca="false">HOUR(C125)*60+MINUTE(C125)</f>
        <v>435</v>
      </c>
      <c r="H125" s="25" t="n">
        <f aca="false">IF(AND(B125=B124,A125=A124,D125&gt;0,N(D124)&gt;0,G125&gt;N(G124)),(D125-D124)/((G125-G124)/60),"")</f>
        <v>40.1240000000689</v>
      </c>
      <c r="I125" s="22" t="str">
        <f aca="false">IFERROR(INDEX(Medidores!$B:$B,MATCH(B125,Medidores!$A:$A,0)),"")</f>
        <v>Estación celda 3</v>
      </c>
      <c r="J125" s="22" t="s">
        <v>49</v>
      </c>
    </row>
    <row r="126" customFormat="false" ht="15" hidden="false" customHeight="false" outlineLevel="0" collapsed="false">
      <c r="A126" s="21" t="n">
        <v>46302</v>
      </c>
      <c r="B126" s="22" t="s">
        <v>92</v>
      </c>
      <c r="C126" s="23" t="n">
        <v>0.3125</v>
      </c>
      <c r="D126" s="24" t="n">
        <v>265411.906</v>
      </c>
      <c r="E126" s="24" t="n">
        <v>109250.344</v>
      </c>
      <c r="F126" s="24"/>
      <c r="G126" s="22" t="n">
        <f aca="false">HOUR(C126)*60+MINUTE(C126)</f>
        <v>450</v>
      </c>
      <c r="H126" s="25" t="n">
        <f aca="false">IF(AND(B126=B125,A126=A125,D126&gt;0,N(D125)&gt;0,G126&gt;N(G125)),(D126-D125)/((G126-G125)/60),"")</f>
        <v>54.5</v>
      </c>
      <c r="I126" s="22" t="str">
        <f aca="false">IFERROR(INDEX(Medidores!$B:$B,MATCH(B126,Medidores!$A:$A,0)),"")</f>
        <v>Estación celda 3</v>
      </c>
      <c r="J126" s="22" t="s">
        <v>50</v>
      </c>
    </row>
    <row r="127" customFormat="false" ht="15" hidden="false" customHeight="false" outlineLevel="0" collapsed="false">
      <c r="A127" s="21" t="n">
        <v>46302</v>
      </c>
      <c r="B127" s="22" t="s">
        <v>92</v>
      </c>
      <c r="C127" s="23" t="n">
        <v>0.322916666666667</v>
      </c>
      <c r="D127" s="24" t="n">
        <v>265423.625</v>
      </c>
      <c r="E127" s="24" t="n">
        <v>109256.297</v>
      </c>
      <c r="F127" s="24"/>
      <c r="G127" s="22" t="n">
        <f aca="false">HOUR(C127)*60+MINUTE(C127)</f>
        <v>465</v>
      </c>
      <c r="H127" s="25" t="n">
        <f aca="false">IF(AND(B127=B126,A127=A126,D127&gt;0,N(D126)&gt;0,G127&gt;N(G126)),(D127-D126)/((G127-G126)/60),"")</f>
        <v>46.8759999999311</v>
      </c>
      <c r="I127" s="22" t="str">
        <f aca="false">IFERROR(INDEX(Medidores!$B:$B,MATCH(B127,Medidores!$A:$A,0)),"")</f>
        <v>Estación celda 3</v>
      </c>
      <c r="J127" s="22" t="s">
        <v>51</v>
      </c>
    </row>
    <row r="128" customFormat="false" ht="15" hidden="false" customHeight="false" outlineLevel="0" collapsed="false">
      <c r="A128" s="21" t="n">
        <v>46302</v>
      </c>
      <c r="B128" s="22" t="s">
        <v>92</v>
      </c>
      <c r="C128" s="23" t="n">
        <v>0.333333333333333</v>
      </c>
      <c r="D128" s="24" t="n">
        <v>265435.469</v>
      </c>
      <c r="E128" s="24" t="n">
        <v>109262.203</v>
      </c>
      <c r="F128" s="24"/>
      <c r="G128" s="22" t="n">
        <f aca="false">HOUR(C128)*60+MINUTE(C128)</f>
        <v>480</v>
      </c>
      <c r="H128" s="25" t="n">
        <f aca="false">IF(AND(B128=B127,A128=A127,D128&gt;0,N(D127)&gt;0,G128&gt;N(G127)),(D128-D127)/((G128-G127)/60),"")</f>
        <v>47.3759999999311</v>
      </c>
      <c r="I128" s="22" t="str">
        <f aca="false">IFERROR(INDEX(Medidores!$B:$B,MATCH(B128,Medidores!$A:$A,0)),"")</f>
        <v>Estación celda 3</v>
      </c>
      <c r="J128" s="22" t="s">
        <v>52</v>
      </c>
    </row>
    <row r="129" customFormat="false" ht="15" hidden="false" customHeight="false" outlineLevel="0" collapsed="false">
      <c r="A129" s="21" t="n">
        <v>46302</v>
      </c>
      <c r="B129" s="22" t="s">
        <v>92</v>
      </c>
      <c r="C129" s="23" t="n">
        <v>0.34375</v>
      </c>
      <c r="D129" s="24" t="n">
        <v>265450.188</v>
      </c>
      <c r="E129" s="24" t="n">
        <v>109270.898</v>
      </c>
      <c r="F129" s="24"/>
      <c r="G129" s="22" t="n">
        <f aca="false">HOUR(C129)*60+MINUTE(C129)</f>
        <v>495</v>
      </c>
      <c r="H129" s="25" t="n">
        <f aca="false">IF(AND(B129=B128,A129=A128,D129&gt;0,N(D128)&gt;0,G129&gt;N(G128)),(D129-D128)/((G129-G128)/60),"")</f>
        <v>58.8760000001639</v>
      </c>
      <c r="I129" s="22" t="str">
        <f aca="false">IFERROR(INDEX(Medidores!$B:$B,MATCH(B129,Medidores!$A:$A,0)),"")</f>
        <v>Estación celda 3</v>
      </c>
      <c r="J129" s="22" t="s">
        <v>53</v>
      </c>
    </row>
    <row r="130" customFormat="false" ht="15" hidden="false" customHeight="false" outlineLevel="0" collapsed="false">
      <c r="A130" s="21" t="n">
        <v>46302</v>
      </c>
      <c r="B130" s="22" t="s">
        <v>92</v>
      </c>
      <c r="C130" s="23" t="n">
        <v>0.354166666666667</v>
      </c>
      <c r="D130" s="24" t="n">
        <v>265463.25</v>
      </c>
      <c r="E130" s="24" t="n">
        <v>109277.938</v>
      </c>
      <c r="F130" s="24"/>
      <c r="G130" s="22" t="n">
        <f aca="false">HOUR(C130)*60+MINUTE(C130)</f>
        <v>510</v>
      </c>
      <c r="H130" s="25" t="n">
        <f aca="false">IF(AND(B130=B129,A130=A129,D130&gt;0,N(D129)&gt;0,G130&gt;N(G129)),(D130-D129)/((G130-G129)/60),"")</f>
        <v>52.247999999905</v>
      </c>
      <c r="I130" s="22" t="str">
        <f aca="false">IFERROR(INDEX(Medidores!$B:$B,MATCH(B130,Medidores!$A:$A,0)),"")</f>
        <v>Estación celda 3</v>
      </c>
      <c r="J130" s="22" t="s">
        <v>54</v>
      </c>
    </row>
    <row r="131" customFormat="false" ht="15" hidden="false" customHeight="false" outlineLevel="0" collapsed="false">
      <c r="A131" s="21" t="n">
        <v>46302</v>
      </c>
      <c r="B131" s="22" t="s">
        <v>92</v>
      </c>
      <c r="C131" s="23" t="n">
        <v>0.364583333333333</v>
      </c>
      <c r="D131" s="24" t="n">
        <v>265475.438</v>
      </c>
      <c r="E131" s="24" t="n">
        <v>109284.367</v>
      </c>
      <c r="F131" s="24"/>
      <c r="G131" s="22" t="n">
        <f aca="false">HOUR(C131)*60+MINUTE(C131)</f>
        <v>525</v>
      </c>
      <c r="H131" s="25" t="n">
        <f aca="false">IF(AND(B131=B130,A131=A130,D131&gt;0,N(D130)&gt;0,G131&gt;N(G130)),(D131-D130)/((G131-G130)/60),"")</f>
        <v>48.752000000095</v>
      </c>
      <c r="I131" s="22" t="str">
        <f aca="false">IFERROR(INDEX(Medidores!$B:$B,MATCH(B131,Medidores!$A:$A,0)),"")</f>
        <v>Estación celda 3</v>
      </c>
      <c r="J131" s="22" t="s">
        <v>55</v>
      </c>
    </row>
    <row r="132" customFormat="false" ht="15" hidden="false" customHeight="false" outlineLevel="0" collapsed="false">
      <c r="A132" s="21" t="n">
        <v>46302</v>
      </c>
      <c r="B132" s="22" t="s">
        <v>92</v>
      </c>
      <c r="C132" s="23" t="n">
        <v>0.375</v>
      </c>
      <c r="D132" s="24" t="n">
        <v>265490.938</v>
      </c>
      <c r="E132" s="24" t="n">
        <v>109293.477</v>
      </c>
      <c r="F132" s="24"/>
      <c r="G132" s="22" t="n">
        <f aca="false">HOUR(C132)*60+MINUTE(C132)</f>
        <v>540</v>
      </c>
      <c r="H132" s="25" t="n">
        <f aca="false">IF(AND(B132=B131,A132=A131,D132&gt;0,N(D131)&gt;0,G132&gt;N(G131)),(D132-D131)/((G132-G131)/60),"")</f>
        <v>62</v>
      </c>
      <c r="I132" s="22" t="str">
        <f aca="false">IFERROR(INDEX(Medidores!$B:$B,MATCH(B132,Medidores!$A:$A,0)),"")</f>
        <v>Estación celda 3</v>
      </c>
      <c r="J132" s="22" t="s">
        <v>56</v>
      </c>
    </row>
    <row r="133" customFormat="false" ht="15" hidden="false" customHeight="false" outlineLevel="0" collapsed="false">
      <c r="A133" s="21" t="n">
        <v>46302</v>
      </c>
      <c r="B133" s="22" t="s">
        <v>92</v>
      </c>
      <c r="C133" s="23" t="n">
        <v>0.385416666666667</v>
      </c>
      <c r="D133" s="24" t="n">
        <v>265503.625</v>
      </c>
      <c r="E133" s="24" t="n">
        <v>109300.383</v>
      </c>
      <c r="F133" s="24"/>
      <c r="G133" s="22" t="n">
        <f aca="false">HOUR(C133)*60+MINUTE(C133)</f>
        <v>555</v>
      </c>
      <c r="H133" s="25" t="n">
        <f aca="false">IF(AND(B133=B132,A133=A132,D133&gt;0,N(D132)&gt;0,G133&gt;N(G132)),(D133-D132)/((G133-G132)/60),"")</f>
        <v>50.747999999905</v>
      </c>
      <c r="I133" s="22" t="str">
        <f aca="false">IFERROR(INDEX(Medidores!$B:$B,MATCH(B133,Medidores!$A:$A,0)),"")</f>
        <v>Estación celda 3</v>
      </c>
      <c r="J133" s="22" t="s">
        <v>57</v>
      </c>
    </row>
    <row r="134" customFormat="false" ht="15" hidden="false" customHeight="false" outlineLevel="0" collapsed="false">
      <c r="A134" s="21" t="n">
        <v>46302</v>
      </c>
      <c r="B134" s="22" t="s">
        <v>92</v>
      </c>
      <c r="C134" s="23" t="n">
        <v>0.395833333333333</v>
      </c>
      <c r="D134" s="24" t="n">
        <v>265516.156</v>
      </c>
      <c r="E134" s="24" t="n">
        <v>109307.008</v>
      </c>
      <c r="F134" s="24"/>
      <c r="G134" s="22" t="n">
        <f aca="false">HOUR(C134)*60+MINUTE(C134)</f>
        <v>570</v>
      </c>
      <c r="H134" s="25" t="n">
        <f aca="false">IF(AND(B134=B133,A134=A133,D134&gt;0,N(D133)&gt;0,G134&gt;N(G133)),(D134-D133)/((G134-G133)/60),"")</f>
        <v>50.1240000000689</v>
      </c>
      <c r="I134" s="22" t="str">
        <f aca="false">IFERROR(INDEX(Medidores!$B:$B,MATCH(B134,Medidores!$A:$A,0)),"")</f>
        <v>Estación celda 3</v>
      </c>
      <c r="J134" s="22" t="s">
        <v>58</v>
      </c>
    </row>
    <row r="135" customFormat="false" ht="15" hidden="false" customHeight="false" outlineLevel="0" collapsed="false">
      <c r="A135" s="21" t="n">
        <v>46302</v>
      </c>
      <c r="B135" s="22" t="s">
        <v>92</v>
      </c>
      <c r="C135" s="23" t="n">
        <v>0.40625</v>
      </c>
      <c r="D135" s="24" t="n">
        <v>265530.594</v>
      </c>
      <c r="E135" s="24" t="n">
        <v>109314.258</v>
      </c>
      <c r="F135" s="24"/>
      <c r="G135" s="22" t="n">
        <f aca="false">HOUR(C135)*60+MINUTE(C135)</f>
        <v>585</v>
      </c>
      <c r="H135" s="25" t="n">
        <f aca="false">IF(AND(B135=B134,A135=A134,D135&gt;0,N(D134)&gt;0,G135&gt;N(G134)),(D135-D134)/((G135-G134)/60),"")</f>
        <v>57.7519999998622</v>
      </c>
      <c r="I135" s="22" t="str">
        <f aca="false">IFERROR(INDEX(Medidores!$B:$B,MATCH(B135,Medidores!$A:$A,0)),"")</f>
        <v>Estación celda 3</v>
      </c>
      <c r="J135" s="22" t="s">
        <v>59</v>
      </c>
    </row>
    <row r="136" customFormat="false" ht="15" hidden="false" customHeight="false" outlineLevel="0" collapsed="false">
      <c r="A136" s="21" t="n">
        <v>46302</v>
      </c>
      <c r="B136" s="22" t="s">
        <v>92</v>
      </c>
      <c r="C136" s="23" t="n">
        <v>0.416666666666667</v>
      </c>
      <c r="D136" s="24" t="n">
        <v>265542.969</v>
      </c>
      <c r="E136" s="24" t="n">
        <v>109320.102</v>
      </c>
      <c r="F136" s="24"/>
      <c r="G136" s="22" t="n">
        <f aca="false">HOUR(C136)*60+MINUTE(C136)</f>
        <v>600</v>
      </c>
      <c r="H136" s="25" t="n">
        <f aca="false">IF(AND(B136=B135,A136=A135,D136&gt;0,N(D135)&gt;0,G136&gt;N(G135)),(D136-D135)/((G136-G135)/60),"")</f>
        <v>49.5</v>
      </c>
      <c r="I136" s="22" t="str">
        <f aca="false">IFERROR(INDEX(Medidores!$B:$B,MATCH(B136,Medidores!$A:$A,0)),"")</f>
        <v>Estación celda 3</v>
      </c>
      <c r="J136" s="22" t="s">
        <v>60</v>
      </c>
    </row>
    <row r="137" customFormat="false" ht="15" hidden="false" customHeight="false" outlineLevel="0" collapsed="false">
      <c r="A137" s="21" t="n">
        <v>46302</v>
      </c>
      <c r="B137" s="22" t="s">
        <v>92</v>
      </c>
      <c r="C137" s="23" t="n">
        <v>0.427083333333333</v>
      </c>
      <c r="D137" s="24" t="n">
        <v>265556.438</v>
      </c>
      <c r="E137" s="24" t="n">
        <v>109327.648</v>
      </c>
      <c r="F137" s="24"/>
      <c r="G137" s="22" t="n">
        <f aca="false">HOUR(C137)*60+MINUTE(C137)</f>
        <v>615</v>
      </c>
      <c r="H137" s="25" t="n">
        <f aca="false">IF(AND(B137=B136,A137=A136,D137&gt;0,N(D136)&gt;0,G137&gt;N(G136)),(D137-D136)/((G137-G136)/60),"")</f>
        <v>53.8760000001639</v>
      </c>
      <c r="I137" s="22" t="str">
        <f aca="false">IFERROR(INDEX(Medidores!$B:$B,MATCH(B137,Medidores!$A:$A,0)),"")</f>
        <v>Estación celda 3</v>
      </c>
      <c r="J137" s="22" t="s">
        <v>61</v>
      </c>
    </row>
    <row r="138" customFormat="false" ht="15" hidden="false" customHeight="false" outlineLevel="0" collapsed="false">
      <c r="A138" s="21" t="n">
        <v>46302</v>
      </c>
      <c r="B138" s="22" t="s">
        <v>92</v>
      </c>
      <c r="C138" s="23" t="n">
        <v>0.4375</v>
      </c>
      <c r="D138" s="24" t="n">
        <v>265568.719</v>
      </c>
      <c r="E138" s="24" t="n">
        <v>109333.859</v>
      </c>
      <c r="F138" s="24"/>
      <c r="G138" s="22" t="n">
        <f aca="false">HOUR(C138)*60+MINUTE(C138)</f>
        <v>630</v>
      </c>
      <c r="H138" s="25" t="n">
        <f aca="false">IF(AND(B138=B137,A138=A137,D138&gt;0,N(D137)&gt;0,G138&gt;N(G137)),(D138-D137)/((G138-G137)/60),"")</f>
        <v>49.1239999998361</v>
      </c>
      <c r="I138" s="22" t="str">
        <f aca="false">IFERROR(INDEX(Medidores!$B:$B,MATCH(B138,Medidores!$A:$A,0)),"")</f>
        <v>Estación celda 3</v>
      </c>
      <c r="J138" s="22" t="s">
        <v>62</v>
      </c>
    </row>
    <row r="139" customFormat="false" ht="15" hidden="false" customHeight="false" outlineLevel="0" collapsed="false">
      <c r="A139" s="21" t="n">
        <v>46302</v>
      </c>
      <c r="B139" s="22" t="s">
        <v>92</v>
      </c>
      <c r="C139" s="23" t="n">
        <v>0.447916666666667</v>
      </c>
      <c r="D139" s="24" t="n">
        <v>265580.094</v>
      </c>
      <c r="E139" s="24" t="n">
        <v>109339.266</v>
      </c>
      <c r="F139" s="24"/>
      <c r="G139" s="22" t="n">
        <f aca="false">HOUR(C139)*60+MINUTE(C139)</f>
        <v>645</v>
      </c>
      <c r="H139" s="25" t="n">
        <f aca="false">IF(AND(B139=B138,A139=A138,D139&gt;0,N(D138)&gt;0,G139&gt;N(G138)),(D139-D138)/((G139-G138)/60),"")</f>
        <v>45.5</v>
      </c>
      <c r="I139" s="22" t="str">
        <f aca="false">IFERROR(INDEX(Medidores!$B:$B,MATCH(B139,Medidores!$A:$A,0)),"")</f>
        <v>Estación celda 3</v>
      </c>
      <c r="J139" s="22" t="s">
        <v>63</v>
      </c>
    </row>
    <row r="140" customFormat="false" ht="15" hidden="false" customHeight="false" outlineLevel="0" collapsed="false">
      <c r="A140" s="21" t="n">
        <v>46302</v>
      </c>
      <c r="B140" s="22" t="s">
        <v>92</v>
      </c>
      <c r="C140" s="23" t="n">
        <v>0.458333333333333</v>
      </c>
      <c r="D140" s="24" t="n">
        <v>265593.375</v>
      </c>
      <c r="E140" s="24" t="n">
        <v>109346.641</v>
      </c>
      <c r="F140" s="24"/>
      <c r="G140" s="22" t="n">
        <f aca="false">HOUR(C140)*60+MINUTE(C140)</f>
        <v>660</v>
      </c>
      <c r="H140" s="25" t="n">
        <f aca="false">IF(AND(B140=B139,A140=A139,D140&gt;0,N(D139)&gt;0,G140&gt;N(G139)),(D140-D139)/((G140-G139)/60),"")</f>
        <v>53.1240000000689</v>
      </c>
      <c r="I140" s="22" t="str">
        <f aca="false">IFERROR(INDEX(Medidores!$B:$B,MATCH(B140,Medidores!$A:$A,0)),"")</f>
        <v>Estación celda 3</v>
      </c>
      <c r="J140" s="22" t="s">
        <v>64</v>
      </c>
    </row>
    <row r="141" customFormat="false" ht="15" hidden="false" customHeight="false" outlineLevel="0" collapsed="false">
      <c r="A141" s="21" t="n">
        <v>46302</v>
      </c>
      <c r="B141" s="22" t="s">
        <v>92</v>
      </c>
      <c r="C141" s="23" t="n">
        <v>0.46875</v>
      </c>
      <c r="D141" s="24" t="n">
        <v>265604.281</v>
      </c>
      <c r="E141" s="24" t="n">
        <v>109352.016</v>
      </c>
      <c r="F141" s="24"/>
      <c r="G141" s="22" t="n">
        <f aca="false">HOUR(C141)*60+MINUTE(C141)</f>
        <v>675</v>
      </c>
      <c r="H141" s="25" t="n">
        <f aca="false">IF(AND(B141=B140,A141=A140,D141&gt;0,N(D140)&gt;0,G141&gt;N(G140)),(D141-D140)/((G141-G140)/60),"")</f>
        <v>43.6240000000689</v>
      </c>
      <c r="I141" s="22" t="str">
        <f aca="false">IFERROR(INDEX(Medidores!$B:$B,MATCH(B141,Medidores!$A:$A,0)),"")</f>
        <v>Estación celda 3</v>
      </c>
      <c r="J141" s="22" t="s">
        <v>86</v>
      </c>
    </row>
    <row r="142" customFormat="false" ht="15" hidden="false" customHeight="false" outlineLevel="0" collapsed="false">
      <c r="A142" s="21" t="n">
        <v>46302</v>
      </c>
      <c r="B142" s="22" t="s">
        <v>93</v>
      </c>
      <c r="C142" s="23" t="n">
        <v>0.270833333333333</v>
      </c>
      <c r="D142" s="24" t="n">
        <v>432776.563</v>
      </c>
      <c r="E142" s="24" t="n">
        <v>172677.563</v>
      </c>
      <c r="F142" s="24" t="n">
        <v>467890.781</v>
      </c>
      <c r="G142" s="22" t="n">
        <f aca="false">HOUR(C142)*60+MINUTE(C142)</f>
        <v>390</v>
      </c>
      <c r="H142" s="25" t="str">
        <f aca="false">IF(AND(B142=B141,A142=A141,D142&gt;0,N(D141)&gt;0,G142&gt;N(G141)),(D142-D141)/((G142-G141)/60),"")</f>
        <v/>
      </c>
      <c r="I142" s="22" t="str">
        <f aca="false">IFERROR(INDEX(Medidores!$B:$B,MATCH(B142,Medidores!$A:$A,0)),"")</f>
        <v>Estación celda 2</v>
      </c>
      <c r="J142" s="22" t="s">
        <v>46</v>
      </c>
    </row>
    <row r="143" customFormat="false" ht="15" hidden="false" customHeight="false" outlineLevel="0" collapsed="false">
      <c r="A143" s="21" t="n">
        <v>46302</v>
      </c>
      <c r="B143" s="22" t="s">
        <v>93</v>
      </c>
      <c r="C143" s="23" t="n">
        <v>0.28125</v>
      </c>
      <c r="D143" s="24" t="n">
        <v>432787.969</v>
      </c>
      <c r="E143" s="24" t="n">
        <v>172682.156</v>
      </c>
      <c r="F143" s="24" t="n">
        <v>467903.031</v>
      </c>
      <c r="G143" s="22" t="n">
        <f aca="false">HOUR(C143)*60+MINUTE(C143)</f>
        <v>405</v>
      </c>
      <c r="H143" s="25" t="n">
        <f aca="false">IF(AND(B143=B142,A143=A142,D143&gt;0,N(D142)&gt;0,G143&gt;N(G142)),(D143-D142)/((G143-G142)/60),"")</f>
        <v>45.6239999998361</v>
      </c>
      <c r="I143" s="22" t="str">
        <f aca="false">IFERROR(INDEX(Medidores!$B:$B,MATCH(B143,Medidores!$A:$A,0)),"")</f>
        <v>Estación celda 2</v>
      </c>
      <c r="J143" s="22" t="s">
        <v>47</v>
      </c>
    </row>
    <row r="144" customFormat="false" ht="15" hidden="false" customHeight="false" outlineLevel="0" collapsed="false">
      <c r="A144" s="21" t="n">
        <v>46302</v>
      </c>
      <c r="B144" s="22" t="s">
        <v>93</v>
      </c>
      <c r="C144" s="23" t="n">
        <v>0.291666666666667</v>
      </c>
      <c r="D144" s="24" t="n">
        <v>432800.469</v>
      </c>
      <c r="E144" s="24" t="n">
        <v>172687.297</v>
      </c>
      <c r="F144" s="24" t="n">
        <v>467916.563</v>
      </c>
      <c r="G144" s="22" t="n">
        <f aca="false">HOUR(C144)*60+MINUTE(C144)</f>
        <v>420</v>
      </c>
      <c r="H144" s="25" t="n">
        <f aca="false">IF(AND(B144=B143,A144=A143,D144&gt;0,N(D143)&gt;0,G144&gt;N(G143)),(D144-D143)/((G144-G143)/60),"")</f>
        <v>50</v>
      </c>
      <c r="I144" s="22" t="str">
        <f aca="false">IFERROR(INDEX(Medidores!$B:$B,MATCH(B144,Medidores!$A:$A,0)),"")</f>
        <v>Estación celda 2</v>
      </c>
      <c r="J144" s="22" t="s">
        <v>48</v>
      </c>
    </row>
    <row r="145" customFormat="false" ht="15" hidden="false" customHeight="false" outlineLevel="0" collapsed="false">
      <c r="A145" s="21" t="n">
        <v>46302</v>
      </c>
      <c r="B145" s="22" t="s">
        <v>93</v>
      </c>
      <c r="C145" s="23" t="n">
        <v>0.302083333333333</v>
      </c>
      <c r="D145" s="24" t="n">
        <v>432819.719</v>
      </c>
      <c r="E145" s="24" t="n">
        <v>172695.188</v>
      </c>
      <c r="F145" s="24" t="n">
        <v>467937.375</v>
      </c>
      <c r="G145" s="22" t="n">
        <f aca="false">HOUR(C145)*60+MINUTE(C145)</f>
        <v>435</v>
      </c>
      <c r="H145" s="25" t="n">
        <f aca="false">IF(AND(B145=B144,A145=A144,D145&gt;0,N(D144)&gt;0,G145&gt;N(G144)),(D145-D144)/((G145-G144)/60),"")</f>
        <v>77</v>
      </c>
      <c r="I145" s="22" t="str">
        <f aca="false">IFERROR(INDEX(Medidores!$B:$B,MATCH(B145,Medidores!$A:$A,0)),"")</f>
        <v>Estación celda 2</v>
      </c>
      <c r="J145" s="22" t="s">
        <v>49</v>
      </c>
    </row>
    <row r="146" customFormat="false" ht="15" hidden="false" customHeight="false" outlineLevel="0" collapsed="false">
      <c r="A146" s="21" t="n">
        <v>46302</v>
      </c>
      <c r="B146" s="22" t="s">
        <v>93</v>
      </c>
      <c r="C146" s="23" t="n">
        <v>0.3125</v>
      </c>
      <c r="D146" s="24" t="n">
        <v>432841.813</v>
      </c>
      <c r="E146" s="24" t="n">
        <v>172703.609</v>
      </c>
      <c r="F146" s="24" t="n">
        <v>467961.031</v>
      </c>
      <c r="G146" s="22" t="n">
        <f aca="false">HOUR(C146)*60+MINUTE(C146)</f>
        <v>450</v>
      </c>
      <c r="H146" s="25" t="n">
        <f aca="false">IF(AND(B146=B145,A146=A145,D146&gt;0,N(D145)&gt;0,G146&gt;N(G145)),(D146-D145)/((G146-G145)/60),"")</f>
        <v>88.3760000001639</v>
      </c>
      <c r="I146" s="22" t="str">
        <f aca="false">IFERROR(INDEX(Medidores!$B:$B,MATCH(B146,Medidores!$A:$A,0)),"")</f>
        <v>Estación celda 2</v>
      </c>
      <c r="J146" s="22" t="s">
        <v>50</v>
      </c>
    </row>
    <row r="147" customFormat="false" ht="15" hidden="false" customHeight="false" outlineLevel="0" collapsed="false">
      <c r="A147" s="21" t="n">
        <v>46302</v>
      </c>
      <c r="B147" s="22" t="s">
        <v>93</v>
      </c>
      <c r="C147" s="23" t="n">
        <v>0.322916666666667</v>
      </c>
      <c r="D147" s="24" t="n">
        <v>432863.781</v>
      </c>
      <c r="E147" s="24" t="n">
        <v>172712.641</v>
      </c>
      <c r="F147" s="24" t="n">
        <v>467984.813</v>
      </c>
      <c r="G147" s="22" t="n">
        <f aca="false">HOUR(C147)*60+MINUTE(C147)</f>
        <v>465</v>
      </c>
      <c r="H147" s="25" t="n">
        <f aca="false">IF(AND(B147=B146,A147=A146,D147&gt;0,N(D146)&gt;0,G147&gt;N(G146)),(D147-D146)/((G147-G146)/60),"")</f>
        <v>87.8719999999739</v>
      </c>
      <c r="I147" s="22" t="str">
        <f aca="false">IFERROR(INDEX(Medidores!$B:$B,MATCH(B147,Medidores!$A:$A,0)),"")</f>
        <v>Estación celda 2</v>
      </c>
      <c r="J147" s="22" t="s">
        <v>51</v>
      </c>
    </row>
    <row r="148" customFormat="false" ht="15" hidden="false" customHeight="false" outlineLevel="0" collapsed="false">
      <c r="A148" s="21" t="n">
        <v>46302</v>
      </c>
      <c r="B148" s="22" t="s">
        <v>93</v>
      </c>
      <c r="C148" s="23" t="n">
        <v>0.333333333333333</v>
      </c>
      <c r="D148" s="24" t="n">
        <v>432885.469</v>
      </c>
      <c r="E148" s="24" t="n">
        <v>172721.906</v>
      </c>
      <c r="F148" s="24" t="n">
        <v>468008.375</v>
      </c>
      <c r="G148" s="22" t="n">
        <f aca="false">HOUR(C148)*60+MINUTE(C148)</f>
        <v>480</v>
      </c>
      <c r="H148" s="25" t="n">
        <f aca="false">IF(AND(B148=B147,A148=A147,D148&gt;0,N(D147)&gt;0,G148&gt;N(G147)),(D148-D147)/((G148-G147)/60),"")</f>
        <v>86.7519999998622</v>
      </c>
      <c r="I148" s="22" t="str">
        <f aca="false">IFERROR(INDEX(Medidores!$B:$B,MATCH(B148,Medidores!$A:$A,0)),"")</f>
        <v>Estación celda 2</v>
      </c>
      <c r="J148" s="22" t="s">
        <v>52</v>
      </c>
    </row>
    <row r="149" customFormat="false" ht="15" hidden="false" customHeight="false" outlineLevel="0" collapsed="false">
      <c r="A149" s="21" t="n">
        <v>46302</v>
      </c>
      <c r="B149" s="22" t="s">
        <v>93</v>
      </c>
      <c r="C149" s="23" t="n">
        <v>0.34375</v>
      </c>
      <c r="D149" s="24" t="n">
        <v>432907.594</v>
      </c>
      <c r="E149" s="24" t="n">
        <v>172731.125</v>
      </c>
      <c r="F149" s="24" t="n">
        <v>468032.313</v>
      </c>
      <c r="G149" s="22" t="n">
        <f aca="false">HOUR(C149)*60+MINUTE(C149)</f>
        <v>495</v>
      </c>
      <c r="H149" s="25" t="n">
        <f aca="false">IF(AND(B149=B148,A149=A148,D149&gt;0,N(D148)&gt;0,G149&gt;N(G148)),(D149-D148)/((G149-G148)/60),"")</f>
        <v>88.5</v>
      </c>
      <c r="I149" s="22" t="str">
        <f aca="false">IFERROR(INDEX(Medidores!$B:$B,MATCH(B149,Medidores!$A:$A,0)),"")</f>
        <v>Estación celda 2</v>
      </c>
      <c r="J149" s="22" t="s">
        <v>53</v>
      </c>
    </row>
    <row r="150" customFormat="false" ht="15" hidden="false" customHeight="false" outlineLevel="0" collapsed="false">
      <c r="A150" s="21" t="n">
        <v>46302</v>
      </c>
      <c r="B150" s="22" t="s">
        <v>93</v>
      </c>
      <c r="C150" s="23" t="n">
        <v>0.354166666666667</v>
      </c>
      <c r="D150" s="24" t="n">
        <v>432929.781</v>
      </c>
      <c r="E150" s="24" t="n">
        <v>172740.344</v>
      </c>
      <c r="F150" s="24" t="n">
        <v>468056.375</v>
      </c>
      <c r="G150" s="22" t="n">
        <f aca="false">HOUR(C150)*60+MINUTE(C150)</f>
        <v>510</v>
      </c>
      <c r="H150" s="25" t="n">
        <f aca="false">IF(AND(B150=B149,A150=A149,D150&gt;0,N(D149)&gt;0,G150&gt;N(G149)),(D150-D149)/((G150-G149)/60),"")</f>
        <v>88.7480000001378</v>
      </c>
      <c r="I150" s="22" t="str">
        <f aca="false">IFERROR(INDEX(Medidores!$B:$B,MATCH(B150,Medidores!$A:$A,0)),"")</f>
        <v>Estación celda 2</v>
      </c>
      <c r="J150" s="22" t="s">
        <v>54</v>
      </c>
    </row>
    <row r="151" customFormat="false" ht="15" hidden="false" customHeight="false" outlineLevel="0" collapsed="false">
      <c r="A151" s="21" t="n">
        <v>46302</v>
      </c>
      <c r="B151" s="22" t="s">
        <v>93</v>
      </c>
      <c r="C151" s="23" t="n">
        <v>0.364583333333333</v>
      </c>
      <c r="D151" s="24" t="n">
        <v>432951.625</v>
      </c>
      <c r="E151" s="24" t="n">
        <v>172749.406</v>
      </c>
      <c r="F151" s="24" t="n">
        <v>468080</v>
      </c>
      <c r="G151" s="22" t="n">
        <f aca="false">HOUR(C151)*60+MINUTE(C151)</f>
        <v>525</v>
      </c>
      <c r="H151" s="25" t="n">
        <f aca="false">IF(AND(B151=B150,A151=A150,D151&gt;0,N(D150)&gt;0,G151&gt;N(G150)),(D151-D150)/((G151-G150)/60),"")</f>
        <v>87.3759999999311</v>
      </c>
      <c r="I151" s="22" t="str">
        <f aca="false">IFERROR(INDEX(Medidores!$B:$B,MATCH(B151,Medidores!$A:$A,0)),"")</f>
        <v>Estación celda 2</v>
      </c>
      <c r="J151" s="22" t="s">
        <v>55</v>
      </c>
    </row>
    <row r="152" customFormat="false" ht="15" hidden="false" customHeight="false" outlineLevel="0" collapsed="false">
      <c r="A152" s="21" t="n">
        <v>46302</v>
      </c>
      <c r="B152" s="22" t="s">
        <v>93</v>
      </c>
      <c r="C152" s="23" t="n">
        <v>0.375</v>
      </c>
      <c r="D152" s="24" t="n">
        <v>432974.281</v>
      </c>
      <c r="E152" s="24" t="n">
        <v>172758.5</v>
      </c>
      <c r="F152" s="24" t="n">
        <v>468104.406</v>
      </c>
      <c r="G152" s="22" t="n">
        <f aca="false">HOUR(C152)*60+MINUTE(C152)</f>
        <v>540</v>
      </c>
      <c r="H152" s="25" t="n">
        <f aca="false">IF(AND(B152=B151,A152=A151,D152&gt;0,N(D151)&gt;0,G152&gt;N(G151)),(D152-D151)/((G152-G151)/60),"")</f>
        <v>90.6240000000689</v>
      </c>
      <c r="I152" s="22" t="str">
        <f aca="false">IFERROR(INDEX(Medidores!$B:$B,MATCH(B152,Medidores!$A:$A,0)),"")</f>
        <v>Estación celda 2</v>
      </c>
      <c r="J152" s="22" t="s">
        <v>56</v>
      </c>
    </row>
    <row r="153" customFormat="false" ht="15" hidden="false" customHeight="false" outlineLevel="0" collapsed="false">
      <c r="A153" s="21" t="n">
        <v>46302</v>
      </c>
      <c r="B153" s="22" t="s">
        <v>93</v>
      </c>
      <c r="C153" s="23" t="n">
        <v>0.385416666666667</v>
      </c>
      <c r="D153" s="24" t="n">
        <v>432996.375</v>
      </c>
      <c r="E153" s="24" t="n">
        <v>172767.484</v>
      </c>
      <c r="F153" s="24" t="n">
        <v>468128.281</v>
      </c>
      <c r="G153" s="22" t="n">
        <f aca="false">HOUR(C153)*60+MINUTE(C153)</f>
        <v>555</v>
      </c>
      <c r="H153" s="25" t="n">
        <f aca="false">IF(AND(B153=B152,A153=A152,D153&gt;0,N(D152)&gt;0,G153&gt;N(G152)),(D153-D152)/((G153-G152)/60),"")</f>
        <v>88.3759999999311</v>
      </c>
      <c r="I153" s="22" t="str">
        <f aca="false">IFERROR(INDEX(Medidores!$B:$B,MATCH(B153,Medidores!$A:$A,0)),"")</f>
        <v>Estación celda 2</v>
      </c>
      <c r="J153" s="22" t="s">
        <v>57</v>
      </c>
    </row>
    <row r="154" customFormat="false" ht="15" hidden="false" customHeight="false" outlineLevel="0" collapsed="false">
      <c r="A154" s="21" t="n">
        <v>46302</v>
      </c>
      <c r="B154" s="22" t="s">
        <v>93</v>
      </c>
      <c r="C154" s="23" t="n">
        <v>0.395833333333333</v>
      </c>
      <c r="D154" s="24" t="n">
        <v>433018.344</v>
      </c>
      <c r="E154" s="24" t="n">
        <v>172776.5</v>
      </c>
      <c r="F154" s="24" t="n">
        <v>468152.031</v>
      </c>
      <c r="G154" s="22" t="n">
        <f aca="false">HOUR(C154)*60+MINUTE(C154)</f>
        <v>570</v>
      </c>
      <c r="H154" s="25" t="n">
        <f aca="false">IF(AND(B154=B153,A154=A153,D154&gt;0,N(D153)&gt;0,G154&gt;N(G153)),(D154-D153)/((G154-G153)/60),"")</f>
        <v>87.8759999999311</v>
      </c>
      <c r="I154" s="22" t="str">
        <f aca="false">IFERROR(INDEX(Medidores!$B:$B,MATCH(B154,Medidores!$A:$A,0)),"")</f>
        <v>Estación celda 2</v>
      </c>
      <c r="J154" s="22" t="s">
        <v>58</v>
      </c>
    </row>
    <row r="155" customFormat="false" ht="15" hidden="false" customHeight="false" outlineLevel="0" collapsed="false">
      <c r="A155" s="21" t="n">
        <v>46302</v>
      </c>
      <c r="B155" s="22" t="s">
        <v>93</v>
      </c>
      <c r="C155" s="23" t="n">
        <v>0.40625</v>
      </c>
      <c r="D155" s="24" t="n">
        <v>433041.781</v>
      </c>
      <c r="E155" s="24" t="n">
        <v>172786.297</v>
      </c>
      <c r="F155" s="24" t="n">
        <v>468177.469</v>
      </c>
      <c r="G155" s="22" t="n">
        <f aca="false">HOUR(C155)*60+MINUTE(C155)</f>
        <v>585</v>
      </c>
      <c r="H155" s="25" t="n">
        <f aca="false">IF(AND(B155=B154,A155=A154,D155&gt;0,N(D154)&gt;0,G155&gt;N(G154)),(D155-D154)/((G155-G154)/60),"")</f>
        <v>93.7480000001378</v>
      </c>
      <c r="I155" s="22" t="str">
        <f aca="false">IFERROR(INDEX(Medidores!$B:$B,MATCH(B155,Medidores!$A:$A,0)),"")</f>
        <v>Estación celda 2</v>
      </c>
      <c r="J155" s="22" t="s">
        <v>59</v>
      </c>
    </row>
    <row r="156" customFormat="false" ht="15" hidden="false" customHeight="false" outlineLevel="0" collapsed="false">
      <c r="A156" s="21" t="n">
        <v>46302</v>
      </c>
      <c r="B156" s="22" t="s">
        <v>93</v>
      </c>
      <c r="C156" s="23" t="n">
        <v>0.416666666666667</v>
      </c>
      <c r="D156" s="24" t="n">
        <v>433066.25</v>
      </c>
      <c r="E156" s="24" t="n">
        <v>172796.375</v>
      </c>
      <c r="F156" s="24" t="n">
        <v>468203.875</v>
      </c>
      <c r="G156" s="22" t="n">
        <f aca="false">HOUR(C156)*60+MINUTE(C156)</f>
        <v>600</v>
      </c>
      <c r="H156" s="25" t="n">
        <f aca="false">IF(AND(B156=B155,A156=A155,D156&gt;0,N(D155)&gt;0,G156&gt;N(G155)),(D156-D155)/((G156-G155)/60),"")</f>
        <v>97.8759999999311</v>
      </c>
      <c r="I156" s="22" t="str">
        <f aca="false">IFERROR(INDEX(Medidores!$B:$B,MATCH(B156,Medidores!$A:$A,0)),"")</f>
        <v>Estación celda 2</v>
      </c>
      <c r="J156" s="22" t="s">
        <v>60</v>
      </c>
    </row>
    <row r="157" customFormat="false" ht="15" hidden="false" customHeight="false" outlineLevel="0" collapsed="false">
      <c r="A157" s="21" t="n">
        <v>46302</v>
      </c>
      <c r="B157" s="22" t="s">
        <v>93</v>
      </c>
      <c r="C157" s="23" t="n">
        <v>0.427083333333333</v>
      </c>
      <c r="D157" s="24" t="n">
        <v>433090.438</v>
      </c>
      <c r="E157" s="24" t="n">
        <v>172806.453</v>
      </c>
      <c r="F157" s="24" t="n">
        <v>468230.125</v>
      </c>
      <c r="G157" s="22" t="n">
        <f aca="false">HOUR(C157)*60+MINUTE(C157)</f>
        <v>615</v>
      </c>
      <c r="H157" s="25" t="n">
        <f aca="false">IF(AND(B157=B156,A157=A156,D157&gt;0,N(D156)&gt;0,G157&gt;N(G156)),(D157-D156)/((G157-G156)/60),"")</f>
        <v>96.752000000095</v>
      </c>
      <c r="I157" s="22" t="str">
        <f aca="false">IFERROR(INDEX(Medidores!$B:$B,MATCH(B157,Medidores!$A:$A,0)),"")</f>
        <v>Estación celda 2</v>
      </c>
      <c r="J157" s="22" t="s">
        <v>61</v>
      </c>
    </row>
    <row r="158" customFormat="false" ht="15" hidden="false" customHeight="false" outlineLevel="0" collapsed="false">
      <c r="A158" s="21" t="n">
        <v>46302</v>
      </c>
      <c r="B158" s="22" t="s">
        <v>93</v>
      </c>
      <c r="C158" s="23" t="n">
        <v>0.4375</v>
      </c>
      <c r="D158" s="24" t="n">
        <v>433112.813</v>
      </c>
      <c r="E158" s="24" t="n">
        <v>172816</v>
      </c>
      <c r="F158" s="24" t="n">
        <v>468254.438</v>
      </c>
      <c r="G158" s="22" t="n">
        <f aca="false">HOUR(C158)*60+MINUTE(C158)</f>
        <v>630</v>
      </c>
      <c r="H158" s="25" t="n">
        <f aca="false">IF(AND(B158=B157,A158=A157,D158&gt;0,N(D157)&gt;0,G158&gt;N(G157)),(D158-D157)/((G158-G157)/60),"")</f>
        <v>89.5</v>
      </c>
      <c r="I158" s="22" t="str">
        <f aca="false">IFERROR(INDEX(Medidores!$B:$B,MATCH(B158,Medidores!$A:$A,0)),"")</f>
        <v>Estación celda 2</v>
      </c>
      <c r="J158" s="22" t="s">
        <v>62</v>
      </c>
    </row>
    <row r="159" customFormat="false" ht="15" hidden="false" customHeight="false" outlineLevel="0" collapsed="false">
      <c r="A159" s="21" t="n">
        <v>46302</v>
      </c>
      <c r="B159" s="22" t="s">
        <v>93</v>
      </c>
      <c r="C159" s="23" t="n">
        <v>0.447916666666667</v>
      </c>
      <c r="D159" s="24" t="n">
        <v>433133.188</v>
      </c>
      <c r="E159" s="24" t="n">
        <v>172825.109</v>
      </c>
      <c r="F159" s="24" t="n">
        <v>468276.75</v>
      </c>
      <c r="G159" s="22" t="n">
        <f aca="false">HOUR(C159)*60+MINUTE(C159)</f>
        <v>645</v>
      </c>
      <c r="H159" s="25" t="n">
        <f aca="false">IF(AND(B159=B158,A159=A158,D159&gt;0,N(D158)&gt;0,G159&gt;N(G158)),(D159-D158)/((G159-G158)/60),"")</f>
        <v>81.5</v>
      </c>
      <c r="I159" s="22" t="str">
        <f aca="false">IFERROR(INDEX(Medidores!$B:$B,MATCH(B159,Medidores!$A:$A,0)),"")</f>
        <v>Estación celda 2</v>
      </c>
      <c r="J159" s="22" t="s">
        <v>63</v>
      </c>
    </row>
    <row r="160" customFormat="false" ht="15" hidden="false" customHeight="false" outlineLevel="0" collapsed="false">
      <c r="A160" s="21" t="n">
        <v>46302</v>
      </c>
      <c r="B160" s="22" t="s">
        <v>93</v>
      </c>
      <c r="C160" s="23" t="n">
        <v>0.458333333333333</v>
      </c>
      <c r="D160" s="24" t="n">
        <v>433154.938</v>
      </c>
      <c r="E160" s="24" t="n">
        <v>172834.563</v>
      </c>
      <c r="F160" s="24" t="n">
        <v>468300.469</v>
      </c>
      <c r="G160" s="22" t="n">
        <f aca="false">HOUR(C160)*60+MINUTE(C160)</f>
        <v>660</v>
      </c>
      <c r="H160" s="25" t="n">
        <f aca="false">IF(AND(B160=B159,A160=A159,D160&gt;0,N(D159)&gt;0,G160&gt;N(G159)),(D160-D159)/((G160-G159)/60),"")</f>
        <v>87</v>
      </c>
      <c r="I160" s="22" t="str">
        <f aca="false">IFERROR(INDEX(Medidores!$B:$B,MATCH(B160,Medidores!$A:$A,0)),"")</f>
        <v>Estación celda 2</v>
      </c>
      <c r="J160" s="22" t="s">
        <v>64</v>
      </c>
    </row>
    <row r="161" customFormat="false" ht="15" hidden="false" customHeight="false" outlineLevel="0" collapsed="false">
      <c r="A161" s="21" t="n">
        <v>46302</v>
      </c>
      <c r="B161" s="22" t="s">
        <v>93</v>
      </c>
      <c r="C161" s="23" t="n">
        <v>0.46875</v>
      </c>
      <c r="D161" s="24" t="n">
        <v>433178.531</v>
      </c>
      <c r="E161" s="24" t="n">
        <v>172844.516</v>
      </c>
      <c r="F161" s="24" t="n">
        <v>468326.063</v>
      </c>
      <c r="G161" s="22" t="n">
        <f aca="false">HOUR(C161)*60+MINUTE(C161)</f>
        <v>675</v>
      </c>
      <c r="H161" s="25" t="n">
        <f aca="false">IF(AND(B161=B160,A161=A160,D161&gt;0,N(D160)&gt;0,G161&gt;N(G160)),(D161-D160)/((G161-G160)/60),"")</f>
        <v>94.3719999999739</v>
      </c>
      <c r="I161" s="22" t="str">
        <f aca="false">IFERROR(INDEX(Medidores!$B:$B,MATCH(B161,Medidores!$A:$A,0)),"")</f>
        <v>Estación celda 2</v>
      </c>
      <c r="J161" s="22" t="s">
        <v>86</v>
      </c>
    </row>
    <row r="162" customFormat="false" ht="15" hidden="false" customHeight="false" outlineLevel="0" collapsed="false">
      <c r="A162" s="21" t="n">
        <v>46302</v>
      </c>
      <c r="B162" s="22" t="s">
        <v>94</v>
      </c>
      <c r="C162" s="23" t="n">
        <v>0.270833333333333</v>
      </c>
      <c r="D162" s="24" t="n">
        <v>328632.844</v>
      </c>
      <c r="E162" s="24" t="n">
        <v>171777.375</v>
      </c>
      <c r="F162" s="24" t="n">
        <v>372216.125</v>
      </c>
      <c r="G162" s="22" t="n">
        <f aca="false">HOUR(C162)*60+MINUTE(C162)</f>
        <v>390</v>
      </c>
      <c r="H162" s="25" t="str">
        <f aca="false">IF(AND(B162=B161,A162=A161,D162&gt;0,N(D161)&gt;0,G162&gt;N(G161)),(D162-D161)/((G162-G161)/60),"")</f>
        <v/>
      </c>
      <c r="I162" s="22" t="str">
        <f aca="false">IFERROR(INDEX(Medidores!$B:$B,MATCH(B162,Medidores!$A:$A,0)),"")</f>
        <v>Estación celda 1</v>
      </c>
      <c r="J162" s="22" t="s">
        <v>46</v>
      </c>
    </row>
    <row r="163" customFormat="false" ht="15" hidden="false" customHeight="false" outlineLevel="0" collapsed="false">
      <c r="A163" s="21" t="n">
        <v>46302</v>
      </c>
      <c r="B163" s="22" t="s">
        <v>94</v>
      </c>
      <c r="C163" s="23" t="n">
        <v>0.28125</v>
      </c>
      <c r="D163" s="24" t="n">
        <v>328640.688</v>
      </c>
      <c r="E163" s="24" t="n">
        <v>171781.109</v>
      </c>
      <c r="F163" s="24" t="n">
        <v>372224.875</v>
      </c>
      <c r="G163" s="22" t="n">
        <f aca="false">HOUR(C163)*60+MINUTE(C163)</f>
        <v>405</v>
      </c>
      <c r="H163" s="25" t="n">
        <f aca="false">IF(AND(B163=B162,A163=A162,D163&gt;0,N(D162)&gt;0,G163&gt;N(G162)),(D163-D162)/((G163-G162)/60),"")</f>
        <v>31.3760000001639</v>
      </c>
      <c r="I163" s="22" t="str">
        <f aca="false">IFERROR(INDEX(Medidores!$B:$B,MATCH(B163,Medidores!$A:$A,0)),"")</f>
        <v>Estación celda 1</v>
      </c>
      <c r="J163" s="22" t="s">
        <v>47</v>
      </c>
    </row>
    <row r="164" customFormat="false" ht="15" hidden="false" customHeight="false" outlineLevel="0" collapsed="false">
      <c r="A164" s="21" t="n">
        <v>46302</v>
      </c>
      <c r="B164" s="22" t="s">
        <v>94</v>
      </c>
      <c r="C164" s="23" t="n">
        <v>0.291666666666667</v>
      </c>
      <c r="D164" s="24" t="n">
        <v>328648.25</v>
      </c>
      <c r="E164" s="24" t="n">
        <v>171784.766</v>
      </c>
      <c r="F164" s="24" t="n">
        <v>372233.313</v>
      </c>
      <c r="G164" s="22" t="n">
        <f aca="false">HOUR(C164)*60+MINUTE(C164)</f>
        <v>420</v>
      </c>
      <c r="H164" s="25" t="n">
        <f aca="false">IF(AND(B164=B163,A164=A163,D164&gt;0,N(D163)&gt;0,G164&gt;N(G163)),(D164-D163)/((G164-G163)/60),"")</f>
        <v>30.247999999905</v>
      </c>
      <c r="I164" s="22" t="str">
        <f aca="false">IFERROR(INDEX(Medidores!$B:$B,MATCH(B164,Medidores!$A:$A,0)),"")</f>
        <v>Estación celda 1</v>
      </c>
      <c r="J164" s="22" t="s">
        <v>48</v>
      </c>
    </row>
    <row r="165" customFormat="false" ht="15" hidden="false" customHeight="false" outlineLevel="0" collapsed="false">
      <c r="A165" s="21" t="n">
        <v>46302</v>
      </c>
      <c r="B165" s="22" t="s">
        <v>94</v>
      </c>
      <c r="C165" s="23" t="n">
        <v>0.302083333333333</v>
      </c>
      <c r="D165" s="24" t="n">
        <v>328658.594</v>
      </c>
      <c r="E165" s="24" t="n">
        <v>171789.859</v>
      </c>
      <c r="F165" s="24" t="n">
        <v>372244.875</v>
      </c>
      <c r="G165" s="22" t="n">
        <f aca="false">HOUR(C165)*60+MINUTE(C165)</f>
        <v>435</v>
      </c>
      <c r="H165" s="25" t="n">
        <f aca="false">IF(AND(B165=B164,A165=A164,D165&gt;0,N(D164)&gt;0,G165&gt;N(G164)),(D165-D164)/((G165-G164)/60),"")</f>
        <v>41.3759999999311</v>
      </c>
      <c r="I165" s="22" t="str">
        <f aca="false">IFERROR(INDEX(Medidores!$B:$B,MATCH(B165,Medidores!$A:$A,0)),"")</f>
        <v>Estación celda 1</v>
      </c>
      <c r="J165" s="22" t="s">
        <v>49</v>
      </c>
    </row>
    <row r="166" customFormat="false" ht="15" hidden="false" customHeight="false" outlineLevel="0" collapsed="false">
      <c r="A166" s="21" t="n">
        <v>46302</v>
      </c>
      <c r="B166" s="22" t="s">
        <v>94</v>
      </c>
      <c r="C166" s="23" t="n">
        <v>0.3125</v>
      </c>
      <c r="D166" s="24" t="n">
        <v>328670.969</v>
      </c>
      <c r="E166" s="24" t="n">
        <v>171795.828</v>
      </c>
      <c r="F166" s="24" t="n">
        <v>372258.625</v>
      </c>
      <c r="G166" s="22" t="n">
        <f aca="false">HOUR(C166)*60+MINUTE(C166)</f>
        <v>450</v>
      </c>
      <c r="H166" s="25" t="n">
        <f aca="false">IF(AND(B166=B165,A166=A165,D166&gt;0,N(D165)&gt;0,G166&gt;N(G165)),(D166-D165)/((G166-G165)/60),"")</f>
        <v>49.5</v>
      </c>
      <c r="I166" s="22" t="str">
        <f aca="false">IFERROR(INDEX(Medidores!$B:$B,MATCH(B166,Medidores!$A:$A,0)),"")</f>
        <v>Estación celda 1</v>
      </c>
      <c r="J166" s="22" t="s">
        <v>50</v>
      </c>
    </row>
    <row r="167" customFormat="false" ht="15" hidden="false" customHeight="false" outlineLevel="0" collapsed="false">
      <c r="A167" s="21" t="n">
        <v>46302</v>
      </c>
      <c r="B167" s="22" t="s">
        <v>94</v>
      </c>
      <c r="C167" s="23" t="n">
        <v>0.322916666666667</v>
      </c>
      <c r="D167" s="24" t="n">
        <v>328684.625</v>
      </c>
      <c r="E167" s="24" t="n">
        <v>171802.156</v>
      </c>
      <c r="F167" s="24" t="n">
        <v>372273.688</v>
      </c>
      <c r="G167" s="22" t="n">
        <f aca="false">HOUR(C167)*60+MINUTE(C167)</f>
        <v>465</v>
      </c>
      <c r="H167" s="25" t="n">
        <f aca="false">IF(AND(B167=B166,A167=A166,D167&gt;0,N(D166)&gt;0,G167&gt;N(G166)),(D167-D166)/((G167-G166)/60),"")</f>
        <v>54.6240000000689</v>
      </c>
      <c r="I167" s="22" t="str">
        <f aca="false">IFERROR(INDEX(Medidores!$B:$B,MATCH(B167,Medidores!$A:$A,0)),"")</f>
        <v>Estación celda 1</v>
      </c>
      <c r="J167" s="22" t="s">
        <v>51</v>
      </c>
    </row>
    <row r="168" customFormat="false" ht="15" hidden="false" customHeight="false" outlineLevel="0" collapsed="false">
      <c r="A168" s="21" t="n">
        <v>46302</v>
      </c>
      <c r="B168" s="22" t="s">
        <v>94</v>
      </c>
      <c r="C168" s="23" t="n">
        <v>0.333333333333333</v>
      </c>
      <c r="D168" s="24" t="n">
        <v>328698.438</v>
      </c>
      <c r="E168" s="24" t="n">
        <v>171808.547</v>
      </c>
      <c r="F168" s="24" t="n">
        <v>372288.906</v>
      </c>
      <c r="G168" s="22" t="n">
        <f aca="false">HOUR(C168)*60+MINUTE(C168)</f>
        <v>480</v>
      </c>
      <c r="H168" s="25" t="n">
        <f aca="false">IF(AND(B168=B167,A168=A167,D168&gt;0,N(D167)&gt;0,G168&gt;N(G167)),(D168-D167)/((G168-G167)/60),"")</f>
        <v>55.252000000095</v>
      </c>
      <c r="I168" s="22" t="str">
        <f aca="false">IFERROR(INDEX(Medidores!$B:$B,MATCH(B168,Medidores!$A:$A,0)),"")</f>
        <v>Estación celda 1</v>
      </c>
      <c r="J168" s="22" t="s">
        <v>52</v>
      </c>
    </row>
    <row r="169" customFormat="false" ht="15" hidden="false" customHeight="false" outlineLevel="0" collapsed="false">
      <c r="A169" s="21" t="n">
        <v>46302</v>
      </c>
      <c r="B169" s="22" t="s">
        <v>94</v>
      </c>
      <c r="C169" s="23" t="n">
        <v>0.34375</v>
      </c>
      <c r="D169" s="24" t="n">
        <v>328711.438</v>
      </c>
      <c r="E169" s="24" t="n">
        <v>171815.016</v>
      </c>
      <c r="F169" s="24" t="n">
        <v>372303.438</v>
      </c>
      <c r="G169" s="22" t="n">
        <f aca="false">HOUR(C169)*60+MINUTE(C169)</f>
        <v>495</v>
      </c>
      <c r="H169" s="25" t="n">
        <f aca="false">IF(AND(B169=B168,A169=A168,D169&gt;0,N(D168)&gt;0,G169&gt;N(G168)),(D169-D168)/((G169-G168)/60),"")</f>
        <v>52</v>
      </c>
      <c r="I169" s="22" t="str">
        <f aca="false">IFERROR(INDEX(Medidores!$B:$B,MATCH(B169,Medidores!$A:$A,0)),"")</f>
        <v>Estación celda 1</v>
      </c>
      <c r="J169" s="22" t="s">
        <v>53</v>
      </c>
    </row>
    <row r="170" customFormat="false" ht="15" hidden="false" customHeight="false" outlineLevel="0" collapsed="false">
      <c r="A170" s="21" t="n">
        <v>46302</v>
      </c>
      <c r="B170" s="22" t="s">
        <v>94</v>
      </c>
      <c r="C170" s="23" t="n">
        <v>0.354166666666667</v>
      </c>
      <c r="D170" s="24" t="n">
        <v>328725.094</v>
      </c>
      <c r="E170" s="24" t="n">
        <v>171821.656</v>
      </c>
      <c r="F170" s="24" t="n">
        <v>372318.625</v>
      </c>
      <c r="G170" s="22" t="n">
        <f aca="false">HOUR(C170)*60+MINUTE(C170)</f>
        <v>510</v>
      </c>
      <c r="H170" s="25" t="n">
        <f aca="false">IF(AND(B170=B169,A170=A169,D170&gt;0,N(D169)&gt;0,G170&gt;N(G169)),(D170-D169)/((G170-G169)/60),"")</f>
        <v>54.6239999998361</v>
      </c>
      <c r="I170" s="22" t="str">
        <f aca="false">IFERROR(INDEX(Medidores!$B:$B,MATCH(B170,Medidores!$A:$A,0)),"")</f>
        <v>Estación celda 1</v>
      </c>
      <c r="J170" s="22" t="s">
        <v>54</v>
      </c>
    </row>
    <row r="171" customFormat="false" ht="15" hidden="false" customHeight="false" outlineLevel="0" collapsed="false">
      <c r="A171" s="21" t="n">
        <v>46302</v>
      </c>
      <c r="B171" s="22" t="s">
        <v>94</v>
      </c>
      <c r="C171" s="23" t="n">
        <v>0.364583333333333</v>
      </c>
      <c r="D171" s="24" t="n">
        <v>328737.688</v>
      </c>
      <c r="E171" s="24" t="n">
        <v>171828.016</v>
      </c>
      <c r="F171" s="24" t="n">
        <v>372332.75</v>
      </c>
      <c r="G171" s="22" t="n">
        <f aca="false">HOUR(C171)*60+MINUTE(C171)</f>
        <v>525</v>
      </c>
      <c r="H171" s="25" t="n">
        <f aca="false">IF(AND(B171=B170,A171=A170,D171&gt;0,N(D170)&gt;0,G171&gt;N(G170)),(D171-D170)/((G171-G170)/60),"")</f>
        <v>50.3760000001639</v>
      </c>
      <c r="I171" s="22" t="str">
        <f aca="false">IFERROR(INDEX(Medidores!$B:$B,MATCH(B171,Medidores!$A:$A,0)),"")</f>
        <v>Estación celda 1</v>
      </c>
      <c r="J171" s="22" t="s">
        <v>55</v>
      </c>
    </row>
    <row r="172" customFormat="false" ht="15" hidden="false" customHeight="false" outlineLevel="0" collapsed="false">
      <c r="A172" s="21" t="n">
        <v>46302</v>
      </c>
      <c r="B172" s="22" t="s">
        <v>94</v>
      </c>
      <c r="C172" s="23" t="n">
        <v>0.375</v>
      </c>
      <c r="D172" s="24" t="n">
        <v>328750.469</v>
      </c>
      <c r="E172" s="24" t="n">
        <v>171834.313</v>
      </c>
      <c r="F172" s="24" t="n">
        <v>372346.969</v>
      </c>
      <c r="G172" s="22" t="n">
        <f aca="false">HOUR(C172)*60+MINUTE(C172)</f>
        <v>540</v>
      </c>
      <c r="H172" s="25" t="n">
        <f aca="false">IF(AND(B172=B171,A172=A171,D172&gt;0,N(D171)&gt;0,G172&gt;N(G171)),(D172-D171)/((G172-G171)/60),"")</f>
        <v>51.1239999998361</v>
      </c>
      <c r="I172" s="22" t="str">
        <f aca="false">IFERROR(INDEX(Medidores!$B:$B,MATCH(B172,Medidores!$A:$A,0)),"")</f>
        <v>Estación celda 1</v>
      </c>
      <c r="J172" s="22" t="s">
        <v>56</v>
      </c>
    </row>
    <row r="173" customFormat="false" ht="15" hidden="false" customHeight="false" outlineLevel="0" collapsed="false">
      <c r="A173" s="21" t="n">
        <v>46302</v>
      </c>
      <c r="B173" s="22" t="s">
        <v>94</v>
      </c>
      <c r="C173" s="23" t="n">
        <v>0.385416666666667</v>
      </c>
      <c r="D173" s="24" t="n">
        <v>328764</v>
      </c>
      <c r="E173" s="24" t="n">
        <v>171840.813</v>
      </c>
      <c r="F173" s="24" t="n">
        <v>372362.031</v>
      </c>
      <c r="G173" s="22" t="n">
        <f aca="false">HOUR(C173)*60+MINUTE(C173)</f>
        <v>555</v>
      </c>
      <c r="H173" s="25" t="n">
        <f aca="false">IF(AND(B173=B172,A173=A172,D173&gt;0,N(D172)&gt;0,G173&gt;N(G172)),(D173-D172)/((G173-G172)/60),"")</f>
        <v>54.1240000000689</v>
      </c>
      <c r="I173" s="22" t="str">
        <f aca="false">IFERROR(INDEX(Medidores!$B:$B,MATCH(B173,Medidores!$A:$A,0)),"")</f>
        <v>Estación celda 1</v>
      </c>
      <c r="J173" s="22" t="s">
        <v>57</v>
      </c>
    </row>
    <row r="174" customFormat="false" ht="15" hidden="false" customHeight="false" outlineLevel="0" collapsed="false">
      <c r="A174" s="21" t="n">
        <v>46302</v>
      </c>
      <c r="B174" s="22" t="s">
        <v>94</v>
      </c>
      <c r="C174" s="23" t="n">
        <v>0.395833333333333</v>
      </c>
      <c r="D174" s="24" t="n">
        <v>328776.719</v>
      </c>
      <c r="E174" s="24" t="n">
        <v>171847.016</v>
      </c>
      <c r="F174" s="24" t="n">
        <v>372376.125</v>
      </c>
      <c r="G174" s="22" t="n">
        <f aca="false">HOUR(C174)*60+MINUTE(C174)</f>
        <v>570</v>
      </c>
      <c r="H174" s="25" t="n">
        <f aca="false">IF(AND(B174=B173,A174=A173,D174&gt;0,N(D173)&gt;0,G174&gt;N(G173)),(D174-D173)/((G174-G173)/60),"")</f>
        <v>50.8759999999311</v>
      </c>
      <c r="I174" s="22" t="str">
        <f aca="false">IFERROR(INDEX(Medidores!$B:$B,MATCH(B174,Medidores!$A:$A,0)),"")</f>
        <v>Estación celda 1</v>
      </c>
      <c r="J174" s="22" t="s">
        <v>58</v>
      </c>
    </row>
    <row r="175" customFormat="false" ht="15" hidden="false" customHeight="false" outlineLevel="0" collapsed="false">
      <c r="A175" s="21" t="n">
        <v>46302</v>
      </c>
      <c r="B175" s="22" t="s">
        <v>94</v>
      </c>
      <c r="C175" s="23" t="n">
        <v>0.40625</v>
      </c>
      <c r="D175" s="24" t="n">
        <v>328789.563</v>
      </c>
      <c r="E175" s="24" t="n">
        <v>171853.266</v>
      </c>
      <c r="F175" s="24" t="n">
        <v>372390.469</v>
      </c>
      <c r="G175" s="22" t="n">
        <f aca="false">HOUR(C175)*60+MINUTE(C175)</f>
        <v>585</v>
      </c>
      <c r="H175" s="25" t="n">
        <f aca="false">IF(AND(B175=B174,A175=A174,D175&gt;0,N(D174)&gt;0,G175&gt;N(G174)),(D175-D174)/((G175-G174)/60),"")</f>
        <v>51.3760000001639</v>
      </c>
      <c r="I175" s="22" t="str">
        <f aca="false">IFERROR(INDEX(Medidores!$B:$B,MATCH(B175,Medidores!$A:$A,0)),"")</f>
        <v>Estación celda 1</v>
      </c>
      <c r="J175" s="22" t="s">
        <v>59</v>
      </c>
    </row>
    <row r="176" customFormat="false" ht="15" hidden="false" customHeight="false" outlineLevel="0" collapsed="false">
      <c r="A176" s="21" t="n">
        <v>46302</v>
      </c>
      <c r="B176" s="22" t="s">
        <v>94</v>
      </c>
      <c r="C176" s="23" t="n">
        <v>0.416666666666667</v>
      </c>
      <c r="D176" s="24" t="n">
        <v>328805.281</v>
      </c>
      <c r="E176" s="24" t="n">
        <v>171860.547</v>
      </c>
      <c r="F176" s="24" t="n">
        <v>372407.781</v>
      </c>
      <c r="G176" s="22" t="n">
        <f aca="false">HOUR(C176)*60+MINUTE(C176)</f>
        <v>600</v>
      </c>
      <c r="H176" s="25" t="n">
        <f aca="false">IF(AND(B176=B175,A176=A175,D176&gt;0,N(D175)&gt;0,G176&gt;N(G175)),(D176-D175)/((G176-G175)/60),"")</f>
        <v>62.8719999999739</v>
      </c>
      <c r="I176" s="22" t="str">
        <f aca="false">IFERROR(INDEX(Medidores!$B:$B,MATCH(B176,Medidores!$A:$A,0)),"")</f>
        <v>Estación celda 1</v>
      </c>
      <c r="J176" s="22" t="s">
        <v>60</v>
      </c>
    </row>
    <row r="177" customFormat="false" ht="15" hidden="false" customHeight="false" outlineLevel="0" collapsed="false">
      <c r="A177" s="21" t="n">
        <v>46302</v>
      </c>
      <c r="B177" s="22" t="s">
        <v>94</v>
      </c>
      <c r="C177" s="23" t="n">
        <v>0.427083333333333</v>
      </c>
      <c r="D177" s="24" t="n">
        <v>328819.094</v>
      </c>
      <c r="E177" s="24" t="n">
        <v>171867.188</v>
      </c>
      <c r="F177" s="24" t="n">
        <v>372423.125</v>
      </c>
      <c r="G177" s="22" t="n">
        <f aca="false">HOUR(C177)*60+MINUTE(C177)</f>
        <v>615</v>
      </c>
      <c r="H177" s="25" t="n">
        <f aca="false">IF(AND(B177=B176,A177=A176,D177&gt;0,N(D176)&gt;0,G177&gt;N(G176)),(D177-D176)/((G177-G176)/60),"")</f>
        <v>55.2519999998622</v>
      </c>
      <c r="I177" s="22" t="str">
        <f aca="false">IFERROR(INDEX(Medidores!$B:$B,MATCH(B177,Medidores!$A:$A,0)),"")</f>
        <v>Estación celda 1</v>
      </c>
      <c r="J177" s="22" t="s">
        <v>61</v>
      </c>
    </row>
    <row r="178" customFormat="false" ht="15" hidden="false" customHeight="false" outlineLevel="0" collapsed="false">
      <c r="A178" s="21" t="n">
        <v>46302</v>
      </c>
      <c r="B178" s="22" t="s">
        <v>94</v>
      </c>
      <c r="C178" s="23" t="n">
        <v>0.4375</v>
      </c>
      <c r="D178" s="24" t="n">
        <v>328833.438</v>
      </c>
      <c r="E178" s="24" t="n">
        <v>171873.984</v>
      </c>
      <c r="F178" s="24" t="n">
        <v>372439</v>
      </c>
      <c r="G178" s="22" t="n">
        <f aca="false">HOUR(C178)*60+MINUTE(C178)</f>
        <v>630</v>
      </c>
      <c r="H178" s="25" t="n">
        <f aca="false">IF(AND(B178=B177,A178=A177,D178&gt;0,N(D177)&gt;0,G178&gt;N(G177)),(D178-D177)/((G178-G177)/60),"")</f>
        <v>57.3760000001639</v>
      </c>
      <c r="I178" s="22" t="str">
        <f aca="false">IFERROR(INDEX(Medidores!$B:$B,MATCH(B178,Medidores!$A:$A,0)),"")</f>
        <v>Estación celda 1</v>
      </c>
      <c r="J178" s="22" t="s">
        <v>62</v>
      </c>
    </row>
    <row r="179" customFormat="false" ht="15" hidden="false" customHeight="false" outlineLevel="0" collapsed="false">
      <c r="A179" s="21" t="n">
        <v>46302</v>
      </c>
      <c r="B179" s="22" t="s">
        <v>94</v>
      </c>
      <c r="C179" s="23" t="n">
        <v>0.447916666666667</v>
      </c>
      <c r="D179" s="24" t="n">
        <v>328845.563</v>
      </c>
      <c r="E179" s="24" t="n">
        <v>171880.125</v>
      </c>
      <c r="F179" s="24" t="n">
        <v>372452.594</v>
      </c>
      <c r="G179" s="22" t="n">
        <f aca="false">HOUR(C179)*60+MINUTE(C179)</f>
        <v>645</v>
      </c>
      <c r="H179" s="25" t="n">
        <f aca="false">IF(AND(B179=B178,A179=A178,D179&gt;0,N(D178)&gt;0,G179&gt;N(G178)),(D179-D178)/((G179-G178)/60),"")</f>
        <v>48.5</v>
      </c>
      <c r="I179" s="22" t="str">
        <f aca="false">IFERROR(INDEX(Medidores!$B:$B,MATCH(B179,Medidores!$A:$A,0)),"")</f>
        <v>Estación celda 1</v>
      </c>
      <c r="J179" s="22" t="s">
        <v>63</v>
      </c>
    </row>
    <row r="180" customFormat="false" ht="15" hidden="false" customHeight="false" outlineLevel="0" collapsed="false">
      <c r="A180" s="21" t="n">
        <v>46302</v>
      </c>
      <c r="B180" s="22" t="s">
        <v>94</v>
      </c>
      <c r="C180" s="23" t="n">
        <v>0.458333333333333</v>
      </c>
      <c r="D180" s="24" t="n">
        <v>328855.094</v>
      </c>
      <c r="E180" s="24" t="n">
        <v>171885.422</v>
      </c>
      <c r="F180" s="24" t="n">
        <v>372463.531</v>
      </c>
      <c r="G180" s="22" t="n">
        <f aca="false">HOUR(C180)*60+MINUTE(C180)</f>
        <v>660</v>
      </c>
      <c r="H180" s="25" t="n">
        <f aca="false">IF(AND(B180=B179,A180=A179,D180&gt;0,N(D179)&gt;0,G180&gt;N(G179)),(D180-D179)/((G180-G179)/60),"")</f>
        <v>38.1239999998361</v>
      </c>
      <c r="I180" s="22" t="str">
        <f aca="false">IFERROR(INDEX(Medidores!$B:$B,MATCH(B180,Medidores!$A:$A,0)),"")</f>
        <v>Estación celda 1</v>
      </c>
      <c r="J180" s="22" t="s">
        <v>64</v>
      </c>
    </row>
    <row r="181" customFormat="false" ht="15" hidden="false" customHeight="false" outlineLevel="0" collapsed="false">
      <c r="A181" s="21" t="n">
        <v>46302</v>
      </c>
      <c r="B181" s="22" t="s">
        <v>94</v>
      </c>
      <c r="C181" s="23" t="n">
        <v>0.46875</v>
      </c>
      <c r="D181" s="24" t="n">
        <v>328866.094</v>
      </c>
      <c r="E181" s="24" t="n">
        <v>171891.313</v>
      </c>
      <c r="F181" s="24" t="n">
        <v>372475.969</v>
      </c>
      <c r="G181" s="22" t="n">
        <f aca="false">HOUR(C181)*60+MINUTE(C181)</f>
        <v>675</v>
      </c>
      <c r="H181" s="25" t="n">
        <f aca="false">IF(AND(B181=B180,A181=A180,D181&gt;0,N(D180)&gt;0,G181&gt;N(G180)),(D181-D180)/((G181-G180)/60),"")</f>
        <v>44</v>
      </c>
      <c r="I181" s="22" t="str">
        <f aca="false">IFERROR(INDEX(Medidores!$B:$B,MATCH(B181,Medidores!$A:$A,0)),"")</f>
        <v>Estación celda 1</v>
      </c>
      <c r="J181" s="22" t="s">
        <v>86</v>
      </c>
    </row>
    <row r="182" customFormat="false" ht="15" hidden="false" customHeight="false" outlineLevel="0" collapsed="false">
      <c r="A182" s="21" t="n">
        <v>46303</v>
      </c>
      <c r="B182" s="22" t="s">
        <v>44</v>
      </c>
      <c r="C182" s="23" t="n">
        <v>0.416666666666667</v>
      </c>
      <c r="D182" s="24" t="n">
        <v>23335.144</v>
      </c>
      <c r="E182" s="24" t="n">
        <v>5905.492</v>
      </c>
      <c r="F182" s="24" t="n">
        <v>24277.713</v>
      </c>
      <c r="G182" s="22" t="n">
        <f aca="false">HOUR(C182)*60+MINUTE(C182)</f>
        <v>600</v>
      </c>
      <c r="H182" s="25" t="str">
        <f aca="false">IF(AND(B182=B181,A182=A181,D182&gt;0,N(D181)&gt;0,G182&gt;N(G181)),(D182-D181)/((G182-G181)/60),"")</f>
        <v/>
      </c>
      <c r="I182" s="22" t="str">
        <f aca="false">IFERROR(INDEX(Medidores!$B:$B,MATCH(B182,Medidores!$A:$A,0)),"")</f>
        <v>L22</v>
      </c>
      <c r="J182" s="22" t="s">
        <v>95</v>
      </c>
    </row>
    <row r="183" customFormat="false" ht="15" hidden="false" customHeight="false" outlineLevel="0" collapsed="false">
      <c r="A183" s="21" t="n">
        <v>46303</v>
      </c>
      <c r="B183" s="22" t="s">
        <v>44</v>
      </c>
      <c r="C183" s="23" t="n">
        <v>0.427083333333333</v>
      </c>
      <c r="D183" s="24" t="n">
        <v>23336.824</v>
      </c>
      <c r="E183" s="24" t="n">
        <v>5906.001</v>
      </c>
      <c r="F183" s="24" t="n">
        <v>24279.481</v>
      </c>
      <c r="G183" s="22" t="n">
        <f aca="false">HOUR(C183)*60+MINUTE(C183)</f>
        <v>615</v>
      </c>
      <c r="H183" s="25" t="n">
        <f aca="false">IF(AND(B183=B182,A183=A182,D183&gt;0,N(D182)&gt;0,G183&gt;N(G182)),(D183-D182)/((G183-G182)/60),"")</f>
        <v>6.72000000000116</v>
      </c>
      <c r="I183" s="22" t="str">
        <f aca="false">IFERROR(INDEX(Medidores!$B:$B,MATCH(B183,Medidores!$A:$A,0)),"")</f>
        <v>L22</v>
      </c>
      <c r="J183" s="22" t="s">
        <v>96</v>
      </c>
    </row>
    <row r="184" customFormat="false" ht="15" hidden="false" customHeight="false" outlineLevel="0" collapsed="false">
      <c r="A184" s="21" t="n">
        <v>46303</v>
      </c>
      <c r="B184" s="22" t="s">
        <v>44</v>
      </c>
      <c r="C184" s="23" t="n">
        <v>0.4375</v>
      </c>
      <c r="D184" s="24" t="n">
        <v>23338.508</v>
      </c>
      <c r="E184" s="24" t="n">
        <v>5906.517</v>
      </c>
      <c r="F184" s="24" t="n">
        <v>24281.256</v>
      </c>
      <c r="G184" s="22" t="n">
        <f aca="false">HOUR(C184)*60+MINUTE(C184)</f>
        <v>630</v>
      </c>
      <c r="H184" s="25" t="n">
        <f aca="false">IF(AND(B184=B183,A184=A183,D184&gt;0,N(D183)&gt;0,G184&gt;N(G183)),(D184-D183)/((G184-G183)/60),"")</f>
        <v>6.73600000000442</v>
      </c>
      <c r="I184" s="22" t="str">
        <f aca="false">IFERROR(INDEX(Medidores!$B:$B,MATCH(B184,Medidores!$A:$A,0)),"")</f>
        <v>L22</v>
      </c>
      <c r="J184" s="22" t="s">
        <v>97</v>
      </c>
    </row>
    <row r="185" customFormat="false" ht="15" hidden="false" customHeight="false" outlineLevel="0" collapsed="false">
      <c r="A185" s="21" t="n">
        <v>46303</v>
      </c>
      <c r="B185" s="22" t="s">
        <v>44</v>
      </c>
      <c r="C185" s="23" t="n">
        <v>0.447916666666667</v>
      </c>
      <c r="D185" s="24" t="n">
        <v>23339.59</v>
      </c>
      <c r="E185" s="24" t="n">
        <v>5906.8</v>
      </c>
      <c r="F185" s="24" t="n">
        <v>24282.389</v>
      </c>
      <c r="G185" s="22" t="n">
        <f aca="false">HOUR(C185)*60+MINUTE(C185)</f>
        <v>645</v>
      </c>
      <c r="H185" s="25" t="n">
        <f aca="false">IF(AND(B185=B184,A185=A184,D185&gt;0,N(D184)&gt;0,G185&gt;N(G184)),(D185-D184)/((G185-G184)/60),"")</f>
        <v>4.32799999999406</v>
      </c>
      <c r="I185" s="22" t="str">
        <f aca="false">IFERROR(INDEX(Medidores!$B:$B,MATCH(B185,Medidores!$A:$A,0)),"")</f>
        <v>L22</v>
      </c>
      <c r="J185" s="22" t="s">
        <v>98</v>
      </c>
    </row>
    <row r="186" customFormat="false" ht="15" hidden="false" customHeight="false" outlineLevel="0" collapsed="false">
      <c r="A186" s="21" t="n">
        <v>46303</v>
      </c>
      <c r="B186" s="22" t="s">
        <v>44</v>
      </c>
      <c r="C186" s="23" t="n">
        <v>0.458333333333333</v>
      </c>
      <c r="D186" s="24" t="n">
        <v>23340.273</v>
      </c>
      <c r="E186" s="24" t="n">
        <v>5906.905</v>
      </c>
      <c r="F186" s="24" t="n">
        <v>24283.082</v>
      </c>
      <c r="G186" s="22" t="n">
        <f aca="false">HOUR(C186)*60+MINUTE(C186)</f>
        <v>660</v>
      </c>
      <c r="H186" s="25" t="n">
        <f aca="false">IF(AND(B186=B185,A186=A185,D186&gt;0,N(D185)&gt;0,G186&gt;N(G185)),(D186-D185)/((G186-G185)/60),"")</f>
        <v>2.73200000000361</v>
      </c>
      <c r="I186" s="22" t="str">
        <f aca="false">IFERROR(INDEX(Medidores!$B:$B,MATCH(B186,Medidores!$A:$A,0)),"")</f>
        <v>L22</v>
      </c>
      <c r="J186" s="22" t="s">
        <v>99</v>
      </c>
    </row>
    <row r="187" customFormat="false" ht="15" hidden="false" customHeight="false" outlineLevel="0" collapsed="false">
      <c r="A187" s="21" t="n">
        <v>46303</v>
      </c>
      <c r="B187" s="22" t="s">
        <v>44</v>
      </c>
      <c r="C187" s="23" t="n">
        <v>0.46875</v>
      </c>
      <c r="D187" s="24" t="n">
        <v>23341.572</v>
      </c>
      <c r="E187" s="24" t="n">
        <v>5907.249</v>
      </c>
      <c r="F187" s="24" t="n">
        <v>24284.434</v>
      </c>
      <c r="G187" s="22" t="n">
        <f aca="false">HOUR(C187)*60+MINUTE(C187)</f>
        <v>675</v>
      </c>
      <c r="H187" s="25" t="n">
        <f aca="false">IF(AND(B187=B186,A187=A186,D187&gt;0,N(D186)&gt;0,G187&gt;N(G186)),(D187-D186)/((G187-G186)/60),"")</f>
        <v>5.19599999999628</v>
      </c>
      <c r="I187" s="22" t="str">
        <f aca="false">IFERROR(INDEX(Medidores!$B:$B,MATCH(B187,Medidores!$A:$A,0)),"")</f>
        <v>L22</v>
      </c>
      <c r="J187" s="22" t="s">
        <v>100</v>
      </c>
    </row>
    <row r="188" customFormat="false" ht="15" hidden="false" customHeight="false" outlineLevel="0" collapsed="false">
      <c r="A188" s="21" t="n">
        <v>46303</v>
      </c>
      <c r="B188" s="22" t="s">
        <v>44</v>
      </c>
      <c r="C188" s="23" t="n">
        <v>0.479166666666667</v>
      </c>
      <c r="D188" s="24" t="n">
        <v>23343.225</v>
      </c>
      <c r="E188" s="24" t="n">
        <v>5907.764</v>
      </c>
      <c r="F188" s="24" t="n">
        <v>24286.184</v>
      </c>
      <c r="G188" s="22" t="n">
        <f aca="false">HOUR(C188)*60+MINUTE(C188)</f>
        <v>690</v>
      </c>
      <c r="H188" s="25" t="n">
        <f aca="false">IF(AND(B188=B187,A188=A187,D188&gt;0,N(D187)&gt;0,G188&gt;N(G187)),(D188-D187)/((G188-G187)/60),"")</f>
        <v>6.61199999999371</v>
      </c>
      <c r="I188" s="22" t="str">
        <f aca="false">IFERROR(INDEX(Medidores!$B:$B,MATCH(B188,Medidores!$A:$A,0)),"")</f>
        <v>L22</v>
      </c>
      <c r="J188" s="22" t="s">
        <v>101</v>
      </c>
    </row>
    <row r="189" customFormat="false" ht="15" hidden="false" customHeight="false" outlineLevel="0" collapsed="false">
      <c r="A189" s="21" t="n">
        <v>46303</v>
      </c>
      <c r="B189" s="22" t="s">
        <v>44</v>
      </c>
      <c r="C189" s="23" t="n">
        <v>0.489583333333333</v>
      </c>
      <c r="D189" s="24" t="n">
        <v>23344.881</v>
      </c>
      <c r="E189" s="24" t="n">
        <v>5908.26</v>
      </c>
      <c r="F189" s="24" t="n">
        <v>24287.928</v>
      </c>
      <c r="G189" s="22" t="n">
        <f aca="false">HOUR(C189)*60+MINUTE(C189)</f>
        <v>705</v>
      </c>
      <c r="H189" s="25" t="n">
        <f aca="false">IF(AND(B189=B188,A189=A188,D189&gt;0,N(D188)&gt;0,G189&gt;N(G188)),(D189-D188)/((G189-G188)/60),"")</f>
        <v>6.62400000001071</v>
      </c>
      <c r="I189" s="22" t="str">
        <f aca="false">IFERROR(INDEX(Medidores!$B:$B,MATCH(B189,Medidores!$A:$A,0)),"")</f>
        <v>L22</v>
      </c>
      <c r="J189" s="22" t="s">
        <v>102</v>
      </c>
    </row>
    <row r="190" customFormat="false" ht="15" hidden="false" customHeight="false" outlineLevel="0" collapsed="false">
      <c r="A190" s="21" t="n">
        <v>46303</v>
      </c>
      <c r="B190" s="22" t="s">
        <v>44</v>
      </c>
      <c r="C190" s="23" t="n">
        <v>0.5</v>
      </c>
      <c r="D190" s="24" t="n">
        <v>23346.531</v>
      </c>
      <c r="E190" s="24" t="n">
        <v>5908.78</v>
      </c>
      <c r="F190" s="24" t="n">
        <v>24289.672</v>
      </c>
      <c r="G190" s="22" t="n">
        <f aca="false">HOUR(C190)*60+MINUTE(C190)</f>
        <v>720</v>
      </c>
      <c r="H190" s="25" t="n">
        <f aca="false">IF(AND(B190=B189,A190=A189,D190&gt;0,N(D189)&gt;0,G190&gt;N(G189)),(D190-D189)/((G190-G189)/60),"")</f>
        <v>6.59999999999127</v>
      </c>
      <c r="I190" s="22" t="str">
        <f aca="false">IFERROR(INDEX(Medidores!$B:$B,MATCH(B190,Medidores!$A:$A,0)),"")</f>
        <v>L22</v>
      </c>
      <c r="J190" s="22" t="s">
        <v>103</v>
      </c>
    </row>
    <row r="191" customFormat="false" ht="15" hidden="false" customHeight="false" outlineLevel="0" collapsed="false">
      <c r="A191" s="21" t="n">
        <v>46303</v>
      </c>
      <c r="B191" s="22" t="s">
        <v>44</v>
      </c>
      <c r="C191" s="23" t="n">
        <v>0.510416666666667</v>
      </c>
      <c r="D191" s="24" t="n">
        <v>23348.188</v>
      </c>
      <c r="E191" s="24" t="n">
        <v>5909.318</v>
      </c>
      <c r="F191" s="24" t="n">
        <v>24291.428</v>
      </c>
      <c r="G191" s="22" t="n">
        <f aca="false">HOUR(C191)*60+MINUTE(C191)</f>
        <v>735</v>
      </c>
      <c r="H191" s="25" t="n">
        <f aca="false">IF(AND(B191=B190,A191=A190,D191&gt;0,N(D190)&gt;0,G191&gt;N(G190)),(D191-D190)/((G191-G190)/60),"")</f>
        <v>6.62799999999697</v>
      </c>
      <c r="I191" s="22" t="str">
        <f aca="false">IFERROR(INDEX(Medidores!$B:$B,MATCH(B191,Medidores!$A:$A,0)),"")</f>
        <v>L22</v>
      </c>
      <c r="J191" s="22" t="s">
        <v>104</v>
      </c>
    </row>
    <row r="192" customFormat="false" ht="15" hidden="false" customHeight="false" outlineLevel="0" collapsed="false">
      <c r="A192" s="21" t="n">
        <v>46303</v>
      </c>
      <c r="B192" s="22" t="s">
        <v>44</v>
      </c>
      <c r="C192" s="23" t="n">
        <v>0.520833333333333</v>
      </c>
      <c r="D192" s="24" t="n">
        <v>23349.832</v>
      </c>
      <c r="E192" s="24" t="n">
        <v>5909.808</v>
      </c>
      <c r="F192" s="24" t="n">
        <v>24293.156</v>
      </c>
      <c r="G192" s="22" t="n">
        <f aca="false">HOUR(C192)*60+MINUTE(C192)</f>
        <v>750</v>
      </c>
      <c r="H192" s="25" t="n">
        <f aca="false">IF(AND(B192=B191,A192=A191,D192&gt;0,N(D191)&gt;0,G192&gt;N(G191)),(D192-D191)/((G192-G191)/60),"")</f>
        <v>6.57600000000093</v>
      </c>
      <c r="I192" s="22" t="str">
        <f aca="false">IFERROR(INDEX(Medidores!$B:$B,MATCH(B192,Medidores!$A:$A,0)),"")</f>
        <v>L22</v>
      </c>
      <c r="J192" s="22" t="s">
        <v>105</v>
      </c>
    </row>
    <row r="193" customFormat="false" ht="15" hidden="false" customHeight="false" outlineLevel="0" collapsed="false">
      <c r="A193" s="21" t="n">
        <v>46303</v>
      </c>
      <c r="B193" s="22" t="s">
        <v>44</v>
      </c>
      <c r="C193" s="23" t="n">
        <v>0.53125</v>
      </c>
      <c r="D193" s="24" t="n">
        <v>23351.494</v>
      </c>
      <c r="E193" s="24" t="n">
        <v>5910.358</v>
      </c>
      <c r="F193" s="24" t="n">
        <v>24294.92</v>
      </c>
      <c r="G193" s="22" t="n">
        <f aca="false">HOUR(C193)*60+MINUTE(C193)</f>
        <v>765</v>
      </c>
      <c r="H193" s="25" t="n">
        <f aca="false">IF(AND(B193=B192,A193=A192,D193&gt;0,N(D192)&gt;0,G193&gt;N(G192)),(D193-D192)/((G193-G192)/60),"")</f>
        <v>6.64800000000105</v>
      </c>
      <c r="I193" s="22" t="str">
        <f aca="false">IFERROR(INDEX(Medidores!$B:$B,MATCH(B193,Medidores!$A:$A,0)),"")</f>
        <v>L22</v>
      </c>
      <c r="J193" s="22" t="s">
        <v>106</v>
      </c>
    </row>
    <row r="194" customFormat="false" ht="15" hidden="false" customHeight="false" outlineLevel="0" collapsed="false">
      <c r="A194" s="21" t="n">
        <v>46303</v>
      </c>
      <c r="B194" s="22" t="s">
        <v>44</v>
      </c>
      <c r="C194" s="23" t="n">
        <v>0.541666666666667</v>
      </c>
      <c r="D194" s="24" t="n">
        <v>23353.021</v>
      </c>
      <c r="E194" s="24" t="n">
        <v>5910.819</v>
      </c>
      <c r="F194" s="24" t="n">
        <v>24296.531</v>
      </c>
      <c r="G194" s="22" t="n">
        <f aca="false">HOUR(C194)*60+MINUTE(C194)</f>
        <v>780</v>
      </c>
      <c r="H194" s="25" t="n">
        <f aca="false">IF(AND(B194=B193,A194=A193,D194&gt;0,N(D193)&gt;0,G194&gt;N(G193)),(D194-D193)/((G194-G193)/60),"")</f>
        <v>6.10800000000745</v>
      </c>
      <c r="I194" s="22" t="str">
        <f aca="false">IFERROR(INDEX(Medidores!$B:$B,MATCH(B194,Medidores!$A:$A,0)),"")</f>
        <v>L22</v>
      </c>
      <c r="J194" s="22" t="s">
        <v>107</v>
      </c>
    </row>
    <row r="195" customFormat="false" ht="15" hidden="false" customHeight="false" outlineLevel="0" collapsed="false">
      <c r="A195" s="21" t="n">
        <v>46303</v>
      </c>
      <c r="B195" s="22" t="s">
        <v>44</v>
      </c>
      <c r="C195" s="23" t="n">
        <v>0.552083333333333</v>
      </c>
      <c r="D195" s="24" t="n">
        <v>23354.68</v>
      </c>
      <c r="E195" s="24" t="n">
        <v>5911.301</v>
      </c>
      <c r="F195" s="24" t="n">
        <v>24298.273</v>
      </c>
      <c r="G195" s="22" t="n">
        <f aca="false">HOUR(C195)*60+MINUTE(C195)</f>
        <v>795</v>
      </c>
      <c r="H195" s="25" t="n">
        <f aca="false">IF(AND(B195=B194,A195=A194,D195&gt;0,N(D194)&gt;0,G195&gt;N(G194)),(D195-D194)/((G195-G194)/60),"")</f>
        <v>6.6359999999986</v>
      </c>
      <c r="I195" s="22" t="str">
        <f aca="false">IFERROR(INDEX(Medidores!$B:$B,MATCH(B195,Medidores!$A:$A,0)),"")</f>
        <v>L22</v>
      </c>
      <c r="J195" s="22" t="s">
        <v>108</v>
      </c>
    </row>
    <row r="196" customFormat="false" ht="15" hidden="false" customHeight="false" outlineLevel="0" collapsed="false">
      <c r="A196" s="21" t="n">
        <v>46303</v>
      </c>
      <c r="B196" s="22" t="s">
        <v>44</v>
      </c>
      <c r="C196" s="23" t="n">
        <v>0.5625</v>
      </c>
      <c r="D196" s="24" t="n">
        <v>23356.344</v>
      </c>
      <c r="E196" s="24" t="n">
        <v>5911.802</v>
      </c>
      <c r="F196" s="24" t="n">
        <v>24300.023</v>
      </c>
      <c r="G196" s="22" t="n">
        <f aca="false">HOUR(C196)*60+MINUTE(C196)</f>
        <v>810</v>
      </c>
      <c r="H196" s="25" t="n">
        <f aca="false">IF(AND(B196=B195,A196=A195,D196&gt;0,N(D195)&gt;0,G196&gt;N(G195)),(D196-D195)/((G196-G195)/60),"")</f>
        <v>6.65600000000268</v>
      </c>
      <c r="I196" s="22" t="str">
        <f aca="false">IFERROR(INDEX(Medidores!$B:$B,MATCH(B196,Medidores!$A:$A,0)),"")</f>
        <v>L22</v>
      </c>
      <c r="J196" s="22" t="s">
        <v>109</v>
      </c>
    </row>
    <row r="197" customFormat="false" ht="15" hidden="false" customHeight="false" outlineLevel="0" collapsed="false">
      <c r="A197" s="21" t="n">
        <v>46303</v>
      </c>
      <c r="B197" s="22" t="s">
        <v>44</v>
      </c>
      <c r="C197" s="23" t="n">
        <v>0.572916666666667</v>
      </c>
      <c r="D197" s="24" t="n">
        <v>23358.008</v>
      </c>
      <c r="E197" s="24" t="n">
        <v>5912.328</v>
      </c>
      <c r="F197" s="24" t="n">
        <v>24301.783</v>
      </c>
      <c r="G197" s="22" t="n">
        <f aca="false">HOUR(C197)*60+MINUTE(C197)</f>
        <v>825</v>
      </c>
      <c r="H197" s="25" t="n">
        <f aca="false">IF(AND(B197=B196,A197=A196,D197&gt;0,N(D196)&gt;0,G197&gt;N(G196)),(D197-D196)/((G197-G196)/60),"")</f>
        <v>6.65600000000268</v>
      </c>
      <c r="I197" s="22" t="str">
        <f aca="false">IFERROR(INDEX(Medidores!$B:$B,MATCH(B197,Medidores!$A:$A,0)),"")</f>
        <v>L22</v>
      </c>
      <c r="J197" s="22" t="s">
        <v>110</v>
      </c>
    </row>
    <row r="198" customFormat="false" ht="15" hidden="false" customHeight="false" outlineLevel="0" collapsed="false">
      <c r="A198" s="21" t="n">
        <v>46303</v>
      </c>
      <c r="B198" s="22" t="s">
        <v>44</v>
      </c>
      <c r="C198" s="23" t="n">
        <v>0.583333333333333</v>
      </c>
      <c r="D198" s="24" t="n">
        <v>23359.668</v>
      </c>
      <c r="E198" s="24" t="n">
        <v>5912.831</v>
      </c>
      <c r="F198" s="24" t="n">
        <v>24303.531</v>
      </c>
      <c r="G198" s="22" t="n">
        <f aca="false">HOUR(C198)*60+MINUTE(C198)</f>
        <v>840</v>
      </c>
      <c r="H198" s="25" t="n">
        <f aca="false">IF(AND(B198=B197,A198=A197,D198&gt;0,N(D197)&gt;0,G198&gt;N(G197)),(D198-D197)/((G198-G197)/60),"")</f>
        <v>6.63999999999942</v>
      </c>
      <c r="I198" s="22" t="str">
        <f aca="false">IFERROR(INDEX(Medidores!$B:$B,MATCH(B198,Medidores!$A:$A,0)),"")</f>
        <v>L22</v>
      </c>
      <c r="J198" s="22" t="s">
        <v>111</v>
      </c>
    </row>
    <row r="199" customFormat="false" ht="15" hidden="false" customHeight="false" outlineLevel="0" collapsed="false">
      <c r="A199" s="21" t="n">
        <v>46303</v>
      </c>
      <c r="B199" s="22" t="s">
        <v>44</v>
      </c>
      <c r="C199" s="23" t="n">
        <v>0.59375</v>
      </c>
      <c r="D199" s="24" t="n">
        <v>23361.342</v>
      </c>
      <c r="E199" s="24" t="n">
        <v>5913.34</v>
      </c>
      <c r="F199" s="24" t="n">
        <v>24305.297</v>
      </c>
      <c r="G199" s="22" t="n">
        <f aca="false">HOUR(C199)*60+MINUTE(C199)</f>
        <v>855</v>
      </c>
      <c r="H199" s="25" t="n">
        <f aca="false">IF(AND(B199=B198,A199=A198,D199&gt;0,N(D198)&gt;0,G199&gt;N(G198)),(D199-D198)/((G199-G198)/60),"")</f>
        <v>6.69599999999628</v>
      </c>
      <c r="I199" s="22" t="str">
        <f aca="false">IFERROR(INDEX(Medidores!$B:$B,MATCH(B199,Medidores!$A:$A,0)),"")</f>
        <v>L22</v>
      </c>
      <c r="J199" s="22" t="s">
        <v>112</v>
      </c>
    </row>
    <row r="200" customFormat="false" ht="15" hidden="false" customHeight="false" outlineLevel="0" collapsed="false">
      <c r="A200" s="21" t="n">
        <v>46303</v>
      </c>
      <c r="B200" s="22" t="s">
        <v>44</v>
      </c>
      <c r="C200" s="23" t="n">
        <v>0.604166666666667</v>
      </c>
      <c r="D200" s="24" t="n">
        <v>23363.012</v>
      </c>
      <c r="E200" s="24" t="n">
        <v>5913.859</v>
      </c>
      <c r="F200" s="24" t="n">
        <v>24307.06</v>
      </c>
      <c r="G200" s="22" t="n">
        <f aca="false">HOUR(C200)*60+MINUTE(C200)</f>
        <v>870</v>
      </c>
      <c r="H200" s="25" t="n">
        <f aca="false">IF(AND(B200=B199,A200=A199,D200&gt;0,N(D199)&gt;0,G200&gt;N(G199)),(D200-D199)/((G200-G199)/60),"")</f>
        <v>6.67999999999302</v>
      </c>
      <c r="I200" s="22" t="str">
        <f aca="false">IFERROR(INDEX(Medidores!$B:$B,MATCH(B200,Medidores!$A:$A,0)),"")</f>
        <v>L22</v>
      </c>
      <c r="J200" s="22" t="s">
        <v>113</v>
      </c>
    </row>
    <row r="201" customFormat="false" ht="15" hidden="false" customHeight="false" outlineLevel="0" collapsed="false">
      <c r="A201" s="21" t="n">
        <v>46303</v>
      </c>
      <c r="B201" s="22" t="s">
        <v>44</v>
      </c>
      <c r="C201" s="23" t="n">
        <v>0.614583333333333</v>
      </c>
      <c r="D201" s="24" t="n">
        <v>23364.68</v>
      </c>
      <c r="E201" s="24" t="n">
        <v>5914.39</v>
      </c>
      <c r="F201" s="24" t="n">
        <v>24308.824</v>
      </c>
      <c r="G201" s="22" t="n">
        <f aca="false">HOUR(C201)*60+MINUTE(C201)</f>
        <v>885</v>
      </c>
      <c r="H201" s="25" t="n">
        <f aca="false">IF(AND(B201=B200,A201=A200,D201&gt;0,N(D200)&gt;0,G201&gt;N(G200)),(D201-D200)/((G201-G200)/60),"")</f>
        <v>6.67200000000594</v>
      </c>
      <c r="I201" s="22" t="str">
        <f aca="false">IFERROR(INDEX(Medidores!$B:$B,MATCH(B201,Medidores!$A:$A,0)),"")</f>
        <v>L22</v>
      </c>
      <c r="J201" s="22" t="s">
        <v>114</v>
      </c>
    </row>
    <row r="202" customFormat="false" ht="15" hidden="false" customHeight="false" outlineLevel="0" collapsed="false">
      <c r="A202" s="21" t="n">
        <v>46303</v>
      </c>
      <c r="B202" s="22" t="s">
        <v>65</v>
      </c>
      <c r="C202" s="23" t="n">
        <v>0.416666666666667</v>
      </c>
      <c r="D202" s="24" t="n">
        <v>8733.255</v>
      </c>
      <c r="E202" s="24" t="n">
        <v>5315.319</v>
      </c>
      <c r="F202" s="24" t="n">
        <v>11586.082</v>
      </c>
      <c r="G202" s="22" t="n">
        <f aca="false">HOUR(C202)*60+MINUTE(C202)</f>
        <v>600</v>
      </c>
      <c r="H202" s="25" t="str">
        <f aca="false">IF(AND(B202=B201,A202=A201,D202&gt;0,N(D201)&gt;0,G202&gt;N(G201)),(D202-D201)/((G202-G201)/60),"")</f>
        <v/>
      </c>
      <c r="I202" s="22" t="str">
        <f aca="false">IFERROR(INDEX(Medidores!$B:$B,MATCH(B202,Medidores!$A:$A,0)),"")</f>
        <v>L50</v>
      </c>
      <c r="J202" s="22" t="s">
        <v>115</v>
      </c>
    </row>
    <row r="203" customFormat="false" ht="15" hidden="false" customHeight="false" outlineLevel="0" collapsed="false">
      <c r="A203" s="21" t="n">
        <v>46303</v>
      </c>
      <c r="B203" s="22" t="s">
        <v>65</v>
      </c>
      <c r="C203" s="23" t="n">
        <v>0.427083333333333</v>
      </c>
      <c r="D203" s="24" t="n">
        <v>8733.388</v>
      </c>
      <c r="E203" s="24" t="n">
        <v>5315.319</v>
      </c>
      <c r="F203" s="24" t="n">
        <v>11586.221</v>
      </c>
      <c r="G203" s="22" t="n">
        <f aca="false">HOUR(C203)*60+MINUTE(C203)</f>
        <v>615</v>
      </c>
      <c r="H203" s="25" t="n">
        <f aca="false">IF(AND(B203=B202,A203=A202,D203&gt;0,N(D202)&gt;0,G203&gt;N(G202)),(D203-D202)/((G203-G202)/60),"")</f>
        <v>0.532000000006519</v>
      </c>
      <c r="I203" s="22" t="str">
        <f aca="false">IFERROR(INDEX(Medidores!$B:$B,MATCH(B203,Medidores!$A:$A,0)),"")</f>
        <v>L50</v>
      </c>
      <c r="J203" s="22" t="s">
        <v>116</v>
      </c>
    </row>
    <row r="204" customFormat="false" ht="15" hidden="false" customHeight="false" outlineLevel="0" collapsed="false">
      <c r="A204" s="21" t="n">
        <v>46303</v>
      </c>
      <c r="B204" s="22" t="s">
        <v>65</v>
      </c>
      <c r="C204" s="23" t="n">
        <v>0.4375</v>
      </c>
      <c r="D204" s="24" t="n">
        <v>8733.521</v>
      </c>
      <c r="E204" s="24" t="n">
        <v>5315.319</v>
      </c>
      <c r="F204" s="24" t="n">
        <v>11586.36</v>
      </c>
      <c r="G204" s="22" t="n">
        <f aca="false">HOUR(C204)*60+MINUTE(C204)</f>
        <v>630</v>
      </c>
      <c r="H204" s="25" t="n">
        <f aca="false">IF(AND(B204=B203,A204=A203,D204&gt;0,N(D203)&gt;0,G204&gt;N(G203)),(D204-D203)/((G204-G203)/60),"")</f>
        <v>0.531999999999243</v>
      </c>
      <c r="I204" s="22" t="str">
        <f aca="false">IFERROR(INDEX(Medidores!$B:$B,MATCH(B204,Medidores!$A:$A,0)),"")</f>
        <v>L50</v>
      </c>
      <c r="J204" s="22" t="s">
        <v>117</v>
      </c>
    </row>
    <row r="205" customFormat="false" ht="15" hidden="false" customHeight="false" outlineLevel="0" collapsed="false">
      <c r="A205" s="21" t="n">
        <v>46303</v>
      </c>
      <c r="B205" s="22" t="s">
        <v>65</v>
      </c>
      <c r="C205" s="23" t="n">
        <v>0.447916666666667</v>
      </c>
      <c r="D205" s="24" t="n">
        <v>8733.654</v>
      </c>
      <c r="E205" s="24" t="n">
        <v>5315.319</v>
      </c>
      <c r="F205" s="24" t="n">
        <v>11586.499</v>
      </c>
      <c r="G205" s="22" t="n">
        <f aca="false">HOUR(C205)*60+MINUTE(C205)</f>
        <v>645</v>
      </c>
      <c r="H205" s="25" t="n">
        <f aca="false">IF(AND(B205=B204,A205=A204,D205&gt;0,N(D204)&gt;0,G205&gt;N(G204)),(D205-D204)/((G205-G204)/60),"")</f>
        <v>0.531999999999243</v>
      </c>
      <c r="I205" s="22" t="str">
        <f aca="false">IFERROR(INDEX(Medidores!$B:$B,MATCH(B205,Medidores!$A:$A,0)),"")</f>
        <v>L50</v>
      </c>
      <c r="J205" s="22" t="s">
        <v>118</v>
      </c>
    </row>
    <row r="206" customFormat="false" ht="15" hidden="false" customHeight="false" outlineLevel="0" collapsed="false">
      <c r="A206" s="21" t="n">
        <v>46303</v>
      </c>
      <c r="B206" s="22" t="s">
        <v>65</v>
      </c>
      <c r="C206" s="23" t="n">
        <v>0.458333333333333</v>
      </c>
      <c r="D206" s="24" t="n">
        <v>8733.787</v>
      </c>
      <c r="E206" s="24" t="n">
        <v>5315.319</v>
      </c>
      <c r="F206" s="24" t="n">
        <v>11586.638</v>
      </c>
      <c r="G206" s="22" t="n">
        <f aca="false">HOUR(C206)*60+MINUTE(C206)</f>
        <v>660</v>
      </c>
      <c r="H206" s="25" t="n">
        <f aca="false">IF(AND(B206=B205,A206=A205,D206&gt;0,N(D205)&gt;0,G206&gt;N(G205)),(D206-D205)/((G206-G205)/60),"")</f>
        <v>0.531999999999243</v>
      </c>
      <c r="I206" s="22" t="str">
        <f aca="false">IFERROR(INDEX(Medidores!$B:$B,MATCH(B206,Medidores!$A:$A,0)),"")</f>
        <v>L50</v>
      </c>
      <c r="J206" s="22" t="s">
        <v>119</v>
      </c>
    </row>
    <row r="207" customFormat="false" ht="15" hidden="false" customHeight="false" outlineLevel="0" collapsed="false">
      <c r="A207" s="21" t="n">
        <v>46303</v>
      </c>
      <c r="B207" s="22" t="s">
        <v>65</v>
      </c>
      <c r="C207" s="23" t="n">
        <v>0.46875</v>
      </c>
      <c r="D207" s="24" t="n">
        <v>8733.92</v>
      </c>
      <c r="E207" s="24" t="n">
        <v>5315.319</v>
      </c>
      <c r="F207" s="24" t="n">
        <v>11586.776</v>
      </c>
      <c r="G207" s="22" t="n">
        <f aca="false">HOUR(C207)*60+MINUTE(C207)</f>
        <v>675</v>
      </c>
      <c r="H207" s="25" t="n">
        <f aca="false">IF(AND(B207=B206,A207=A206,D207&gt;0,N(D206)&gt;0,G207&gt;N(G206)),(D207-D206)/((G207-G206)/60),"")</f>
        <v>0.531999999999243</v>
      </c>
      <c r="I207" s="22" t="str">
        <f aca="false">IFERROR(INDEX(Medidores!$B:$B,MATCH(B207,Medidores!$A:$A,0)),"")</f>
        <v>L50</v>
      </c>
      <c r="J207" s="22" t="s">
        <v>120</v>
      </c>
    </row>
    <row r="208" customFormat="false" ht="15" hidden="false" customHeight="false" outlineLevel="0" collapsed="false">
      <c r="A208" s="21" t="n">
        <v>46303</v>
      </c>
      <c r="B208" s="22" t="s">
        <v>65</v>
      </c>
      <c r="C208" s="23" t="n">
        <v>0.479166666666667</v>
      </c>
      <c r="D208" s="24" t="n">
        <v>8734.053</v>
      </c>
      <c r="E208" s="24" t="n">
        <v>5315.319</v>
      </c>
      <c r="F208" s="24" t="n">
        <v>11586.915</v>
      </c>
      <c r="G208" s="22" t="n">
        <f aca="false">HOUR(C208)*60+MINUTE(C208)</f>
        <v>690</v>
      </c>
      <c r="H208" s="25" t="n">
        <f aca="false">IF(AND(B208=B207,A208=A207,D208&gt;0,N(D207)&gt;0,G208&gt;N(G207)),(D208-D207)/((G208-G207)/60),"")</f>
        <v>0.531999999999243</v>
      </c>
      <c r="I208" s="22" t="str">
        <f aca="false">IFERROR(INDEX(Medidores!$B:$B,MATCH(B208,Medidores!$A:$A,0)),"")</f>
        <v>L50</v>
      </c>
      <c r="J208" s="22" t="s">
        <v>121</v>
      </c>
    </row>
    <row r="209" customFormat="false" ht="15" hidden="false" customHeight="false" outlineLevel="0" collapsed="false">
      <c r="A209" s="21" t="n">
        <v>46303</v>
      </c>
      <c r="B209" s="22" t="s">
        <v>65</v>
      </c>
      <c r="C209" s="23" t="n">
        <v>0.489583333333333</v>
      </c>
      <c r="D209" s="24" t="n">
        <v>8734.186</v>
      </c>
      <c r="E209" s="24" t="n">
        <v>5315.319</v>
      </c>
      <c r="F209" s="24" t="n">
        <v>11587.054</v>
      </c>
      <c r="G209" s="22" t="n">
        <f aca="false">HOUR(C209)*60+MINUTE(C209)</f>
        <v>705</v>
      </c>
      <c r="H209" s="25" t="n">
        <f aca="false">IF(AND(B209=B208,A209=A208,D209&gt;0,N(D208)&gt;0,G209&gt;N(G208)),(D209-D208)/((G209-G208)/60),"")</f>
        <v>0.531999999999243</v>
      </c>
      <c r="I209" s="22" t="str">
        <f aca="false">IFERROR(INDEX(Medidores!$B:$B,MATCH(B209,Medidores!$A:$A,0)),"")</f>
        <v>L50</v>
      </c>
      <c r="J209" s="22" t="s">
        <v>122</v>
      </c>
    </row>
    <row r="210" customFormat="false" ht="15" hidden="false" customHeight="false" outlineLevel="0" collapsed="false">
      <c r="A210" s="21" t="n">
        <v>46303</v>
      </c>
      <c r="B210" s="22" t="s">
        <v>65</v>
      </c>
      <c r="C210" s="23" t="n">
        <v>0.5</v>
      </c>
      <c r="D210" s="24" t="n">
        <v>8734.32</v>
      </c>
      <c r="E210" s="24" t="n">
        <v>5315.319</v>
      </c>
      <c r="F210" s="24" t="n">
        <v>11587.193</v>
      </c>
      <c r="G210" s="22" t="n">
        <f aca="false">HOUR(C210)*60+MINUTE(C210)</f>
        <v>720</v>
      </c>
      <c r="H210" s="25" t="n">
        <f aca="false">IF(AND(B210=B209,A210=A209,D210&gt;0,N(D209)&gt;0,G210&gt;N(G209)),(D210-D209)/((G210-G209)/60),"")</f>
        <v>0.536000000000058</v>
      </c>
      <c r="I210" s="22" t="str">
        <f aca="false">IFERROR(INDEX(Medidores!$B:$B,MATCH(B210,Medidores!$A:$A,0)),"")</f>
        <v>L50</v>
      </c>
      <c r="J210" s="22" t="s">
        <v>123</v>
      </c>
    </row>
    <row r="211" customFormat="false" ht="15" hidden="false" customHeight="false" outlineLevel="0" collapsed="false">
      <c r="A211" s="21" t="n">
        <v>46303</v>
      </c>
      <c r="B211" s="22" t="s">
        <v>65</v>
      </c>
      <c r="C211" s="23" t="n">
        <v>0.510416666666667</v>
      </c>
      <c r="D211" s="24" t="n">
        <v>8734.453</v>
      </c>
      <c r="E211" s="24" t="n">
        <v>5315.319</v>
      </c>
      <c r="F211" s="24" t="n">
        <v>11587.332</v>
      </c>
      <c r="G211" s="22" t="n">
        <f aca="false">HOUR(C211)*60+MINUTE(C211)</f>
        <v>735</v>
      </c>
      <c r="H211" s="25" t="n">
        <f aca="false">IF(AND(B211=B210,A211=A210,D211&gt;0,N(D210)&gt;0,G211&gt;N(G210)),(D211-D210)/((G211-G210)/60),"")</f>
        <v>0.531999999999243</v>
      </c>
      <c r="I211" s="22" t="str">
        <f aca="false">IFERROR(INDEX(Medidores!$B:$B,MATCH(B211,Medidores!$A:$A,0)),"")</f>
        <v>L50</v>
      </c>
      <c r="J211" s="22" t="s">
        <v>124</v>
      </c>
    </row>
    <row r="212" customFormat="false" ht="15" hidden="false" customHeight="false" outlineLevel="0" collapsed="false">
      <c r="A212" s="21" t="n">
        <v>46303</v>
      </c>
      <c r="B212" s="22" t="s">
        <v>65</v>
      </c>
      <c r="C212" s="23" t="n">
        <v>0.520833333333333</v>
      </c>
      <c r="D212" s="24" t="n">
        <v>8734.586</v>
      </c>
      <c r="E212" s="24" t="n">
        <v>5315.319</v>
      </c>
      <c r="F212" s="24" t="n">
        <v>11587.471</v>
      </c>
      <c r="G212" s="22" t="n">
        <f aca="false">HOUR(C212)*60+MINUTE(C212)</f>
        <v>750</v>
      </c>
      <c r="H212" s="25" t="n">
        <f aca="false">IF(AND(B212=B211,A212=A211,D212&gt;0,N(D211)&gt;0,G212&gt;N(G211)),(D212-D211)/((G212-G211)/60),"")</f>
        <v>0.531999999999243</v>
      </c>
      <c r="I212" s="22" t="str">
        <f aca="false">IFERROR(INDEX(Medidores!$B:$B,MATCH(B212,Medidores!$A:$A,0)),"")</f>
        <v>L50</v>
      </c>
      <c r="J212" s="22" t="s">
        <v>125</v>
      </c>
    </row>
    <row r="213" customFormat="false" ht="15" hidden="false" customHeight="false" outlineLevel="0" collapsed="false">
      <c r="A213" s="21" t="n">
        <v>46303</v>
      </c>
      <c r="B213" s="22" t="s">
        <v>65</v>
      </c>
      <c r="C213" s="23" t="n">
        <v>0.53125</v>
      </c>
      <c r="D213" s="24" t="n">
        <v>8734.72</v>
      </c>
      <c r="E213" s="24" t="n">
        <v>5315.319</v>
      </c>
      <c r="F213" s="24" t="n">
        <v>11587.611</v>
      </c>
      <c r="G213" s="22" t="n">
        <f aca="false">HOUR(C213)*60+MINUTE(C213)</f>
        <v>765</v>
      </c>
      <c r="H213" s="25" t="n">
        <f aca="false">IF(AND(B213=B212,A213=A212,D213&gt;0,N(D212)&gt;0,G213&gt;N(G212)),(D213-D212)/((G213-G212)/60),"")</f>
        <v>0.536000000000058</v>
      </c>
      <c r="I213" s="22" t="str">
        <f aca="false">IFERROR(INDEX(Medidores!$B:$B,MATCH(B213,Medidores!$A:$A,0)),"")</f>
        <v>L50</v>
      </c>
      <c r="J213" s="22" t="s">
        <v>126</v>
      </c>
    </row>
    <row r="214" customFormat="false" ht="15" hidden="false" customHeight="false" outlineLevel="0" collapsed="false">
      <c r="A214" s="21" t="n">
        <v>46303</v>
      </c>
      <c r="B214" s="22" t="s">
        <v>65</v>
      </c>
      <c r="C214" s="23" t="n">
        <v>0.541666666666667</v>
      </c>
      <c r="D214" s="24" t="n">
        <v>8734.853</v>
      </c>
      <c r="E214" s="24" t="n">
        <v>5315.319</v>
      </c>
      <c r="F214" s="24" t="n">
        <v>11587.75</v>
      </c>
      <c r="G214" s="22" t="n">
        <f aca="false">HOUR(C214)*60+MINUTE(C214)</f>
        <v>780</v>
      </c>
      <c r="H214" s="25" t="n">
        <f aca="false">IF(AND(B214=B213,A214=A213,D214&gt;0,N(D213)&gt;0,G214&gt;N(G213)),(D214-D213)/((G214-G213)/60),"")</f>
        <v>0.531999999999243</v>
      </c>
      <c r="I214" s="22" t="str">
        <f aca="false">IFERROR(INDEX(Medidores!$B:$B,MATCH(B214,Medidores!$A:$A,0)),"")</f>
        <v>L50</v>
      </c>
      <c r="J214" s="22" t="s">
        <v>127</v>
      </c>
    </row>
    <row r="215" customFormat="false" ht="15" hidden="false" customHeight="false" outlineLevel="0" collapsed="false">
      <c r="A215" s="21" t="n">
        <v>46303</v>
      </c>
      <c r="B215" s="22" t="s">
        <v>65</v>
      </c>
      <c r="C215" s="23" t="n">
        <v>0.552083333333333</v>
      </c>
      <c r="D215" s="24" t="n">
        <v>8734.987</v>
      </c>
      <c r="E215" s="24" t="n">
        <v>5315.319</v>
      </c>
      <c r="F215" s="24" t="n">
        <v>11587.89</v>
      </c>
      <c r="G215" s="22" t="n">
        <f aca="false">HOUR(C215)*60+MINUTE(C215)</f>
        <v>795</v>
      </c>
      <c r="H215" s="25" t="n">
        <f aca="false">IF(AND(B215=B214,A215=A214,D215&gt;0,N(D214)&gt;0,G215&gt;N(G214)),(D215-D214)/((G215-G214)/60),"")</f>
        <v>0.536000000000058</v>
      </c>
      <c r="I215" s="22" t="str">
        <f aca="false">IFERROR(INDEX(Medidores!$B:$B,MATCH(B215,Medidores!$A:$A,0)),"")</f>
        <v>L50</v>
      </c>
      <c r="J215" s="22" t="s">
        <v>128</v>
      </c>
    </row>
    <row r="216" customFormat="false" ht="15" hidden="false" customHeight="false" outlineLevel="0" collapsed="false">
      <c r="A216" s="21" t="n">
        <v>46303</v>
      </c>
      <c r="B216" s="22" t="s">
        <v>65</v>
      </c>
      <c r="C216" s="23" t="n">
        <v>0.5625</v>
      </c>
      <c r="D216" s="24" t="n">
        <v>8735.12</v>
      </c>
      <c r="E216" s="24" t="n">
        <v>5315.319</v>
      </c>
      <c r="F216" s="24" t="n">
        <v>11588.03</v>
      </c>
      <c r="G216" s="22" t="n">
        <f aca="false">HOUR(C216)*60+MINUTE(C216)</f>
        <v>810</v>
      </c>
      <c r="H216" s="25" t="n">
        <f aca="false">IF(AND(B216=B215,A216=A215,D216&gt;0,N(D215)&gt;0,G216&gt;N(G215)),(D216-D215)/((G216-G215)/60),"")</f>
        <v>0.532000000006519</v>
      </c>
      <c r="I216" s="22" t="str">
        <f aca="false">IFERROR(INDEX(Medidores!$B:$B,MATCH(B216,Medidores!$A:$A,0)),"")</f>
        <v>L50</v>
      </c>
      <c r="J216" s="22" t="s">
        <v>129</v>
      </c>
    </row>
    <row r="217" customFormat="false" ht="15" hidden="false" customHeight="false" outlineLevel="0" collapsed="false">
      <c r="A217" s="21" t="n">
        <v>46303</v>
      </c>
      <c r="B217" s="22" t="s">
        <v>65</v>
      </c>
      <c r="C217" s="23" t="n">
        <v>0.572916666666667</v>
      </c>
      <c r="D217" s="24" t="n">
        <v>8735.254</v>
      </c>
      <c r="E217" s="24" t="n">
        <v>5315.319</v>
      </c>
      <c r="F217" s="24" t="n">
        <v>11588.17</v>
      </c>
      <c r="G217" s="22" t="n">
        <f aca="false">HOUR(C217)*60+MINUTE(C217)</f>
        <v>825</v>
      </c>
      <c r="H217" s="25" t="n">
        <f aca="false">IF(AND(B217=B216,A217=A216,D217&gt;0,N(D216)&gt;0,G217&gt;N(G216)),(D217-D216)/((G217-G216)/60),"")</f>
        <v>0.536000000000058</v>
      </c>
      <c r="I217" s="22" t="str">
        <f aca="false">IFERROR(INDEX(Medidores!$B:$B,MATCH(B217,Medidores!$A:$A,0)),"")</f>
        <v>L50</v>
      </c>
      <c r="J217" s="22" t="s">
        <v>130</v>
      </c>
    </row>
    <row r="218" customFormat="false" ht="15" hidden="false" customHeight="false" outlineLevel="0" collapsed="false">
      <c r="A218" s="21" t="n">
        <v>46303</v>
      </c>
      <c r="B218" s="22" t="s">
        <v>65</v>
      </c>
      <c r="C218" s="23" t="n">
        <v>0.583333333333333</v>
      </c>
      <c r="D218" s="24" t="n">
        <v>8735.387</v>
      </c>
      <c r="E218" s="24" t="n">
        <v>5315.319</v>
      </c>
      <c r="F218" s="24" t="n">
        <v>11588.309</v>
      </c>
      <c r="G218" s="22" t="n">
        <f aca="false">HOUR(C218)*60+MINUTE(C218)</f>
        <v>840</v>
      </c>
      <c r="H218" s="25" t="n">
        <f aca="false">IF(AND(B218=B217,A218=A217,D218&gt;0,N(D217)&gt;0,G218&gt;N(G217)),(D218-D217)/((G218-G217)/60),"")</f>
        <v>0.531999999999243</v>
      </c>
      <c r="I218" s="22" t="str">
        <f aca="false">IFERROR(INDEX(Medidores!$B:$B,MATCH(B218,Medidores!$A:$A,0)),"")</f>
        <v>L50</v>
      </c>
      <c r="J218" s="22" t="s">
        <v>131</v>
      </c>
    </row>
    <row r="219" customFormat="false" ht="15" hidden="false" customHeight="false" outlineLevel="0" collapsed="false">
      <c r="A219" s="21" t="n">
        <v>46303</v>
      </c>
      <c r="B219" s="22" t="s">
        <v>65</v>
      </c>
      <c r="C219" s="23" t="n">
        <v>0.59375</v>
      </c>
      <c r="D219" s="24" t="n">
        <v>8735.545</v>
      </c>
      <c r="E219" s="24" t="n">
        <v>5315.326</v>
      </c>
      <c r="F219" s="24" t="n">
        <v>11588.487</v>
      </c>
      <c r="G219" s="22" t="n">
        <f aca="false">HOUR(C219)*60+MINUTE(C219)</f>
        <v>855</v>
      </c>
      <c r="H219" s="25" t="n">
        <f aca="false">IF(AND(B219=B218,A219=A218,D219&gt;0,N(D218)&gt;0,G219&gt;N(G218)),(D219-D218)/((G219-G218)/60),"")</f>
        <v>0.631999999997788</v>
      </c>
      <c r="I219" s="22" t="str">
        <f aca="false">IFERROR(INDEX(Medidores!$B:$B,MATCH(B219,Medidores!$A:$A,0)),"")</f>
        <v>L50</v>
      </c>
      <c r="J219" s="22" t="s">
        <v>132</v>
      </c>
    </row>
    <row r="220" customFormat="false" ht="15" hidden="false" customHeight="false" outlineLevel="0" collapsed="false">
      <c r="A220" s="21" t="n">
        <v>46303</v>
      </c>
      <c r="B220" s="22" t="s">
        <v>65</v>
      </c>
      <c r="C220" s="23" t="n">
        <v>0.604166666666667</v>
      </c>
      <c r="D220" s="24" t="n">
        <v>8736.063</v>
      </c>
      <c r="E220" s="24" t="n">
        <v>5315.779</v>
      </c>
      <c r="F220" s="24" t="n">
        <v>11589.19</v>
      </c>
      <c r="G220" s="22" t="n">
        <f aca="false">HOUR(C220)*60+MINUTE(C220)</f>
        <v>870</v>
      </c>
      <c r="H220" s="25" t="n">
        <f aca="false">IF(AND(B220=B219,A220=A219,D220&gt;0,N(D219)&gt;0,G220&gt;N(G219)),(D220-D219)/((G220-G219)/60),"")</f>
        <v>2.07200000000012</v>
      </c>
      <c r="I220" s="22" t="str">
        <f aca="false">IFERROR(INDEX(Medidores!$B:$B,MATCH(B220,Medidores!$A:$A,0)),"")</f>
        <v>L50</v>
      </c>
      <c r="J220" s="22" t="s">
        <v>133</v>
      </c>
    </row>
    <row r="221" customFormat="false" ht="15" hidden="false" customHeight="false" outlineLevel="0" collapsed="false">
      <c r="A221" s="21" t="n">
        <v>46303</v>
      </c>
      <c r="B221" s="22" t="s">
        <v>65</v>
      </c>
      <c r="C221" s="23" t="n">
        <v>0.614583333333333</v>
      </c>
      <c r="D221" s="24" t="n">
        <v>8736.439</v>
      </c>
      <c r="E221" s="24" t="n">
        <v>5315.895</v>
      </c>
      <c r="F221" s="24" t="n">
        <v>11589.597</v>
      </c>
      <c r="G221" s="22" t="n">
        <f aca="false">HOUR(C221)*60+MINUTE(C221)</f>
        <v>885</v>
      </c>
      <c r="H221" s="25" t="n">
        <f aca="false">IF(AND(B221=B220,A221=A220,D221&gt;0,N(D220)&gt;0,G221&gt;N(G220)),(D221-D220)/((G221-G220)/60),"")</f>
        <v>1.50400000000082</v>
      </c>
      <c r="I221" s="22" t="str">
        <f aca="false">IFERROR(INDEX(Medidores!$B:$B,MATCH(B221,Medidores!$A:$A,0)),"")</f>
        <v>L50</v>
      </c>
      <c r="J221" s="22" t="s">
        <v>134</v>
      </c>
    </row>
    <row r="222" customFormat="false" ht="15" hidden="false" customHeight="false" outlineLevel="0" collapsed="false">
      <c r="A222" s="21" t="n">
        <v>46303</v>
      </c>
      <c r="B222" s="22" t="s">
        <v>85</v>
      </c>
      <c r="C222" s="23" t="n">
        <v>0.427083333333333</v>
      </c>
      <c r="D222" s="24" t="n">
        <v>9918.276</v>
      </c>
      <c r="E222" s="24" t="n">
        <v>3641.205</v>
      </c>
      <c r="F222" s="24" t="n">
        <v>10997.144</v>
      </c>
      <c r="G222" s="22" t="n">
        <f aca="false">HOUR(C222)*60+MINUTE(C222)</f>
        <v>615</v>
      </c>
      <c r="H222" s="25" t="str">
        <f aca="false">IF(AND(B222=B221,A222=A221,D222&gt;0,N(D221)&gt;0,G222&gt;N(G221)),(D222-D221)/((G222-G221)/60),"")</f>
        <v/>
      </c>
      <c r="I222" s="22" t="str">
        <f aca="false">IFERROR(INDEX(Medidores!$B:$B,MATCH(B222,Medidores!$A:$A,0)),"")</f>
        <v>L21</v>
      </c>
      <c r="J222" s="22" t="s">
        <v>96</v>
      </c>
    </row>
    <row r="223" customFormat="false" ht="15" hidden="false" customHeight="false" outlineLevel="0" collapsed="false">
      <c r="A223" s="21" t="n">
        <v>46303</v>
      </c>
      <c r="B223" s="22" t="s">
        <v>85</v>
      </c>
      <c r="C223" s="23" t="n">
        <v>0.4375</v>
      </c>
      <c r="D223" s="24" t="n">
        <v>9918.43</v>
      </c>
      <c r="E223" s="24" t="n">
        <v>3641.205</v>
      </c>
      <c r="F223" s="24" t="n">
        <v>10997.299</v>
      </c>
      <c r="G223" s="22" t="n">
        <f aca="false">HOUR(C223)*60+MINUTE(C223)</f>
        <v>630</v>
      </c>
      <c r="H223" s="25" t="n">
        <f aca="false">IF(AND(B223=B222,A223=A222,D223&gt;0,N(D222)&gt;0,G223&gt;N(G222)),(D223-D222)/((G223-G222)/60),"")</f>
        <v>0.616000000001804</v>
      </c>
      <c r="I223" s="22" t="str">
        <f aca="false">IFERROR(INDEX(Medidores!$B:$B,MATCH(B223,Medidores!$A:$A,0)),"")</f>
        <v>L21</v>
      </c>
      <c r="J223" s="22" t="s">
        <v>97</v>
      </c>
    </row>
    <row r="224" customFormat="false" ht="15" hidden="false" customHeight="false" outlineLevel="0" collapsed="false">
      <c r="A224" s="21" t="n">
        <v>46303</v>
      </c>
      <c r="B224" s="22" t="s">
        <v>85</v>
      </c>
      <c r="C224" s="23" t="n">
        <v>0.447916666666667</v>
      </c>
      <c r="D224" s="24" t="n">
        <v>9918.583</v>
      </c>
      <c r="E224" s="24" t="n">
        <v>3641.205</v>
      </c>
      <c r="F224" s="24" t="n">
        <v>10997.456</v>
      </c>
      <c r="G224" s="22" t="n">
        <f aca="false">HOUR(C224)*60+MINUTE(C224)</f>
        <v>645</v>
      </c>
      <c r="H224" s="25" t="n">
        <f aca="false">IF(AND(B224=B223,A224=A223,D224&gt;0,N(D223)&gt;0,G224&gt;N(G223)),(D224-D223)/((G224-G223)/60),"")</f>
        <v>0.61200000000099</v>
      </c>
      <c r="I224" s="22" t="str">
        <f aca="false">IFERROR(INDEX(Medidores!$B:$B,MATCH(B224,Medidores!$A:$A,0)),"")</f>
        <v>L21</v>
      </c>
      <c r="J224" s="22" t="s">
        <v>98</v>
      </c>
    </row>
    <row r="225" customFormat="false" ht="15" hidden="false" customHeight="false" outlineLevel="0" collapsed="false">
      <c r="A225" s="21" t="n">
        <v>46303</v>
      </c>
      <c r="B225" s="22" t="s">
        <v>85</v>
      </c>
      <c r="C225" s="23" t="n">
        <v>0.458333333333333</v>
      </c>
      <c r="D225" s="24" t="n">
        <v>9918.738</v>
      </c>
      <c r="E225" s="24" t="n">
        <v>3641.205</v>
      </c>
      <c r="F225" s="24" t="n">
        <v>10997.613</v>
      </c>
      <c r="G225" s="22" t="n">
        <f aca="false">HOUR(C225)*60+MINUTE(C225)</f>
        <v>660</v>
      </c>
      <c r="H225" s="25" t="n">
        <f aca="false">IF(AND(B225=B224,A225=A224,D225&gt;0,N(D224)&gt;0,G225&gt;N(G224)),(D225-D224)/((G225-G224)/60),"")</f>
        <v>0.619999999995343</v>
      </c>
      <c r="I225" s="22" t="str">
        <f aca="false">IFERROR(INDEX(Medidores!$B:$B,MATCH(B225,Medidores!$A:$A,0)),"")</f>
        <v>L21</v>
      </c>
      <c r="J225" s="22" t="s">
        <v>99</v>
      </c>
    </row>
    <row r="226" customFormat="false" ht="15" hidden="false" customHeight="false" outlineLevel="0" collapsed="false">
      <c r="A226" s="21" t="n">
        <v>46303</v>
      </c>
      <c r="B226" s="22" t="s">
        <v>85</v>
      </c>
      <c r="C226" s="23" t="n">
        <v>0.46875</v>
      </c>
      <c r="D226" s="24" t="n">
        <v>9918.892</v>
      </c>
      <c r="E226" s="24" t="n">
        <v>3641.205</v>
      </c>
      <c r="F226" s="24" t="n">
        <v>10997.77</v>
      </c>
      <c r="G226" s="22" t="n">
        <f aca="false">HOUR(C226)*60+MINUTE(C226)</f>
        <v>675</v>
      </c>
      <c r="H226" s="25" t="n">
        <f aca="false">IF(AND(B226=B225,A226=A225,D226&gt;0,N(D225)&gt;0,G226&gt;N(G225)),(D226-D225)/((G226-G225)/60),"")</f>
        <v>0.616000000001804</v>
      </c>
      <c r="I226" s="22" t="str">
        <f aca="false">IFERROR(INDEX(Medidores!$B:$B,MATCH(B226,Medidores!$A:$A,0)),"")</f>
        <v>L21</v>
      </c>
      <c r="J226" s="22" t="s">
        <v>100</v>
      </c>
    </row>
    <row r="227" customFormat="false" ht="15" hidden="false" customHeight="false" outlineLevel="0" collapsed="false">
      <c r="A227" s="21" t="n">
        <v>46303</v>
      </c>
      <c r="B227" s="22" t="s">
        <v>85</v>
      </c>
      <c r="C227" s="23" t="n">
        <v>0.479166666666667</v>
      </c>
      <c r="D227" s="24" t="n">
        <v>9919.045</v>
      </c>
      <c r="E227" s="24" t="n">
        <v>3641.205</v>
      </c>
      <c r="F227" s="24" t="n">
        <v>10997.926</v>
      </c>
      <c r="G227" s="22" t="n">
        <f aca="false">HOUR(C227)*60+MINUTE(C227)</f>
        <v>690</v>
      </c>
      <c r="H227" s="25" t="n">
        <f aca="false">IF(AND(B227=B226,A227=A226,D227&gt;0,N(D226)&gt;0,G227&gt;N(G226)),(D227-D226)/((G227-G226)/60),"")</f>
        <v>0.61200000000099</v>
      </c>
      <c r="I227" s="22" t="str">
        <f aca="false">IFERROR(INDEX(Medidores!$B:$B,MATCH(B227,Medidores!$A:$A,0)),"")</f>
        <v>L21</v>
      </c>
      <c r="J227" s="22" t="s">
        <v>101</v>
      </c>
    </row>
    <row r="228" customFormat="false" ht="15" hidden="false" customHeight="false" outlineLevel="0" collapsed="false">
      <c r="A228" s="21" t="n">
        <v>46303</v>
      </c>
      <c r="B228" s="22" t="s">
        <v>85</v>
      </c>
      <c r="C228" s="23" t="n">
        <v>0.489583333333333</v>
      </c>
      <c r="D228" s="24" t="n">
        <v>9919.199</v>
      </c>
      <c r="E228" s="24" t="n">
        <v>3641.205</v>
      </c>
      <c r="F228" s="24" t="n">
        <v>10998.083</v>
      </c>
      <c r="G228" s="22" t="n">
        <f aca="false">HOUR(C228)*60+MINUTE(C228)</f>
        <v>705</v>
      </c>
      <c r="H228" s="25" t="n">
        <f aca="false">IF(AND(B228=B227,A228=A227,D228&gt;0,N(D227)&gt;0,G228&gt;N(G227)),(D228-D227)/((G228-G227)/60),"")</f>
        <v>0.616000000001804</v>
      </c>
      <c r="I228" s="22" t="str">
        <f aca="false">IFERROR(INDEX(Medidores!$B:$B,MATCH(B228,Medidores!$A:$A,0)),"")</f>
        <v>L21</v>
      </c>
      <c r="J228" s="22" t="s">
        <v>102</v>
      </c>
    </row>
    <row r="229" customFormat="false" ht="15" hidden="false" customHeight="false" outlineLevel="0" collapsed="false">
      <c r="A229" s="21" t="n">
        <v>46303</v>
      </c>
      <c r="B229" s="22" t="s">
        <v>85</v>
      </c>
      <c r="C229" s="23" t="n">
        <v>0.5</v>
      </c>
      <c r="D229" s="24" t="n">
        <v>9919.355</v>
      </c>
      <c r="E229" s="24" t="n">
        <v>3641.205</v>
      </c>
      <c r="F229" s="24" t="n">
        <v>10998.24</v>
      </c>
      <c r="G229" s="22" t="n">
        <f aca="false">HOUR(C229)*60+MINUTE(C229)</f>
        <v>720</v>
      </c>
      <c r="H229" s="25" t="n">
        <f aca="false">IF(AND(B229=B228,A229=A228,D229&gt;0,N(D228)&gt;0,G229&gt;N(G228)),(D229-D228)/((G229-G228)/60),"")</f>
        <v>0.623999999996158</v>
      </c>
      <c r="I229" s="22" t="str">
        <f aca="false">IFERROR(INDEX(Medidores!$B:$B,MATCH(B229,Medidores!$A:$A,0)),"")</f>
        <v>L21</v>
      </c>
      <c r="J229" s="22" t="s">
        <v>103</v>
      </c>
    </row>
    <row r="230" customFormat="false" ht="15" hidden="false" customHeight="false" outlineLevel="0" collapsed="false">
      <c r="A230" s="21" t="n">
        <v>46303</v>
      </c>
      <c r="B230" s="22" t="s">
        <v>85</v>
      </c>
      <c r="C230" s="23" t="n">
        <v>0.510416666666667</v>
      </c>
      <c r="D230" s="24" t="n">
        <v>9919.509</v>
      </c>
      <c r="E230" s="24" t="n">
        <v>3641.205</v>
      </c>
      <c r="F230" s="24" t="n">
        <v>10998.397</v>
      </c>
      <c r="G230" s="22" t="n">
        <f aca="false">HOUR(C230)*60+MINUTE(C230)</f>
        <v>735</v>
      </c>
      <c r="H230" s="25" t="n">
        <f aca="false">IF(AND(B230=B229,A230=A229,D230&gt;0,N(D229)&gt;0,G230&gt;N(G229)),(D230-D229)/((G230-G229)/60),"")</f>
        <v>0.616000000001804</v>
      </c>
      <c r="I230" s="22" t="str">
        <f aca="false">IFERROR(INDEX(Medidores!$B:$B,MATCH(B230,Medidores!$A:$A,0)),"")</f>
        <v>L21</v>
      </c>
      <c r="J230" s="22" t="s">
        <v>104</v>
      </c>
    </row>
    <row r="231" customFormat="false" ht="15" hidden="false" customHeight="false" outlineLevel="0" collapsed="false">
      <c r="A231" s="21" t="n">
        <v>46303</v>
      </c>
      <c r="B231" s="22" t="s">
        <v>85</v>
      </c>
      <c r="C231" s="23" t="n">
        <v>0.520833333333333</v>
      </c>
      <c r="D231" s="24" t="n">
        <v>9919.663</v>
      </c>
      <c r="E231" s="24" t="n">
        <v>3641.205</v>
      </c>
      <c r="F231" s="24" t="n">
        <v>10998.554</v>
      </c>
      <c r="G231" s="22" t="n">
        <f aca="false">HOUR(C231)*60+MINUTE(C231)</f>
        <v>750</v>
      </c>
      <c r="H231" s="25" t="n">
        <f aca="false">IF(AND(B231=B230,A231=A230,D231&gt;0,N(D230)&gt;0,G231&gt;N(G230)),(D231-D230)/((G231-G230)/60),"")</f>
        <v>0.616000000001804</v>
      </c>
      <c r="I231" s="22" t="str">
        <f aca="false">IFERROR(INDEX(Medidores!$B:$B,MATCH(B231,Medidores!$A:$A,0)),"")</f>
        <v>L21</v>
      </c>
      <c r="J231" s="22" t="s">
        <v>105</v>
      </c>
    </row>
    <row r="232" customFormat="false" ht="15" hidden="false" customHeight="false" outlineLevel="0" collapsed="false">
      <c r="A232" s="21" t="n">
        <v>46303</v>
      </c>
      <c r="B232" s="22" t="s">
        <v>85</v>
      </c>
      <c r="C232" s="23" t="n">
        <v>0.53125</v>
      </c>
      <c r="D232" s="24" t="n">
        <v>9919.818</v>
      </c>
      <c r="E232" s="24" t="n">
        <v>3641.205</v>
      </c>
      <c r="F232" s="24" t="n">
        <v>10998.71</v>
      </c>
      <c r="G232" s="22" t="n">
        <f aca="false">HOUR(C232)*60+MINUTE(C232)</f>
        <v>765</v>
      </c>
      <c r="H232" s="25" t="n">
        <f aca="false">IF(AND(B232=B231,A232=A231,D232&gt;0,N(D231)&gt;0,G232&gt;N(G231)),(D232-D231)/((G232-G231)/60),"")</f>
        <v>0.619999999995343</v>
      </c>
      <c r="I232" s="22" t="str">
        <f aca="false">IFERROR(INDEX(Medidores!$B:$B,MATCH(B232,Medidores!$A:$A,0)),"")</f>
        <v>L21</v>
      </c>
      <c r="J232" s="22" t="s">
        <v>106</v>
      </c>
    </row>
    <row r="233" customFormat="false" ht="15" hidden="false" customHeight="false" outlineLevel="0" collapsed="false">
      <c r="A233" s="21" t="n">
        <v>46303</v>
      </c>
      <c r="B233" s="22" t="s">
        <v>85</v>
      </c>
      <c r="C233" s="23" t="n">
        <v>0.541666666666667</v>
      </c>
      <c r="D233" s="24" t="n">
        <v>9919.972</v>
      </c>
      <c r="E233" s="24" t="n">
        <v>3641.205</v>
      </c>
      <c r="F233" s="24" t="n">
        <v>10998.867</v>
      </c>
      <c r="G233" s="22" t="n">
        <f aca="false">HOUR(C233)*60+MINUTE(C233)</f>
        <v>780</v>
      </c>
      <c r="H233" s="25" t="n">
        <f aca="false">IF(AND(B233=B232,A233=A232,D233&gt;0,N(D232)&gt;0,G233&gt;N(G232)),(D233-D232)/((G233-G232)/60),"")</f>
        <v>0.616000000001804</v>
      </c>
      <c r="I233" s="22" t="str">
        <f aca="false">IFERROR(INDEX(Medidores!$B:$B,MATCH(B233,Medidores!$A:$A,0)),"")</f>
        <v>L21</v>
      </c>
      <c r="J233" s="22" t="s">
        <v>107</v>
      </c>
    </row>
    <row r="234" customFormat="false" ht="15" hidden="false" customHeight="false" outlineLevel="0" collapsed="false">
      <c r="A234" s="21" t="n">
        <v>46303</v>
      </c>
      <c r="B234" s="22" t="s">
        <v>85</v>
      </c>
      <c r="C234" s="23" t="n">
        <v>0.552083333333333</v>
      </c>
      <c r="D234" s="24" t="n">
        <v>9920.128</v>
      </c>
      <c r="E234" s="24" t="n">
        <v>3641.205</v>
      </c>
      <c r="F234" s="24" t="n">
        <v>10999.025</v>
      </c>
      <c r="G234" s="22" t="n">
        <f aca="false">HOUR(C234)*60+MINUTE(C234)</f>
        <v>795</v>
      </c>
      <c r="H234" s="25" t="n">
        <f aca="false">IF(AND(B234=B233,A234=A233,D234&gt;0,N(D233)&gt;0,G234&gt;N(G233)),(D234-D233)/((G234-G233)/60),"")</f>
        <v>0.624000000003434</v>
      </c>
      <c r="I234" s="22" t="str">
        <f aca="false">IFERROR(INDEX(Medidores!$B:$B,MATCH(B234,Medidores!$A:$A,0)),"")</f>
        <v>L21</v>
      </c>
      <c r="J234" s="22" t="s">
        <v>108</v>
      </c>
    </row>
    <row r="235" customFormat="false" ht="15" hidden="false" customHeight="false" outlineLevel="0" collapsed="false">
      <c r="A235" s="21" t="n">
        <v>46303</v>
      </c>
      <c r="B235" s="22" t="s">
        <v>85</v>
      </c>
      <c r="C235" s="23" t="n">
        <v>0.5625</v>
      </c>
      <c r="D235" s="24" t="n">
        <v>9920.284</v>
      </c>
      <c r="E235" s="24" t="n">
        <v>3641.205</v>
      </c>
      <c r="F235" s="24" t="n">
        <v>10999.184</v>
      </c>
      <c r="G235" s="22" t="n">
        <f aca="false">HOUR(C235)*60+MINUTE(C235)</f>
        <v>810</v>
      </c>
      <c r="H235" s="25" t="n">
        <f aca="false">IF(AND(B235=B234,A235=A234,D235&gt;0,N(D234)&gt;0,G235&gt;N(G234)),(D235-D234)/((G235-G234)/60),"")</f>
        <v>0.623999999996158</v>
      </c>
      <c r="I235" s="22" t="str">
        <f aca="false">IFERROR(INDEX(Medidores!$B:$B,MATCH(B235,Medidores!$A:$A,0)),"")</f>
        <v>L21</v>
      </c>
      <c r="J235" s="22" t="s">
        <v>109</v>
      </c>
    </row>
    <row r="236" customFormat="false" ht="15" hidden="false" customHeight="false" outlineLevel="0" collapsed="false">
      <c r="A236" s="21" t="n">
        <v>46303</v>
      </c>
      <c r="B236" s="22" t="s">
        <v>85</v>
      </c>
      <c r="C236" s="23" t="n">
        <v>0.572916666666667</v>
      </c>
      <c r="D236" s="24" t="n">
        <v>9920.441</v>
      </c>
      <c r="E236" s="24" t="n">
        <v>3641.205</v>
      </c>
      <c r="F236" s="24" t="n">
        <v>10999.343</v>
      </c>
      <c r="G236" s="22" t="n">
        <f aca="false">HOUR(C236)*60+MINUTE(C236)</f>
        <v>825</v>
      </c>
      <c r="H236" s="25" t="n">
        <f aca="false">IF(AND(B236=B235,A236=A235,D236&gt;0,N(D235)&gt;0,G236&gt;N(G235)),(D236-D235)/((G236-G235)/60),"")</f>
        <v>0.628000000004249</v>
      </c>
      <c r="I236" s="22" t="str">
        <f aca="false">IFERROR(INDEX(Medidores!$B:$B,MATCH(B236,Medidores!$A:$A,0)),"")</f>
        <v>L21</v>
      </c>
      <c r="J236" s="22" t="s">
        <v>110</v>
      </c>
    </row>
    <row r="237" customFormat="false" ht="15" hidden="false" customHeight="false" outlineLevel="0" collapsed="false">
      <c r="A237" s="21" t="n">
        <v>46303</v>
      </c>
      <c r="B237" s="22" t="s">
        <v>85</v>
      </c>
      <c r="C237" s="23" t="n">
        <v>0.583333333333333</v>
      </c>
      <c r="D237" s="24" t="n">
        <v>9920.596</v>
      </c>
      <c r="E237" s="24" t="n">
        <v>3641.205</v>
      </c>
      <c r="F237" s="24" t="n">
        <v>10999.501</v>
      </c>
      <c r="G237" s="22" t="n">
        <f aca="false">HOUR(C237)*60+MINUTE(C237)</f>
        <v>840</v>
      </c>
      <c r="H237" s="25" t="n">
        <f aca="false">IF(AND(B237=B236,A237=A236,D237&gt;0,N(D236)&gt;0,G237&gt;N(G236)),(D237-D236)/((G237-G236)/60),"")</f>
        <v>0.619999999995343</v>
      </c>
      <c r="I237" s="22" t="str">
        <f aca="false">IFERROR(INDEX(Medidores!$B:$B,MATCH(B237,Medidores!$A:$A,0)),"")</f>
        <v>L21</v>
      </c>
      <c r="J237" s="22" t="s">
        <v>111</v>
      </c>
    </row>
    <row r="238" customFormat="false" ht="15" hidden="false" customHeight="false" outlineLevel="0" collapsed="false">
      <c r="A238" s="21" t="n">
        <v>46303</v>
      </c>
      <c r="B238" s="22" t="s">
        <v>85</v>
      </c>
      <c r="C238" s="23" t="n">
        <v>0.59375</v>
      </c>
      <c r="D238" s="24" t="n">
        <v>9921.124</v>
      </c>
      <c r="E238" s="24" t="n">
        <v>3641.205</v>
      </c>
      <c r="F238" s="24" t="n">
        <v>11000.031</v>
      </c>
      <c r="G238" s="22" t="n">
        <f aca="false">HOUR(C238)*60+MINUTE(C238)</f>
        <v>855</v>
      </c>
      <c r="H238" s="25" t="n">
        <f aca="false">IF(AND(B238=B237,A238=A237,D238&gt;0,N(D237)&gt;0,G238&gt;N(G237)),(D238-D237)/((G238-G237)/60),"")</f>
        <v>2.11200000000099</v>
      </c>
      <c r="I238" s="22" t="str">
        <f aca="false">IFERROR(INDEX(Medidores!$B:$B,MATCH(B238,Medidores!$A:$A,0)),"")</f>
        <v>L21</v>
      </c>
      <c r="J238" s="22" t="s">
        <v>112</v>
      </c>
    </row>
    <row r="239" customFormat="false" ht="15" hidden="false" customHeight="false" outlineLevel="0" collapsed="false">
      <c r="A239" s="21" t="n">
        <v>46303</v>
      </c>
      <c r="B239" s="22" t="s">
        <v>85</v>
      </c>
      <c r="C239" s="23" t="n">
        <v>0.604166666666667</v>
      </c>
      <c r="D239" s="24" t="n">
        <v>9921.876</v>
      </c>
      <c r="E239" s="24" t="n">
        <v>3641.24</v>
      </c>
      <c r="F239" s="24" t="n">
        <v>11000.801</v>
      </c>
      <c r="G239" s="22" t="n">
        <f aca="false">HOUR(C239)*60+MINUTE(C239)</f>
        <v>870</v>
      </c>
      <c r="H239" s="25" t="n">
        <f aca="false">IF(AND(B239=B238,A239=A238,D239&gt;0,N(D238)&gt;0,G239&gt;N(G238)),(D239-D238)/((G239-G238)/60),"")</f>
        <v>3.00800000000163</v>
      </c>
      <c r="I239" s="22" t="str">
        <f aca="false">IFERROR(INDEX(Medidores!$B:$B,MATCH(B239,Medidores!$A:$A,0)),"")</f>
        <v>L21</v>
      </c>
      <c r="J239" s="22" t="s">
        <v>113</v>
      </c>
    </row>
    <row r="240" customFormat="false" ht="15" hidden="false" customHeight="false" outlineLevel="0" collapsed="false">
      <c r="A240" s="21" t="n">
        <v>46303</v>
      </c>
      <c r="B240" s="22" t="s">
        <v>85</v>
      </c>
      <c r="C240" s="23" t="n">
        <v>0.614583333333333</v>
      </c>
      <c r="D240" s="24" t="n">
        <v>9922.558</v>
      </c>
      <c r="E240" s="24" t="n">
        <v>3641.637</v>
      </c>
      <c r="F240" s="24" t="n">
        <v>11001.608</v>
      </c>
      <c r="G240" s="22" t="n">
        <f aca="false">HOUR(C240)*60+MINUTE(C240)</f>
        <v>885</v>
      </c>
      <c r="H240" s="25" t="n">
        <f aca="false">IF(AND(B240=B239,A240=A239,D240&gt;0,N(D239)&gt;0,G240&gt;N(G239)),(D240-D239)/((G240-G239)/60),"")</f>
        <v>2.72800000000279</v>
      </c>
      <c r="I240" s="22" t="str">
        <f aca="false">IFERROR(INDEX(Medidores!$B:$B,MATCH(B240,Medidores!$A:$A,0)),"")</f>
        <v>L21</v>
      </c>
      <c r="J240" s="22" t="s">
        <v>114</v>
      </c>
    </row>
    <row r="241" customFormat="false" ht="15" hidden="false" customHeight="false" outlineLevel="0" collapsed="false">
      <c r="A241" s="21" t="n">
        <v>46303</v>
      </c>
      <c r="B241" s="22" t="s">
        <v>85</v>
      </c>
      <c r="C241" s="23" t="n">
        <v>0.625</v>
      </c>
      <c r="D241" s="24" t="n">
        <v>9923.381</v>
      </c>
      <c r="E241" s="24" t="n">
        <v>3642.175</v>
      </c>
      <c r="F241" s="24" t="n">
        <v>11002.594</v>
      </c>
      <c r="G241" s="22" t="n">
        <f aca="false">HOUR(C241)*60+MINUTE(C241)</f>
        <v>900</v>
      </c>
      <c r="H241" s="25" t="n">
        <f aca="false">IF(AND(B241=B240,A241=A240,D241&gt;0,N(D240)&gt;0,G241&gt;N(G240)),(D241-D240)/((G241-G240)/60),"")</f>
        <v>3.291999999994</v>
      </c>
      <c r="I241" s="22" t="str">
        <f aca="false">IFERROR(INDEX(Medidores!$B:$B,MATCH(B241,Medidores!$A:$A,0)),"")</f>
        <v>L21</v>
      </c>
      <c r="J241" s="22" t="s">
        <v>135</v>
      </c>
    </row>
    <row r="242" customFormat="false" ht="15" hidden="false" customHeight="false" outlineLevel="0" collapsed="false">
      <c r="A242" s="21" t="n">
        <v>46303</v>
      </c>
      <c r="B242" s="22" t="s">
        <v>87</v>
      </c>
      <c r="C242" s="23" t="n">
        <v>0.416666666666667</v>
      </c>
      <c r="D242" s="24" t="n">
        <v>10505.768</v>
      </c>
      <c r="E242" s="24" t="n">
        <v>4913.93</v>
      </c>
      <c r="F242" s="24" t="n">
        <v>11778.164</v>
      </c>
      <c r="G242" s="22" t="n">
        <f aca="false">HOUR(C242)*60+MINUTE(C242)</f>
        <v>600</v>
      </c>
      <c r="H242" s="25" t="str">
        <f aca="false">IF(AND(B242=B241,A242=A241,D242&gt;0,N(D241)&gt;0,G242&gt;N(G241)),(D242-D241)/((G242-G241)/60),"")</f>
        <v/>
      </c>
      <c r="I242" s="22" t="str">
        <f aca="false">IFERROR(INDEX(Medidores!$B:$B,MATCH(B242,Medidores!$A:$A,0)),"")</f>
        <v>L14</v>
      </c>
      <c r="J242" s="22" t="s">
        <v>115</v>
      </c>
    </row>
    <row r="243" customFormat="false" ht="15" hidden="false" customHeight="false" outlineLevel="0" collapsed="false">
      <c r="A243" s="21" t="n">
        <v>46303</v>
      </c>
      <c r="B243" s="22" t="s">
        <v>87</v>
      </c>
      <c r="C243" s="23" t="n">
        <v>0.427083333333333</v>
      </c>
      <c r="D243" s="24" t="n">
        <v>10506.634</v>
      </c>
      <c r="E243" s="24" t="n">
        <v>4914.398</v>
      </c>
      <c r="F243" s="24" t="n">
        <v>11779.152</v>
      </c>
      <c r="G243" s="22" t="n">
        <f aca="false">HOUR(C243)*60+MINUTE(C243)</f>
        <v>615</v>
      </c>
      <c r="H243" s="25" t="n">
        <f aca="false">IF(AND(B243=B242,A243=A242,D243&gt;0,N(D242)&gt;0,G243&gt;N(G242)),(D243-D242)/((G243-G242)/60),"")</f>
        <v>3.46399999999994</v>
      </c>
      <c r="I243" s="22" t="str">
        <f aca="false">IFERROR(INDEX(Medidores!$B:$B,MATCH(B243,Medidores!$A:$A,0)),"")</f>
        <v>L14</v>
      </c>
      <c r="J243" s="22" t="s">
        <v>116</v>
      </c>
    </row>
    <row r="244" customFormat="false" ht="15" hidden="false" customHeight="false" outlineLevel="0" collapsed="false">
      <c r="A244" s="21" t="n">
        <v>46303</v>
      </c>
      <c r="B244" s="22" t="s">
        <v>87</v>
      </c>
      <c r="C244" s="23" t="n">
        <v>0.4375</v>
      </c>
      <c r="D244" s="24" t="n">
        <v>10507.683</v>
      </c>
      <c r="E244" s="24" t="n">
        <v>4914.922</v>
      </c>
      <c r="F244" s="24" t="n">
        <v>11780.325</v>
      </c>
      <c r="G244" s="22" t="n">
        <f aca="false">HOUR(C244)*60+MINUTE(C244)</f>
        <v>630</v>
      </c>
      <c r="H244" s="25" t="n">
        <f aca="false">IF(AND(B244=B243,A244=A243,D244&gt;0,N(D243)&gt;0,G244&gt;N(G243)),(D244-D243)/((G244-G243)/60),"")</f>
        <v>4.19600000000355</v>
      </c>
      <c r="I244" s="22" t="str">
        <f aca="false">IFERROR(INDEX(Medidores!$B:$B,MATCH(B244,Medidores!$A:$A,0)),"")</f>
        <v>L14</v>
      </c>
      <c r="J244" s="22" t="s">
        <v>117</v>
      </c>
    </row>
    <row r="245" customFormat="false" ht="15" hidden="false" customHeight="false" outlineLevel="0" collapsed="false">
      <c r="A245" s="21" t="n">
        <v>46303</v>
      </c>
      <c r="B245" s="22" t="s">
        <v>87</v>
      </c>
      <c r="C245" s="23" t="n">
        <v>0.447916666666667</v>
      </c>
      <c r="D245" s="24" t="n">
        <v>10508.399</v>
      </c>
      <c r="E245" s="24" t="n">
        <v>4915.233</v>
      </c>
      <c r="F245" s="24" t="n">
        <v>11781.114</v>
      </c>
      <c r="G245" s="22" t="n">
        <f aca="false">HOUR(C245)*60+MINUTE(C245)</f>
        <v>645</v>
      </c>
      <c r="H245" s="25" t="n">
        <f aca="false">IF(AND(B245=B244,A245=A244,D245&gt;0,N(D244)&gt;0,G245&gt;N(G244)),(D245-D244)/((G245-G244)/60),"")</f>
        <v>2.86399999999412</v>
      </c>
      <c r="I245" s="22" t="str">
        <f aca="false">IFERROR(INDEX(Medidores!$B:$B,MATCH(B245,Medidores!$A:$A,0)),"")</f>
        <v>L14</v>
      </c>
      <c r="J245" s="22" t="s">
        <v>118</v>
      </c>
    </row>
    <row r="246" customFormat="false" ht="15" hidden="false" customHeight="false" outlineLevel="0" collapsed="false">
      <c r="A246" s="21" t="n">
        <v>46303</v>
      </c>
      <c r="B246" s="22" t="s">
        <v>87</v>
      </c>
      <c r="C246" s="23" t="n">
        <v>0.458333333333333</v>
      </c>
      <c r="D246" s="24" t="n">
        <v>10508.856</v>
      </c>
      <c r="E246" s="24" t="n">
        <v>4915.375</v>
      </c>
      <c r="F246" s="24" t="n">
        <v>11781.602</v>
      </c>
      <c r="G246" s="22" t="n">
        <f aca="false">HOUR(C246)*60+MINUTE(C246)</f>
        <v>660</v>
      </c>
      <c r="H246" s="25" t="n">
        <f aca="false">IF(AND(B246=B245,A246=A245,D246&gt;0,N(D245)&gt;0,G246&gt;N(G245)),(D246-D245)/((G246-G245)/60),"")</f>
        <v>1.82800000000134</v>
      </c>
      <c r="I246" s="22" t="str">
        <f aca="false">IFERROR(INDEX(Medidores!$B:$B,MATCH(B246,Medidores!$A:$A,0)),"")</f>
        <v>L14</v>
      </c>
      <c r="J246" s="22" t="s">
        <v>119</v>
      </c>
    </row>
    <row r="247" customFormat="false" ht="15" hidden="false" customHeight="false" outlineLevel="0" collapsed="false">
      <c r="A247" s="21" t="n">
        <v>46303</v>
      </c>
      <c r="B247" s="22" t="s">
        <v>87</v>
      </c>
      <c r="C247" s="23" t="n">
        <v>0.46875</v>
      </c>
      <c r="D247" s="24" t="n">
        <v>10509.443</v>
      </c>
      <c r="E247" s="24" t="n">
        <v>4915.58</v>
      </c>
      <c r="F247" s="24" t="n">
        <v>11782.235</v>
      </c>
      <c r="G247" s="22" t="n">
        <f aca="false">HOUR(C247)*60+MINUTE(C247)</f>
        <v>675</v>
      </c>
      <c r="H247" s="25" t="n">
        <f aca="false">IF(AND(B247=B246,A247=A246,D247&gt;0,N(D246)&gt;0,G247&gt;N(G246)),(D247-D246)/((G247-G246)/60),"")</f>
        <v>2.34799999999814</v>
      </c>
      <c r="I247" s="22" t="str">
        <f aca="false">IFERROR(INDEX(Medidores!$B:$B,MATCH(B247,Medidores!$A:$A,0)),"")</f>
        <v>L14</v>
      </c>
      <c r="J247" s="22" t="s">
        <v>120</v>
      </c>
    </row>
    <row r="248" customFormat="false" ht="15" hidden="false" customHeight="false" outlineLevel="0" collapsed="false">
      <c r="A248" s="21" t="n">
        <v>46303</v>
      </c>
      <c r="B248" s="22" t="s">
        <v>87</v>
      </c>
      <c r="C248" s="23" t="n">
        <v>0.479166666666667</v>
      </c>
      <c r="D248" s="24" t="n">
        <v>10510.365</v>
      </c>
      <c r="E248" s="24" t="n">
        <v>4916.066</v>
      </c>
      <c r="F248" s="24" t="n">
        <v>11783.28</v>
      </c>
      <c r="G248" s="22" t="n">
        <f aca="false">HOUR(C248)*60+MINUTE(C248)</f>
        <v>690</v>
      </c>
      <c r="H248" s="25" t="n">
        <f aca="false">IF(AND(B248=B247,A248=A247,D248&gt;0,N(D247)&gt;0,G248&gt;N(G247)),(D248-D247)/((G248-G247)/60),"")</f>
        <v>3.68800000000192</v>
      </c>
      <c r="I248" s="22" t="str">
        <f aca="false">IFERROR(INDEX(Medidores!$B:$B,MATCH(B248,Medidores!$A:$A,0)),"")</f>
        <v>L14</v>
      </c>
      <c r="J248" s="22" t="s">
        <v>121</v>
      </c>
    </row>
    <row r="249" customFormat="false" ht="15" hidden="false" customHeight="false" outlineLevel="0" collapsed="false">
      <c r="A249" s="21" t="n">
        <v>46303</v>
      </c>
      <c r="B249" s="22" t="s">
        <v>87</v>
      </c>
      <c r="C249" s="23" t="n">
        <v>0.489583333333333</v>
      </c>
      <c r="D249" s="24" t="n">
        <v>10511.408</v>
      </c>
      <c r="E249" s="24" t="n">
        <v>4916.592</v>
      </c>
      <c r="F249" s="24" t="n">
        <v>11784.45</v>
      </c>
      <c r="G249" s="22" t="n">
        <f aca="false">HOUR(C249)*60+MINUTE(C249)</f>
        <v>705</v>
      </c>
      <c r="H249" s="25" t="n">
        <f aca="false">IF(AND(B249=B248,A249=A248,D249&gt;0,N(D248)&gt;0,G249&gt;N(G248)),(D249-D248)/((G249-G248)/60),"")</f>
        <v>4.17199999999866</v>
      </c>
      <c r="I249" s="22" t="str">
        <f aca="false">IFERROR(INDEX(Medidores!$B:$B,MATCH(B249,Medidores!$A:$A,0)),"")</f>
        <v>L14</v>
      </c>
      <c r="J249" s="22" t="s">
        <v>122</v>
      </c>
    </row>
    <row r="250" customFormat="false" ht="15" hidden="false" customHeight="false" outlineLevel="0" collapsed="false">
      <c r="A250" s="21" t="n">
        <v>46303</v>
      </c>
      <c r="B250" s="22" t="s">
        <v>87</v>
      </c>
      <c r="C250" s="23" t="n">
        <v>0.5</v>
      </c>
      <c r="D250" s="24" t="n">
        <v>10512.41</v>
      </c>
      <c r="E250" s="24" t="n">
        <v>4917.124</v>
      </c>
      <c r="F250" s="24" t="n">
        <v>11785.585</v>
      </c>
      <c r="G250" s="22" t="n">
        <f aca="false">HOUR(C250)*60+MINUTE(C250)</f>
        <v>720</v>
      </c>
      <c r="H250" s="25" t="n">
        <f aca="false">IF(AND(B250=B249,A250=A249,D250&gt;0,N(D249)&gt;0,G250&gt;N(G249)),(D250-D249)/((G250-G249)/60),"")</f>
        <v>4.00800000000163</v>
      </c>
      <c r="I250" s="22" t="str">
        <f aca="false">IFERROR(INDEX(Medidores!$B:$B,MATCH(B250,Medidores!$A:$A,0)),"")</f>
        <v>L14</v>
      </c>
      <c r="J250" s="22" t="s">
        <v>123</v>
      </c>
    </row>
    <row r="251" customFormat="false" ht="15" hidden="false" customHeight="false" outlineLevel="0" collapsed="false">
      <c r="A251" s="21" t="n">
        <v>46303</v>
      </c>
      <c r="B251" s="22" t="s">
        <v>87</v>
      </c>
      <c r="C251" s="23" t="n">
        <v>0.510416666666667</v>
      </c>
      <c r="D251" s="24" t="n">
        <v>10513.449</v>
      </c>
      <c r="E251" s="24" t="n">
        <v>4917.667</v>
      </c>
      <c r="F251" s="24" t="n">
        <v>11786.76</v>
      </c>
      <c r="G251" s="22" t="n">
        <f aca="false">HOUR(C251)*60+MINUTE(C251)</f>
        <v>735</v>
      </c>
      <c r="H251" s="25" t="n">
        <f aca="false">IF(AND(B251=B250,A251=A250,D251&gt;0,N(D250)&gt;0,G251&gt;N(G250)),(D251-D250)/((G251-G250)/60),"")</f>
        <v>4.15600000000268</v>
      </c>
      <c r="I251" s="22" t="str">
        <f aca="false">IFERROR(INDEX(Medidores!$B:$B,MATCH(B251,Medidores!$A:$A,0)),"")</f>
        <v>L14</v>
      </c>
      <c r="J251" s="22" t="s">
        <v>124</v>
      </c>
    </row>
    <row r="252" customFormat="false" ht="15" hidden="false" customHeight="false" outlineLevel="0" collapsed="false">
      <c r="A252" s="21" t="n">
        <v>46303</v>
      </c>
      <c r="B252" s="22" t="s">
        <v>87</v>
      </c>
      <c r="C252" s="23" t="n">
        <v>0.520833333333333</v>
      </c>
      <c r="D252" s="24" t="n">
        <v>10514.475</v>
      </c>
      <c r="E252" s="24" t="n">
        <v>4918.213</v>
      </c>
      <c r="F252" s="24" t="n">
        <v>11787.924</v>
      </c>
      <c r="G252" s="22" t="n">
        <f aca="false">HOUR(C252)*60+MINUTE(C252)</f>
        <v>750</v>
      </c>
      <c r="H252" s="25" t="n">
        <f aca="false">IF(AND(B252=B251,A252=A251,D252&gt;0,N(D251)&gt;0,G252&gt;N(G251)),(D252-D251)/((G252-G251)/60),"")</f>
        <v>4.10399999999936</v>
      </c>
      <c r="I252" s="22" t="str">
        <f aca="false">IFERROR(INDEX(Medidores!$B:$B,MATCH(B252,Medidores!$A:$A,0)),"")</f>
        <v>L14</v>
      </c>
      <c r="J252" s="22" t="s">
        <v>125</v>
      </c>
    </row>
    <row r="253" customFormat="false" ht="15" hidden="false" customHeight="false" outlineLevel="0" collapsed="false">
      <c r="A253" s="21" t="n">
        <v>46303</v>
      </c>
      <c r="B253" s="22" t="s">
        <v>87</v>
      </c>
      <c r="C253" s="23" t="n">
        <v>0.53125</v>
      </c>
      <c r="D253" s="24" t="n">
        <v>10515.273</v>
      </c>
      <c r="E253" s="24" t="n">
        <v>4918.675</v>
      </c>
      <c r="F253" s="24" t="n">
        <v>11788.847</v>
      </c>
      <c r="G253" s="22" t="n">
        <f aca="false">HOUR(C253)*60+MINUTE(C253)</f>
        <v>765</v>
      </c>
      <c r="H253" s="25" t="n">
        <f aca="false">IF(AND(B253=B252,A253=A252,D253&gt;0,N(D252)&gt;0,G253&gt;N(G252)),(D253-D252)/((G253-G252)/60),"")</f>
        <v>3.19199999999546</v>
      </c>
      <c r="I253" s="22" t="str">
        <f aca="false">IFERROR(INDEX(Medidores!$B:$B,MATCH(B253,Medidores!$A:$A,0)),"")</f>
        <v>L14</v>
      </c>
      <c r="J253" s="22" t="s">
        <v>126</v>
      </c>
    </row>
    <row r="254" customFormat="false" ht="15" hidden="false" customHeight="false" outlineLevel="0" collapsed="false">
      <c r="A254" s="21" t="n">
        <v>46303</v>
      </c>
      <c r="B254" s="22" t="s">
        <v>87</v>
      </c>
      <c r="C254" s="23" t="n">
        <v>0.541666666666667</v>
      </c>
      <c r="D254" s="24" t="n">
        <v>10516.296</v>
      </c>
      <c r="E254" s="24" t="n">
        <v>4919.194</v>
      </c>
      <c r="F254" s="24" t="n">
        <v>11789.997</v>
      </c>
      <c r="G254" s="22" t="n">
        <f aca="false">HOUR(C254)*60+MINUTE(C254)</f>
        <v>780</v>
      </c>
      <c r="H254" s="25" t="n">
        <f aca="false">IF(AND(B254=B253,A254=A253,D254&gt;0,N(D253)&gt;0,G254&gt;N(G253)),(D254-D253)/((G254-G253)/60),"")</f>
        <v>4.09200000000419</v>
      </c>
      <c r="I254" s="22" t="str">
        <f aca="false">IFERROR(INDEX(Medidores!$B:$B,MATCH(B254,Medidores!$A:$A,0)),"")</f>
        <v>L14</v>
      </c>
      <c r="J254" s="22" t="s">
        <v>127</v>
      </c>
    </row>
    <row r="255" customFormat="false" ht="15" hidden="false" customHeight="false" outlineLevel="0" collapsed="false">
      <c r="A255" s="21" t="n">
        <v>46303</v>
      </c>
      <c r="B255" s="22" t="s">
        <v>87</v>
      </c>
      <c r="C255" s="23" t="n">
        <v>0.552083333333333</v>
      </c>
      <c r="D255" s="24" t="n">
        <v>10517.332</v>
      </c>
      <c r="E255" s="24" t="n">
        <v>4919.748</v>
      </c>
      <c r="F255" s="24" t="n">
        <v>11791.172</v>
      </c>
      <c r="G255" s="22" t="n">
        <f aca="false">HOUR(C255)*60+MINUTE(C255)</f>
        <v>795</v>
      </c>
      <c r="H255" s="25" t="n">
        <f aca="false">IF(AND(B255=B254,A255=A254,D255&gt;0,N(D254)&gt;0,G255&gt;N(G254)),(D255-D254)/((G255-G254)/60),"")</f>
        <v>4.14400000000023</v>
      </c>
      <c r="I255" s="22" t="str">
        <f aca="false">IFERROR(INDEX(Medidores!$B:$B,MATCH(B255,Medidores!$A:$A,0)),"")</f>
        <v>L14</v>
      </c>
      <c r="J255" s="22" t="s">
        <v>128</v>
      </c>
    </row>
    <row r="256" customFormat="false" ht="15" hidden="false" customHeight="false" outlineLevel="0" collapsed="false">
      <c r="A256" s="21" t="n">
        <v>46303</v>
      </c>
      <c r="B256" s="22" t="s">
        <v>87</v>
      </c>
      <c r="C256" s="23" t="n">
        <v>0.5625</v>
      </c>
      <c r="D256" s="24" t="n">
        <v>10518.368</v>
      </c>
      <c r="E256" s="24" t="n">
        <v>4920.274</v>
      </c>
      <c r="F256" s="24" t="n">
        <v>11792.338</v>
      </c>
      <c r="G256" s="22" t="n">
        <f aca="false">HOUR(C256)*60+MINUTE(C256)</f>
        <v>810</v>
      </c>
      <c r="H256" s="25" t="n">
        <f aca="false">IF(AND(B256=B255,A256=A255,D256&gt;0,N(D255)&gt;0,G256&gt;N(G255)),(D256-D255)/((G256-G255)/60),"")</f>
        <v>4.14400000000023</v>
      </c>
      <c r="I256" s="22" t="str">
        <f aca="false">IFERROR(INDEX(Medidores!$B:$B,MATCH(B256,Medidores!$A:$A,0)),"")</f>
        <v>L14</v>
      </c>
      <c r="J256" s="22" t="s">
        <v>129</v>
      </c>
    </row>
    <row r="257" customFormat="false" ht="15" hidden="false" customHeight="false" outlineLevel="0" collapsed="false">
      <c r="A257" s="21" t="n">
        <v>46303</v>
      </c>
      <c r="B257" s="22" t="s">
        <v>87</v>
      </c>
      <c r="C257" s="23" t="n">
        <v>0.572916666666667</v>
      </c>
      <c r="D257" s="24" t="n">
        <v>10519.404</v>
      </c>
      <c r="E257" s="24" t="n">
        <v>4920.825</v>
      </c>
      <c r="F257" s="24" t="n">
        <v>11793.512</v>
      </c>
      <c r="G257" s="22" t="n">
        <f aca="false">HOUR(C257)*60+MINUTE(C257)</f>
        <v>825</v>
      </c>
      <c r="H257" s="25" t="n">
        <f aca="false">IF(AND(B257=B256,A257=A256,D257&gt;0,N(D256)&gt;0,G257&gt;N(G256)),(D257-D256)/((G257-G256)/60),"")</f>
        <v>4.14400000000023</v>
      </c>
      <c r="I257" s="22" t="str">
        <f aca="false">IFERROR(INDEX(Medidores!$B:$B,MATCH(B257,Medidores!$A:$A,0)),"")</f>
        <v>L14</v>
      </c>
      <c r="J257" s="22" t="s">
        <v>130</v>
      </c>
    </row>
    <row r="258" customFormat="false" ht="15" hidden="false" customHeight="false" outlineLevel="0" collapsed="false">
      <c r="A258" s="21" t="n">
        <v>46303</v>
      </c>
      <c r="B258" s="22" t="s">
        <v>87</v>
      </c>
      <c r="C258" s="23" t="n">
        <v>0.583333333333333</v>
      </c>
      <c r="D258" s="24" t="n">
        <v>10520.44</v>
      </c>
      <c r="E258" s="24" t="n">
        <v>4921.353</v>
      </c>
      <c r="F258" s="24" t="n">
        <v>11794.678</v>
      </c>
      <c r="G258" s="22" t="n">
        <f aca="false">HOUR(C258)*60+MINUTE(C258)</f>
        <v>840</v>
      </c>
      <c r="H258" s="25" t="n">
        <f aca="false">IF(AND(B258=B257,A258=A257,D258&gt;0,N(D257)&gt;0,G258&gt;N(G257)),(D258-D257)/((G258-G257)/60),"")</f>
        <v>4.14400000000023</v>
      </c>
      <c r="I258" s="22" t="str">
        <f aca="false">IFERROR(INDEX(Medidores!$B:$B,MATCH(B258,Medidores!$A:$A,0)),"")</f>
        <v>L14</v>
      </c>
      <c r="J258" s="22" t="s">
        <v>131</v>
      </c>
    </row>
    <row r="259" customFormat="false" ht="15" hidden="false" customHeight="false" outlineLevel="0" collapsed="false">
      <c r="A259" s="21" t="n">
        <v>46303</v>
      </c>
      <c r="B259" s="22" t="s">
        <v>87</v>
      </c>
      <c r="C259" s="23" t="n">
        <v>0.59375</v>
      </c>
      <c r="D259" s="24" t="n">
        <v>10521.397</v>
      </c>
      <c r="E259" s="24" t="n">
        <v>4921.87</v>
      </c>
      <c r="F259" s="24" t="n">
        <v>11795.766</v>
      </c>
      <c r="G259" s="22" t="n">
        <f aca="false">HOUR(C259)*60+MINUTE(C259)</f>
        <v>855</v>
      </c>
      <c r="H259" s="25" t="n">
        <f aca="false">IF(AND(B259=B258,A259=A258,D259&gt;0,N(D258)&gt;0,G259&gt;N(G258)),(D259-D258)/((G259-G258)/60),"")</f>
        <v>3.82800000000134</v>
      </c>
      <c r="I259" s="22" t="str">
        <f aca="false">IFERROR(INDEX(Medidores!$B:$B,MATCH(B259,Medidores!$A:$A,0)),"")</f>
        <v>L14</v>
      </c>
      <c r="J259" s="22" t="s">
        <v>132</v>
      </c>
    </row>
    <row r="260" customFormat="false" ht="15" hidden="false" customHeight="false" outlineLevel="0" collapsed="false">
      <c r="A260" s="21" t="n">
        <v>46303</v>
      </c>
      <c r="B260" s="22" t="s">
        <v>87</v>
      </c>
      <c r="C260" s="23" t="n">
        <v>0.604166666666667</v>
      </c>
      <c r="D260" s="24" t="n">
        <v>10522.433</v>
      </c>
      <c r="E260" s="24" t="n">
        <v>4922.41</v>
      </c>
      <c r="F260" s="24" t="n">
        <v>11796.936</v>
      </c>
      <c r="G260" s="22" t="n">
        <f aca="false">HOUR(C260)*60+MINUTE(C260)</f>
        <v>870</v>
      </c>
      <c r="H260" s="25" t="n">
        <f aca="false">IF(AND(B260=B259,A260=A259,D260&gt;0,N(D259)&gt;0,G260&gt;N(G259)),(D260-D259)/((G260-G259)/60),"")</f>
        <v>4.14400000000023</v>
      </c>
      <c r="I260" s="22" t="str">
        <f aca="false">IFERROR(INDEX(Medidores!$B:$B,MATCH(B260,Medidores!$A:$A,0)),"")</f>
        <v>L14</v>
      </c>
      <c r="J260" s="22" t="s">
        <v>133</v>
      </c>
    </row>
    <row r="261" customFormat="false" ht="15" hidden="false" customHeight="false" outlineLevel="0" collapsed="false">
      <c r="A261" s="21" t="n">
        <v>46303</v>
      </c>
      <c r="B261" s="22" t="s">
        <v>87</v>
      </c>
      <c r="C261" s="23" t="n">
        <v>0.614583333333333</v>
      </c>
      <c r="D261" s="24" t="n">
        <v>10523.467</v>
      </c>
      <c r="E261" s="24" t="n">
        <v>4922.955</v>
      </c>
      <c r="F261" s="24" t="n">
        <v>11798.107</v>
      </c>
      <c r="G261" s="22" t="n">
        <f aca="false">HOUR(C261)*60+MINUTE(C261)</f>
        <v>885</v>
      </c>
      <c r="H261" s="25" t="n">
        <f aca="false">IF(AND(B261=B260,A261=A260,D261&gt;0,N(D260)&gt;0,G261&gt;N(G260)),(D261-D260)/((G261-G260)/60),"")</f>
        <v>4.1359999999986</v>
      </c>
      <c r="I261" s="22" t="str">
        <f aca="false">IFERROR(INDEX(Medidores!$B:$B,MATCH(B261,Medidores!$A:$A,0)),"")</f>
        <v>L14</v>
      </c>
      <c r="J261" s="22" t="s">
        <v>134</v>
      </c>
    </row>
    <row r="262" customFormat="false" ht="15" hidden="false" customHeight="false" outlineLevel="0" collapsed="false">
      <c r="A262" s="21" t="n">
        <v>46303</v>
      </c>
      <c r="B262" s="22" t="s">
        <v>89</v>
      </c>
      <c r="C262" s="23" t="n">
        <v>0.416666666666667</v>
      </c>
      <c r="D262" s="24" t="n">
        <v>13582.362</v>
      </c>
      <c r="E262" s="24" t="n">
        <v>10957.626</v>
      </c>
      <c r="F262" s="24" t="n">
        <v>17700.393</v>
      </c>
      <c r="G262" s="22" t="n">
        <f aca="false">HOUR(C262)*60+MINUTE(C262)</f>
        <v>600</v>
      </c>
      <c r="H262" s="25" t="str">
        <f aca="false">IF(AND(B262=B261,A262=A261,D262&gt;0,N(D261)&gt;0,G262&gt;N(G261)),(D262-D261)/((G262-G261)/60),"")</f>
        <v/>
      </c>
      <c r="I262" s="22" t="str">
        <f aca="false">IFERROR(INDEX(Medidores!$B:$B,MATCH(B262,Medidores!$A:$A,0)),"")</f>
        <v>L20</v>
      </c>
      <c r="J262" s="22" t="s">
        <v>95</v>
      </c>
    </row>
    <row r="263" customFormat="false" ht="15" hidden="false" customHeight="false" outlineLevel="0" collapsed="false">
      <c r="A263" s="21" t="n">
        <v>46303</v>
      </c>
      <c r="B263" s="22" t="s">
        <v>89</v>
      </c>
      <c r="C263" s="23" t="n">
        <v>0.427083333333333</v>
      </c>
      <c r="D263" s="24" t="n">
        <v>13583.332</v>
      </c>
      <c r="E263" s="24" t="n">
        <v>10958.339</v>
      </c>
      <c r="F263" s="24" t="n">
        <v>17701.596</v>
      </c>
      <c r="G263" s="22" t="n">
        <f aca="false">HOUR(C263)*60+MINUTE(C263)</f>
        <v>615</v>
      </c>
      <c r="H263" s="25" t="n">
        <f aca="false">IF(AND(B263=B262,A263=A262,D263&gt;0,N(D262)&gt;0,G263&gt;N(G262)),(D263-D262)/((G263-G262)/60),"")</f>
        <v>3.88000000000466</v>
      </c>
      <c r="I263" s="22" t="str">
        <f aca="false">IFERROR(INDEX(Medidores!$B:$B,MATCH(B263,Medidores!$A:$A,0)),"")</f>
        <v>L20</v>
      </c>
      <c r="J263" s="22" t="s">
        <v>96</v>
      </c>
    </row>
    <row r="264" customFormat="false" ht="15" hidden="false" customHeight="false" outlineLevel="0" collapsed="false">
      <c r="A264" s="21" t="n">
        <v>46303</v>
      </c>
      <c r="B264" s="22" t="s">
        <v>89</v>
      </c>
      <c r="C264" s="23" t="n">
        <v>0.4375</v>
      </c>
      <c r="D264" s="24" t="n">
        <v>13584.07</v>
      </c>
      <c r="E264" s="24" t="n">
        <v>10958.873</v>
      </c>
      <c r="F264" s="24" t="n">
        <v>17702.51</v>
      </c>
      <c r="G264" s="22" t="n">
        <f aca="false">HOUR(C264)*60+MINUTE(C264)</f>
        <v>630</v>
      </c>
      <c r="H264" s="25" t="n">
        <f aca="false">IF(AND(B264=B263,A264=A263,D264&gt;0,N(D263)&gt;0,G264&gt;N(G263)),(D264-D263)/((G264-G263)/60),"")</f>
        <v>2.9519999999975</v>
      </c>
      <c r="I264" s="22" t="str">
        <f aca="false">IFERROR(INDEX(Medidores!$B:$B,MATCH(B264,Medidores!$A:$A,0)),"")</f>
        <v>L20</v>
      </c>
      <c r="J264" s="22" t="s">
        <v>97</v>
      </c>
    </row>
    <row r="265" customFormat="false" ht="15" hidden="false" customHeight="false" outlineLevel="0" collapsed="false">
      <c r="A265" s="21" t="n">
        <v>46303</v>
      </c>
      <c r="B265" s="22" t="s">
        <v>89</v>
      </c>
      <c r="C265" s="23" t="n">
        <v>0.447916666666667</v>
      </c>
      <c r="D265" s="24" t="n">
        <v>13584.397</v>
      </c>
      <c r="E265" s="24" t="n">
        <v>10959.101</v>
      </c>
      <c r="F265" s="24" t="n">
        <v>17702.912</v>
      </c>
      <c r="G265" s="22" t="n">
        <f aca="false">HOUR(C265)*60+MINUTE(C265)</f>
        <v>645</v>
      </c>
      <c r="H265" s="25" t="n">
        <f aca="false">IF(AND(B265=B264,A265=A264,D265&gt;0,N(D264)&gt;0,G265&gt;N(G264)),(D265-D264)/((G265-G264)/60),"")</f>
        <v>1.30800000000454</v>
      </c>
      <c r="I265" s="22" t="str">
        <f aca="false">IFERROR(INDEX(Medidores!$B:$B,MATCH(B265,Medidores!$A:$A,0)),"")</f>
        <v>L20</v>
      </c>
      <c r="J265" s="22" t="s">
        <v>98</v>
      </c>
    </row>
    <row r="266" customFormat="false" ht="15" hidden="false" customHeight="false" outlineLevel="0" collapsed="false">
      <c r="A266" s="21" t="n">
        <v>46303</v>
      </c>
      <c r="B266" s="22" t="s">
        <v>89</v>
      </c>
      <c r="C266" s="23" t="n">
        <v>0.458333333333333</v>
      </c>
      <c r="D266" s="24" t="n">
        <v>13584.775</v>
      </c>
      <c r="E266" s="24" t="n">
        <v>10959.397</v>
      </c>
      <c r="F266" s="24" t="n">
        <v>17703.396</v>
      </c>
      <c r="G266" s="22" t="n">
        <f aca="false">HOUR(C266)*60+MINUTE(C266)</f>
        <v>660</v>
      </c>
      <c r="H266" s="25" t="n">
        <f aca="false">IF(AND(B266=B265,A266=A265,D266&gt;0,N(D265)&gt;0,G266&gt;N(G265)),(D266-D265)/((G266-G265)/60),"")</f>
        <v>1.51199999999517</v>
      </c>
      <c r="I266" s="22" t="str">
        <f aca="false">IFERROR(INDEX(Medidores!$B:$B,MATCH(B266,Medidores!$A:$A,0)),"")</f>
        <v>L20</v>
      </c>
      <c r="J266" s="22" t="s">
        <v>99</v>
      </c>
    </row>
    <row r="267" customFormat="false" ht="15" hidden="false" customHeight="false" outlineLevel="0" collapsed="false">
      <c r="A267" s="21" t="n">
        <v>46303</v>
      </c>
      <c r="B267" s="22" t="s">
        <v>89</v>
      </c>
      <c r="C267" s="23" t="n">
        <v>0.46875</v>
      </c>
      <c r="D267" s="24" t="n">
        <v>13585.788</v>
      </c>
      <c r="E267" s="24" t="n">
        <v>10960.126</v>
      </c>
      <c r="F267" s="24" t="n">
        <v>17704.644</v>
      </c>
      <c r="G267" s="22" t="n">
        <f aca="false">HOUR(C267)*60+MINUTE(C267)</f>
        <v>675</v>
      </c>
      <c r="H267" s="25" t="n">
        <f aca="false">IF(AND(B267=B266,A267=A266,D267&gt;0,N(D266)&gt;0,G267&gt;N(G266)),(D267-D266)/((G267-G266)/60),"")</f>
        <v>4.05200000000332</v>
      </c>
      <c r="I267" s="22" t="str">
        <f aca="false">IFERROR(INDEX(Medidores!$B:$B,MATCH(B267,Medidores!$A:$A,0)),"")</f>
        <v>L20</v>
      </c>
      <c r="J267" s="22" t="s">
        <v>100</v>
      </c>
    </row>
    <row r="268" customFormat="false" ht="15" hidden="false" customHeight="false" outlineLevel="0" collapsed="false">
      <c r="A268" s="21" t="n">
        <v>46303</v>
      </c>
      <c r="B268" s="22" t="s">
        <v>89</v>
      </c>
      <c r="C268" s="23" t="n">
        <v>0.479166666666667</v>
      </c>
      <c r="D268" s="24" t="n">
        <v>13586.638</v>
      </c>
      <c r="E268" s="24" t="n">
        <v>10960.784</v>
      </c>
      <c r="F268" s="24" t="n">
        <v>17705.725</v>
      </c>
      <c r="G268" s="22" t="n">
        <f aca="false">HOUR(C268)*60+MINUTE(C268)</f>
        <v>690</v>
      </c>
      <c r="H268" s="25" t="n">
        <f aca="false">IF(AND(B268=B267,A268=A267,D268&gt;0,N(D267)&gt;0,G268&gt;N(G267)),(D268-D267)/((G268-G267)/60),"")</f>
        <v>3.40000000000146</v>
      </c>
      <c r="I268" s="22" t="str">
        <f aca="false">IFERROR(INDEX(Medidores!$B:$B,MATCH(B268,Medidores!$A:$A,0)),"")</f>
        <v>L20</v>
      </c>
      <c r="J268" s="22" t="s">
        <v>101</v>
      </c>
    </row>
    <row r="269" customFormat="false" ht="15" hidden="false" customHeight="false" outlineLevel="0" collapsed="false">
      <c r="A269" s="21" t="n">
        <v>46303</v>
      </c>
      <c r="B269" s="22" t="s">
        <v>89</v>
      </c>
      <c r="C269" s="23" t="n">
        <v>0.489583333333333</v>
      </c>
      <c r="D269" s="24" t="n">
        <v>13587.136</v>
      </c>
      <c r="E269" s="24" t="n">
        <v>10961.264</v>
      </c>
      <c r="F269" s="24" t="n">
        <v>17706.416</v>
      </c>
      <c r="G269" s="22" t="n">
        <f aca="false">HOUR(C269)*60+MINUTE(C269)</f>
        <v>705</v>
      </c>
      <c r="H269" s="25" t="n">
        <f aca="false">IF(AND(B269=B268,A269=A268,D269&gt;0,N(D268)&gt;0,G269&gt;N(G268)),(D269-D268)/((G269-G268)/60),"")</f>
        <v>1.99199999999837</v>
      </c>
      <c r="I269" s="22" t="str">
        <f aca="false">IFERROR(INDEX(Medidores!$B:$B,MATCH(B269,Medidores!$A:$A,0)),"")</f>
        <v>L20</v>
      </c>
      <c r="J269" s="22" t="s">
        <v>102</v>
      </c>
    </row>
    <row r="270" customFormat="false" ht="15" hidden="false" customHeight="false" outlineLevel="0" collapsed="false">
      <c r="A270" s="21" t="n">
        <v>46303</v>
      </c>
      <c r="B270" s="22" t="s">
        <v>89</v>
      </c>
      <c r="C270" s="23" t="n">
        <v>0.5</v>
      </c>
      <c r="D270" s="24" t="n">
        <v>13587.932</v>
      </c>
      <c r="E270" s="24" t="n">
        <v>10961.892</v>
      </c>
      <c r="F270" s="24" t="n">
        <v>17707.432</v>
      </c>
      <c r="G270" s="22" t="n">
        <f aca="false">HOUR(C270)*60+MINUTE(C270)</f>
        <v>720</v>
      </c>
      <c r="H270" s="25" t="n">
        <f aca="false">IF(AND(B270=B269,A270=A269,D270&gt;0,N(D269)&gt;0,G270&gt;N(G269)),(D270-D269)/((G270-G269)/60),"")</f>
        <v>3.18400000000111</v>
      </c>
      <c r="I270" s="22" t="str">
        <f aca="false">IFERROR(INDEX(Medidores!$B:$B,MATCH(B270,Medidores!$A:$A,0)),"")</f>
        <v>L20</v>
      </c>
      <c r="J270" s="22" t="s">
        <v>103</v>
      </c>
    </row>
    <row r="271" customFormat="false" ht="15" hidden="false" customHeight="false" outlineLevel="0" collapsed="false">
      <c r="A271" s="21" t="n">
        <v>46303</v>
      </c>
      <c r="B271" s="22" t="s">
        <v>89</v>
      </c>
      <c r="C271" s="23" t="n">
        <v>0.510416666666667</v>
      </c>
      <c r="D271" s="24" t="n">
        <v>13588.863</v>
      </c>
      <c r="E271" s="24" t="n">
        <v>10962.606</v>
      </c>
      <c r="F271" s="24" t="n">
        <v>17708.607</v>
      </c>
      <c r="G271" s="22" t="n">
        <f aca="false">HOUR(C271)*60+MINUTE(C271)</f>
        <v>735</v>
      </c>
      <c r="H271" s="25" t="n">
        <f aca="false">IF(AND(B271=B270,A271=A270,D271&gt;0,N(D270)&gt;0,G271&gt;N(G270)),(D271-D270)/((G271-G270)/60),"")</f>
        <v>3.7239999999947</v>
      </c>
      <c r="I271" s="22" t="str">
        <f aca="false">IFERROR(INDEX(Medidores!$B:$B,MATCH(B271,Medidores!$A:$A,0)),"")</f>
        <v>L20</v>
      </c>
      <c r="J271" s="22" t="s">
        <v>104</v>
      </c>
    </row>
    <row r="272" customFormat="false" ht="15" hidden="false" customHeight="false" outlineLevel="0" collapsed="false">
      <c r="A272" s="21" t="n">
        <v>46303</v>
      </c>
      <c r="B272" s="22" t="s">
        <v>89</v>
      </c>
      <c r="C272" s="23" t="n">
        <v>0.520833333333333</v>
      </c>
      <c r="D272" s="24" t="n">
        <v>13589.843</v>
      </c>
      <c r="E272" s="24" t="n">
        <v>10963.357</v>
      </c>
      <c r="F272" s="24" t="n">
        <v>17709.848</v>
      </c>
      <c r="G272" s="22" t="n">
        <f aca="false">HOUR(C272)*60+MINUTE(C272)</f>
        <v>750</v>
      </c>
      <c r="H272" s="25" t="n">
        <f aca="false">IF(AND(B272=B271,A272=A271,D272&gt;0,N(D271)&gt;0,G272&gt;N(G271)),(D272-D271)/((G272-G271)/60),"")</f>
        <v>3.92000000000553</v>
      </c>
      <c r="I272" s="22" t="str">
        <f aca="false">IFERROR(INDEX(Medidores!$B:$B,MATCH(B272,Medidores!$A:$A,0)),"")</f>
        <v>L20</v>
      </c>
      <c r="J272" s="22" t="s">
        <v>105</v>
      </c>
    </row>
    <row r="273" customFormat="false" ht="15" hidden="false" customHeight="false" outlineLevel="0" collapsed="false">
      <c r="A273" s="21" t="n">
        <v>46303</v>
      </c>
      <c r="B273" s="22" t="s">
        <v>89</v>
      </c>
      <c r="C273" s="23" t="n">
        <v>0.53125</v>
      </c>
      <c r="D273" s="24" t="n">
        <v>13590.836</v>
      </c>
      <c r="E273" s="24" t="n">
        <v>10964.121</v>
      </c>
      <c r="F273" s="24" t="n">
        <v>17711.107</v>
      </c>
      <c r="G273" s="22" t="n">
        <f aca="false">HOUR(C273)*60+MINUTE(C273)</f>
        <v>765</v>
      </c>
      <c r="H273" s="25" t="n">
        <f aca="false">IF(AND(B273=B272,A273=A272,D273&gt;0,N(D272)&gt;0,G273&gt;N(G272)),(D273-D272)/((G273-G272)/60),"")</f>
        <v>3.9719999999943</v>
      </c>
      <c r="I273" s="22" t="str">
        <f aca="false">IFERROR(INDEX(Medidores!$B:$B,MATCH(B273,Medidores!$A:$A,0)),"")</f>
        <v>L20</v>
      </c>
      <c r="J273" s="22" t="s">
        <v>106</v>
      </c>
    </row>
    <row r="274" customFormat="false" ht="15" hidden="false" customHeight="false" outlineLevel="0" collapsed="false">
      <c r="A274" s="21" t="n">
        <v>46303</v>
      </c>
      <c r="B274" s="22" t="s">
        <v>89</v>
      </c>
      <c r="C274" s="23" t="n">
        <v>0.541666666666667</v>
      </c>
      <c r="D274" s="24" t="n">
        <v>13591.794</v>
      </c>
      <c r="E274" s="24" t="n">
        <v>10964.835</v>
      </c>
      <c r="F274" s="24" t="n">
        <v>17712.307</v>
      </c>
      <c r="G274" s="22" t="n">
        <f aca="false">HOUR(C274)*60+MINUTE(C274)</f>
        <v>780</v>
      </c>
      <c r="H274" s="25" t="n">
        <f aca="false">IF(AND(B274=B273,A274=A273,D274&gt;0,N(D273)&gt;0,G274&gt;N(G273)),(D274-D273)/((G274-G273)/60),"")</f>
        <v>3.83200000000215</v>
      </c>
      <c r="I274" s="22" t="str">
        <f aca="false">IFERROR(INDEX(Medidores!$B:$B,MATCH(B274,Medidores!$A:$A,0)),"")</f>
        <v>L20</v>
      </c>
      <c r="J274" s="22" t="s">
        <v>107</v>
      </c>
    </row>
    <row r="275" customFormat="false" ht="15" hidden="false" customHeight="false" outlineLevel="0" collapsed="false">
      <c r="A275" s="21" t="n">
        <v>46303</v>
      </c>
      <c r="B275" s="22" t="s">
        <v>89</v>
      </c>
      <c r="C275" s="23" t="n">
        <v>0.552083333333333</v>
      </c>
      <c r="D275" s="24" t="n">
        <v>13592.763</v>
      </c>
      <c r="E275" s="24" t="n">
        <v>10965.566</v>
      </c>
      <c r="F275" s="24" t="n">
        <v>17713.519</v>
      </c>
      <c r="G275" s="22" t="n">
        <f aca="false">HOUR(C275)*60+MINUTE(C275)</f>
        <v>795</v>
      </c>
      <c r="H275" s="25" t="n">
        <f aca="false">IF(AND(B275=B274,A275=A274,D275&gt;0,N(D274)&gt;0,G275&gt;N(G274)),(D275-D274)/((G275-G274)/60),"")</f>
        <v>3.87600000000384</v>
      </c>
      <c r="I275" s="22" t="str">
        <f aca="false">IFERROR(INDEX(Medidores!$B:$B,MATCH(B275,Medidores!$A:$A,0)),"")</f>
        <v>L20</v>
      </c>
      <c r="J275" s="22" t="s">
        <v>108</v>
      </c>
    </row>
    <row r="276" customFormat="false" ht="15" hidden="false" customHeight="false" outlineLevel="0" collapsed="false">
      <c r="A276" s="21" t="n">
        <v>46303</v>
      </c>
      <c r="B276" s="22" t="s">
        <v>89</v>
      </c>
      <c r="C276" s="23" t="n">
        <v>0.5625</v>
      </c>
      <c r="D276" s="24" t="n">
        <v>13593.733</v>
      </c>
      <c r="E276" s="24" t="n">
        <v>10966.281</v>
      </c>
      <c r="F276" s="24" t="n">
        <v>17714.729</v>
      </c>
      <c r="G276" s="22" t="n">
        <f aca="false">HOUR(C276)*60+MINUTE(C276)</f>
        <v>810</v>
      </c>
      <c r="H276" s="25" t="n">
        <f aca="false">IF(AND(B276=B275,A276=A275,D276&gt;0,N(D275)&gt;0,G276&gt;N(G275)),(D276-D275)/((G276-G275)/60),"")</f>
        <v>3.87999999999738</v>
      </c>
      <c r="I276" s="22" t="str">
        <f aca="false">IFERROR(INDEX(Medidores!$B:$B,MATCH(B276,Medidores!$A:$A,0)),"")</f>
        <v>L20</v>
      </c>
      <c r="J276" s="22" t="s">
        <v>109</v>
      </c>
    </row>
    <row r="277" customFormat="false" ht="15" hidden="false" customHeight="false" outlineLevel="0" collapsed="false">
      <c r="A277" s="21" t="n">
        <v>46303</v>
      </c>
      <c r="B277" s="22" t="s">
        <v>89</v>
      </c>
      <c r="C277" s="23" t="n">
        <v>0.572916666666667</v>
      </c>
      <c r="D277" s="24" t="n">
        <v>13594.706</v>
      </c>
      <c r="E277" s="24" t="n">
        <v>10967.025</v>
      </c>
      <c r="F277" s="24" t="n">
        <v>17715.961</v>
      </c>
      <c r="G277" s="22" t="n">
        <f aca="false">HOUR(C277)*60+MINUTE(C277)</f>
        <v>825</v>
      </c>
      <c r="H277" s="25" t="n">
        <f aca="false">IF(AND(B277=B276,A277=A276,D277&gt;0,N(D276)&gt;0,G277&gt;N(G276)),(D277-D276)/((G277-G276)/60),"")</f>
        <v>3.89199999999983</v>
      </c>
      <c r="I277" s="22" t="str">
        <f aca="false">IFERROR(INDEX(Medidores!$B:$B,MATCH(B277,Medidores!$A:$A,0)),"")</f>
        <v>L20</v>
      </c>
      <c r="J277" s="22" t="s">
        <v>110</v>
      </c>
    </row>
    <row r="278" customFormat="false" ht="15" hidden="false" customHeight="false" outlineLevel="0" collapsed="false">
      <c r="A278" s="21" t="n">
        <v>46303</v>
      </c>
      <c r="B278" s="22" t="s">
        <v>89</v>
      </c>
      <c r="C278" s="23" t="n">
        <v>0.583333333333333</v>
      </c>
      <c r="D278" s="24" t="n">
        <v>13595.691</v>
      </c>
      <c r="E278" s="24" t="n">
        <v>10967.783</v>
      </c>
      <c r="F278" s="24" t="n">
        <v>17717.205</v>
      </c>
      <c r="G278" s="22" t="n">
        <f aca="false">HOUR(C278)*60+MINUTE(C278)</f>
        <v>840</v>
      </c>
      <c r="H278" s="25" t="n">
        <f aca="false">IF(AND(B278=B277,A278=A277,D278&gt;0,N(D277)&gt;0,G278&gt;N(G277)),(D278-D277)/((G278-G277)/60),"")</f>
        <v>3.94000000000233</v>
      </c>
      <c r="I278" s="22" t="str">
        <f aca="false">IFERROR(INDEX(Medidores!$B:$B,MATCH(B278,Medidores!$A:$A,0)),"")</f>
        <v>L20</v>
      </c>
      <c r="J278" s="22" t="s">
        <v>111</v>
      </c>
    </row>
    <row r="279" customFormat="false" ht="15" hidden="false" customHeight="false" outlineLevel="0" collapsed="false">
      <c r="A279" s="21" t="n">
        <v>46303</v>
      </c>
      <c r="B279" s="22" t="s">
        <v>89</v>
      </c>
      <c r="C279" s="23" t="n">
        <v>0.59375</v>
      </c>
      <c r="D279" s="24" t="n">
        <v>13596.648</v>
      </c>
      <c r="E279" s="24" t="n">
        <v>10968.519</v>
      </c>
      <c r="F279" s="24" t="n">
        <v>17718.416</v>
      </c>
      <c r="G279" s="22" t="n">
        <f aca="false">HOUR(C279)*60+MINUTE(C279)</f>
        <v>855</v>
      </c>
      <c r="H279" s="25" t="n">
        <f aca="false">IF(AND(B279=B278,A279=A278,D279&gt;0,N(D278)&gt;0,G279&gt;N(G278)),(D279-D278)/((G279-G278)/60),"")</f>
        <v>3.82799999999406</v>
      </c>
      <c r="I279" s="22" t="str">
        <f aca="false">IFERROR(INDEX(Medidores!$B:$B,MATCH(B279,Medidores!$A:$A,0)),"")</f>
        <v>L20</v>
      </c>
      <c r="J279" s="22" t="s">
        <v>112</v>
      </c>
    </row>
    <row r="280" customFormat="false" ht="15" hidden="false" customHeight="false" outlineLevel="0" collapsed="false">
      <c r="A280" s="21" t="n">
        <v>46303</v>
      </c>
      <c r="B280" s="22" t="s">
        <v>89</v>
      </c>
      <c r="C280" s="23" t="n">
        <v>0.604166666666667</v>
      </c>
      <c r="D280" s="24" t="n">
        <v>13597.625</v>
      </c>
      <c r="E280" s="24" t="n">
        <v>10969.251</v>
      </c>
      <c r="F280" s="24" t="n">
        <v>17719.641</v>
      </c>
      <c r="G280" s="22" t="n">
        <f aca="false">HOUR(C280)*60+MINUTE(C280)</f>
        <v>870</v>
      </c>
      <c r="H280" s="25" t="n">
        <f aca="false">IF(AND(B280=B279,A280=A279,D280&gt;0,N(D279)&gt;0,G280&gt;N(G279)),(D280-D279)/((G280-G279)/60),"")</f>
        <v>3.90800000000309</v>
      </c>
      <c r="I280" s="22" t="str">
        <f aca="false">IFERROR(INDEX(Medidores!$B:$B,MATCH(B280,Medidores!$A:$A,0)),"")</f>
        <v>L20</v>
      </c>
      <c r="J280" s="22" t="s">
        <v>113</v>
      </c>
    </row>
    <row r="281" customFormat="false" ht="15" hidden="false" customHeight="false" outlineLevel="0" collapsed="false">
      <c r="A281" s="21" t="n">
        <v>46303</v>
      </c>
      <c r="B281" s="22" t="s">
        <v>89</v>
      </c>
      <c r="C281" s="23" t="n">
        <v>0.614583333333333</v>
      </c>
      <c r="D281" s="24" t="n">
        <v>13598.605</v>
      </c>
      <c r="E281" s="24" t="n">
        <v>10969.985</v>
      </c>
      <c r="F281" s="24" t="n">
        <v>17720.863</v>
      </c>
      <c r="G281" s="22" t="n">
        <f aca="false">HOUR(C281)*60+MINUTE(C281)</f>
        <v>885</v>
      </c>
      <c r="H281" s="25" t="n">
        <f aca="false">IF(AND(B281=B280,A281=A280,D281&gt;0,N(D280)&gt;0,G281&gt;N(G280)),(D281-D280)/((G281-G280)/60),"")</f>
        <v>3.91999999999825</v>
      </c>
      <c r="I281" s="22" t="str">
        <f aca="false">IFERROR(INDEX(Medidores!$B:$B,MATCH(B281,Medidores!$A:$A,0)),"")</f>
        <v>L20</v>
      </c>
      <c r="J281" s="22" t="s">
        <v>114</v>
      </c>
    </row>
    <row r="282" customFormat="false" ht="15" hidden="false" customHeight="false" outlineLevel="0" collapsed="false">
      <c r="A282" s="21" t="n">
        <v>46303</v>
      </c>
      <c r="B282" s="22" t="s">
        <v>90</v>
      </c>
      <c r="C282" s="23" t="n">
        <v>0.416666666666667</v>
      </c>
      <c r="D282" s="24" t="n">
        <v>6624.58</v>
      </c>
      <c r="E282" s="24" t="n">
        <v>1761.235</v>
      </c>
      <c r="F282" s="24" t="n">
        <v>8224.658</v>
      </c>
      <c r="G282" s="22" t="n">
        <f aca="false">HOUR(C282)*60+MINUTE(C282)</f>
        <v>600</v>
      </c>
      <c r="H282" s="25" t="str">
        <f aca="false">IF(AND(B282=B281,A282=A281,D282&gt;0,N(D281)&gt;0,G282&gt;N(G281)),(D282-D281)/((G282-G281)/60),"")</f>
        <v/>
      </c>
      <c r="I282" s="22" t="str">
        <f aca="false">IFERROR(INDEX(Medidores!$B:$B,MATCH(B282,Medidores!$A:$A,0)),"")</f>
        <v>L16</v>
      </c>
      <c r="J282" s="22" t="s">
        <v>95</v>
      </c>
    </row>
    <row r="283" customFormat="false" ht="15" hidden="false" customHeight="false" outlineLevel="0" collapsed="false">
      <c r="A283" s="21" t="n">
        <v>46303</v>
      </c>
      <c r="B283" s="22" t="s">
        <v>90</v>
      </c>
      <c r="C283" s="23" t="n">
        <v>0.427083333333333</v>
      </c>
      <c r="D283" s="24" t="n">
        <v>6624.619</v>
      </c>
      <c r="E283" s="24" t="n">
        <v>1761.235</v>
      </c>
      <c r="F283" s="24" t="n">
        <v>8224.763</v>
      </c>
      <c r="G283" s="22" t="n">
        <f aca="false">HOUR(C283)*60+MINUTE(C283)</f>
        <v>615</v>
      </c>
      <c r="H283" s="25" t="n">
        <f aca="false">IF(AND(B283=B282,A283=A282,D283&gt;0,N(D282)&gt;0,G283&gt;N(G282)),(D283-D282)/((G283-G282)/60),"")</f>
        <v>0.15599999999904</v>
      </c>
      <c r="I283" s="22" t="str">
        <f aca="false">IFERROR(INDEX(Medidores!$B:$B,MATCH(B283,Medidores!$A:$A,0)),"")</f>
        <v>L16</v>
      </c>
      <c r="J283" s="22" t="s">
        <v>96</v>
      </c>
    </row>
    <row r="284" customFormat="false" ht="15" hidden="false" customHeight="false" outlineLevel="0" collapsed="false">
      <c r="A284" s="21" t="n">
        <v>46303</v>
      </c>
      <c r="B284" s="22" t="s">
        <v>90</v>
      </c>
      <c r="C284" s="23" t="n">
        <v>0.4375</v>
      </c>
      <c r="D284" s="24" t="n">
        <v>6624.658</v>
      </c>
      <c r="E284" s="24" t="n">
        <v>1761.235</v>
      </c>
      <c r="F284" s="24" t="n">
        <v>8224.868</v>
      </c>
      <c r="G284" s="22" t="n">
        <f aca="false">HOUR(C284)*60+MINUTE(C284)</f>
        <v>630</v>
      </c>
      <c r="H284" s="25" t="n">
        <f aca="false">IF(AND(B284=B283,A284=A283,D284&gt;0,N(D283)&gt;0,G284&gt;N(G283)),(D284-D283)/((G284-G283)/60),"")</f>
        <v>0.156000000002678</v>
      </c>
      <c r="I284" s="22" t="str">
        <f aca="false">IFERROR(INDEX(Medidores!$B:$B,MATCH(B284,Medidores!$A:$A,0)),"")</f>
        <v>L16</v>
      </c>
      <c r="J284" s="22" t="s">
        <v>97</v>
      </c>
    </row>
    <row r="285" customFormat="false" ht="15" hidden="false" customHeight="false" outlineLevel="0" collapsed="false">
      <c r="A285" s="21" t="n">
        <v>46303</v>
      </c>
      <c r="B285" s="22" t="s">
        <v>90</v>
      </c>
      <c r="C285" s="23" t="n">
        <v>0.447916666666667</v>
      </c>
      <c r="D285" s="24" t="n">
        <v>6624.697</v>
      </c>
      <c r="E285" s="24" t="n">
        <v>1761.235</v>
      </c>
      <c r="F285" s="24" t="n">
        <v>8224.975</v>
      </c>
      <c r="G285" s="22" t="n">
        <f aca="false">HOUR(C285)*60+MINUTE(C285)</f>
        <v>645</v>
      </c>
      <c r="H285" s="25" t="n">
        <f aca="false">IF(AND(B285=B284,A285=A284,D285&gt;0,N(D284)&gt;0,G285&gt;N(G284)),(D285-D284)/((G285-G284)/60),"")</f>
        <v>0.15599999999904</v>
      </c>
      <c r="I285" s="22" t="str">
        <f aca="false">IFERROR(INDEX(Medidores!$B:$B,MATCH(B285,Medidores!$A:$A,0)),"")</f>
        <v>L16</v>
      </c>
      <c r="J285" s="22" t="s">
        <v>98</v>
      </c>
    </row>
    <row r="286" customFormat="false" ht="15" hidden="false" customHeight="false" outlineLevel="0" collapsed="false">
      <c r="A286" s="21" t="n">
        <v>46303</v>
      </c>
      <c r="B286" s="22" t="s">
        <v>90</v>
      </c>
      <c r="C286" s="23" t="n">
        <v>0.458333333333333</v>
      </c>
      <c r="D286" s="24" t="n">
        <v>6624.737</v>
      </c>
      <c r="E286" s="24" t="n">
        <v>1761.235</v>
      </c>
      <c r="F286" s="24" t="n">
        <v>8225.081</v>
      </c>
      <c r="G286" s="22" t="n">
        <f aca="false">HOUR(C286)*60+MINUTE(C286)</f>
        <v>660</v>
      </c>
      <c r="H286" s="25" t="n">
        <f aca="false">IF(AND(B286=B285,A286=A285,D286&gt;0,N(D285)&gt;0,G286&gt;N(G285)),(D286-D285)/((G286-G285)/60),"")</f>
        <v>0.159999999999854</v>
      </c>
      <c r="I286" s="22" t="str">
        <f aca="false">IFERROR(INDEX(Medidores!$B:$B,MATCH(B286,Medidores!$A:$A,0)),"")</f>
        <v>L16</v>
      </c>
      <c r="J286" s="22" t="s">
        <v>99</v>
      </c>
    </row>
    <row r="287" customFormat="false" ht="15" hidden="false" customHeight="false" outlineLevel="0" collapsed="false">
      <c r="A287" s="21" t="n">
        <v>46303</v>
      </c>
      <c r="B287" s="22" t="s">
        <v>90</v>
      </c>
      <c r="C287" s="23" t="n">
        <v>0.46875</v>
      </c>
      <c r="D287" s="24" t="n">
        <v>6624.776</v>
      </c>
      <c r="E287" s="24" t="n">
        <v>1761.235</v>
      </c>
      <c r="F287" s="24" t="n">
        <v>8225.187</v>
      </c>
      <c r="G287" s="22" t="n">
        <f aca="false">HOUR(C287)*60+MINUTE(C287)</f>
        <v>675</v>
      </c>
      <c r="H287" s="25" t="n">
        <f aca="false">IF(AND(B287=B286,A287=A286,D287&gt;0,N(D286)&gt;0,G287&gt;N(G286)),(D287-D286)/((G287-G286)/60),"")</f>
        <v>0.15599999999904</v>
      </c>
      <c r="I287" s="22" t="str">
        <f aca="false">IFERROR(INDEX(Medidores!$B:$B,MATCH(B287,Medidores!$A:$A,0)),"")</f>
        <v>L16</v>
      </c>
      <c r="J287" s="22" t="s">
        <v>100</v>
      </c>
    </row>
    <row r="288" customFormat="false" ht="15" hidden="false" customHeight="false" outlineLevel="0" collapsed="false">
      <c r="A288" s="21" t="n">
        <v>46303</v>
      </c>
      <c r="B288" s="22" t="s">
        <v>90</v>
      </c>
      <c r="C288" s="23" t="n">
        <v>0.479166666666667</v>
      </c>
      <c r="D288" s="24" t="n">
        <v>6624.815</v>
      </c>
      <c r="E288" s="24" t="n">
        <v>1761.235</v>
      </c>
      <c r="F288" s="24" t="n">
        <v>8225.293</v>
      </c>
      <c r="G288" s="22" t="n">
        <f aca="false">HOUR(C288)*60+MINUTE(C288)</f>
        <v>690</v>
      </c>
      <c r="H288" s="25" t="n">
        <f aca="false">IF(AND(B288=B287,A288=A287,D288&gt;0,N(D287)&gt;0,G288&gt;N(G287)),(D288-D287)/((G288-G287)/60),"")</f>
        <v>0.15599999999904</v>
      </c>
      <c r="I288" s="22" t="str">
        <f aca="false">IFERROR(INDEX(Medidores!$B:$B,MATCH(B288,Medidores!$A:$A,0)),"")</f>
        <v>L16</v>
      </c>
      <c r="J288" s="22" t="s">
        <v>101</v>
      </c>
    </row>
    <row r="289" customFormat="false" ht="15" hidden="false" customHeight="false" outlineLevel="0" collapsed="false">
      <c r="A289" s="21" t="n">
        <v>46303</v>
      </c>
      <c r="B289" s="22" t="s">
        <v>90</v>
      </c>
      <c r="C289" s="23" t="n">
        <v>0.489583333333333</v>
      </c>
      <c r="D289" s="24" t="n">
        <v>6624.854</v>
      </c>
      <c r="E289" s="24" t="n">
        <v>1761.235</v>
      </c>
      <c r="F289" s="24" t="n">
        <v>8225.398</v>
      </c>
      <c r="G289" s="22" t="n">
        <f aca="false">HOUR(C289)*60+MINUTE(C289)</f>
        <v>705</v>
      </c>
      <c r="H289" s="25" t="n">
        <f aca="false">IF(AND(B289=B288,A289=A288,D289&gt;0,N(D288)&gt;0,G289&gt;N(G288)),(D289-D288)/((G289-G288)/60),"")</f>
        <v>0.156000000002678</v>
      </c>
      <c r="I289" s="22" t="str">
        <f aca="false">IFERROR(INDEX(Medidores!$B:$B,MATCH(B289,Medidores!$A:$A,0)),"")</f>
        <v>L16</v>
      </c>
      <c r="J289" s="22" t="s">
        <v>102</v>
      </c>
    </row>
    <row r="290" customFormat="false" ht="15" hidden="false" customHeight="false" outlineLevel="0" collapsed="false">
      <c r="A290" s="21" t="n">
        <v>46303</v>
      </c>
      <c r="B290" s="22" t="s">
        <v>90</v>
      </c>
      <c r="C290" s="23" t="n">
        <v>0.5</v>
      </c>
      <c r="D290" s="24" t="n">
        <v>6624.893</v>
      </c>
      <c r="E290" s="24" t="n">
        <v>1761.235</v>
      </c>
      <c r="F290" s="24" t="n">
        <v>8225.502</v>
      </c>
      <c r="G290" s="22" t="n">
        <f aca="false">HOUR(C290)*60+MINUTE(C290)</f>
        <v>720</v>
      </c>
      <c r="H290" s="25" t="n">
        <f aca="false">IF(AND(B290=B289,A290=A289,D290&gt;0,N(D289)&gt;0,G290&gt;N(G289)),(D290-D289)/((G290-G289)/60),"")</f>
        <v>0.15599999999904</v>
      </c>
      <c r="I290" s="22" t="str">
        <f aca="false">IFERROR(INDEX(Medidores!$B:$B,MATCH(B290,Medidores!$A:$A,0)),"")</f>
        <v>L16</v>
      </c>
      <c r="J290" s="22" t="s">
        <v>103</v>
      </c>
    </row>
    <row r="291" customFormat="false" ht="15" hidden="false" customHeight="false" outlineLevel="0" collapsed="false">
      <c r="A291" s="21" t="n">
        <v>46303</v>
      </c>
      <c r="B291" s="22" t="s">
        <v>90</v>
      </c>
      <c r="C291" s="23" t="n">
        <v>0.510416666666667</v>
      </c>
      <c r="D291" s="24" t="n">
        <v>6624.932</v>
      </c>
      <c r="E291" s="24" t="n">
        <v>1761.235</v>
      </c>
      <c r="F291" s="24" t="n">
        <v>8225.608</v>
      </c>
      <c r="G291" s="22" t="n">
        <f aca="false">HOUR(C291)*60+MINUTE(C291)</f>
        <v>735</v>
      </c>
      <c r="H291" s="25" t="n">
        <f aca="false">IF(AND(B291=B290,A291=A290,D291&gt;0,N(D290)&gt;0,G291&gt;N(G290)),(D291-D290)/((G291-G290)/60),"")</f>
        <v>0.15599999999904</v>
      </c>
      <c r="I291" s="22" t="str">
        <f aca="false">IFERROR(INDEX(Medidores!$B:$B,MATCH(B291,Medidores!$A:$A,0)),"")</f>
        <v>L16</v>
      </c>
      <c r="J291" s="22" t="s">
        <v>104</v>
      </c>
    </row>
    <row r="292" customFormat="false" ht="15" hidden="false" customHeight="false" outlineLevel="0" collapsed="false">
      <c r="A292" s="21" t="n">
        <v>46303</v>
      </c>
      <c r="B292" s="22" t="s">
        <v>90</v>
      </c>
      <c r="C292" s="23" t="n">
        <v>0.520833333333333</v>
      </c>
      <c r="D292" s="24" t="n">
        <v>6624.971</v>
      </c>
      <c r="E292" s="24" t="n">
        <v>1761.235</v>
      </c>
      <c r="F292" s="24" t="n">
        <v>8225.714</v>
      </c>
      <c r="G292" s="22" t="n">
        <f aca="false">HOUR(C292)*60+MINUTE(C292)</f>
        <v>750</v>
      </c>
      <c r="H292" s="25" t="n">
        <f aca="false">IF(AND(B292=B291,A292=A291,D292&gt;0,N(D291)&gt;0,G292&gt;N(G291)),(D292-D291)/((G292-G291)/60),"")</f>
        <v>0.15599999999904</v>
      </c>
      <c r="I292" s="22" t="str">
        <f aca="false">IFERROR(INDEX(Medidores!$B:$B,MATCH(B292,Medidores!$A:$A,0)),"")</f>
        <v>L16</v>
      </c>
      <c r="J292" s="22" t="s">
        <v>105</v>
      </c>
    </row>
    <row r="293" customFormat="false" ht="15" hidden="false" customHeight="false" outlineLevel="0" collapsed="false">
      <c r="A293" s="21" t="n">
        <v>46303</v>
      </c>
      <c r="B293" s="22" t="s">
        <v>90</v>
      </c>
      <c r="C293" s="23" t="n">
        <v>0.53125</v>
      </c>
      <c r="D293" s="24" t="n">
        <v>6625.01</v>
      </c>
      <c r="E293" s="24" t="n">
        <v>1761.235</v>
      </c>
      <c r="F293" s="24" t="n">
        <v>8225.82</v>
      </c>
      <c r="G293" s="22" t="n">
        <f aca="false">HOUR(C293)*60+MINUTE(C293)</f>
        <v>765</v>
      </c>
      <c r="H293" s="25" t="n">
        <f aca="false">IF(AND(B293=B292,A293=A292,D293&gt;0,N(D292)&gt;0,G293&gt;N(G292)),(D293-D292)/((G293-G292)/60),"")</f>
        <v>0.156000000002678</v>
      </c>
      <c r="I293" s="22" t="str">
        <f aca="false">IFERROR(INDEX(Medidores!$B:$B,MATCH(B293,Medidores!$A:$A,0)),"")</f>
        <v>L16</v>
      </c>
      <c r="J293" s="22" t="s">
        <v>106</v>
      </c>
    </row>
    <row r="294" customFormat="false" ht="15" hidden="false" customHeight="false" outlineLevel="0" collapsed="false">
      <c r="A294" s="21" t="n">
        <v>46303</v>
      </c>
      <c r="B294" s="22" t="s">
        <v>90</v>
      </c>
      <c r="C294" s="23" t="n">
        <v>0.541666666666667</v>
      </c>
      <c r="D294" s="24" t="n">
        <v>6625.049</v>
      </c>
      <c r="E294" s="24" t="n">
        <v>1761.235</v>
      </c>
      <c r="F294" s="24" t="n">
        <v>8225.925</v>
      </c>
      <c r="G294" s="22" t="n">
        <f aca="false">HOUR(C294)*60+MINUTE(C294)</f>
        <v>780</v>
      </c>
      <c r="H294" s="25" t="n">
        <f aca="false">IF(AND(B294=B293,A294=A293,D294&gt;0,N(D293)&gt;0,G294&gt;N(G293)),(D294-D293)/((G294-G293)/60),"")</f>
        <v>0.15599999999904</v>
      </c>
      <c r="I294" s="22" t="str">
        <f aca="false">IFERROR(INDEX(Medidores!$B:$B,MATCH(B294,Medidores!$A:$A,0)),"")</f>
        <v>L16</v>
      </c>
      <c r="J294" s="22" t="s">
        <v>107</v>
      </c>
    </row>
    <row r="295" customFormat="false" ht="15" hidden="false" customHeight="false" outlineLevel="0" collapsed="false">
      <c r="A295" s="21" t="n">
        <v>46303</v>
      </c>
      <c r="B295" s="22" t="s">
        <v>90</v>
      </c>
      <c r="C295" s="23" t="n">
        <v>0.552083333333333</v>
      </c>
      <c r="D295" s="24" t="n">
        <v>6625.087</v>
      </c>
      <c r="E295" s="24" t="n">
        <v>1761.235</v>
      </c>
      <c r="F295" s="24" t="n">
        <v>8226.031</v>
      </c>
      <c r="G295" s="22" t="n">
        <f aca="false">HOUR(C295)*60+MINUTE(C295)</f>
        <v>795</v>
      </c>
      <c r="H295" s="25" t="n">
        <f aca="false">IF(AND(B295=B294,A295=A294,D295&gt;0,N(D294)&gt;0,G295&gt;N(G294)),(D295-D294)/((G295-G294)/60),"")</f>
        <v>0.152000000001863</v>
      </c>
      <c r="I295" s="22" t="str">
        <f aca="false">IFERROR(INDEX(Medidores!$B:$B,MATCH(B295,Medidores!$A:$A,0)),"")</f>
        <v>L16</v>
      </c>
      <c r="J295" s="22" t="s">
        <v>108</v>
      </c>
    </row>
    <row r="296" customFormat="false" ht="15" hidden="false" customHeight="false" outlineLevel="0" collapsed="false">
      <c r="A296" s="21" t="n">
        <v>46303</v>
      </c>
      <c r="B296" s="22" t="s">
        <v>90</v>
      </c>
      <c r="C296" s="23" t="n">
        <v>0.5625</v>
      </c>
      <c r="D296" s="24" t="n">
        <v>6625.126</v>
      </c>
      <c r="E296" s="24" t="n">
        <v>1761.235</v>
      </c>
      <c r="F296" s="24" t="n">
        <v>8226.137</v>
      </c>
      <c r="G296" s="22" t="n">
        <f aca="false">HOUR(C296)*60+MINUTE(C296)</f>
        <v>810</v>
      </c>
      <c r="H296" s="25" t="n">
        <f aca="false">IF(AND(B296=B295,A296=A295,D296&gt;0,N(D295)&gt;0,G296&gt;N(G295)),(D296-D295)/((G296-G295)/60),"")</f>
        <v>0.15599999999904</v>
      </c>
      <c r="I296" s="22" t="str">
        <f aca="false">IFERROR(INDEX(Medidores!$B:$B,MATCH(B296,Medidores!$A:$A,0)),"")</f>
        <v>L16</v>
      </c>
      <c r="J296" s="22" t="s">
        <v>109</v>
      </c>
    </row>
    <row r="297" customFormat="false" ht="15" hidden="false" customHeight="false" outlineLevel="0" collapsed="false">
      <c r="A297" s="21" t="n">
        <v>46303</v>
      </c>
      <c r="B297" s="22" t="s">
        <v>90</v>
      </c>
      <c r="C297" s="23" t="n">
        <v>0.572916666666667</v>
      </c>
      <c r="D297" s="24" t="n">
        <v>6625.165</v>
      </c>
      <c r="E297" s="24" t="n">
        <v>1761.235</v>
      </c>
      <c r="F297" s="24" t="n">
        <v>8226.243</v>
      </c>
      <c r="G297" s="22" t="n">
        <f aca="false">HOUR(C297)*60+MINUTE(C297)</f>
        <v>825</v>
      </c>
      <c r="H297" s="25" t="n">
        <f aca="false">IF(AND(B297=B296,A297=A296,D297&gt;0,N(D296)&gt;0,G297&gt;N(G296)),(D297-D296)/((G297-G296)/60),"")</f>
        <v>0.15599999999904</v>
      </c>
      <c r="I297" s="22" t="str">
        <f aca="false">IFERROR(INDEX(Medidores!$B:$B,MATCH(B297,Medidores!$A:$A,0)),"")</f>
        <v>L16</v>
      </c>
      <c r="J297" s="22" t="s">
        <v>110</v>
      </c>
    </row>
    <row r="298" customFormat="false" ht="15" hidden="false" customHeight="false" outlineLevel="0" collapsed="false">
      <c r="A298" s="21" t="n">
        <v>46303</v>
      </c>
      <c r="B298" s="22" t="s">
        <v>90</v>
      </c>
      <c r="C298" s="23" t="n">
        <v>0.583333333333333</v>
      </c>
      <c r="D298" s="24" t="n">
        <v>6625.204</v>
      </c>
      <c r="E298" s="24" t="n">
        <v>1761.235</v>
      </c>
      <c r="F298" s="24" t="n">
        <v>8226.35</v>
      </c>
      <c r="G298" s="22" t="n">
        <f aca="false">HOUR(C298)*60+MINUTE(C298)</f>
        <v>840</v>
      </c>
      <c r="H298" s="25" t="n">
        <f aca="false">IF(AND(B298=B297,A298=A297,D298&gt;0,N(D297)&gt;0,G298&gt;N(G297)),(D298-D297)/((G298-G297)/60),"")</f>
        <v>0.15599999999904</v>
      </c>
      <c r="I298" s="22" t="str">
        <f aca="false">IFERROR(INDEX(Medidores!$B:$B,MATCH(B298,Medidores!$A:$A,0)),"")</f>
        <v>L16</v>
      </c>
      <c r="J298" s="22" t="s">
        <v>111</v>
      </c>
    </row>
    <row r="299" customFormat="false" ht="15" hidden="false" customHeight="false" outlineLevel="0" collapsed="false">
      <c r="A299" s="21" t="n">
        <v>46303</v>
      </c>
      <c r="B299" s="22" t="s">
        <v>90</v>
      </c>
      <c r="C299" s="23" t="n">
        <v>0.59375</v>
      </c>
      <c r="D299" s="24" t="n">
        <v>6625.243</v>
      </c>
      <c r="E299" s="24" t="n">
        <v>1761.235</v>
      </c>
      <c r="F299" s="24" t="n">
        <v>8226.455</v>
      </c>
      <c r="G299" s="22" t="n">
        <f aca="false">HOUR(C299)*60+MINUTE(C299)</f>
        <v>855</v>
      </c>
      <c r="H299" s="25" t="n">
        <f aca="false">IF(AND(B299=B298,A299=A298,D299&gt;0,N(D298)&gt;0,G299&gt;N(G298)),(D299-D298)/((G299-G298)/60),"")</f>
        <v>0.156000000002678</v>
      </c>
      <c r="I299" s="22" t="str">
        <f aca="false">IFERROR(INDEX(Medidores!$B:$B,MATCH(B299,Medidores!$A:$A,0)),"")</f>
        <v>L16</v>
      </c>
      <c r="J299" s="22" t="s">
        <v>112</v>
      </c>
    </row>
    <row r="300" customFormat="false" ht="15" hidden="false" customHeight="false" outlineLevel="0" collapsed="false">
      <c r="A300" s="21" t="n">
        <v>46303</v>
      </c>
      <c r="B300" s="22" t="s">
        <v>90</v>
      </c>
      <c r="C300" s="23" t="n">
        <v>0.604166666666667</v>
      </c>
      <c r="D300" s="24" t="n">
        <v>6625.282</v>
      </c>
      <c r="E300" s="24" t="n">
        <v>1761.235</v>
      </c>
      <c r="F300" s="24" t="n">
        <v>8226.562</v>
      </c>
      <c r="G300" s="22" t="n">
        <f aca="false">HOUR(C300)*60+MINUTE(C300)</f>
        <v>870</v>
      </c>
      <c r="H300" s="25" t="n">
        <f aca="false">IF(AND(B300=B299,A300=A299,D300&gt;0,N(D299)&gt;0,G300&gt;N(G299)),(D300-D299)/((G300-G299)/60),"")</f>
        <v>0.15599999999904</v>
      </c>
      <c r="I300" s="22" t="str">
        <f aca="false">IFERROR(INDEX(Medidores!$B:$B,MATCH(B300,Medidores!$A:$A,0)),"")</f>
        <v>L16</v>
      </c>
      <c r="J300" s="22" t="s">
        <v>113</v>
      </c>
    </row>
    <row r="301" customFormat="false" ht="15" hidden="false" customHeight="false" outlineLevel="0" collapsed="false">
      <c r="A301" s="21" t="n">
        <v>46303</v>
      </c>
      <c r="B301" s="22" t="s">
        <v>90</v>
      </c>
      <c r="C301" s="23" t="n">
        <v>0.614583333333333</v>
      </c>
      <c r="D301" s="24" t="n">
        <v>6625.321</v>
      </c>
      <c r="E301" s="24" t="n">
        <v>1761.235</v>
      </c>
      <c r="F301" s="24" t="n">
        <v>8226.669</v>
      </c>
      <c r="G301" s="22" t="n">
        <f aca="false">HOUR(C301)*60+MINUTE(C301)</f>
        <v>885</v>
      </c>
      <c r="H301" s="25" t="n">
        <f aca="false">IF(AND(B301=B300,A301=A300,D301&gt;0,N(D300)&gt;0,G301&gt;N(G300)),(D301-D300)/((G301-G300)/60),"")</f>
        <v>0.15599999999904</v>
      </c>
      <c r="I301" s="22" t="str">
        <f aca="false">IFERROR(INDEX(Medidores!$B:$B,MATCH(B301,Medidores!$A:$A,0)),"")</f>
        <v>L16</v>
      </c>
      <c r="J301" s="22" t="s">
        <v>114</v>
      </c>
    </row>
    <row r="302" customFormat="false" ht="15" hidden="false" customHeight="false" outlineLevel="0" collapsed="false">
      <c r="A302" s="21" t="n">
        <v>46303</v>
      </c>
      <c r="B302" s="22" t="s">
        <v>91</v>
      </c>
      <c r="C302" s="23" t="n">
        <v>0.427083333333333</v>
      </c>
      <c r="D302" s="24" t="n">
        <v>107335.148</v>
      </c>
      <c r="E302" s="24" t="n">
        <v>22824.824</v>
      </c>
      <c r="F302" s="24" t="n">
        <v>110294.266</v>
      </c>
      <c r="G302" s="22" t="n">
        <f aca="false">HOUR(C302)*60+MINUTE(C302)</f>
        <v>615</v>
      </c>
      <c r="H302" s="25" t="str">
        <f aca="false">IF(AND(B302=B301,A302=A301,D302&gt;0,N(D301)&gt;0,G302&gt;N(G301)),(D302-D301)/((G302-G301)/60),"")</f>
        <v/>
      </c>
      <c r="I302" s="22" t="str">
        <f aca="false">IFERROR(INDEX(Medidores!$B:$B,MATCH(B302,Medidores!$A:$A,0)),"")</f>
        <v>Estación planta</v>
      </c>
      <c r="J302" s="22" t="s">
        <v>96</v>
      </c>
    </row>
    <row r="303" customFormat="false" ht="15" hidden="false" customHeight="false" outlineLevel="0" collapsed="false">
      <c r="A303" s="21" t="n">
        <v>46303</v>
      </c>
      <c r="B303" s="22" t="s">
        <v>91</v>
      </c>
      <c r="C303" s="23" t="n">
        <v>0.4375</v>
      </c>
      <c r="D303" s="24" t="n">
        <v>107343.211</v>
      </c>
      <c r="E303" s="24" t="n">
        <v>22825.275</v>
      </c>
      <c r="F303" s="24" t="n">
        <v>110302.328</v>
      </c>
      <c r="G303" s="22" t="n">
        <f aca="false">HOUR(C303)*60+MINUTE(C303)</f>
        <v>630</v>
      </c>
      <c r="H303" s="25" t="n">
        <f aca="false">IF(AND(B303=B302,A303=A302,D303&gt;0,N(D302)&gt;0,G303&gt;N(G302)),(D303-D302)/((G303-G302)/60),"")</f>
        <v>32.2519999999786</v>
      </c>
      <c r="I303" s="22" t="str">
        <f aca="false">IFERROR(INDEX(Medidores!$B:$B,MATCH(B303,Medidores!$A:$A,0)),"")</f>
        <v>Estación planta</v>
      </c>
      <c r="J303" s="22" t="s">
        <v>97</v>
      </c>
    </row>
    <row r="304" customFormat="false" ht="15" hidden="false" customHeight="false" outlineLevel="0" collapsed="false">
      <c r="A304" s="21" t="n">
        <v>46303</v>
      </c>
      <c r="B304" s="22" t="s">
        <v>91</v>
      </c>
      <c r="C304" s="23" t="n">
        <v>0.447916666666667</v>
      </c>
      <c r="D304" s="24" t="n">
        <v>107351.266</v>
      </c>
      <c r="E304" s="24" t="n">
        <v>22825.713</v>
      </c>
      <c r="F304" s="24" t="n">
        <v>110310.398</v>
      </c>
      <c r="G304" s="22" t="n">
        <f aca="false">HOUR(C304)*60+MINUTE(C304)</f>
        <v>645</v>
      </c>
      <c r="H304" s="25" t="n">
        <f aca="false">IF(AND(B304=B303,A304=A303,D304&gt;0,N(D303)&gt;0,G304&gt;N(G303)),(D304-D303)/((G304-G303)/60),"")</f>
        <v>32.2200000000303</v>
      </c>
      <c r="I304" s="22" t="str">
        <f aca="false">IFERROR(INDEX(Medidores!$B:$B,MATCH(B304,Medidores!$A:$A,0)),"")</f>
        <v>Estación planta</v>
      </c>
      <c r="J304" s="22" t="s">
        <v>98</v>
      </c>
    </row>
    <row r="305" customFormat="false" ht="15" hidden="false" customHeight="false" outlineLevel="0" collapsed="false">
      <c r="A305" s="21" t="n">
        <v>46303</v>
      </c>
      <c r="B305" s="22" t="s">
        <v>91</v>
      </c>
      <c r="C305" s="23" t="n">
        <v>0.458333333333333</v>
      </c>
      <c r="D305" s="24" t="n">
        <v>107359.25</v>
      </c>
      <c r="E305" s="24" t="n">
        <v>22826.018</v>
      </c>
      <c r="F305" s="24" t="n">
        <v>110318.391</v>
      </c>
      <c r="G305" s="22" t="n">
        <f aca="false">HOUR(C305)*60+MINUTE(C305)</f>
        <v>660</v>
      </c>
      <c r="H305" s="25" t="n">
        <f aca="false">IF(AND(B305=B304,A305=A304,D305&gt;0,N(D304)&gt;0,G305&gt;N(G304)),(D305-D304)/((G305-G304)/60),"")</f>
        <v>31.935999999987</v>
      </c>
      <c r="I305" s="22" t="str">
        <f aca="false">IFERROR(INDEX(Medidores!$B:$B,MATCH(B305,Medidores!$A:$A,0)),"")</f>
        <v>Estación planta</v>
      </c>
      <c r="J305" s="22" t="s">
        <v>99</v>
      </c>
    </row>
    <row r="306" customFormat="false" ht="15" hidden="false" customHeight="false" outlineLevel="0" collapsed="false">
      <c r="A306" s="21" t="n">
        <v>46303</v>
      </c>
      <c r="B306" s="22" t="s">
        <v>91</v>
      </c>
      <c r="C306" s="23" t="n">
        <v>0.46875</v>
      </c>
      <c r="D306" s="24" t="n">
        <v>107367.43</v>
      </c>
      <c r="E306" s="24" t="n">
        <v>22826.424</v>
      </c>
      <c r="F306" s="24" t="n">
        <v>110326.594</v>
      </c>
      <c r="G306" s="22" t="n">
        <f aca="false">HOUR(C306)*60+MINUTE(C306)</f>
        <v>675</v>
      </c>
      <c r="H306" s="25" t="n">
        <f aca="false">IF(AND(B306=B305,A306=A305,D306&gt;0,N(D305)&gt;0,G306&gt;N(G305)),(D306-D305)/((G306-G305)/60),"")</f>
        <v>32.7199999999721</v>
      </c>
      <c r="I306" s="22" t="str">
        <f aca="false">IFERROR(INDEX(Medidores!$B:$B,MATCH(B306,Medidores!$A:$A,0)),"")</f>
        <v>Estación planta</v>
      </c>
      <c r="J306" s="22" t="s">
        <v>100</v>
      </c>
    </row>
    <row r="307" customFormat="false" ht="15" hidden="false" customHeight="false" outlineLevel="0" collapsed="false">
      <c r="A307" s="21" t="n">
        <v>46303</v>
      </c>
      <c r="B307" s="22" t="s">
        <v>91</v>
      </c>
      <c r="C307" s="23" t="n">
        <v>0.479166666666667</v>
      </c>
      <c r="D307" s="24" t="n">
        <v>107375.539</v>
      </c>
      <c r="E307" s="24" t="n">
        <v>22826.769</v>
      </c>
      <c r="F307" s="24" t="n">
        <v>110334.703</v>
      </c>
      <c r="G307" s="22" t="n">
        <f aca="false">HOUR(C307)*60+MINUTE(C307)</f>
        <v>690</v>
      </c>
      <c r="H307" s="25" t="n">
        <f aca="false">IF(AND(B307=B306,A307=A306,D307&gt;0,N(D306)&gt;0,G307&gt;N(G306)),(D307-D306)/((G307-G306)/60),"")</f>
        <v>32.4360000000452</v>
      </c>
      <c r="I307" s="22" t="str">
        <f aca="false">IFERROR(INDEX(Medidores!$B:$B,MATCH(B307,Medidores!$A:$A,0)),"")</f>
        <v>Estación planta</v>
      </c>
      <c r="J307" s="22" t="s">
        <v>101</v>
      </c>
    </row>
    <row r="308" customFormat="false" ht="15" hidden="false" customHeight="false" outlineLevel="0" collapsed="false">
      <c r="A308" s="21" t="n">
        <v>46303</v>
      </c>
      <c r="B308" s="22" t="s">
        <v>91</v>
      </c>
      <c r="C308" s="23" t="n">
        <v>0.489583333333333</v>
      </c>
      <c r="D308" s="24" t="n">
        <v>107383.641</v>
      </c>
      <c r="E308" s="24" t="n">
        <v>22827.137</v>
      </c>
      <c r="F308" s="24" t="n">
        <v>110342.805</v>
      </c>
      <c r="G308" s="22" t="n">
        <f aca="false">HOUR(C308)*60+MINUTE(C308)</f>
        <v>705</v>
      </c>
      <c r="H308" s="25" t="n">
        <f aca="false">IF(AND(B308=B307,A308=A307,D308&gt;0,N(D307)&gt;0,G308&gt;N(G307)),(D308-D307)/((G308-G307)/60),"")</f>
        <v>32.4079999999958</v>
      </c>
      <c r="I308" s="22" t="str">
        <f aca="false">IFERROR(INDEX(Medidores!$B:$B,MATCH(B308,Medidores!$A:$A,0)),"")</f>
        <v>Estación planta</v>
      </c>
      <c r="J308" s="22" t="s">
        <v>102</v>
      </c>
    </row>
    <row r="309" customFormat="false" ht="15" hidden="false" customHeight="false" outlineLevel="0" collapsed="false">
      <c r="A309" s="21" t="n">
        <v>46303</v>
      </c>
      <c r="B309" s="22" t="s">
        <v>91</v>
      </c>
      <c r="C309" s="23" t="n">
        <v>0.5</v>
      </c>
      <c r="D309" s="24" t="n">
        <v>107391.961</v>
      </c>
      <c r="E309" s="24" t="n">
        <v>22827.568</v>
      </c>
      <c r="F309" s="24" t="n">
        <v>110351.141</v>
      </c>
      <c r="G309" s="22" t="n">
        <f aca="false">HOUR(C309)*60+MINUTE(C309)</f>
        <v>720</v>
      </c>
      <c r="H309" s="25" t="n">
        <f aca="false">IF(AND(B309=B308,A309=A308,D309&gt;0,N(D308)&gt;0,G309&gt;N(G308)),(D309-D308)/((G309-G308)/60),"")</f>
        <v>33.2799999999697</v>
      </c>
      <c r="I309" s="22" t="str">
        <f aca="false">IFERROR(INDEX(Medidores!$B:$B,MATCH(B309,Medidores!$A:$A,0)),"")</f>
        <v>Estación planta</v>
      </c>
      <c r="J309" s="22" t="s">
        <v>103</v>
      </c>
    </row>
    <row r="310" customFormat="false" ht="15" hidden="false" customHeight="false" outlineLevel="0" collapsed="false">
      <c r="A310" s="21" t="n">
        <v>46303</v>
      </c>
      <c r="B310" s="22" t="s">
        <v>91</v>
      </c>
      <c r="C310" s="23" t="n">
        <v>0.510416666666667</v>
      </c>
      <c r="D310" s="24" t="n">
        <v>107399.547</v>
      </c>
      <c r="E310" s="24" t="n">
        <v>22827.947</v>
      </c>
      <c r="F310" s="24" t="n">
        <v>110358.734</v>
      </c>
      <c r="G310" s="22" t="n">
        <f aca="false">HOUR(C310)*60+MINUTE(C310)</f>
        <v>735</v>
      </c>
      <c r="H310" s="25" t="n">
        <f aca="false">IF(AND(B310=B309,A310=A309,D310&gt;0,N(D309)&gt;0,G310&gt;N(G309)),(D310-D309)/((G310-G309)/60),"")</f>
        <v>30.344000000041</v>
      </c>
      <c r="I310" s="22" t="str">
        <f aca="false">IFERROR(INDEX(Medidores!$B:$B,MATCH(B310,Medidores!$A:$A,0)),"")</f>
        <v>Estación planta</v>
      </c>
      <c r="J310" s="22" t="s">
        <v>104</v>
      </c>
    </row>
    <row r="311" customFormat="false" ht="15" hidden="false" customHeight="false" outlineLevel="0" collapsed="false">
      <c r="A311" s="21" t="n">
        <v>46303</v>
      </c>
      <c r="B311" s="22" t="s">
        <v>91</v>
      </c>
      <c r="C311" s="23" t="n">
        <v>0.520833333333333</v>
      </c>
      <c r="D311" s="24" t="n">
        <v>107407.078</v>
      </c>
      <c r="E311" s="24" t="n">
        <v>22828.367</v>
      </c>
      <c r="F311" s="24" t="n">
        <v>110366.289</v>
      </c>
      <c r="G311" s="22" t="n">
        <f aca="false">HOUR(C311)*60+MINUTE(C311)</f>
        <v>750</v>
      </c>
      <c r="H311" s="25" t="n">
        <f aca="false">IF(AND(B311=B310,A311=A310,D311&gt;0,N(D310)&gt;0,G311&gt;N(G310)),(D311-D310)/((G311-G310)/60),"")</f>
        <v>30.1239999999525</v>
      </c>
      <c r="I311" s="22" t="str">
        <f aca="false">IFERROR(INDEX(Medidores!$B:$B,MATCH(B311,Medidores!$A:$A,0)),"")</f>
        <v>Estación planta</v>
      </c>
      <c r="J311" s="22" t="s">
        <v>105</v>
      </c>
    </row>
    <row r="312" customFormat="false" ht="15" hidden="false" customHeight="false" outlineLevel="0" collapsed="false">
      <c r="A312" s="21" t="n">
        <v>46303</v>
      </c>
      <c r="B312" s="22" t="s">
        <v>91</v>
      </c>
      <c r="C312" s="23" t="n">
        <v>0.53125</v>
      </c>
      <c r="D312" s="24" t="n">
        <v>107414.648</v>
      </c>
      <c r="E312" s="24" t="n">
        <v>22828.84</v>
      </c>
      <c r="F312" s="24" t="n">
        <v>110373.875</v>
      </c>
      <c r="G312" s="22" t="n">
        <f aca="false">HOUR(C312)*60+MINUTE(C312)</f>
        <v>765</v>
      </c>
      <c r="H312" s="25" t="n">
        <f aca="false">IF(AND(B312=B311,A312=A311,D312&gt;0,N(D311)&gt;0,G312&gt;N(G311)),(D312-D311)/((G312-G311)/60),"")</f>
        <v>30.2800000000279</v>
      </c>
      <c r="I312" s="22" t="str">
        <f aca="false">IFERROR(INDEX(Medidores!$B:$B,MATCH(B312,Medidores!$A:$A,0)),"")</f>
        <v>Estación planta</v>
      </c>
      <c r="J312" s="22" t="s">
        <v>106</v>
      </c>
    </row>
    <row r="313" customFormat="false" ht="15" hidden="false" customHeight="false" outlineLevel="0" collapsed="false">
      <c r="A313" s="21" t="n">
        <v>46303</v>
      </c>
      <c r="B313" s="22" t="s">
        <v>91</v>
      </c>
      <c r="C313" s="23" t="n">
        <v>0.541666666666667</v>
      </c>
      <c r="D313" s="24" t="n">
        <v>107422.18</v>
      </c>
      <c r="E313" s="24" t="n">
        <v>22829.232</v>
      </c>
      <c r="F313" s="24" t="n">
        <v>110381.406</v>
      </c>
      <c r="G313" s="22" t="n">
        <f aca="false">HOUR(C313)*60+MINUTE(C313)</f>
        <v>780</v>
      </c>
      <c r="H313" s="25" t="n">
        <f aca="false">IF(AND(B313=B312,A313=A312,D313&gt;0,N(D312)&gt;0,G313&gt;N(G312)),(D313-D312)/((G313-G312)/60),"")</f>
        <v>30.1279999999679</v>
      </c>
      <c r="I313" s="22" t="str">
        <f aca="false">IFERROR(INDEX(Medidores!$B:$B,MATCH(B313,Medidores!$A:$A,0)),"")</f>
        <v>Estación planta</v>
      </c>
      <c r="J313" s="22" t="s">
        <v>107</v>
      </c>
    </row>
    <row r="314" customFormat="false" ht="15" hidden="false" customHeight="false" outlineLevel="0" collapsed="false">
      <c r="A314" s="21" t="n">
        <v>46303</v>
      </c>
      <c r="B314" s="22" t="s">
        <v>91</v>
      </c>
      <c r="C314" s="23" t="n">
        <v>0.552083333333333</v>
      </c>
      <c r="D314" s="24" t="n">
        <v>107429.266</v>
      </c>
      <c r="E314" s="24" t="n">
        <v>22829.586</v>
      </c>
      <c r="F314" s="24" t="n">
        <v>110388.516</v>
      </c>
      <c r="G314" s="22" t="n">
        <f aca="false">HOUR(C314)*60+MINUTE(C314)</f>
        <v>795</v>
      </c>
      <c r="H314" s="25" t="n">
        <f aca="false">IF(AND(B314=B313,A314=A313,D314&gt;0,N(D313)&gt;0,G314&gt;N(G313)),(D314-D313)/((G314-G313)/60),"")</f>
        <v>28.344000000041</v>
      </c>
      <c r="I314" s="22" t="str">
        <f aca="false">IFERROR(INDEX(Medidores!$B:$B,MATCH(B314,Medidores!$A:$A,0)),"")</f>
        <v>Estación planta</v>
      </c>
      <c r="J314" s="22" t="s">
        <v>108</v>
      </c>
    </row>
    <row r="315" customFormat="false" ht="15" hidden="false" customHeight="false" outlineLevel="0" collapsed="false">
      <c r="A315" s="21" t="n">
        <v>46303</v>
      </c>
      <c r="B315" s="22" t="s">
        <v>91</v>
      </c>
      <c r="C315" s="23" t="n">
        <v>0.5625</v>
      </c>
      <c r="D315" s="24" t="n">
        <v>107436.492</v>
      </c>
      <c r="E315" s="24" t="n">
        <v>22829.859</v>
      </c>
      <c r="F315" s="24" t="n">
        <v>110395.742</v>
      </c>
      <c r="G315" s="22" t="n">
        <f aca="false">HOUR(C315)*60+MINUTE(C315)</f>
        <v>810</v>
      </c>
      <c r="H315" s="25" t="n">
        <f aca="false">IF(AND(B315=B314,A315=A314,D315&gt;0,N(D314)&gt;0,G315&gt;N(G314)),(D315-D314)/((G315-G314)/60),"")</f>
        <v>28.9039999999804</v>
      </c>
      <c r="I315" s="22" t="str">
        <f aca="false">IFERROR(INDEX(Medidores!$B:$B,MATCH(B315,Medidores!$A:$A,0)),"")</f>
        <v>Estación planta</v>
      </c>
      <c r="J315" s="22" t="s">
        <v>109</v>
      </c>
    </row>
    <row r="316" customFormat="false" ht="15" hidden="false" customHeight="false" outlineLevel="0" collapsed="false">
      <c r="A316" s="21" t="n">
        <v>46303</v>
      </c>
      <c r="B316" s="22" t="s">
        <v>91</v>
      </c>
      <c r="C316" s="23" t="n">
        <v>0.572916666666667</v>
      </c>
      <c r="D316" s="24" t="n">
        <v>107443.461</v>
      </c>
      <c r="E316" s="24" t="n">
        <v>22830.031</v>
      </c>
      <c r="F316" s="24" t="n">
        <v>110402.719</v>
      </c>
      <c r="G316" s="22" t="n">
        <f aca="false">HOUR(C316)*60+MINUTE(C316)</f>
        <v>825</v>
      </c>
      <c r="H316" s="25" t="n">
        <f aca="false">IF(AND(B316=B315,A316=A315,D316&gt;0,N(D315)&gt;0,G316&gt;N(G315)),(D316-D315)/((G316-G315)/60),"")</f>
        <v>27.8759999999893</v>
      </c>
      <c r="I316" s="22" t="str">
        <f aca="false">IFERROR(INDEX(Medidores!$B:$B,MATCH(B316,Medidores!$A:$A,0)),"")</f>
        <v>Estación planta</v>
      </c>
      <c r="J316" s="22" t="s">
        <v>110</v>
      </c>
    </row>
    <row r="317" customFormat="false" ht="15" hidden="false" customHeight="false" outlineLevel="0" collapsed="false">
      <c r="A317" s="21" t="n">
        <v>46303</v>
      </c>
      <c r="B317" s="22" t="s">
        <v>91</v>
      </c>
      <c r="C317" s="23" t="n">
        <v>0.583333333333333</v>
      </c>
      <c r="D317" s="24" t="n">
        <v>107450.859</v>
      </c>
      <c r="E317" s="24" t="n">
        <v>22830.271</v>
      </c>
      <c r="F317" s="24" t="n">
        <v>110410.117</v>
      </c>
      <c r="G317" s="22" t="n">
        <f aca="false">HOUR(C317)*60+MINUTE(C317)</f>
        <v>840</v>
      </c>
      <c r="H317" s="25" t="n">
        <f aca="false">IF(AND(B317=B316,A317=A316,D317&gt;0,N(D316)&gt;0,G317&gt;N(G316)),(D317-D316)/((G317-G316)/60),"")</f>
        <v>29.5920000000042</v>
      </c>
      <c r="I317" s="22" t="str">
        <f aca="false">IFERROR(INDEX(Medidores!$B:$B,MATCH(B317,Medidores!$A:$A,0)),"")</f>
        <v>Estación planta</v>
      </c>
      <c r="J317" s="22" t="s">
        <v>111</v>
      </c>
    </row>
    <row r="318" customFormat="false" ht="15" hidden="false" customHeight="false" outlineLevel="0" collapsed="false">
      <c r="A318" s="21" t="n">
        <v>46303</v>
      </c>
      <c r="B318" s="22" t="s">
        <v>91</v>
      </c>
      <c r="C318" s="23" t="n">
        <v>0.59375</v>
      </c>
      <c r="D318" s="24" t="n">
        <v>107458.938</v>
      </c>
      <c r="E318" s="24" t="n">
        <v>22830.711</v>
      </c>
      <c r="F318" s="24" t="n">
        <v>110418.219</v>
      </c>
      <c r="G318" s="22" t="n">
        <f aca="false">HOUR(C318)*60+MINUTE(C318)</f>
        <v>855</v>
      </c>
      <c r="H318" s="25" t="n">
        <f aca="false">IF(AND(B318=B317,A318=A317,D318&gt;0,N(D317)&gt;0,G318&gt;N(G317)),(D318-D317)/((G318-G317)/60),"")</f>
        <v>32.3159999999916</v>
      </c>
      <c r="I318" s="22" t="str">
        <f aca="false">IFERROR(INDEX(Medidores!$B:$B,MATCH(B318,Medidores!$A:$A,0)),"")</f>
        <v>Estación planta</v>
      </c>
      <c r="J318" s="22" t="s">
        <v>112</v>
      </c>
    </row>
    <row r="319" customFormat="false" ht="15" hidden="false" customHeight="false" outlineLevel="0" collapsed="false">
      <c r="A319" s="21" t="n">
        <v>46303</v>
      </c>
      <c r="B319" s="22" t="s">
        <v>91</v>
      </c>
      <c r="C319" s="23" t="n">
        <v>0.604166666666667</v>
      </c>
      <c r="D319" s="24" t="n">
        <v>107467.047</v>
      </c>
      <c r="E319" s="24" t="n">
        <v>22831.123</v>
      </c>
      <c r="F319" s="24" t="n">
        <v>110426.336</v>
      </c>
      <c r="G319" s="22" t="n">
        <f aca="false">HOUR(C319)*60+MINUTE(C319)</f>
        <v>870</v>
      </c>
      <c r="H319" s="25" t="n">
        <f aca="false">IF(AND(B319=B318,A319=A318,D319&gt;0,N(D318)&gt;0,G319&gt;N(G318)),(D319-D318)/((G319-G318)/60),"")</f>
        <v>32.4360000000452</v>
      </c>
      <c r="I319" s="22" t="str">
        <f aca="false">IFERROR(INDEX(Medidores!$B:$B,MATCH(B319,Medidores!$A:$A,0)),"")</f>
        <v>Estación planta</v>
      </c>
      <c r="J319" s="22" t="s">
        <v>113</v>
      </c>
    </row>
    <row r="320" customFormat="false" ht="15" hidden="false" customHeight="false" outlineLevel="0" collapsed="false">
      <c r="A320" s="21" t="n">
        <v>46303</v>
      </c>
      <c r="B320" s="22" t="s">
        <v>91</v>
      </c>
      <c r="C320" s="23" t="n">
        <v>0.614583333333333</v>
      </c>
      <c r="D320" s="24" t="n">
        <v>107475.195</v>
      </c>
      <c r="E320" s="24" t="n">
        <v>22831.428</v>
      </c>
      <c r="F320" s="24" t="n">
        <v>110434.484</v>
      </c>
      <c r="G320" s="22" t="n">
        <f aca="false">HOUR(C320)*60+MINUTE(C320)</f>
        <v>885</v>
      </c>
      <c r="H320" s="25" t="n">
        <f aca="false">IF(AND(B320=B319,A320=A319,D320&gt;0,N(D319)&gt;0,G320&gt;N(G319)),(D320-D319)/((G320-G319)/60),"")</f>
        <v>32.5920000000042</v>
      </c>
      <c r="I320" s="22" t="str">
        <f aca="false">IFERROR(INDEX(Medidores!$B:$B,MATCH(B320,Medidores!$A:$A,0)),"")</f>
        <v>Estación planta</v>
      </c>
      <c r="J320" s="22" t="s">
        <v>114</v>
      </c>
    </row>
    <row r="321" customFormat="false" ht="15" hidden="false" customHeight="false" outlineLevel="0" collapsed="false">
      <c r="A321" s="21" t="n">
        <v>46303</v>
      </c>
      <c r="B321" s="22" t="s">
        <v>91</v>
      </c>
      <c r="C321" s="23" t="n">
        <v>0.625</v>
      </c>
      <c r="D321" s="24" t="n">
        <v>107483.469</v>
      </c>
      <c r="E321" s="24" t="n">
        <v>22831.725</v>
      </c>
      <c r="F321" s="24" t="n">
        <v>110442.766</v>
      </c>
      <c r="G321" s="22" t="n">
        <f aca="false">HOUR(C321)*60+MINUTE(C321)</f>
        <v>900</v>
      </c>
      <c r="H321" s="25" t="n">
        <f aca="false">IF(AND(B321=B320,A321=A320,D321&gt;0,N(D320)&gt;0,G321&gt;N(G320)),(D321-D320)/((G321-G320)/60),"")</f>
        <v>33.0959999999614</v>
      </c>
      <c r="I321" s="22" t="str">
        <f aca="false">IFERROR(INDEX(Medidores!$B:$B,MATCH(B321,Medidores!$A:$A,0)),"")</f>
        <v>Estación planta</v>
      </c>
      <c r="J321" s="22" t="s">
        <v>135</v>
      </c>
    </row>
    <row r="322" customFormat="false" ht="15" hidden="false" customHeight="false" outlineLevel="0" collapsed="false">
      <c r="A322" s="21" t="n">
        <v>46303</v>
      </c>
      <c r="B322" s="22" t="s">
        <v>92</v>
      </c>
      <c r="C322" s="23" t="n">
        <v>0.427083333333333</v>
      </c>
      <c r="D322" s="24" t="n">
        <v>266524.438</v>
      </c>
      <c r="E322" s="24" t="n">
        <v>109773.281</v>
      </c>
      <c r="F322" s="24" t="n">
        <v>289884.406</v>
      </c>
      <c r="G322" s="22" t="n">
        <f aca="false">HOUR(C322)*60+MINUTE(C322)</f>
        <v>615</v>
      </c>
      <c r="H322" s="25" t="str">
        <f aca="false">IF(AND(B322=B321,A322=A321,D322&gt;0,N(D321)&gt;0,G322&gt;N(G321)),(D322-D321)/((G322-G321)/60),"")</f>
        <v/>
      </c>
      <c r="I322" s="22" t="str">
        <f aca="false">IFERROR(INDEX(Medidores!$B:$B,MATCH(B322,Medidores!$A:$A,0)),"")</f>
        <v>Estación celda 3</v>
      </c>
      <c r="J322" s="22" t="s">
        <v>96</v>
      </c>
    </row>
    <row r="323" customFormat="false" ht="15" hidden="false" customHeight="false" outlineLevel="0" collapsed="false">
      <c r="A323" s="21" t="n">
        <v>46303</v>
      </c>
      <c r="B323" s="22" t="s">
        <v>92</v>
      </c>
      <c r="C323" s="23" t="n">
        <v>0.4375</v>
      </c>
      <c r="D323" s="24" t="n">
        <v>266541.781</v>
      </c>
      <c r="E323" s="24" t="n">
        <v>109781.609</v>
      </c>
      <c r="F323" s="24" t="n">
        <v>289903.656</v>
      </c>
      <c r="G323" s="22" t="n">
        <f aca="false">HOUR(C323)*60+MINUTE(C323)</f>
        <v>630</v>
      </c>
      <c r="H323" s="25" t="n">
        <f aca="false">IF(AND(B323=B322,A323=A322,D323&gt;0,N(D322)&gt;0,G323&gt;N(G322)),(D323-D322)/((G323-G322)/60),"")</f>
        <v>69.3719999999739</v>
      </c>
      <c r="I323" s="22" t="str">
        <f aca="false">IFERROR(INDEX(Medidores!$B:$B,MATCH(B323,Medidores!$A:$A,0)),"")</f>
        <v>Estación celda 3</v>
      </c>
      <c r="J323" s="22" t="s">
        <v>97</v>
      </c>
    </row>
    <row r="324" customFormat="false" ht="15" hidden="false" customHeight="false" outlineLevel="0" collapsed="false">
      <c r="A324" s="21" t="n">
        <v>46303</v>
      </c>
      <c r="B324" s="22" t="s">
        <v>92</v>
      </c>
      <c r="C324" s="23" t="n">
        <v>0.447916666666667</v>
      </c>
      <c r="D324" s="24" t="n">
        <v>266556.563</v>
      </c>
      <c r="E324" s="24" t="n">
        <v>109788</v>
      </c>
      <c r="F324" s="24" t="n">
        <v>289919.781</v>
      </c>
      <c r="G324" s="22" t="n">
        <f aca="false">HOUR(C324)*60+MINUTE(C324)</f>
        <v>645</v>
      </c>
      <c r="H324" s="25" t="n">
        <f aca="false">IF(AND(B324=B323,A324=A323,D324&gt;0,N(D323)&gt;0,G324&gt;N(G323)),(D324-D323)/((G324-G323)/60),"")</f>
        <v>59.1280000000261</v>
      </c>
      <c r="I324" s="22" t="str">
        <f aca="false">IFERROR(INDEX(Medidores!$B:$B,MATCH(B324,Medidores!$A:$A,0)),"")</f>
        <v>Estación celda 3</v>
      </c>
      <c r="J324" s="22" t="s">
        <v>98</v>
      </c>
    </row>
    <row r="325" customFormat="false" ht="15" hidden="false" customHeight="false" outlineLevel="0" collapsed="false">
      <c r="A325" s="21" t="n">
        <v>46303</v>
      </c>
      <c r="B325" s="22" t="s">
        <v>92</v>
      </c>
      <c r="C325" s="23" t="n">
        <v>0.458333333333333</v>
      </c>
      <c r="D325" s="24" t="n">
        <v>266568.781</v>
      </c>
      <c r="E325" s="24" t="n">
        <v>109792.68</v>
      </c>
      <c r="F325" s="24" t="n">
        <v>289932.875</v>
      </c>
      <c r="G325" s="22" t="n">
        <f aca="false">HOUR(C325)*60+MINUTE(C325)</f>
        <v>660</v>
      </c>
      <c r="H325" s="25" t="n">
        <f aca="false">IF(AND(B325=B324,A325=A324,D325&gt;0,N(D324)&gt;0,G325&gt;N(G324)),(D325-D324)/((G325-G324)/60),"")</f>
        <v>48.8719999999739</v>
      </c>
      <c r="I325" s="22" t="str">
        <f aca="false">IFERROR(INDEX(Medidores!$B:$B,MATCH(B325,Medidores!$A:$A,0)),"")</f>
        <v>Estación celda 3</v>
      </c>
      <c r="J325" s="22" t="s">
        <v>99</v>
      </c>
    </row>
    <row r="326" customFormat="false" ht="15" hidden="false" customHeight="false" outlineLevel="0" collapsed="false">
      <c r="A326" s="21" t="n">
        <v>46303</v>
      </c>
      <c r="B326" s="22" t="s">
        <v>92</v>
      </c>
      <c r="C326" s="23" t="n">
        <v>0.46875</v>
      </c>
      <c r="D326" s="24" t="n">
        <v>266583.281</v>
      </c>
      <c r="E326" s="24" t="n">
        <v>109799.469</v>
      </c>
      <c r="F326" s="24" t="n">
        <v>289948.906</v>
      </c>
      <c r="G326" s="22" t="n">
        <f aca="false">HOUR(C326)*60+MINUTE(C326)</f>
        <v>675</v>
      </c>
      <c r="H326" s="25" t="n">
        <f aca="false">IF(AND(B326=B325,A326=A325,D326&gt;0,N(D325)&gt;0,G326&gt;N(G325)),(D326-D325)/((G326-G325)/60),"")</f>
        <v>58</v>
      </c>
      <c r="I326" s="22" t="str">
        <f aca="false">IFERROR(INDEX(Medidores!$B:$B,MATCH(B326,Medidores!$A:$A,0)),"")</f>
        <v>Estación celda 3</v>
      </c>
      <c r="J326" s="22" t="s">
        <v>100</v>
      </c>
    </row>
    <row r="327" customFormat="false" ht="15" hidden="false" customHeight="false" outlineLevel="0" collapsed="false">
      <c r="A327" s="21" t="n">
        <v>46303</v>
      </c>
      <c r="B327" s="22" t="s">
        <v>92</v>
      </c>
      <c r="C327" s="23" t="n">
        <v>0.479166666666667</v>
      </c>
      <c r="D327" s="24" t="n">
        <v>266596.625</v>
      </c>
      <c r="E327" s="24" t="n">
        <v>109804.688</v>
      </c>
      <c r="F327" s="24" t="n">
        <v>289963.219</v>
      </c>
      <c r="G327" s="22" t="n">
        <f aca="false">HOUR(C327)*60+MINUTE(C327)</f>
        <v>690</v>
      </c>
      <c r="H327" s="25" t="n">
        <f aca="false">IF(AND(B327=B326,A327=A326,D327&gt;0,N(D326)&gt;0,G327&gt;N(G326)),(D327-D326)/((G327-G326)/60),"")</f>
        <v>53.3759999999311</v>
      </c>
      <c r="I327" s="22" t="str">
        <f aca="false">IFERROR(INDEX(Medidores!$B:$B,MATCH(B327,Medidores!$A:$A,0)),"")</f>
        <v>Estación celda 3</v>
      </c>
      <c r="J327" s="22" t="s">
        <v>101</v>
      </c>
    </row>
    <row r="328" customFormat="false" ht="15" hidden="false" customHeight="false" outlineLevel="0" collapsed="false">
      <c r="A328" s="21" t="n">
        <v>46303</v>
      </c>
      <c r="B328" s="22" t="s">
        <v>92</v>
      </c>
      <c r="C328" s="23" t="n">
        <v>0.489583333333333</v>
      </c>
      <c r="D328" s="24" t="n">
        <v>266613.969</v>
      </c>
      <c r="E328" s="24" t="n">
        <v>109813.094</v>
      </c>
      <c r="F328" s="24" t="n">
        <v>289982.531</v>
      </c>
      <c r="G328" s="22" t="n">
        <f aca="false">HOUR(C328)*60+MINUTE(C328)</f>
        <v>705</v>
      </c>
      <c r="H328" s="25" t="n">
        <f aca="false">IF(AND(B328=B327,A328=A327,D328&gt;0,N(D327)&gt;0,G328&gt;N(G327)),(D328-D327)/((G328-G327)/60),"")</f>
        <v>69.3759999999311</v>
      </c>
      <c r="I328" s="22" t="str">
        <f aca="false">IFERROR(INDEX(Medidores!$B:$B,MATCH(B328,Medidores!$A:$A,0)),"")</f>
        <v>Estación celda 3</v>
      </c>
      <c r="J328" s="22" t="s">
        <v>102</v>
      </c>
    </row>
    <row r="329" customFormat="false" ht="15" hidden="false" customHeight="false" outlineLevel="0" collapsed="false">
      <c r="A329" s="21" t="n">
        <v>46303</v>
      </c>
      <c r="B329" s="22" t="s">
        <v>92</v>
      </c>
      <c r="C329" s="23" t="n">
        <v>0.5</v>
      </c>
      <c r="D329" s="24" t="n">
        <v>266629</v>
      </c>
      <c r="E329" s="24" t="n">
        <v>109819.461</v>
      </c>
      <c r="F329" s="24" t="n">
        <v>289998.844</v>
      </c>
      <c r="G329" s="22" t="n">
        <f aca="false">HOUR(C329)*60+MINUTE(C329)</f>
        <v>720</v>
      </c>
      <c r="H329" s="25" t="n">
        <f aca="false">IF(AND(B329=B328,A329=A328,D329&gt;0,N(D328)&gt;0,G329&gt;N(G328)),(D329-D328)/((G329-G328)/60),"")</f>
        <v>60.1240000000689</v>
      </c>
      <c r="I329" s="22" t="str">
        <f aca="false">IFERROR(INDEX(Medidores!$B:$B,MATCH(B329,Medidores!$A:$A,0)),"")</f>
        <v>Estación celda 3</v>
      </c>
      <c r="J329" s="22" t="s">
        <v>103</v>
      </c>
    </row>
    <row r="330" customFormat="false" ht="15" hidden="false" customHeight="false" outlineLevel="0" collapsed="false">
      <c r="A330" s="21" t="n">
        <v>46303</v>
      </c>
      <c r="B330" s="22" t="s">
        <v>92</v>
      </c>
      <c r="C330" s="23" t="n">
        <v>0.510416666666667</v>
      </c>
      <c r="D330" s="24" t="n">
        <v>266647.875</v>
      </c>
      <c r="E330" s="24" t="n">
        <v>109828.773</v>
      </c>
      <c r="F330" s="24" t="n">
        <v>290019.906</v>
      </c>
      <c r="G330" s="22" t="n">
        <f aca="false">HOUR(C330)*60+MINUTE(C330)</f>
        <v>735</v>
      </c>
      <c r="H330" s="25" t="n">
        <f aca="false">IF(AND(B330=B329,A330=A329,D330&gt;0,N(D329)&gt;0,G330&gt;N(G329)),(D330-D329)/((G330-G329)/60),"")</f>
        <v>75.5</v>
      </c>
      <c r="I330" s="22" t="str">
        <f aca="false">IFERROR(INDEX(Medidores!$B:$B,MATCH(B330,Medidores!$A:$A,0)),"")</f>
        <v>Estación celda 3</v>
      </c>
      <c r="J330" s="22" t="s">
        <v>104</v>
      </c>
    </row>
    <row r="331" customFormat="false" ht="15" hidden="false" customHeight="false" outlineLevel="0" collapsed="false">
      <c r="A331" s="21" t="n">
        <v>46303</v>
      </c>
      <c r="B331" s="22" t="s">
        <v>92</v>
      </c>
      <c r="C331" s="23" t="n">
        <v>0.520833333333333</v>
      </c>
      <c r="D331" s="24" t="n">
        <v>266664.969</v>
      </c>
      <c r="E331" s="24" t="n">
        <v>109835.797</v>
      </c>
      <c r="F331" s="24" t="n">
        <v>290038.406</v>
      </c>
      <c r="G331" s="22" t="n">
        <f aca="false">HOUR(C331)*60+MINUTE(C331)</f>
        <v>750</v>
      </c>
      <c r="H331" s="25" t="n">
        <f aca="false">IF(AND(B331=B330,A331=A330,D331&gt;0,N(D330)&gt;0,G331&gt;N(G330)),(D331-D330)/((G331-G330)/60),"")</f>
        <v>68.3759999999311</v>
      </c>
      <c r="I331" s="22" t="str">
        <f aca="false">IFERROR(INDEX(Medidores!$B:$B,MATCH(B331,Medidores!$A:$A,0)),"")</f>
        <v>Estación celda 3</v>
      </c>
      <c r="J331" s="22" t="s">
        <v>105</v>
      </c>
    </row>
    <row r="332" customFormat="false" ht="15" hidden="false" customHeight="false" outlineLevel="0" collapsed="false">
      <c r="A332" s="21" t="n">
        <v>46303</v>
      </c>
      <c r="B332" s="22" t="s">
        <v>92</v>
      </c>
      <c r="C332" s="23" t="n">
        <v>0.53125</v>
      </c>
      <c r="D332" s="24" t="n">
        <v>266685.969</v>
      </c>
      <c r="E332" s="24" t="n">
        <v>109845.188</v>
      </c>
      <c r="F332" s="24" t="n">
        <v>290061.375</v>
      </c>
      <c r="G332" s="22" t="n">
        <f aca="false">HOUR(C332)*60+MINUTE(C332)</f>
        <v>765</v>
      </c>
      <c r="H332" s="25" t="n">
        <f aca="false">IF(AND(B332=B331,A332=A331,D332&gt;0,N(D331)&gt;0,G332&gt;N(G331)),(D332-D331)/((G332-G331)/60),"")</f>
        <v>84</v>
      </c>
      <c r="I332" s="22" t="str">
        <f aca="false">IFERROR(INDEX(Medidores!$B:$B,MATCH(B332,Medidores!$A:$A,0)),"")</f>
        <v>Estación celda 3</v>
      </c>
      <c r="J332" s="22" t="s">
        <v>106</v>
      </c>
    </row>
    <row r="333" customFormat="false" ht="15" hidden="false" customHeight="false" outlineLevel="0" collapsed="false">
      <c r="A333" s="21" t="n">
        <v>46303</v>
      </c>
      <c r="B333" s="22" t="s">
        <v>92</v>
      </c>
      <c r="C333" s="23" t="n">
        <v>0.541666666666667</v>
      </c>
      <c r="D333" s="24" t="n">
        <v>266706.531</v>
      </c>
      <c r="E333" s="24" t="n">
        <v>109853.242</v>
      </c>
      <c r="F333" s="24" t="n">
        <v>290083.5</v>
      </c>
      <c r="G333" s="22" t="n">
        <f aca="false">HOUR(C333)*60+MINUTE(C333)</f>
        <v>780</v>
      </c>
      <c r="H333" s="25" t="n">
        <f aca="false">IF(AND(B333=B332,A333=A332,D333&gt;0,N(D332)&gt;0,G333&gt;N(G332)),(D333-D332)/((G333-G332)/60),"")</f>
        <v>82.2480000001378</v>
      </c>
      <c r="I333" s="22" t="str">
        <f aca="false">IFERROR(INDEX(Medidores!$B:$B,MATCH(B333,Medidores!$A:$A,0)),"")</f>
        <v>Estación celda 3</v>
      </c>
      <c r="J333" s="22" t="s">
        <v>107</v>
      </c>
    </row>
    <row r="334" customFormat="false" ht="15" hidden="false" customHeight="false" outlineLevel="0" collapsed="false">
      <c r="A334" s="21" t="n">
        <v>46303</v>
      </c>
      <c r="B334" s="22" t="s">
        <v>92</v>
      </c>
      <c r="C334" s="23" t="n">
        <v>0.552083333333333</v>
      </c>
      <c r="D334" s="24" t="n">
        <v>266727.219</v>
      </c>
      <c r="E334" s="24" t="n">
        <v>109861.117</v>
      </c>
      <c r="F334" s="24" t="n">
        <v>290105.625</v>
      </c>
      <c r="G334" s="22" t="n">
        <f aca="false">HOUR(C334)*60+MINUTE(C334)</f>
        <v>795</v>
      </c>
      <c r="H334" s="25" t="n">
        <f aca="false">IF(AND(B334=B333,A334=A333,D334&gt;0,N(D333)&gt;0,G334&gt;N(G333)),(D334-D333)/((G334-G333)/60),"")</f>
        <v>82.7519999998622</v>
      </c>
      <c r="I334" s="22" t="str">
        <f aca="false">IFERROR(INDEX(Medidores!$B:$B,MATCH(B334,Medidores!$A:$A,0)),"")</f>
        <v>Estación celda 3</v>
      </c>
      <c r="J334" s="22" t="s">
        <v>108</v>
      </c>
    </row>
    <row r="335" customFormat="false" ht="15" hidden="false" customHeight="false" outlineLevel="0" collapsed="false">
      <c r="A335" s="21" t="n">
        <v>46303</v>
      </c>
      <c r="B335" s="22" t="s">
        <v>92</v>
      </c>
      <c r="C335" s="23" t="n">
        <v>0.5625</v>
      </c>
      <c r="D335" s="24" t="n">
        <v>266748.906</v>
      </c>
      <c r="E335" s="24" t="n">
        <v>109869.789</v>
      </c>
      <c r="F335" s="24" t="n">
        <v>290129.031</v>
      </c>
      <c r="G335" s="22" t="n">
        <f aca="false">HOUR(C335)*60+MINUTE(C335)</f>
        <v>810</v>
      </c>
      <c r="H335" s="25" t="n">
        <f aca="false">IF(AND(B335=B334,A335=A334,D335&gt;0,N(D334)&gt;0,G335&gt;N(G334)),(D335-D334)/((G335-G334)/60),"")</f>
        <v>86.7480000001378</v>
      </c>
      <c r="I335" s="22" t="str">
        <f aca="false">IFERROR(INDEX(Medidores!$B:$B,MATCH(B335,Medidores!$A:$A,0)),"")</f>
        <v>Estación celda 3</v>
      </c>
      <c r="J335" s="22" t="s">
        <v>109</v>
      </c>
    </row>
    <row r="336" customFormat="false" ht="15" hidden="false" customHeight="false" outlineLevel="0" collapsed="false">
      <c r="A336" s="21" t="n">
        <v>46303</v>
      </c>
      <c r="B336" s="22" t="s">
        <v>92</v>
      </c>
      <c r="C336" s="23" t="n">
        <v>0.572916666666667</v>
      </c>
      <c r="D336" s="24" t="n">
        <v>266770.906</v>
      </c>
      <c r="E336" s="24" t="n">
        <v>109878.953</v>
      </c>
      <c r="F336" s="24" t="n">
        <v>290152.844</v>
      </c>
      <c r="G336" s="22" t="n">
        <f aca="false">HOUR(C336)*60+MINUTE(C336)</f>
        <v>825</v>
      </c>
      <c r="H336" s="25" t="n">
        <f aca="false">IF(AND(B336=B335,A336=A335,D336&gt;0,N(D335)&gt;0,G336&gt;N(G335)),(D336-D335)/((G336-G335)/60),"")</f>
        <v>88</v>
      </c>
      <c r="I336" s="22" t="str">
        <f aca="false">IFERROR(INDEX(Medidores!$B:$B,MATCH(B336,Medidores!$A:$A,0)),"")</f>
        <v>Estación celda 3</v>
      </c>
      <c r="J336" s="22" t="s">
        <v>110</v>
      </c>
    </row>
    <row r="337" customFormat="false" ht="15" hidden="false" customHeight="false" outlineLevel="0" collapsed="false">
      <c r="A337" s="21" t="n">
        <v>46303</v>
      </c>
      <c r="B337" s="22" t="s">
        <v>92</v>
      </c>
      <c r="C337" s="23" t="n">
        <v>0.583333333333333</v>
      </c>
      <c r="D337" s="24" t="n">
        <v>266793.125</v>
      </c>
      <c r="E337" s="24" t="n">
        <v>109888.438</v>
      </c>
      <c r="F337" s="24" t="n">
        <v>290177.031</v>
      </c>
      <c r="G337" s="22" t="n">
        <f aca="false">HOUR(C337)*60+MINUTE(C337)</f>
        <v>840</v>
      </c>
      <c r="H337" s="25" t="n">
        <f aca="false">IF(AND(B337=B336,A337=A336,D337&gt;0,N(D336)&gt;0,G337&gt;N(G336)),(D337-D336)/((G337-G336)/60),"")</f>
        <v>88.8759999999311</v>
      </c>
      <c r="I337" s="22" t="str">
        <f aca="false">IFERROR(INDEX(Medidores!$B:$B,MATCH(B337,Medidores!$A:$A,0)),"")</f>
        <v>Estación celda 3</v>
      </c>
      <c r="J337" s="22" t="s">
        <v>111</v>
      </c>
    </row>
    <row r="338" customFormat="false" ht="15" hidden="false" customHeight="false" outlineLevel="0" collapsed="false">
      <c r="A338" s="21" t="n">
        <v>46303</v>
      </c>
      <c r="B338" s="22" t="s">
        <v>92</v>
      </c>
      <c r="C338" s="23" t="n">
        <v>0.59375</v>
      </c>
      <c r="D338" s="24" t="n">
        <v>266809.594</v>
      </c>
      <c r="E338" s="24" t="n">
        <v>109894.727</v>
      </c>
      <c r="F338" s="24" t="n">
        <v>290194.656</v>
      </c>
      <c r="G338" s="22" t="n">
        <f aca="false">HOUR(C338)*60+MINUTE(C338)</f>
        <v>855</v>
      </c>
      <c r="H338" s="25" t="n">
        <f aca="false">IF(AND(B338=B337,A338=A337,D338&gt;0,N(D337)&gt;0,G338&gt;N(G337)),(D338-D337)/((G338-G337)/60),"")</f>
        <v>65.8759999999311</v>
      </c>
      <c r="I338" s="22" t="str">
        <f aca="false">IFERROR(INDEX(Medidores!$B:$B,MATCH(B338,Medidores!$A:$A,0)),"")</f>
        <v>Estación celda 3</v>
      </c>
      <c r="J338" s="22" t="s">
        <v>112</v>
      </c>
    </row>
    <row r="339" customFormat="false" ht="15" hidden="false" customHeight="false" outlineLevel="0" collapsed="false">
      <c r="A339" s="21" t="n">
        <v>46303</v>
      </c>
      <c r="B339" s="22" t="s">
        <v>92</v>
      </c>
      <c r="C339" s="23" t="n">
        <v>0.604166666666667</v>
      </c>
      <c r="D339" s="24" t="n">
        <v>266827.5</v>
      </c>
      <c r="E339" s="24" t="n">
        <v>109903.883</v>
      </c>
      <c r="F339" s="24" t="n">
        <v>290214.75</v>
      </c>
      <c r="G339" s="22" t="n">
        <f aca="false">HOUR(C339)*60+MINUTE(C339)</f>
        <v>870</v>
      </c>
      <c r="H339" s="25" t="n">
        <f aca="false">IF(AND(B339=B338,A339=A338,D339&gt;0,N(D338)&gt;0,G339&gt;N(G338)),(D339-D338)/((G339-G338)/60),"")</f>
        <v>71.6240000000689</v>
      </c>
      <c r="I339" s="22" t="str">
        <f aca="false">IFERROR(INDEX(Medidores!$B:$B,MATCH(B339,Medidores!$A:$A,0)),"")</f>
        <v>Estación celda 3</v>
      </c>
      <c r="J339" s="22" t="s">
        <v>113</v>
      </c>
    </row>
    <row r="340" customFormat="false" ht="15" hidden="false" customHeight="false" outlineLevel="0" collapsed="false">
      <c r="A340" s="21" t="n">
        <v>46303</v>
      </c>
      <c r="B340" s="22" t="s">
        <v>92</v>
      </c>
      <c r="C340" s="23" t="n">
        <v>0.614583333333333</v>
      </c>
      <c r="D340" s="24" t="n">
        <v>266842.156</v>
      </c>
      <c r="E340" s="24" t="n">
        <v>109910.156</v>
      </c>
      <c r="F340" s="24" t="n">
        <v>290230.719</v>
      </c>
      <c r="G340" s="22" t="n">
        <f aca="false">HOUR(C340)*60+MINUTE(C340)</f>
        <v>885</v>
      </c>
      <c r="H340" s="25" t="n">
        <f aca="false">IF(AND(B340=B339,A340=A339,D340&gt;0,N(D339)&gt;0,G340&gt;N(G339)),(D340-D339)/((G340-G339)/60),"")</f>
        <v>58.6240000000689</v>
      </c>
      <c r="I340" s="22" t="str">
        <f aca="false">IFERROR(INDEX(Medidores!$B:$B,MATCH(B340,Medidores!$A:$A,0)),"")</f>
        <v>Estación celda 3</v>
      </c>
      <c r="J340" s="22" t="s">
        <v>114</v>
      </c>
    </row>
    <row r="341" customFormat="false" ht="15" hidden="false" customHeight="false" outlineLevel="0" collapsed="false">
      <c r="A341" s="21" t="n">
        <v>46303</v>
      </c>
      <c r="B341" s="22" t="s">
        <v>92</v>
      </c>
      <c r="C341" s="23" t="n">
        <v>0.625</v>
      </c>
      <c r="D341" s="24" t="n">
        <v>266858.688</v>
      </c>
      <c r="E341" s="24" t="n">
        <v>109917.875</v>
      </c>
      <c r="F341" s="24" t="n">
        <v>290248.969</v>
      </c>
      <c r="G341" s="22" t="n">
        <f aca="false">HOUR(C341)*60+MINUTE(C341)</f>
        <v>900</v>
      </c>
      <c r="H341" s="25" t="n">
        <f aca="false">IF(AND(B341=B340,A341=A340,D341&gt;0,N(D340)&gt;0,G341&gt;N(G340)),(D341-D340)/((G341-G340)/60),"")</f>
        <v>66.1280000000261</v>
      </c>
      <c r="I341" s="22" t="str">
        <f aca="false">IFERROR(INDEX(Medidores!$B:$B,MATCH(B341,Medidores!$A:$A,0)),"")</f>
        <v>Estación celda 3</v>
      </c>
      <c r="J341" s="22" t="s">
        <v>135</v>
      </c>
    </row>
    <row r="342" customFormat="false" ht="15" hidden="false" customHeight="false" outlineLevel="0" collapsed="false">
      <c r="A342" s="21" t="n">
        <v>46303</v>
      </c>
      <c r="B342" s="22" t="s">
        <v>93</v>
      </c>
      <c r="C342" s="23" t="n">
        <v>0.427083333333333</v>
      </c>
      <c r="D342" s="24" t="n">
        <v>434547.406</v>
      </c>
      <c r="E342" s="24" t="n">
        <v>173437.625</v>
      </c>
      <c r="F342" s="24" t="n">
        <v>469819.125</v>
      </c>
      <c r="G342" s="22" t="n">
        <f aca="false">HOUR(C342)*60+MINUTE(C342)</f>
        <v>615</v>
      </c>
      <c r="H342" s="25" t="str">
        <f aca="false">IF(AND(B342=B341,A342=A341,D342&gt;0,N(D341)&gt;0,G342&gt;N(G341)),(D342-D341)/((G342-G341)/60),"")</f>
        <v/>
      </c>
      <c r="I342" s="22" t="str">
        <f aca="false">IFERROR(INDEX(Medidores!$B:$B,MATCH(B342,Medidores!$A:$A,0)),"")</f>
        <v>Estación celda 2</v>
      </c>
      <c r="J342" s="22" t="s">
        <v>96</v>
      </c>
    </row>
    <row r="343" customFormat="false" ht="15" hidden="false" customHeight="false" outlineLevel="0" collapsed="false">
      <c r="A343" s="21" t="n">
        <v>46303</v>
      </c>
      <c r="B343" s="22" t="s">
        <v>93</v>
      </c>
      <c r="C343" s="23" t="n">
        <v>0.4375</v>
      </c>
      <c r="D343" s="24" t="n">
        <v>434569.656</v>
      </c>
      <c r="E343" s="24" t="n">
        <v>173446.875</v>
      </c>
      <c r="F343" s="24" t="n">
        <v>469843.219</v>
      </c>
      <c r="G343" s="22" t="n">
        <f aca="false">HOUR(C343)*60+MINUTE(C343)</f>
        <v>630</v>
      </c>
      <c r="H343" s="25" t="n">
        <f aca="false">IF(AND(B343=B342,A343=A342,D343&gt;0,N(D342)&gt;0,G343&gt;N(G342)),(D343-D342)/((G343-G342)/60),"")</f>
        <v>89</v>
      </c>
      <c r="I343" s="22" t="str">
        <f aca="false">IFERROR(INDEX(Medidores!$B:$B,MATCH(B343,Medidores!$A:$A,0)),"")</f>
        <v>Estación celda 2</v>
      </c>
      <c r="J343" s="22" t="s">
        <v>97</v>
      </c>
    </row>
    <row r="344" customFormat="false" ht="15" hidden="false" customHeight="false" outlineLevel="0" collapsed="false">
      <c r="A344" s="21" t="n">
        <v>46303</v>
      </c>
      <c r="B344" s="22" t="s">
        <v>93</v>
      </c>
      <c r="C344" s="23" t="n">
        <v>0.447916666666667</v>
      </c>
      <c r="D344" s="24" t="n">
        <v>434591.25</v>
      </c>
      <c r="E344" s="24" t="n">
        <v>173455.875</v>
      </c>
      <c r="F344" s="24" t="n">
        <v>469866.625</v>
      </c>
      <c r="G344" s="22" t="n">
        <f aca="false">HOUR(C344)*60+MINUTE(C344)</f>
        <v>645</v>
      </c>
      <c r="H344" s="25" t="n">
        <f aca="false">IF(AND(B344=B343,A344=A343,D344&gt;0,N(D343)&gt;0,G344&gt;N(G343)),(D344-D343)/((G344-G343)/60),"")</f>
        <v>86.3759999999311</v>
      </c>
      <c r="I344" s="22" t="str">
        <f aca="false">IFERROR(INDEX(Medidores!$B:$B,MATCH(B344,Medidores!$A:$A,0)),"")</f>
        <v>Estación celda 2</v>
      </c>
      <c r="J344" s="22" t="s">
        <v>98</v>
      </c>
    </row>
    <row r="345" customFormat="false" ht="15" hidden="false" customHeight="false" outlineLevel="0" collapsed="false">
      <c r="A345" s="21" t="n">
        <v>46303</v>
      </c>
      <c r="B345" s="22" t="s">
        <v>93</v>
      </c>
      <c r="C345" s="23" t="n">
        <v>0.458333333333333</v>
      </c>
      <c r="D345" s="24" t="n">
        <v>434612.188</v>
      </c>
      <c r="E345" s="24" t="n">
        <v>173464.734</v>
      </c>
      <c r="F345" s="24" t="n">
        <v>469889.375</v>
      </c>
      <c r="G345" s="22" t="n">
        <f aca="false">HOUR(C345)*60+MINUTE(C345)</f>
        <v>660</v>
      </c>
      <c r="H345" s="25" t="n">
        <f aca="false">IF(AND(B345=B344,A345=A344,D345&gt;0,N(D344)&gt;0,G345&gt;N(G344)),(D345-D344)/((G345-G344)/60),"")</f>
        <v>83.752000000095</v>
      </c>
      <c r="I345" s="22" t="str">
        <f aca="false">IFERROR(INDEX(Medidores!$B:$B,MATCH(B345,Medidores!$A:$A,0)),"")</f>
        <v>Estación celda 2</v>
      </c>
      <c r="J345" s="22" t="s">
        <v>99</v>
      </c>
    </row>
    <row r="346" customFormat="false" ht="15" hidden="false" customHeight="false" outlineLevel="0" collapsed="false">
      <c r="A346" s="21" t="n">
        <v>46303</v>
      </c>
      <c r="B346" s="22" t="s">
        <v>93</v>
      </c>
      <c r="C346" s="23" t="n">
        <v>0.46875</v>
      </c>
      <c r="D346" s="24" t="n">
        <v>434633.188</v>
      </c>
      <c r="E346" s="24" t="n">
        <v>173473.547</v>
      </c>
      <c r="F346" s="24" t="n">
        <v>469912.125</v>
      </c>
      <c r="G346" s="22" t="n">
        <f aca="false">HOUR(C346)*60+MINUTE(C346)</f>
        <v>675</v>
      </c>
      <c r="H346" s="25" t="n">
        <f aca="false">IF(AND(B346=B345,A346=A345,D346&gt;0,N(D345)&gt;0,G346&gt;N(G345)),(D346-D345)/((G346-G345)/60),"")</f>
        <v>84</v>
      </c>
      <c r="I346" s="22" t="str">
        <f aca="false">IFERROR(INDEX(Medidores!$B:$B,MATCH(B346,Medidores!$A:$A,0)),"")</f>
        <v>Estación celda 2</v>
      </c>
      <c r="J346" s="22" t="s">
        <v>100</v>
      </c>
    </row>
    <row r="347" customFormat="false" ht="15" hidden="false" customHeight="false" outlineLevel="0" collapsed="false">
      <c r="A347" s="21" t="n">
        <v>46303</v>
      </c>
      <c r="B347" s="22" t="s">
        <v>93</v>
      </c>
      <c r="C347" s="23" t="n">
        <v>0.479166666666667</v>
      </c>
      <c r="D347" s="24" t="n">
        <v>434654.406</v>
      </c>
      <c r="E347" s="24" t="n">
        <v>173482.234</v>
      </c>
      <c r="F347" s="24" t="n">
        <v>469935.031</v>
      </c>
      <c r="G347" s="22" t="n">
        <f aca="false">HOUR(C347)*60+MINUTE(C347)</f>
        <v>690</v>
      </c>
      <c r="H347" s="25" t="n">
        <f aca="false">IF(AND(B347=B346,A347=A346,D347&gt;0,N(D346)&gt;0,G347&gt;N(G346)),(D347-D346)/((G347-G346)/60),"")</f>
        <v>84.8719999999739</v>
      </c>
      <c r="I347" s="22" t="str">
        <f aca="false">IFERROR(INDEX(Medidores!$B:$B,MATCH(B347,Medidores!$A:$A,0)),"")</f>
        <v>Estación celda 2</v>
      </c>
      <c r="J347" s="22" t="s">
        <v>101</v>
      </c>
    </row>
    <row r="348" customFormat="false" ht="15" hidden="false" customHeight="false" outlineLevel="0" collapsed="false">
      <c r="A348" s="21" t="n">
        <v>46303</v>
      </c>
      <c r="B348" s="22" t="s">
        <v>93</v>
      </c>
      <c r="C348" s="23" t="n">
        <v>0.489583333333333</v>
      </c>
      <c r="D348" s="24" t="n">
        <v>434674.656</v>
      </c>
      <c r="E348" s="24" t="n">
        <v>173491.047</v>
      </c>
      <c r="F348" s="24" t="n">
        <v>469957.156</v>
      </c>
      <c r="G348" s="22" t="n">
        <f aca="false">HOUR(C348)*60+MINUTE(C348)</f>
        <v>705</v>
      </c>
      <c r="H348" s="25" t="n">
        <f aca="false">IF(AND(B348=B347,A348=A347,D348&gt;0,N(D347)&gt;0,G348&gt;N(G347)),(D348-D347)/((G348-G347)/60),"")</f>
        <v>81</v>
      </c>
      <c r="I348" s="22" t="str">
        <f aca="false">IFERROR(INDEX(Medidores!$B:$B,MATCH(B348,Medidores!$A:$A,0)),"")</f>
        <v>Estación celda 2</v>
      </c>
      <c r="J348" s="22" t="s">
        <v>102</v>
      </c>
    </row>
    <row r="349" customFormat="false" ht="15" hidden="false" customHeight="false" outlineLevel="0" collapsed="false">
      <c r="A349" s="21" t="n">
        <v>46303</v>
      </c>
      <c r="B349" s="22" t="s">
        <v>93</v>
      </c>
      <c r="C349" s="23" t="n">
        <v>0.5</v>
      </c>
      <c r="D349" s="24" t="n">
        <v>434694.563</v>
      </c>
      <c r="E349" s="24" t="n">
        <v>173499.609</v>
      </c>
      <c r="F349" s="24" t="n">
        <v>469978.813</v>
      </c>
      <c r="G349" s="22" t="n">
        <f aca="false">HOUR(C349)*60+MINUTE(C349)</f>
        <v>720</v>
      </c>
      <c r="H349" s="25" t="n">
        <f aca="false">IF(AND(B349=B348,A349=A348,D349&gt;0,N(D348)&gt;0,G349&gt;N(G348)),(D349-D348)/((G349-G348)/60),"")</f>
        <v>79.6280000000261</v>
      </c>
      <c r="I349" s="22" t="str">
        <f aca="false">IFERROR(INDEX(Medidores!$B:$B,MATCH(B349,Medidores!$A:$A,0)),"")</f>
        <v>Estación celda 2</v>
      </c>
      <c r="J349" s="22" t="s">
        <v>103</v>
      </c>
    </row>
    <row r="350" customFormat="false" ht="15" hidden="false" customHeight="false" outlineLevel="0" collapsed="false">
      <c r="A350" s="21" t="n">
        <v>46303</v>
      </c>
      <c r="B350" s="22" t="s">
        <v>93</v>
      </c>
      <c r="C350" s="23" t="n">
        <v>0.510416666666667</v>
      </c>
      <c r="D350" s="24" t="n">
        <v>434714.625</v>
      </c>
      <c r="E350" s="24" t="n">
        <v>173508.281</v>
      </c>
      <c r="F350" s="24" t="n">
        <v>470000.688</v>
      </c>
      <c r="G350" s="22" t="n">
        <f aca="false">HOUR(C350)*60+MINUTE(C350)</f>
        <v>735</v>
      </c>
      <c r="H350" s="25" t="n">
        <f aca="false">IF(AND(B350=B349,A350=A349,D350&gt;0,N(D349)&gt;0,G350&gt;N(G349)),(D350-D349)/((G350-G349)/60),"")</f>
        <v>80.247999999905</v>
      </c>
      <c r="I350" s="22" t="str">
        <f aca="false">IFERROR(INDEX(Medidores!$B:$B,MATCH(B350,Medidores!$A:$A,0)),"")</f>
        <v>Estación celda 2</v>
      </c>
      <c r="J350" s="22" t="s">
        <v>104</v>
      </c>
    </row>
    <row r="351" customFormat="false" ht="15" hidden="false" customHeight="false" outlineLevel="0" collapsed="false">
      <c r="A351" s="21" t="n">
        <v>46303</v>
      </c>
      <c r="B351" s="22" t="s">
        <v>93</v>
      </c>
      <c r="C351" s="23" t="n">
        <v>0.520833333333333</v>
      </c>
      <c r="D351" s="24" t="n">
        <v>434738.313</v>
      </c>
      <c r="E351" s="24" t="n">
        <v>173517.484</v>
      </c>
      <c r="F351" s="24" t="n">
        <v>470026.125</v>
      </c>
      <c r="G351" s="22" t="n">
        <f aca="false">HOUR(C351)*60+MINUTE(C351)</f>
        <v>750</v>
      </c>
      <c r="H351" s="25" t="n">
        <f aca="false">IF(AND(B351=B350,A351=A350,D351&gt;0,N(D350)&gt;0,G351&gt;N(G350)),(D351-D350)/((G351-G350)/60),"")</f>
        <v>94.752000000095</v>
      </c>
      <c r="I351" s="22" t="str">
        <f aca="false">IFERROR(INDEX(Medidores!$B:$B,MATCH(B351,Medidores!$A:$A,0)),"")</f>
        <v>Estación celda 2</v>
      </c>
      <c r="J351" s="22" t="s">
        <v>105</v>
      </c>
    </row>
    <row r="352" customFormat="false" ht="15" hidden="false" customHeight="false" outlineLevel="0" collapsed="false">
      <c r="A352" s="21" t="n">
        <v>46303</v>
      </c>
      <c r="B352" s="22" t="s">
        <v>93</v>
      </c>
      <c r="C352" s="23" t="n">
        <v>0.53125</v>
      </c>
      <c r="D352" s="24" t="n">
        <v>434762.219</v>
      </c>
      <c r="E352" s="24" t="n">
        <v>173526.75</v>
      </c>
      <c r="F352" s="24" t="n">
        <v>470051.719</v>
      </c>
      <c r="G352" s="22" t="n">
        <f aca="false">HOUR(C352)*60+MINUTE(C352)</f>
        <v>765</v>
      </c>
      <c r="H352" s="25" t="n">
        <f aca="false">IF(AND(B352=B351,A352=A351,D352&gt;0,N(D351)&gt;0,G352&gt;N(G351)),(D352-D351)/((G352-G351)/60),"")</f>
        <v>95.6239999998361</v>
      </c>
      <c r="I352" s="22" t="str">
        <f aca="false">IFERROR(INDEX(Medidores!$B:$B,MATCH(B352,Medidores!$A:$A,0)),"")</f>
        <v>Estación celda 2</v>
      </c>
      <c r="J352" s="22" t="s">
        <v>106</v>
      </c>
    </row>
    <row r="353" customFormat="false" ht="15" hidden="false" customHeight="false" outlineLevel="0" collapsed="false">
      <c r="A353" s="21" t="n">
        <v>46303</v>
      </c>
      <c r="B353" s="22" t="s">
        <v>93</v>
      </c>
      <c r="C353" s="23" t="n">
        <v>0.541666666666667</v>
      </c>
      <c r="D353" s="24" t="n">
        <v>434785.75</v>
      </c>
      <c r="E353" s="24" t="n">
        <v>173535.938</v>
      </c>
      <c r="F353" s="24" t="n">
        <v>470077</v>
      </c>
      <c r="G353" s="22" t="n">
        <f aca="false">HOUR(C353)*60+MINUTE(C353)</f>
        <v>780</v>
      </c>
      <c r="H353" s="25" t="n">
        <f aca="false">IF(AND(B353=B352,A353=A352,D353&gt;0,N(D352)&gt;0,G353&gt;N(G352)),(D353-D352)/((G353-G352)/60),"")</f>
        <v>94.1240000000689</v>
      </c>
      <c r="I353" s="22" t="str">
        <f aca="false">IFERROR(INDEX(Medidores!$B:$B,MATCH(B353,Medidores!$A:$A,0)),"")</f>
        <v>Estación celda 2</v>
      </c>
      <c r="J353" s="22" t="s">
        <v>107</v>
      </c>
    </row>
    <row r="354" customFormat="false" ht="15" hidden="false" customHeight="false" outlineLevel="0" collapsed="false">
      <c r="A354" s="21" t="n">
        <v>46303</v>
      </c>
      <c r="B354" s="22" t="s">
        <v>93</v>
      </c>
      <c r="C354" s="23" t="n">
        <v>0.552083333333333</v>
      </c>
      <c r="D354" s="24" t="n">
        <v>434808.094</v>
      </c>
      <c r="E354" s="24" t="n">
        <v>173545.438</v>
      </c>
      <c r="F354" s="24" t="n">
        <v>470101.281</v>
      </c>
      <c r="G354" s="22" t="n">
        <f aca="false">HOUR(C354)*60+MINUTE(C354)</f>
        <v>795</v>
      </c>
      <c r="H354" s="25" t="n">
        <f aca="false">IF(AND(B354=B353,A354=A353,D354&gt;0,N(D353)&gt;0,G354&gt;N(G353)),(D354-D353)/((G354-G353)/60),"")</f>
        <v>89.3759999999311</v>
      </c>
      <c r="I354" s="22" t="str">
        <f aca="false">IFERROR(INDEX(Medidores!$B:$B,MATCH(B354,Medidores!$A:$A,0)),"")</f>
        <v>Estación celda 2</v>
      </c>
      <c r="J354" s="22" t="s">
        <v>108</v>
      </c>
    </row>
    <row r="355" customFormat="false" ht="15" hidden="false" customHeight="false" outlineLevel="0" collapsed="false">
      <c r="A355" s="21" t="n">
        <v>46303</v>
      </c>
      <c r="B355" s="22" t="s">
        <v>93</v>
      </c>
      <c r="C355" s="23" t="n">
        <v>0.5625</v>
      </c>
      <c r="D355" s="24" t="n">
        <v>434829.531</v>
      </c>
      <c r="E355" s="24" t="n">
        <v>173555.25</v>
      </c>
      <c r="F355" s="24" t="n">
        <v>470124.875</v>
      </c>
      <c r="G355" s="22" t="n">
        <f aca="false">HOUR(C355)*60+MINUTE(C355)</f>
        <v>810</v>
      </c>
      <c r="H355" s="25" t="n">
        <f aca="false">IF(AND(B355=B354,A355=A354,D355&gt;0,N(D354)&gt;0,G355&gt;N(G354)),(D355-D354)/((G355-G354)/60),"")</f>
        <v>85.7480000001378</v>
      </c>
      <c r="I355" s="22" t="str">
        <f aca="false">IFERROR(INDEX(Medidores!$B:$B,MATCH(B355,Medidores!$A:$A,0)),"")</f>
        <v>Estación celda 2</v>
      </c>
      <c r="J355" s="22" t="s">
        <v>109</v>
      </c>
    </row>
    <row r="356" customFormat="false" ht="15" hidden="false" customHeight="false" outlineLevel="0" collapsed="false">
      <c r="A356" s="21" t="n">
        <v>46303</v>
      </c>
      <c r="B356" s="22" t="s">
        <v>93</v>
      </c>
      <c r="C356" s="23" t="n">
        <v>0.572916666666667</v>
      </c>
      <c r="D356" s="24" t="n">
        <v>434851.313</v>
      </c>
      <c r="E356" s="24" t="n">
        <v>173565.281</v>
      </c>
      <c r="F356" s="24" t="n">
        <v>470148.875</v>
      </c>
      <c r="G356" s="22" t="n">
        <f aca="false">HOUR(C356)*60+MINUTE(C356)</f>
        <v>825</v>
      </c>
      <c r="H356" s="25" t="n">
        <f aca="false">IF(AND(B356=B355,A356=A355,D356&gt;0,N(D355)&gt;0,G356&gt;N(G355)),(D356-D355)/((G356-G355)/60),"")</f>
        <v>87.1280000000261</v>
      </c>
      <c r="I356" s="22" t="str">
        <f aca="false">IFERROR(INDEX(Medidores!$B:$B,MATCH(B356,Medidores!$A:$A,0)),"")</f>
        <v>Estación celda 2</v>
      </c>
      <c r="J356" s="22" t="s">
        <v>110</v>
      </c>
    </row>
    <row r="357" customFormat="false" ht="15" hidden="false" customHeight="false" outlineLevel="0" collapsed="false">
      <c r="A357" s="21" t="n">
        <v>46303</v>
      </c>
      <c r="B357" s="22" t="s">
        <v>93</v>
      </c>
      <c r="C357" s="23" t="n">
        <v>0.583333333333333</v>
      </c>
      <c r="D357" s="24" t="n">
        <v>434874.063</v>
      </c>
      <c r="E357" s="24" t="n">
        <v>173575.594</v>
      </c>
      <c r="F357" s="24" t="n">
        <v>470173.813</v>
      </c>
      <c r="G357" s="22" t="n">
        <f aca="false">HOUR(C357)*60+MINUTE(C357)</f>
        <v>840</v>
      </c>
      <c r="H357" s="25" t="n">
        <f aca="false">IF(AND(B357=B356,A357=A356,D357&gt;0,N(D356)&gt;0,G357&gt;N(G356)),(D357-D356)/((G357-G356)/60),"")</f>
        <v>91</v>
      </c>
      <c r="I357" s="22" t="str">
        <f aca="false">IFERROR(INDEX(Medidores!$B:$B,MATCH(B357,Medidores!$A:$A,0)),"")</f>
        <v>Estación celda 2</v>
      </c>
      <c r="J357" s="22" t="s">
        <v>111</v>
      </c>
    </row>
    <row r="358" customFormat="false" ht="15" hidden="false" customHeight="false" outlineLevel="0" collapsed="false">
      <c r="A358" s="21" t="n">
        <v>46303</v>
      </c>
      <c r="B358" s="22" t="s">
        <v>93</v>
      </c>
      <c r="C358" s="23" t="n">
        <v>0.59375</v>
      </c>
      <c r="D358" s="24" t="n">
        <v>434897.094</v>
      </c>
      <c r="E358" s="24" t="n">
        <v>173585.938</v>
      </c>
      <c r="F358" s="24" t="n">
        <v>470199.063</v>
      </c>
      <c r="G358" s="22" t="n">
        <f aca="false">HOUR(C358)*60+MINUTE(C358)</f>
        <v>855</v>
      </c>
      <c r="H358" s="25" t="n">
        <f aca="false">IF(AND(B358=B357,A358=A357,D358&gt;0,N(D357)&gt;0,G358&gt;N(G357)),(D358-D357)/((G358-G357)/60),"")</f>
        <v>92.1239999998361</v>
      </c>
      <c r="I358" s="22" t="str">
        <f aca="false">IFERROR(INDEX(Medidores!$B:$B,MATCH(B358,Medidores!$A:$A,0)),"")</f>
        <v>Estación celda 2</v>
      </c>
      <c r="J358" s="22" t="s">
        <v>112</v>
      </c>
    </row>
    <row r="359" customFormat="false" ht="15" hidden="false" customHeight="false" outlineLevel="0" collapsed="false">
      <c r="A359" s="21" t="n">
        <v>46303</v>
      </c>
      <c r="B359" s="22" t="s">
        <v>93</v>
      </c>
      <c r="C359" s="23" t="n">
        <v>0.604166666666667</v>
      </c>
      <c r="D359" s="24" t="n">
        <v>434920.438</v>
      </c>
      <c r="E359" s="24" t="n">
        <v>173596.703</v>
      </c>
      <c r="F359" s="24" t="n">
        <v>470224.781</v>
      </c>
      <c r="G359" s="22" t="n">
        <f aca="false">HOUR(C359)*60+MINUTE(C359)</f>
        <v>870</v>
      </c>
      <c r="H359" s="25" t="n">
        <f aca="false">IF(AND(B359=B358,A359=A358,D359&gt;0,N(D358)&gt;0,G359&gt;N(G358)),(D359-D358)/((G359-G358)/60),"")</f>
        <v>93.3760000001639</v>
      </c>
      <c r="I359" s="22" t="str">
        <f aca="false">IFERROR(INDEX(Medidores!$B:$B,MATCH(B359,Medidores!$A:$A,0)),"")</f>
        <v>Estación celda 2</v>
      </c>
      <c r="J359" s="22" t="s">
        <v>113</v>
      </c>
    </row>
    <row r="360" customFormat="false" ht="15" hidden="false" customHeight="false" outlineLevel="0" collapsed="false">
      <c r="A360" s="21" t="n">
        <v>46303</v>
      </c>
      <c r="B360" s="22" t="s">
        <v>93</v>
      </c>
      <c r="C360" s="23" t="n">
        <v>0.614583333333333</v>
      </c>
      <c r="D360" s="24" t="n">
        <v>434943.969</v>
      </c>
      <c r="E360" s="24" t="n">
        <v>173607.328</v>
      </c>
      <c r="F360" s="24" t="n">
        <v>470250.594</v>
      </c>
      <c r="G360" s="22" t="n">
        <f aca="false">HOUR(C360)*60+MINUTE(C360)</f>
        <v>885</v>
      </c>
      <c r="H360" s="25" t="n">
        <f aca="false">IF(AND(B360=B359,A360=A359,D360&gt;0,N(D359)&gt;0,G360&gt;N(G359)),(D360-D359)/((G360-G359)/60),"")</f>
        <v>94.1239999998361</v>
      </c>
      <c r="I360" s="22" t="str">
        <f aca="false">IFERROR(INDEX(Medidores!$B:$B,MATCH(B360,Medidores!$A:$A,0)),"")</f>
        <v>Estación celda 2</v>
      </c>
      <c r="J360" s="22" t="s">
        <v>114</v>
      </c>
    </row>
    <row r="361" customFormat="false" ht="15" hidden="false" customHeight="false" outlineLevel="0" collapsed="false">
      <c r="A361" s="21" t="n">
        <v>46303</v>
      </c>
      <c r="B361" s="22" t="s">
        <v>93</v>
      </c>
      <c r="C361" s="23" t="n">
        <v>0.625</v>
      </c>
      <c r="D361" s="24" t="n">
        <v>434967.031</v>
      </c>
      <c r="E361" s="24" t="n">
        <v>173618.109</v>
      </c>
      <c r="F361" s="24" t="n">
        <v>470276.063</v>
      </c>
      <c r="G361" s="22" t="n">
        <f aca="false">HOUR(C361)*60+MINUTE(C361)</f>
        <v>900</v>
      </c>
      <c r="H361" s="25" t="n">
        <f aca="false">IF(AND(B361=B360,A361=A360,D361&gt;0,N(D360)&gt;0,G361&gt;N(G360)),(D361-D360)/((G361-G360)/60),"")</f>
        <v>92.2480000001378</v>
      </c>
      <c r="I361" s="22" t="str">
        <f aca="false">IFERROR(INDEX(Medidores!$B:$B,MATCH(B361,Medidores!$A:$A,0)),"")</f>
        <v>Estación celda 2</v>
      </c>
      <c r="J361" s="22" t="s">
        <v>135</v>
      </c>
    </row>
    <row r="362" customFormat="false" ht="15" hidden="false" customHeight="false" outlineLevel="0" collapsed="false">
      <c r="A362" s="21" t="n">
        <v>46303</v>
      </c>
      <c r="B362" s="22" t="s">
        <v>94</v>
      </c>
      <c r="C362" s="23" t="n">
        <v>0.427083333333333</v>
      </c>
      <c r="D362" s="24" t="n">
        <v>330103.375</v>
      </c>
      <c r="E362" s="24" t="n">
        <v>172539.172</v>
      </c>
      <c r="F362" s="24" t="n">
        <v>373876.219</v>
      </c>
      <c r="G362" s="22" t="n">
        <f aca="false">HOUR(C362)*60+MINUTE(C362)</f>
        <v>615</v>
      </c>
      <c r="H362" s="25" t="str">
        <f aca="false">IF(AND(B362=B361,A362=A361,D362&gt;0,N(D361)&gt;0,G362&gt;N(G361)),(D362-D361)/((G362-G361)/60),"")</f>
        <v/>
      </c>
      <c r="I362" s="22" t="str">
        <f aca="false">IFERROR(INDEX(Medidores!$B:$B,MATCH(B362,Medidores!$A:$A,0)),"")</f>
        <v>Estación celda 1</v>
      </c>
      <c r="J362" s="22" t="s">
        <v>96</v>
      </c>
    </row>
    <row r="363" customFormat="false" ht="15" hidden="false" customHeight="false" outlineLevel="0" collapsed="false">
      <c r="A363" s="21" t="n">
        <v>46303</v>
      </c>
      <c r="B363" s="22" t="s">
        <v>94</v>
      </c>
      <c r="C363" s="23" t="n">
        <v>0.4375</v>
      </c>
      <c r="D363" s="24" t="n">
        <v>330127.656</v>
      </c>
      <c r="E363" s="24" t="n">
        <v>172552.563</v>
      </c>
      <c r="F363" s="24" t="n">
        <v>373903.969</v>
      </c>
      <c r="G363" s="22" t="n">
        <f aca="false">HOUR(C363)*60+MINUTE(C363)</f>
        <v>630</v>
      </c>
      <c r="H363" s="25" t="n">
        <f aca="false">IF(AND(B363=B362,A363=A362,D363&gt;0,N(D362)&gt;0,G363&gt;N(G362)),(D363-D362)/((G363-G362)/60),"")</f>
        <v>97.1240000000689</v>
      </c>
      <c r="I363" s="22" t="str">
        <f aca="false">IFERROR(INDEX(Medidores!$B:$B,MATCH(B363,Medidores!$A:$A,0)),"")</f>
        <v>Estación celda 1</v>
      </c>
      <c r="J363" s="22" t="s">
        <v>97</v>
      </c>
    </row>
    <row r="364" customFormat="false" ht="15" hidden="false" customHeight="false" outlineLevel="0" collapsed="false">
      <c r="A364" s="21" t="n">
        <v>46303</v>
      </c>
      <c r="B364" s="22" t="s">
        <v>94</v>
      </c>
      <c r="C364" s="23" t="n">
        <v>0.447916666666667</v>
      </c>
      <c r="D364" s="24" t="n">
        <v>330143.688</v>
      </c>
      <c r="E364" s="24" t="n">
        <v>172561.859</v>
      </c>
      <c r="F364" s="24" t="n">
        <v>373922.531</v>
      </c>
      <c r="G364" s="22" t="n">
        <f aca="false">HOUR(C364)*60+MINUTE(C364)</f>
        <v>645</v>
      </c>
      <c r="H364" s="25" t="n">
        <f aca="false">IF(AND(B364=B363,A364=A363,D364&gt;0,N(D363)&gt;0,G364&gt;N(G363)),(D364-D363)/((G364-G363)/60),"")</f>
        <v>64.1280000000261</v>
      </c>
      <c r="I364" s="22" t="str">
        <f aca="false">IFERROR(INDEX(Medidores!$B:$B,MATCH(B364,Medidores!$A:$A,0)),"")</f>
        <v>Estación celda 1</v>
      </c>
      <c r="J364" s="22" t="s">
        <v>98</v>
      </c>
    </row>
    <row r="365" customFormat="false" ht="15" hidden="false" customHeight="false" outlineLevel="0" collapsed="false">
      <c r="A365" s="21" t="n">
        <v>46303</v>
      </c>
      <c r="B365" s="22" t="s">
        <v>94</v>
      </c>
      <c r="C365" s="23" t="n">
        <v>0.458333333333333</v>
      </c>
      <c r="D365" s="24" t="n">
        <v>330153.438</v>
      </c>
      <c r="E365" s="24" t="n">
        <v>172567.125</v>
      </c>
      <c r="F365" s="24" t="n">
        <v>373933.594</v>
      </c>
      <c r="G365" s="22" t="n">
        <f aca="false">HOUR(C365)*60+MINUTE(C365)</f>
        <v>660</v>
      </c>
      <c r="H365" s="25" t="n">
        <f aca="false">IF(AND(B365=B364,A365=A364,D365&gt;0,N(D364)&gt;0,G365&gt;N(G364)),(D365-D364)/((G365-G364)/60),"")</f>
        <v>39</v>
      </c>
      <c r="I365" s="22" t="str">
        <f aca="false">IFERROR(INDEX(Medidores!$B:$B,MATCH(B365,Medidores!$A:$A,0)),"")</f>
        <v>Estación celda 1</v>
      </c>
      <c r="J365" s="22" t="s">
        <v>99</v>
      </c>
    </row>
    <row r="366" customFormat="false" ht="15" hidden="false" customHeight="false" outlineLevel="0" collapsed="false">
      <c r="A366" s="21" t="n">
        <v>46303</v>
      </c>
      <c r="B366" s="22" t="s">
        <v>94</v>
      </c>
      <c r="C366" s="23" t="n">
        <v>0.46875</v>
      </c>
      <c r="D366" s="24" t="n">
        <v>330164.938</v>
      </c>
      <c r="E366" s="24" t="n">
        <v>172573.156</v>
      </c>
      <c r="F366" s="24" t="n">
        <v>373946.594</v>
      </c>
      <c r="G366" s="22" t="n">
        <f aca="false">HOUR(C366)*60+MINUTE(C366)</f>
        <v>675</v>
      </c>
      <c r="H366" s="25" t="n">
        <f aca="false">IF(AND(B366=B365,A366=A365,D366&gt;0,N(D365)&gt;0,G366&gt;N(G365)),(D366-D365)/((G366-G365)/60),"")</f>
        <v>46</v>
      </c>
      <c r="I366" s="22" t="str">
        <f aca="false">IFERROR(INDEX(Medidores!$B:$B,MATCH(B366,Medidores!$A:$A,0)),"")</f>
        <v>Estación celda 1</v>
      </c>
      <c r="J366" s="22" t="s">
        <v>100</v>
      </c>
    </row>
    <row r="367" customFormat="false" ht="15" hidden="false" customHeight="false" outlineLevel="0" collapsed="false">
      <c r="A367" s="21" t="n">
        <v>46303</v>
      </c>
      <c r="B367" s="22" t="s">
        <v>94</v>
      </c>
      <c r="C367" s="23" t="n">
        <v>0.479166666666667</v>
      </c>
      <c r="D367" s="24" t="n">
        <v>330183.031</v>
      </c>
      <c r="E367" s="24" t="n">
        <v>172582.688</v>
      </c>
      <c r="F367" s="24" t="n">
        <v>373967.094</v>
      </c>
      <c r="G367" s="22" t="n">
        <f aca="false">HOUR(C367)*60+MINUTE(C367)</f>
        <v>690</v>
      </c>
      <c r="H367" s="25" t="n">
        <f aca="false">IF(AND(B367=B366,A367=A366,D367&gt;0,N(D366)&gt;0,G367&gt;N(G366)),(D367-D366)/((G367-G366)/60),"")</f>
        <v>72.3719999999739</v>
      </c>
      <c r="I367" s="22" t="str">
        <f aca="false">IFERROR(INDEX(Medidores!$B:$B,MATCH(B367,Medidores!$A:$A,0)),"")</f>
        <v>Estación celda 1</v>
      </c>
      <c r="J367" s="22" t="s">
        <v>101</v>
      </c>
    </row>
    <row r="368" customFormat="false" ht="15" hidden="false" customHeight="false" outlineLevel="0" collapsed="false">
      <c r="A368" s="21" t="n">
        <v>46303</v>
      </c>
      <c r="B368" s="22" t="s">
        <v>94</v>
      </c>
      <c r="C368" s="23" t="n">
        <v>0.489583333333333</v>
      </c>
      <c r="D368" s="24" t="n">
        <v>330206.688</v>
      </c>
      <c r="E368" s="24" t="n">
        <v>172597.875</v>
      </c>
      <c r="F368" s="24" t="n">
        <v>373995.25</v>
      </c>
      <c r="G368" s="22" t="n">
        <f aca="false">HOUR(C368)*60+MINUTE(C368)</f>
        <v>705</v>
      </c>
      <c r="H368" s="25" t="n">
        <f aca="false">IF(AND(B368=B367,A368=A367,D368&gt;0,N(D367)&gt;0,G368&gt;N(G367)),(D368-D367)/((G368-G367)/60),"")</f>
        <v>94.6280000000261</v>
      </c>
      <c r="I368" s="22" t="str">
        <f aca="false">IFERROR(INDEX(Medidores!$B:$B,MATCH(B368,Medidores!$A:$A,0)),"")</f>
        <v>Estación celda 1</v>
      </c>
      <c r="J368" s="22" t="s">
        <v>102</v>
      </c>
    </row>
    <row r="369" customFormat="false" ht="15" hidden="false" customHeight="false" outlineLevel="0" collapsed="false">
      <c r="A369" s="21" t="n">
        <v>46303</v>
      </c>
      <c r="B369" s="22" t="s">
        <v>94</v>
      </c>
      <c r="C369" s="23" t="n">
        <v>0.5</v>
      </c>
      <c r="D369" s="24" t="n">
        <v>330231.375</v>
      </c>
      <c r="E369" s="24" t="n">
        <v>172615.281</v>
      </c>
      <c r="F369" s="24" t="n">
        <v>374025.438</v>
      </c>
      <c r="G369" s="22" t="n">
        <f aca="false">HOUR(C369)*60+MINUTE(C369)</f>
        <v>720</v>
      </c>
      <c r="H369" s="25" t="n">
        <f aca="false">IF(AND(B369=B368,A369=A368,D369&gt;0,N(D368)&gt;0,G369&gt;N(G368)),(D369-D368)/((G369-G368)/60),"")</f>
        <v>98.747999999905</v>
      </c>
      <c r="I369" s="22" t="str">
        <f aca="false">IFERROR(INDEX(Medidores!$B:$B,MATCH(B369,Medidores!$A:$A,0)),"")</f>
        <v>Estación celda 1</v>
      </c>
      <c r="J369" s="22" t="s">
        <v>103</v>
      </c>
    </row>
    <row r="370" customFormat="false" ht="15" hidden="false" customHeight="false" outlineLevel="0" collapsed="false">
      <c r="A370" s="21" t="n">
        <v>46303</v>
      </c>
      <c r="B370" s="22" t="s">
        <v>94</v>
      </c>
      <c r="C370" s="23" t="n">
        <v>0.510416666666667</v>
      </c>
      <c r="D370" s="24" t="n">
        <v>330258.531</v>
      </c>
      <c r="E370" s="24" t="n">
        <v>172633.766</v>
      </c>
      <c r="F370" s="24" t="n">
        <v>374058.344</v>
      </c>
      <c r="G370" s="22" t="n">
        <f aca="false">HOUR(C370)*60+MINUTE(C370)</f>
        <v>735</v>
      </c>
      <c r="H370" s="25" t="n">
        <f aca="false">IF(AND(B370=B369,A370=A369,D370&gt;0,N(D369)&gt;0,G370&gt;N(G369)),(D370-D369)/((G370-G369)/60),"")</f>
        <v>108.624000000069</v>
      </c>
      <c r="I370" s="22" t="str">
        <f aca="false">IFERROR(INDEX(Medidores!$B:$B,MATCH(B370,Medidores!$A:$A,0)),"")</f>
        <v>Estación celda 1</v>
      </c>
      <c r="J370" s="22" t="s">
        <v>104</v>
      </c>
    </row>
    <row r="371" customFormat="false" ht="15" hidden="false" customHeight="false" outlineLevel="0" collapsed="false">
      <c r="A371" s="21" t="n">
        <v>46303</v>
      </c>
      <c r="B371" s="22" t="s">
        <v>94</v>
      </c>
      <c r="C371" s="23" t="n">
        <v>0.520833333333333</v>
      </c>
      <c r="D371" s="24" t="n">
        <v>330283.406</v>
      </c>
      <c r="E371" s="24" t="n">
        <v>172648.906</v>
      </c>
      <c r="F371" s="24" t="n">
        <v>374087.5</v>
      </c>
      <c r="G371" s="22" t="n">
        <f aca="false">HOUR(C371)*60+MINUTE(C371)</f>
        <v>750</v>
      </c>
      <c r="H371" s="25" t="n">
        <f aca="false">IF(AND(B371=B370,A371=A370,D371&gt;0,N(D370)&gt;0,G371&gt;N(G370)),(D371-D370)/((G371-G370)/60),"")</f>
        <v>99.5</v>
      </c>
      <c r="I371" s="22" t="str">
        <f aca="false">IFERROR(INDEX(Medidores!$B:$B,MATCH(B371,Medidores!$A:$A,0)),"")</f>
        <v>Estación celda 1</v>
      </c>
      <c r="J371" s="22" t="s">
        <v>105</v>
      </c>
    </row>
    <row r="372" customFormat="false" ht="15" hidden="false" customHeight="false" outlineLevel="0" collapsed="false">
      <c r="A372" s="21" t="n">
        <v>46303</v>
      </c>
      <c r="B372" s="22" t="s">
        <v>94</v>
      </c>
      <c r="C372" s="23" t="n">
        <v>0.53125</v>
      </c>
      <c r="D372" s="24" t="n">
        <v>330306.875</v>
      </c>
      <c r="E372" s="24" t="n">
        <v>172661.781</v>
      </c>
      <c r="F372" s="24" t="n">
        <v>374114.25</v>
      </c>
      <c r="G372" s="22" t="n">
        <f aca="false">HOUR(C372)*60+MINUTE(C372)</f>
        <v>765</v>
      </c>
      <c r="H372" s="25" t="n">
        <f aca="false">IF(AND(B372=B371,A372=A371,D372&gt;0,N(D371)&gt;0,G372&gt;N(G371)),(D372-D371)/((G372-G371)/60),"")</f>
        <v>93.8759999999311</v>
      </c>
      <c r="I372" s="22" t="str">
        <f aca="false">IFERROR(INDEX(Medidores!$B:$B,MATCH(B372,Medidores!$A:$A,0)),"")</f>
        <v>Estación celda 1</v>
      </c>
      <c r="J372" s="22" t="s">
        <v>106</v>
      </c>
    </row>
    <row r="373" customFormat="false" ht="15" hidden="false" customHeight="false" outlineLevel="0" collapsed="false">
      <c r="A373" s="21" t="n">
        <v>46303</v>
      </c>
      <c r="B373" s="22" t="s">
        <v>94</v>
      </c>
      <c r="C373" s="23" t="n">
        <v>0.541666666666667</v>
      </c>
      <c r="D373" s="24" t="n">
        <v>330328.469</v>
      </c>
      <c r="E373" s="24" t="n">
        <v>172674.031</v>
      </c>
      <c r="F373" s="24" t="n">
        <v>374139.125</v>
      </c>
      <c r="G373" s="22" t="n">
        <f aca="false">HOUR(C373)*60+MINUTE(C373)</f>
        <v>780</v>
      </c>
      <c r="H373" s="25" t="n">
        <f aca="false">IF(AND(B373=B372,A373=A372,D373&gt;0,N(D372)&gt;0,G373&gt;N(G372)),(D373-D372)/((G373-G372)/60),"")</f>
        <v>86.3759999999311</v>
      </c>
      <c r="I373" s="22" t="str">
        <f aca="false">IFERROR(INDEX(Medidores!$B:$B,MATCH(B373,Medidores!$A:$A,0)),"")</f>
        <v>Estación celda 1</v>
      </c>
      <c r="J373" s="22" t="s">
        <v>107</v>
      </c>
    </row>
    <row r="374" customFormat="false" ht="15" hidden="false" customHeight="false" outlineLevel="0" collapsed="false">
      <c r="A374" s="21" t="n">
        <v>46303</v>
      </c>
      <c r="B374" s="22" t="s">
        <v>94</v>
      </c>
      <c r="C374" s="23" t="n">
        <v>0.552083333333333</v>
      </c>
      <c r="D374" s="24" t="n">
        <v>330350.656</v>
      </c>
      <c r="E374" s="24" t="n">
        <v>172685.875</v>
      </c>
      <c r="F374" s="24" t="n">
        <v>374164.281</v>
      </c>
      <c r="G374" s="22" t="n">
        <f aca="false">HOUR(C374)*60+MINUTE(C374)</f>
        <v>795</v>
      </c>
      <c r="H374" s="25" t="n">
        <f aca="false">IF(AND(B374=B373,A374=A373,D374&gt;0,N(D373)&gt;0,G374&gt;N(G373)),(D374-D373)/((G374-G373)/60),"")</f>
        <v>88.7480000001378</v>
      </c>
      <c r="I374" s="22" t="str">
        <f aca="false">IFERROR(INDEX(Medidores!$B:$B,MATCH(B374,Medidores!$A:$A,0)),"")</f>
        <v>Estación celda 1</v>
      </c>
      <c r="J374" s="22" t="s">
        <v>108</v>
      </c>
    </row>
    <row r="375" customFormat="false" ht="15" hidden="false" customHeight="false" outlineLevel="0" collapsed="false">
      <c r="A375" s="21" t="n">
        <v>46303</v>
      </c>
      <c r="B375" s="22" t="s">
        <v>94</v>
      </c>
      <c r="C375" s="23" t="n">
        <v>0.5625</v>
      </c>
      <c r="D375" s="24" t="n">
        <v>330367.406</v>
      </c>
      <c r="E375" s="24" t="n">
        <v>172693.141</v>
      </c>
      <c r="F375" s="24" t="n">
        <v>374182.531</v>
      </c>
      <c r="G375" s="22" t="n">
        <f aca="false">HOUR(C375)*60+MINUTE(C375)</f>
        <v>810</v>
      </c>
      <c r="H375" s="25" t="n">
        <f aca="false">IF(AND(B375=B374,A375=A374,D375&gt;0,N(D374)&gt;0,G375&gt;N(G374)),(D375-D374)/((G375-G374)/60),"")</f>
        <v>67</v>
      </c>
      <c r="I375" s="22" t="str">
        <f aca="false">IFERROR(INDEX(Medidores!$B:$B,MATCH(B375,Medidores!$A:$A,0)),"")</f>
        <v>Estación celda 1</v>
      </c>
      <c r="J375" s="22" t="s">
        <v>109</v>
      </c>
    </row>
    <row r="376" customFormat="false" ht="15" hidden="false" customHeight="false" outlineLevel="0" collapsed="false">
      <c r="A376" s="21" t="n">
        <v>46303</v>
      </c>
      <c r="B376" s="22" t="s">
        <v>94</v>
      </c>
      <c r="C376" s="23" t="n">
        <v>0.572916666666667</v>
      </c>
      <c r="D376" s="24" t="n">
        <v>330386.219</v>
      </c>
      <c r="E376" s="24" t="n">
        <v>172700.953</v>
      </c>
      <c r="F376" s="24" t="n">
        <v>374202.938</v>
      </c>
      <c r="G376" s="22" t="n">
        <f aca="false">HOUR(C376)*60+MINUTE(C376)</f>
        <v>825</v>
      </c>
      <c r="H376" s="25" t="n">
        <f aca="false">IF(AND(B376=B375,A376=A375,D376&gt;0,N(D375)&gt;0,G376&gt;N(G375)),(D376-D375)/((G376-G375)/60),"")</f>
        <v>75.2519999998622</v>
      </c>
      <c r="I376" s="22" t="str">
        <f aca="false">IFERROR(INDEX(Medidores!$B:$B,MATCH(B376,Medidores!$A:$A,0)),"")</f>
        <v>Estación celda 1</v>
      </c>
      <c r="J376" s="22" t="s">
        <v>110</v>
      </c>
    </row>
    <row r="377" customFormat="false" ht="15" hidden="false" customHeight="false" outlineLevel="0" collapsed="false">
      <c r="A377" s="21" t="n">
        <v>46303</v>
      </c>
      <c r="B377" s="22" t="s">
        <v>94</v>
      </c>
      <c r="C377" s="23" t="n">
        <v>0.583333333333333</v>
      </c>
      <c r="D377" s="24" t="n">
        <v>330403.813</v>
      </c>
      <c r="E377" s="24" t="n">
        <v>172708.656</v>
      </c>
      <c r="F377" s="24" t="n">
        <v>374222.156</v>
      </c>
      <c r="G377" s="22" t="n">
        <f aca="false">HOUR(C377)*60+MINUTE(C377)</f>
        <v>840</v>
      </c>
      <c r="H377" s="25" t="n">
        <f aca="false">IF(AND(B377=B376,A377=A376,D377&gt;0,N(D376)&gt;0,G377&gt;N(G376)),(D377-D376)/((G377-G376)/60),"")</f>
        <v>70.3760000001639</v>
      </c>
      <c r="I377" s="22" t="str">
        <f aca="false">IFERROR(INDEX(Medidores!$B:$B,MATCH(B377,Medidores!$A:$A,0)),"")</f>
        <v>Estación celda 1</v>
      </c>
      <c r="J377" s="22" t="s">
        <v>111</v>
      </c>
    </row>
    <row r="378" customFormat="false" ht="15" hidden="false" customHeight="false" outlineLevel="0" collapsed="false">
      <c r="A378" s="21" t="n">
        <v>46303</v>
      </c>
      <c r="B378" s="22" t="s">
        <v>94</v>
      </c>
      <c r="C378" s="23" t="n">
        <v>0.59375</v>
      </c>
      <c r="D378" s="24" t="n">
        <v>330424.281</v>
      </c>
      <c r="E378" s="24" t="n">
        <v>172718.953</v>
      </c>
      <c r="F378" s="24" t="n">
        <v>374245.094</v>
      </c>
      <c r="G378" s="22" t="n">
        <f aca="false">HOUR(C378)*60+MINUTE(C378)</f>
        <v>855</v>
      </c>
      <c r="H378" s="25" t="n">
        <f aca="false">IF(AND(B378=B377,A378=A377,D378&gt;0,N(D377)&gt;0,G378&gt;N(G377)),(D378-D377)/((G378-G377)/60),"")</f>
        <v>81.8719999999739</v>
      </c>
      <c r="I378" s="22" t="str">
        <f aca="false">IFERROR(INDEX(Medidores!$B:$B,MATCH(B378,Medidores!$A:$A,0)),"")</f>
        <v>Estación celda 1</v>
      </c>
      <c r="J378" s="22" t="s">
        <v>112</v>
      </c>
    </row>
    <row r="379" customFormat="false" ht="15" hidden="false" customHeight="false" outlineLevel="0" collapsed="false">
      <c r="A379" s="21" t="n">
        <v>46303</v>
      </c>
      <c r="B379" s="22" t="s">
        <v>94</v>
      </c>
      <c r="C379" s="23" t="n">
        <v>0.604166666666667</v>
      </c>
      <c r="D379" s="24" t="n">
        <v>330444.188</v>
      </c>
      <c r="E379" s="24" t="n">
        <v>172729.875</v>
      </c>
      <c r="F379" s="24" t="n">
        <v>374267.844</v>
      </c>
      <c r="G379" s="22" t="n">
        <f aca="false">HOUR(C379)*60+MINUTE(C379)</f>
        <v>870</v>
      </c>
      <c r="H379" s="25" t="n">
        <f aca="false">IF(AND(B379=B378,A379=A378,D379&gt;0,N(D378)&gt;0,G379&gt;N(G378)),(D379-D378)/((G379-G378)/60),"")</f>
        <v>79.6280000000261</v>
      </c>
      <c r="I379" s="22" t="str">
        <f aca="false">IFERROR(INDEX(Medidores!$B:$B,MATCH(B379,Medidores!$A:$A,0)),"")</f>
        <v>Estación celda 1</v>
      </c>
      <c r="J379" s="22" t="s">
        <v>113</v>
      </c>
    </row>
    <row r="380" customFormat="false" ht="15" hidden="false" customHeight="false" outlineLevel="0" collapsed="false">
      <c r="A380" s="21" t="n">
        <v>46303</v>
      </c>
      <c r="B380" s="22" t="s">
        <v>94</v>
      </c>
      <c r="C380" s="23" t="n">
        <v>0.614583333333333</v>
      </c>
      <c r="D380" s="24" t="n">
        <v>330461.438</v>
      </c>
      <c r="E380" s="24" t="n">
        <v>172737.625</v>
      </c>
      <c r="F380" s="24" t="n">
        <v>374286.75</v>
      </c>
      <c r="G380" s="22" t="n">
        <f aca="false">HOUR(C380)*60+MINUTE(C380)</f>
        <v>885</v>
      </c>
      <c r="H380" s="25" t="n">
        <f aca="false">IF(AND(B380=B379,A380=A379,D380&gt;0,N(D379)&gt;0,G380&gt;N(G379)),(D380-D379)/((G380-G379)/60),"")</f>
        <v>69</v>
      </c>
      <c r="I380" s="22" t="str">
        <f aca="false">IFERROR(INDEX(Medidores!$B:$B,MATCH(B380,Medidores!$A:$A,0)),"")</f>
        <v>Estación celda 1</v>
      </c>
      <c r="J380" s="22" t="s">
        <v>114</v>
      </c>
    </row>
    <row r="381" customFormat="false" ht="15" hidden="false" customHeight="false" outlineLevel="0" collapsed="false">
      <c r="A381" s="21" t="n">
        <v>46303</v>
      </c>
      <c r="B381" s="22" t="s">
        <v>94</v>
      </c>
      <c r="C381" s="23" t="n">
        <v>0.625</v>
      </c>
      <c r="D381" s="24" t="n">
        <v>330484.688</v>
      </c>
      <c r="E381" s="24" t="n">
        <v>172750.391</v>
      </c>
      <c r="F381" s="24" t="n">
        <v>374313.25</v>
      </c>
      <c r="G381" s="22" t="n">
        <f aca="false">HOUR(C381)*60+MINUTE(C381)</f>
        <v>900</v>
      </c>
      <c r="H381" s="25" t="n">
        <f aca="false">IF(AND(B381=B380,A381=A380,D381&gt;0,N(D380)&gt;0,G381&gt;N(G380)),(D381-D380)/((G381-G380)/60),"")</f>
        <v>93</v>
      </c>
      <c r="I381" s="22" t="str">
        <f aca="false">IFERROR(INDEX(Medidores!$B:$B,MATCH(B381,Medidores!$A:$A,0)),"")</f>
        <v>Estación celda 1</v>
      </c>
      <c r="J381" s="22" t="s">
        <v>135</v>
      </c>
    </row>
    <row r="382" customFormat="false" ht="15" hidden="false" customHeight="false" outlineLevel="0" collapsed="false">
      <c r="A382" s="21" t="n">
        <v>46304</v>
      </c>
      <c r="B382" s="22" t="s">
        <v>44</v>
      </c>
      <c r="C382" s="23" t="n">
        <v>0.385416666666667</v>
      </c>
      <c r="D382" s="24" t="n">
        <v>23434.707</v>
      </c>
      <c r="E382" s="24" t="n">
        <v>5934.66</v>
      </c>
      <c r="F382" s="24" t="n">
        <v>24382.352</v>
      </c>
      <c r="G382" s="22" t="n">
        <f aca="false">HOUR(C382)*60+MINUTE(C382)</f>
        <v>555</v>
      </c>
      <c r="H382" s="25" t="str">
        <f aca="false">IF(AND(B382=B381,A382=A381,D382&gt;0,N(D381)&gt;0,G382&gt;N(G381)),(D382-D381)/((G382-G381)/60),"")</f>
        <v/>
      </c>
      <c r="I382" s="22" t="str">
        <f aca="false">IFERROR(INDEX(Medidores!$B:$B,MATCH(B382,Medidores!$A:$A,0)),"")</f>
        <v>L22</v>
      </c>
      <c r="J382" s="22" t="s">
        <v>136</v>
      </c>
    </row>
    <row r="383" customFormat="false" ht="15" hidden="false" customHeight="false" outlineLevel="0" collapsed="false">
      <c r="A383" s="21" t="n">
        <v>46304</v>
      </c>
      <c r="B383" s="22" t="s">
        <v>44</v>
      </c>
      <c r="C383" s="23" t="n">
        <v>0.395833333333333</v>
      </c>
      <c r="D383" s="24" t="n">
        <v>23436.227</v>
      </c>
      <c r="E383" s="24" t="n">
        <v>5935.119</v>
      </c>
      <c r="F383" s="24" t="n">
        <v>24383.951</v>
      </c>
      <c r="G383" s="22" t="n">
        <f aca="false">HOUR(C383)*60+MINUTE(C383)</f>
        <v>570</v>
      </c>
      <c r="H383" s="25" t="n">
        <f aca="false">IF(AND(B383=B382,A383=A382,D383&gt;0,N(D382)&gt;0,G383&gt;N(G382)),(D383-D382)/((G383-G382)/60),"")</f>
        <v>6.08000000000175</v>
      </c>
      <c r="I383" s="22" t="str">
        <f aca="false">IFERROR(INDEX(Medidores!$B:$B,MATCH(B383,Medidores!$A:$A,0)),"")</f>
        <v>L22</v>
      </c>
      <c r="J383" s="22" t="s">
        <v>137</v>
      </c>
    </row>
    <row r="384" customFormat="false" ht="15" hidden="false" customHeight="false" outlineLevel="0" collapsed="false">
      <c r="A384" s="21" t="n">
        <v>46304</v>
      </c>
      <c r="B384" s="22" t="s">
        <v>44</v>
      </c>
      <c r="C384" s="23" t="n">
        <v>0.40625</v>
      </c>
      <c r="D384" s="24" t="n">
        <v>23437.754</v>
      </c>
      <c r="E384" s="24" t="n">
        <v>5935.558</v>
      </c>
      <c r="F384" s="24" t="n">
        <v>24385.553</v>
      </c>
      <c r="G384" s="22" t="n">
        <f aca="false">HOUR(C384)*60+MINUTE(C384)</f>
        <v>585</v>
      </c>
      <c r="H384" s="25" t="n">
        <f aca="false">IF(AND(B384=B383,A384=A383,D384&gt;0,N(D383)&gt;0,G384&gt;N(G383)),(D384-D383)/((G384-G383)/60),"")</f>
        <v>6.10800000000745</v>
      </c>
      <c r="I384" s="22" t="str">
        <f aca="false">IFERROR(INDEX(Medidores!$B:$B,MATCH(B384,Medidores!$A:$A,0)),"")</f>
        <v>L22</v>
      </c>
      <c r="J384" s="22" t="s">
        <v>138</v>
      </c>
    </row>
    <row r="385" customFormat="false" ht="15" hidden="false" customHeight="false" outlineLevel="0" collapsed="false">
      <c r="A385" s="21" t="n">
        <v>46304</v>
      </c>
      <c r="B385" s="22" t="s">
        <v>44</v>
      </c>
      <c r="C385" s="23" t="n">
        <v>0.416666666666667</v>
      </c>
      <c r="D385" s="24" t="n">
        <v>23439.352</v>
      </c>
      <c r="E385" s="24" t="n">
        <v>5936.066</v>
      </c>
      <c r="F385" s="24" t="n">
        <v>24387.248</v>
      </c>
      <c r="G385" s="22" t="n">
        <f aca="false">HOUR(C385)*60+MINUTE(C385)</f>
        <v>600</v>
      </c>
      <c r="H385" s="25" t="n">
        <f aca="false">IF(AND(B385=B384,A385=A384,D385&gt;0,N(D384)&gt;0,G385&gt;N(G384)),(D385-D384)/((G385-G384)/60),"")</f>
        <v>6.39199999999255</v>
      </c>
      <c r="I385" s="22" t="str">
        <f aca="false">IFERROR(INDEX(Medidores!$B:$B,MATCH(B385,Medidores!$A:$A,0)),"")</f>
        <v>L22</v>
      </c>
      <c r="J385" s="22" t="s">
        <v>139</v>
      </c>
    </row>
    <row r="386" customFormat="false" ht="15" hidden="false" customHeight="false" outlineLevel="0" collapsed="false">
      <c r="A386" s="21" t="n">
        <v>46304</v>
      </c>
      <c r="B386" s="22" t="s">
        <v>44</v>
      </c>
      <c r="C386" s="23" t="n">
        <v>0.427083333333333</v>
      </c>
      <c r="D386" s="24" t="n">
        <v>23440.943</v>
      </c>
      <c r="E386" s="24" t="n">
        <v>5936.549</v>
      </c>
      <c r="F386" s="24" t="n">
        <v>24388.926</v>
      </c>
      <c r="G386" s="22" t="n">
        <f aca="false">HOUR(C386)*60+MINUTE(C386)</f>
        <v>615</v>
      </c>
      <c r="H386" s="25" t="n">
        <f aca="false">IF(AND(B386=B385,A386=A385,D386&gt;0,N(D385)&gt;0,G386&gt;N(G385)),(D386-D385)/((G386-G385)/60),"")</f>
        <v>6.3640000000014</v>
      </c>
      <c r="I386" s="22" t="str">
        <f aca="false">IFERROR(INDEX(Medidores!$B:$B,MATCH(B386,Medidores!$A:$A,0)),"")</f>
        <v>L22</v>
      </c>
      <c r="J386" s="22" t="s">
        <v>140</v>
      </c>
    </row>
    <row r="387" customFormat="false" ht="15" hidden="false" customHeight="false" outlineLevel="0" collapsed="false">
      <c r="A387" s="21" t="n">
        <v>46304</v>
      </c>
      <c r="B387" s="22" t="s">
        <v>44</v>
      </c>
      <c r="C387" s="23" t="n">
        <v>0.4375</v>
      </c>
      <c r="D387" s="24" t="n">
        <v>23442.531</v>
      </c>
      <c r="E387" s="24" t="n">
        <v>5937.019</v>
      </c>
      <c r="F387" s="24" t="n">
        <v>24390.596</v>
      </c>
      <c r="G387" s="22" t="n">
        <f aca="false">HOUR(C387)*60+MINUTE(C387)</f>
        <v>630</v>
      </c>
      <c r="H387" s="25" t="n">
        <f aca="false">IF(AND(B387=B386,A387=A386,D387&gt;0,N(D386)&gt;0,G387&gt;N(G386)),(D387-D386)/((G387-G386)/60),"")</f>
        <v>6.35199999999895</v>
      </c>
      <c r="I387" s="22" t="str">
        <f aca="false">IFERROR(INDEX(Medidores!$B:$B,MATCH(B387,Medidores!$A:$A,0)),"")</f>
        <v>L22</v>
      </c>
      <c r="J387" s="22" t="s">
        <v>141</v>
      </c>
    </row>
    <row r="388" customFormat="false" ht="15" hidden="false" customHeight="false" outlineLevel="0" collapsed="false">
      <c r="A388" s="21" t="n">
        <v>46304</v>
      </c>
      <c r="B388" s="22" t="s">
        <v>44</v>
      </c>
      <c r="C388" s="23" t="n">
        <v>0.447916666666667</v>
      </c>
      <c r="D388" s="24" t="n">
        <v>23443.748</v>
      </c>
      <c r="E388" s="24" t="n">
        <v>5937.36</v>
      </c>
      <c r="F388" s="24" t="n">
        <v>24391.871</v>
      </c>
      <c r="G388" s="22" t="n">
        <f aca="false">HOUR(C388)*60+MINUTE(C388)</f>
        <v>645</v>
      </c>
      <c r="H388" s="25" t="n">
        <f aca="false">IF(AND(B388=B387,A388=A387,D388&gt;0,N(D387)&gt;0,G388&gt;N(G387)),(D388-D387)/((G388-G387)/60),"")</f>
        <v>4.86800000000221</v>
      </c>
      <c r="I388" s="22" t="str">
        <f aca="false">IFERROR(INDEX(Medidores!$B:$B,MATCH(B388,Medidores!$A:$A,0)),"")</f>
        <v>L22</v>
      </c>
      <c r="J388" s="22" t="s">
        <v>142</v>
      </c>
    </row>
    <row r="389" customFormat="false" ht="15" hidden="false" customHeight="false" outlineLevel="0" collapsed="false">
      <c r="A389" s="21" t="n">
        <v>46304</v>
      </c>
      <c r="B389" s="22" t="s">
        <v>44</v>
      </c>
      <c r="C389" s="23" t="n">
        <v>0.458333333333333</v>
      </c>
      <c r="D389" s="24" t="n">
        <v>23444.504</v>
      </c>
      <c r="E389" s="24" t="n">
        <v>5937.48</v>
      </c>
      <c r="F389" s="24" t="n">
        <v>24392.639</v>
      </c>
      <c r="G389" s="22" t="n">
        <f aca="false">HOUR(C389)*60+MINUTE(C389)</f>
        <v>660</v>
      </c>
      <c r="H389" s="25" t="n">
        <f aca="false">IF(AND(B389=B388,A389=A388,D389&gt;0,N(D388)&gt;0,G389&gt;N(G388)),(D389-D388)/((G389-G388)/60),"")</f>
        <v>3.02400000000489</v>
      </c>
      <c r="I389" s="22" t="str">
        <f aca="false">IFERROR(INDEX(Medidores!$B:$B,MATCH(B389,Medidores!$A:$A,0)),"")</f>
        <v>L22</v>
      </c>
      <c r="J389" s="22" t="s">
        <v>143</v>
      </c>
    </row>
    <row r="390" customFormat="false" ht="15" hidden="false" customHeight="false" outlineLevel="0" collapsed="false">
      <c r="A390" s="21" t="n">
        <v>46304</v>
      </c>
      <c r="B390" s="22" t="s">
        <v>44</v>
      </c>
      <c r="C390" s="23" t="n">
        <v>0.46875</v>
      </c>
      <c r="D390" s="24" t="n">
        <v>23445.773</v>
      </c>
      <c r="E390" s="24" t="n">
        <v>5937.837</v>
      </c>
      <c r="F390" s="24" t="n">
        <v>24393.989</v>
      </c>
      <c r="G390" s="22" t="n">
        <f aca="false">HOUR(C390)*60+MINUTE(C390)</f>
        <v>675</v>
      </c>
      <c r="H390" s="25" t="n">
        <f aca="false">IF(AND(B390=B389,A390=A389,D390&gt;0,N(D389)&gt;0,G390&gt;N(G389)),(D390-D389)/((G390-G389)/60),"")</f>
        <v>5.07600000000093</v>
      </c>
      <c r="I390" s="22" t="str">
        <f aca="false">IFERROR(INDEX(Medidores!$B:$B,MATCH(B390,Medidores!$A:$A,0)),"")</f>
        <v>L22</v>
      </c>
      <c r="J390" s="22" t="s">
        <v>144</v>
      </c>
    </row>
    <row r="391" customFormat="false" ht="15" hidden="false" customHeight="false" outlineLevel="0" collapsed="false">
      <c r="A391" s="21" t="n">
        <v>46304</v>
      </c>
      <c r="B391" s="22" t="s">
        <v>44</v>
      </c>
      <c r="C391" s="23" t="n">
        <v>0.479166666666667</v>
      </c>
      <c r="D391" s="24" t="n">
        <v>23447.324</v>
      </c>
      <c r="E391" s="24" t="n">
        <v>5938.306</v>
      </c>
      <c r="F391" s="24" t="n">
        <v>24395.604</v>
      </c>
      <c r="G391" s="22" t="n">
        <f aca="false">HOUR(C391)*60+MINUTE(C391)</f>
        <v>690</v>
      </c>
      <c r="H391" s="25" t="n">
        <f aca="false">IF(AND(B391=B390,A391=A390,D391&gt;0,N(D390)&gt;0,G391&gt;N(G390)),(D391-D390)/((G391-G390)/60),"")</f>
        <v>6.2039999999979</v>
      </c>
      <c r="I391" s="22" t="str">
        <f aca="false">IFERROR(INDEX(Medidores!$B:$B,MATCH(B391,Medidores!$A:$A,0)),"")</f>
        <v>L22</v>
      </c>
      <c r="J391" s="22" t="s">
        <v>145</v>
      </c>
    </row>
    <row r="392" customFormat="false" ht="15" hidden="false" customHeight="false" outlineLevel="0" collapsed="false">
      <c r="A392" s="21" t="n">
        <v>46304</v>
      </c>
      <c r="B392" s="22" t="s">
        <v>44</v>
      </c>
      <c r="C392" s="23" t="n">
        <v>0.489583333333333</v>
      </c>
      <c r="D392" s="24" t="n">
        <v>23448.832</v>
      </c>
      <c r="E392" s="24" t="n">
        <v>5938.744</v>
      </c>
      <c r="F392" s="24" t="n">
        <v>24397.188</v>
      </c>
      <c r="G392" s="22" t="n">
        <f aca="false">HOUR(C392)*60+MINUTE(C392)</f>
        <v>705</v>
      </c>
      <c r="H392" s="25" t="n">
        <f aca="false">IF(AND(B392=B391,A392=A391,D392&gt;0,N(D391)&gt;0,G392&gt;N(G391)),(D392-D391)/((G392-G391)/60),"")</f>
        <v>6.03199999999197</v>
      </c>
      <c r="I392" s="22" t="str">
        <f aca="false">IFERROR(INDEX(Medidores!$B:$B,MATCH(B392,Medidores!$A:$A,0)),"")</f>
        <v>L22</v>
      </c>
      <c r="J392" s="22" t="s">
        <v>146</v>
      </c>
    </row>
    <row r="393" customFormat="false" ht="15" hidden="false" customHeight="false" outlineLevel="0" collapsed="false">
      <c r="A393" s="21" t="n">
        <v>46304</v>
      </c>
      <c r="B393" s="22" t="s">
        <v>44</v>
      </c>
      <c r="C393" s="23" t="n">
        <v>0.5</v>
      </c>
      <c r="D393" s="24" t="n">
        <v>23450.42</v>
      </c>
      <c r="E393" s="24" t="n">
        <v>5939.2</v>
      </c>
      <c r="F393" s="24" t="n">
        <v>24398.852</v>
      </c>
      <c r="G393" s="22" t="n">
        <f aca="false">HOUR(C393)*60+MINUTE(C393)</f>
        <v>720</v>
      </c>
      <c r="H393" s="25" t="n">
        <f aca="false">IF(AND(B393=B392,A393=A392,D393&gt;0,N(D392)&gt;0,G393&gt;N(G392)),(D393-D392)/((G393-G392)/60),"")</f>
        <v>6.35199999999895</v>
      </c>
      <c r="I393" s="22" t="str">
        <f aca="false">IFERROR(INDEX(Medidores!$B:$B,MATCH(B393,Medidores!$A:$A,0)),"")</f>
        <v>L22</v>
      </c>
      <c r="J393" s="22" t="s">
        <v>147</v>
      </c>
    </row>
    <row r="394" customFormat="false" ht="15" hidden="false" customHeight="false" outlineLevel="0" collapsed="false">
      <c r="A394" s="21" t="n">
        <v>46304</v>
      </c>
      <c r="B394" s="22" t="s">
        <v>44</v>
      </c>
      <c r="C394" s="23" t="n">
        <v>0.510416666666667</v>
      </c>
      <c r="D394" s="24" t="n">
        <v>23451.69</v>
      </c>
      <c r="E394" s="24" t="n">
        <v>5939.544</v>
      </c>
      <c r="F394" s="24" t="n">
        <v>24400.182</v>
      </c>
      <c r="G394" s="22" t="n">
        <f aca="false">HOUR(C394)*60+MINUTE(C394)</f>
        <v>735</v>
      </c>
      <c r="H394" s="25" t="n">
        <f aca="false">IF(AND(B394=B393,A394=A393,D394&gt;0,N(D393)&gt;0,G394&gt;N(G393)),(D394-D393)/((G394-G393)/60),"")</f>
        <v>5.08000000000175</v>
      </c>
      <c r="I394" s="22" t="str">
        <f aca="false">IFERROR(INDEX(Medidores!$B:$B,MATCH(B394,Medidores!$A:$A,0)),"")</f>
        <v>L22</v>
      </c>
      <c r="J394" s="22" t="s">
        <v>148</v>
      </c>
    </row>
    <row r="395" customFormat="false" ht="15" hidden="false" customHeight="false" outlineLevel="0" collapsed="false">
      <c r="A395" s="21" t="n">
        <v>46304</v>
      </c>
      <c r="B395" s="22" t="s">
        <v>44</v>
      </c>
      <c r="C395" s="23" t="n">
        <v>0.520833333333333</v>
      </c>
      <c r="D395" s="24" t="n">
        <v>23452.754</v>
      </c>
      <c r="E395" s="24" t="n">
        <v>5939.766</v>
      </c>
      <c r="F395" s="24" t="n">
        <v>24401.275</v>
      </c>
      <c r="G395" s="22" t="n">
        <f aca="false">HOUR(C395)*60+MINUTE(C395)</f>
        <v>750</v>
      </c>
      <c r="H395" s="25" t="n">
        <f aca="false">IF(AND(B395=B394,A395=A394,D395&gt;0,N(D394)&gt;0,G395&gt;N(G394)),(D395-D394)/((G395-G394)/60),"")</f>
        <v>4.2560000000085</v>
      </c>
      <c r="I395" s="22" t="str">
        <f aca="false">IFERROR(INDEX(Medidores!$B:$B,MATCH(B395,Medidores!$A:$A,0)),"")</f>
        <v>L22</v>
      </c>
      <c r="J395" s="22" t="s">
        <v>149</v>
      </c>
    </row>
    <row r="396" customFormat="false" ht="15" hidden="false" customHeight="false" outlineLevel="0" collapsed="false">
      <c r="A396" s="21" t="n">
        <v>46304</v>
      </c>
      <c r="B396" s="22" t="s">
        <v>44</v>
      </c>
      <c r="C396" s="23" t="n">
        <v>0.53125</v>
      </c>
      <c r="D396" s="24" t="n">
        <v>23454.43</v>
      </c>
      <c r="E396" s="24" t="n">
        <v>5940.268</v>
      </c>
      <c r="F396" s="24" t="n">
        <v>24403.039</v>
      </c>
      <c r="G396" s="22" t="n">
        <f aca="false">HOUR(C396)*60+MINUTE(C396)</f>
        <v>765</v>
      </c>
      <c r="H396" s="25" t="n">
        <f aca="false">IF(AND(B396=B395,A396=A395,D396&gt;0,N(D395)&gt;0,G396&gt;N(G395)),(D396-D395)/((G396-G395)/60),"")</f>
        <v>6.7039999999979</v>
      </c>
      <c r="I396" s="22" t="str">
        <f aca="false">IFERROR(INDEX(Medidores!$B:$B,MATCH(B396,Medidores!$A:$A,0)),"")</f>
        <v>L22</v>
      </c>
      <c r="J396" s="22" t="s">
        <v>150</v>
      </c>
    </row>
    <row r="397" customFormat="false" ht="15" hidden="false" customHeight="false" outlineLevel="0" collapsed="false">
      <c r="A397" s="21" t="n">
        <v>46304</v>
      </c>
      <c r="B397" s="22" t="s">
        <v>44</v>
      </c>
      <c r="C397" s="23" t="n">
        <v>0.541666666666667</v>
      </c>
      <c r="D397" s="24" t="n">
        <v>23455.846</v>
      </c>
      <c r="E397" s="24" t="n">
        <v>5940.658</v>
      </c>
      <c r="F397" s="24" t="n">
        <v>24404.521</v>
      </c>
      <c r="G397" s="22" t="n">
        <f aca="false">HOUR(C397)*60+MINUTE(C397)</f>
        <v>780</v>
      </c>
      <c r="H397" s="25" t="n">
        <f aca="false">IF(AND(B397=B396,A397=A396,D397&gt;0,N(D396)&gt;0,G397&gt;N(G396)),(D397-D396)/((G397-G396)/60),"")</f>
        <v>5.66400000000431</v>
      </c>
      <c r="I397" s="22" t="str">
        <f aca="false">IFERROR(INDEX(Medidores!$B:$B,MATCH(B397,Medidores!$A:$A,0)),"")</f>
        <v>L22</v>
      </c>
      <c r="J397" s="22" t="s">
        <v>151</v>
      </c>
    </row>
    <row r="398" customFormat="false" ht="15" hidden="false" customHeight="false" outlineLevel="0" collapsed="false">
      <c r="A398" s="21" t="n">
        <v>46304</v>
      </c>
      <c r="B398" s="22" t="s">
        <v>44</v>
      </c>
      <c r="C398" s="23" t="n">
        <v>0.552083333333333</v>
      </c>
      <c r="D398" s="24" t="n">
        <v>23457.393</v>
      </c>
      <c r="E398" s="24" t="n">
        <v>5941.118</v>
      </c>
      <c r="F398" s="24" t="n">
        <v>24406.148</v>
      </c>
      <c r="G398" s="22" t="n">
        <f aca="false">HOUR(C398)*60+MINUTE(C398)</f>
        <v>795</v>
      </c>
      <c r="H398" s="25" t="n">
        <f aca="false">IF(AND(B398=B397,A398=A397,D398&gt;0,N(D397)&gt;0,G398&gt;N(G397)),(D398-D397)/((G398-G397)/60),"")</f>
        <v>6.18799999999465</v>
      </c>
      <c r="I398" s="22" t="str">
        <f aca="false">IFERROR(INDEX(Medidores!$B:$B,MATCH(B398,Medidores!$A:$A,0)),"")</f>
        <v>L22</v>
      </c>
      <c r="J398" s="22" t="s">
        <v>152</v>
      </c>
    </row>
    <row r="399" customFormat="false" ht="15" hidden="false" customHeight="false" outlineLevel="0" collapsed="false">
      <c r="A399" s="21" t="n">
        <v>46304</v>
      </c>
      <c r="B399" s="22" t="s">
        <v>44</v>
      </c>
      <c r="C399" s="23" t="n">
        <v>0.5625</v>
      </c>
      <c r="D399" s="24" t="n">
        <v>23459.08</v>
      </c>
      <c r="E399" s="24" t="n">
        <v>5941.617</v>
      </c>
      <c r="F399" s="24" t="n">
        <v>24407.922</v>
      </c>
      <c r="G399" s="22" t="n">
        <f aca="false">HOUR(C399)*60+MINUTE(C399)</f>
        <v>810</v>
      </c>
      <c r="H399" s="25" t="n">
        <f aca="false">IF(AND(B399=B398,A399=A398,D399&gt;0,N(D398)&gt;0,G399&gt;N(G398)),(D399-D398)/((G399-G398)/60),"")</f>
        <v>6.74800000000687</v>
      </c>
      <c r="I399" s="22" t="str">
        <f aca="false">IFERROR(INDEX(Medidores!$B:$B,MATCH(B399,Medidores!$A:$A,0)),"")</f>
        <v>L22</v>
      </c>
      <c r="J399" s="22" t="s">
        <v>153</v>
      </c>
    </row>
    <row r="400" customFormat="false" ht="15" hidden="false" customHeight="false" outlineLevel="0" collapsed="false">
      <c r="A400" s="21" t="n">
        <v>46304</v>
      </c>
      <c r="B400" s="22" t="s">
        <v>44</v>
      </c>
      <c r="C400" s="23" t="n">
        <v>0.572916666666667</v>
      </c>
      <c r="D400" s="24" t="n">
        <v>23460.771</v>
      </c>
      <c r="E400" s="24" t="n">
        <v>5942.112</v>
      </c>
      <c r="F400" s="24" t="n">
        <v>24409.699</v>
      </c>
      <c r="G400" s="22" t="n">
        <f aca="false">HOUR(C400)*60+MINUTE(C400)</f>
        <v>825</v>
      </c>
      <c r="H400" s="25" t="n">
        <f aca="false">IF(AND(B400=B399,A400=A399,D400&gt;0,N(D399)&gt;0,G400&gt;N(G399)),(D400-D399)/((G400-G399)/60),"")</f>
        <v>6.76399999999558</v>
      </c>
      <c r="I400" s="22" t="str">
        <f aca="false">IFERROR(INDEX(Medidores!$B:$B,MATCH(B400,Medidores!$A:$A,0)),"")</f>
        <v>L22</v>
      </c>
      <c r="J400" s="22" t="s">
        <v>154</v>
      </c>
    </row>
    <row r="401" customFormat="false" ht="15" hidden="false" customHeight="false" outlineLevel="0" collapsed="false">
      <c r="A401" s="21" t="n">
        <v>46304</v>
      </c>
      <c r="B401" s="22" t="s">
        <v>44</v>
      </c>
      <c r="C401" s="23" t="n">
        <v>0.583333333333333</v>
      </c>
      <c r="D401" s="24" t="n">
        <v>23462.465</v>
      </c>
      <c r="E401" s="24" t="n">
        <v>5942.667</v>
      </c>
      <c r="F401" s="24" t="n">
        <v>24411.496</v>
      </c>
      <c r="G401" s="22" t="n">
        <f aca="false">HOUR(C401)*60+MINUTE(C401)</f>
        <v>840</v>
      </c>
      <c r="H401" s="25" t="n">
        <f aca="false">IF(AND(B401=B400,A401=A400,D401&gt;0,N(D400)&gt;0,G401&gt;N(G400)),(D401-D400)/((G401-G400)/60),"")</f>
        <v>6.77599999999802</v>
      </c>
      <c r="I401" s="22" t="str">
        <f aca="false">IFERROR(INDEX(Medidores!$B:$B,MATCH(B401,Medidores!$A:$A,0)),"")</f>
        <v>L22</v>
      </c>
      <c r="J401" s="22" t="s">
        <v>155</v>
      </c>
    </row>
    <row r="402" customFormat="false" ht="15" hidden="false" customHeight="false" outlineLevel="0" collapsed="false">
      <c r="A402" s="21" t="n">
        <v>46304</v>
      </c>
      <c r="B402" s="22" t="s">
        <v>65</v>
      </c>
      <c r="C402" s="23" t="n">
        <v>0.375</v>
      </c>
      <c r="D402" s="24" t="n">
        <v>8763.879</v>
      </c>
      <c r="E402" s="24" t="n">
        <v>5330.691</v>
      </c>
      <c r="F402" s="24" t="n">
        <v>11623.026</v>
      </c>
      <c r="G402" s="22" t="n">
        <f aca="false">HOUR(C402)*60+MINUTE(C402)</f>
        <v>540</v>
      </c>
      <c r="H402" s="25" t="str">
        <f aca="false">IF(AND(B402=B401,A402=A401,D402&gt;0,N(D401)&gt;0,G402&gt;N(G401)),(D402-D401)/((G402-G401)/60),"")</f>
        <v/>
      </c>
      <c r="I402" s="22" t="str">
        <f aca="false">IFERROR(INDEX(Medidores!$B:$B,MATCH(B402,Medidores!$A:$A,0)),"")</f>
        <v>L50</v>
      </c>
      <c r="J402" s="22" t="s">
        <v>156</v>
      </c>
    </row>
    <row r="403" customFormat="false" ht="15" hidden="false" customHeight="false" outlineLevel="0" collapsed="false">
      <c r="A403" s="21" t="n">
        <v>46304</v>
      </c>
      <c r="B403" s="22" t="s">
        <v>65</v>
      </c>
      <c r="C403" s="23" t="n">
        <v>0.385416666666667</v>
      </c>
      <c r="D403" s="24" t="n">
        <v>8764.035</v>
      </c>
      <c r="E403" s="24" t="n">
        <v>5330.691</v>
      </c>
      <c r="F403" s="24" t="n">
        <v>11623.19</v>
      </c>
      <c r="G403" s="22" t="n">
        <f aca="false">HOUR(C403)*60+MINUTE(C403)</f>
        <v>555</v>
      </c>
      <c r="H403" s="25" t="n">
        <f aca="false">IF(AND(B403=B402,A403=A402,D403&gt;0,N(D402)&gt;0,G403&gt;N(G402)),(D403-D402)/((G403-G402)/60),"")</f>
        <v>0.623999999996158</v>
      </c>
      <c r="I403" s="22" t="str">
        <f aca="false">IFERROR(INDEX(Medidores!$B:$B,MATCH(B403,Medidores!$A:$A,0)),"")</f>
        <v>L50</v>
      </c>
      <c r="J403" s="22" t="s">
        <v>157</v>
      </c>
    </row>
    <row r="404" customFormat="false" ht="15" hidden="false" customHeight="false" outlineLevel="0" collapsed="false">
      <c r="A404" s="21" t="n">
        <v>46304</v>
      </c>
      <c r="B404" s="22" t="s">
        <v>65</v>
      </c>
      <c r="C404" s="23" t="n">
        <v>0.395833333333333</v>
      </c>
      <c r="D404" s="24" t="n">
        <v>8764.191</v>
      </c>
      <c r="E404" s="24" t="n">
        <v>5330.691</v>
      </c>
      <c r="F404" s="24" t="n">
        <v>11623.351</v>
      </c>
      <c r="G404" s="22" t="n">
        <f aca="false">HOUR(C404)*60+MINUTE(C404)</f>
        <v>570</v>
      </c>
      <c r="H404" s="25" t="n">
        <f aca="false">IF(AND(B404=B403,A404=A403,D404&gt;0,N(D403)&gt;0,G404&gt;N(G403)),(D404-D403)/((G404-G403)/60),"")</f>
        <v>0.624000000003434</v>
      </c>
      <c r="I404" s="22" t="str">
        <f aca="false">IFERROR(INDEX(Medidores!$B:$B,MATCH(B404,Medidores!$A:$A,0)),"")</f>
        <v>L50</v>
      </c>
      <c r="J404" s="22" t="s">
        <v>158</v>
      </c>
    </row>
    <row r="405" customFormat="false" ht="15" hidden="false" customHeight="false" outlineLevel="0" collapsed="false">
      <c r="A405" s="21" t="n">
        <v>46304</v>
      </c>
      <c r="B405" s="22" t="s">
        <v>65</v>
      </c>
      <c r="C405" s="23" t="n">
        <v>0.40625</v>
      </c>
      <c r="D405" s="24" t="n">
        <v>8764.347</v>
      </c>
      <c r="E405" s="24" t="n">
        <v>5330.691</v>
      </c>
      <c r="F405" s="24" t="n">
        <v>11623.514</v>
      </c>
      <c r="G405" s="22" t="n">
        <f aca="false">HOUR(C405)*60+MINUTE(C405)</f>
        <v>585</v>
      </c>
      <c r="H405" s="25" t="n">
        <f aca="false">IF(AND(B405=B404,A405=A404,D405&gt;0,N(D404)&gt;0,G405&gt;N(G404)),(D405-D404)/((G405-G404)/60),"")</f>
        <v>0.623999999996158</v>
      </c>
      <c r="I405" s="22" t="str">
        <f aca="false">IFERROR(INDEX(Medidores!$B:$B,MATCH(B405,Medidores!$A:$A,0)),"")</f>
        <v>L50</v>
      </c>
      <c r="J405" s="22" t="s">
        <v>159</v>
      </c>
    </row>
    <row r="406" customFormat="false" ht="15" hidden="false" customHeight="false" outlineLevel="0" collapsed="false">
      <c r="A406" s="21" t="n">
        <v>46304</v>
      </c>
      <c r="B406" s="22" t="s">
        <v>65</v>
      </c>
      <c r="C406" s="23" t="n">
        <v>0.416666666666667</v>
      </c>
      <c r="D406" s="24" t="n">
        <v>8764.503</v>
      </c>
      <c r="E406" s="24" t="n">
        <v>5330.691</v>
      </c>
      <c r="F406" s="24" t="n">
        <v>11623.676</v>
      </c>
      <c r="G406" s="22" t="n">
        <f aca="false">HOUR(C406)*60+MINUTE(C406)</f>
        <v>600</v>
      </c>
      <c r="H406" s="25" t="n">
        <f aca="false">IF(AND(B406=B405,A406=A405,D406&gt;0,N(D405)&gt;0,G406&gt;N(G405)),(D406-D405)/((G406-G405)/60),"")</f>
        <v>0.624000000003434</v>
      </c>
      <c r="I406" s="22" t="str">
        <f aca="false">IFERROR(INDEX(Medidores!$B:$B,MATCH(B406,Medidores!$A:$A,0)),"")</f>
        <v>L50</v>
      </c>
      <c r="J406" s="22" t="s">
        <v>160</v>
      </c>
    </row>
    <row r="407" customFormat="false" ht="15" hidden="false" customHeight="false" outlineLevel="0" collapsed="false">
      <c r="A407" s="21" t="n">
        <v>46304</v>
      </c>
      <c r="B407" s="22" t="s">
        <v>65</v>
      </c>
      <c r="C407" s="23" t="n">
        <v>0.427083333333333</v>
      </c>
      <c r="D407" s="24" t="n">
        <v>8764.659</v>
      </c>
      <c r="E407" s="24" t="n">
        <v>5330.691</v>
      </c>
      <c r="F407" s="24" t="n">
        <v>11623.838</v>
      </c>
      <c r="G407" s="22" t="n">
        <f aca="false">HOUR(C407)*60+MINUTE(C407)</f>
        <v>615</v>
      </c>
      <c r="H407" s="25" t="n">
        <f aca="false">IF(AND(B407=B406,A407=A406,D407&gt;0,N(D406)&gt;0,G407&gt;N(G406)),(D407-D406)/((G407-G406)/60),"")</f>
        <v>0.623999999996158</v>
      </c>
      <c r="I407" s="22" t="str">
        <f aca="false">IFERROR(INDEX(Medidores!$B:$B,MATCH(B407,Medidores!$A:$A,0)),"")</f>
        <v>L50</v>
      </c>
      <c r="J407" s="22" t="s">
        <v>161</v>
      </c>
    </row>
    <row r="408" customFormat="false" ht="15" hidden="false" customHeight="false" outlineLevel="0" collapsed="false">
      <c r="A408" s="21" t="n">
        <v>46304</v>
      </c>
      <c r="B408" s="22" t="s">
        <v>65</v>
      </c>
      <c r="C408" s="23" t="n">
        <v>0.4375</v>
      </c>
      <c r="D408" s="24" t="n">
        <v>8764.815</v>
      </c>
      <c r="E408" s="24" t="n">
        <v>5330.691</v>
      </c>
      <c r="F408" s="24" t="n">
        <v>11624</v>
      </c>
      <c r="G408" s="22" t="n">
        <f aca="false">HOUR(C408)*60+MINUTE(C408)</f>
        <v>630</v>
      </c>
      <c r="H408" s="25" t="n">
        <f aca="false">IF(AND(B408=B407,A408=A407,D408&gt;0,N(D407)&gt;0,G408&gt;N(G407)),(D408-D407)/((G408-G407)/60),"")</f>
        <v>0.624000000003434</v>
      </c>
      <c r="I408" s="22" t="str">
        <f aca="false">IFERROR(INDEX(Medidores!$B:$B,MATCH(B408,Medidores!$A:$A,0)),"")</f>
        <v>L50</v>
      </c>
      <c r="J408" s="22" t="s">
        <v>162</v>
      </c>
    </row>
    <row r="409" customFormat="false" ht="15" hidden="false" customHeight="false" outlineLevel="0" collapsed="false">
      <c r="A409" s="21" t="n">
        <v>46304</v>
      </c>
      <c r="B409" s="22" t="s">
        <v>65</v>
      </c>
      <c r="C409" s="23" t="n">
        <v>0.447916666666667</v>
      </c>
      <c r="D409" s="24" t="n">
        <v>8764.972</v>
      </c>
      <c r="E409" s="24" t="n">
        <v>5330.691</v>
      </c>
      <c r="F409" s="24" t="n">
        <v>11624.162</v>
      </c>
      <c r="G409" s="22" t="n">
        <f aca="false">HOUR(C409)*60+MINUTE(C409)</f>
        <v>645</v>
      </c>
      <c r="H409" s="25" t="n">
        <f aca="false">IF(AND(B409=B408,A409=A408,D409&gt;0,N(D408)&gt;0,G409&gt;N(G408)),(D409-D408)/((G409-G408)/60),"")</f>
        <v>0.627999999996973</v>
      </c>
      <c r="I409" s="22" t="str">
        <f aca="false">IFERROR(INDEX(Medidores!$B:$B,MATCH(B409,Medidores!$A:$A,0)),"")</f>
        <v>L50</v>
      </c>
      <c r="J409" s="22" t="s">
        <v>163</v>
      </c>
    </row>
    <row r="410" customFormat="false" ht="15" hidden="false" customHeight="false" outlineLevel="0" collapsed="false">
      <c r="A410" s="21" t="n">
        <v>46304</v>
      </c>
      <c r="B410" s="22" t="s">
        <v>65</v>
      </c>
      <c r="C410" s="23" t="n">
        <v>0.458333333333333</v>
      </c>
      <c r="D410" s="24" t="n">
        <v>8765.128</v>
      </c>
      <c r="E410" s="24" t="n">
        <v>5330.691</v>
      </c>
      <c r="F410" s="24" t="n">
        <v>11624.324</v>
      </c>
      <c r="G410" s="22" t="n">
        <f aca="false">HOUR(C410)*60+MINUTE(C410)</f>
        <v>660</v>
      </c>
      <c r="H410" s="25" t="n">
        <f aca="false">IF(AND(B410=B409,A410=A409,D410&gt;0,N(D409)&gt;0,G410&gt;N(G409)),(D410-D409)/((G410-G409)/60),"")</f>
        <v>0.624000000003434</v>
      </c>
      <c r="I410" s="22" t="str">
        <f aca="false">IFERROR(INDEX(Medidores!$B:$B,MATCH(B410,Medidores!$A:$A,0)),"")</f>
        <v>L50</v>
      </c>
      <c r="J410" s="22" t="s">
        <v>164</v>
      </c>
    </row>
    <row r="411" customFormat="false" ht="15" hidden="false" customHeight="false" outlineLevel="0" collapsed="false">
      <c r="A411" s="21" t="n">
        <v>46304</v>
      </c>
      <c r="B411" s="22" t="s">
        <v>65</v>
      </c>
      <c r="C411" s="23" t="n">
        <v>0.46875</v>
      </c>
      <c r="D411" s="24" t="n">
        <v>8765.284</v>
      </c>
      <c r="E411" s="24" t="n">
        <v>5330.691</v>
      </c>
      <c r="F411" s="24" t="n">
        <v>11624.487</v>
      </c>
      <c r="G411" s="22" t="n">
        <f aca="false">HOUR(C411)*60+MINUTE(C411)</f>
        <v>675</v>
      </c>
      <c r="H411" s="25" t="n">
        <f aca="false">IF(AND(B411=B410,A411=A410,D411&gt;0,N(D410)&gt;0,G411&gt;N(G410)),(D411-D410)/((G411-G410)/60),"")</f>
        <v>0.623999999996158</v>
      </c>
      <c r="I411" s="22" t="str">
        <f aca="false">IFERROR(INDEX(Medidores!$B:$B,MATCH(B411,Medidores!$A:$A,0)),"")</f>
        <v>L50</v>
      </c>
      <c r="J411" s="22" t="s">
        <v>165</v>
      </c>
    </row>
    <row r="412" customFormat="false" ht="15" hidden="false" customHeight="false" outlineLevel="0" collapsed="false">
      <c r="A412" s="21" t="n">
        <v>46304</v>
      </c>
      <c r="B412" s="22" t="s">
        <v>65</v>
      </c>
      <c r="C412" s="23" t="n">
        <v>0.479166666666667</v>
      </c>
      <c r="D412" s="24" t="n">
        <v>8765.44</v>
      </c>
      <c r="E412" s="24" t="n">
        <v>5330.691</v>
      </c>
      <c r="F412" s="24" t="n">
        <v>11624.649</v>
      </c>
      <c r="G412" s="22" t="n">
        <f aca="false">HOUR(C412)*60+MINUTE(C412)</f>
        <v>690</v>
      </c>
      <c r="H412" s="25" t="n">
        <f aca="false">IF(AND(B412=B411,A412=A411,D412&gt;0,N(D411)&gt;0,G412&gt;N(G411)),(D412-D411)/((G412-G411)/60),"")</f>
        <v>0.624000000003434</v>
      </c>
      <c r="I412" s="22" t="str">
        <f aca="false">IFERROR(INDEX(Medidores!$B:$B,MATCH(B412,Medidores!$A:$A,0)),"")</f>
        <v>L50</v>
      </c>
      <c r="J412" s="22" t="s">
        <v>166</v>
      </c>
    </row>
    <row r="413" customFormat="false" ht="15" hidden="false" customHeight="false" outlineLevel="0" collapsed="false">
      <c r="A413" s="21" t="n">
        <v>46304</v>
      </c>
      <c r="B413" s="22" t="s">
        <v>65</v>
      </c>
      <c r="C413" s="23" t="n">
        <v>0.489583333333333</v>
      </c>
      <c r="D413" s="24" t="n">
        <v>8765.596</v>
      </c>
      <c r="E413" s="24" t="n">
        <v>5330.691</v>
      </c>
      <c r="F413" s="24" t="n">
        <v>11624.81</v>
      </c>
      <c r="G413" s="22" t="n">
        <f aca="false">HOUR(C413)*60+MINUTE(C413)</f>
        <v>705</v>
      </c>
      <c r="H413" s="25" t="n">
        <f aca="false">IF(AND(B413=B412,A413=A412,D413&gt;0,N(D412)&gt;0,G413&gt;N(G412)),(D413-D412)/((G413-G412)/60),"")</f>
        <v>0.623999999996158</v>
      </c>
      <c r="I413" s="22" t="str">
        <f aca="false">IFERROR(INDEX(Medidores!$B:$B,MATCH(B413,Medidores!$A:$A,0)),"")</f>
        <v>L50</v>
      </c>
      <c r="J413" s="22" t="s">
        <v>167</v>
      </c>
    </row>
    <row r="414" customFormat="false" ht="15" hidden="false" customHeight="false" outlineLevel="0" collapsed="false">
      <c r="A414" s="21" t="n">
        <v>46304</v>
      </c>
      <c r="B414" s="22" t="s">
        <v>65</v>
      </c>
      <c r="C414" s="23" t="n">
        <v>0.5</v>
      </c>
      <c r="D414" s="24" t="n">
        <v>8765.752</v>
      </c>
      <c r="E414" s="24" t="n">
        <v>5330.691</v>
      </c>
      <c r="F414" s="24" t="n">
        <v>11624.973</v>
      </c>
      <c r="G414" s="22" t="n">
        <f aca="false">HOUR(C414)*60+MINUTE(C414)</f>
        <v>720</v>
      </c>
      <c r="H414" s="25" t="n">
        <f aca="false">IF(AND(B414=B413,A414=A413,D414&gt;0,N(D413)&gt;0,G414&gt;N(G413)),(D414-D413)/((G414-G413)/60),"")</f>
        <v>0.624000000003434</v>
      </c>
      <c r="I414" s="22" t="str">
        <f aca="false">IFERROR(INDEX(Medidores!$B:$B,MATCH(B414,Medidores!$A:$A,0)),"")</f>
        <v>L50</v>
      </c>
      <c r="J414" s="22" t="s">
        <v>168</v>
      </c>
    </row>
    <row r="415" customFormat="false" ht="15" hidden="false" customHeight="false" outlineLevel="0" collapsed="false">
      <c r="A415" s="21" t="n">
        <v>46304</v>
      </c>
      <c r="B415" s="22" t="s">
        <v>65</v>
      </c>
      <c r="C415" s="23" t="n">
        <v>0.510416666666667</v>
      </c>
      <c r="D415" s="24" t="n">
        <v>8765.908</v>
      </c>
      <c r="E415" s="24" t="n">
        <v>5330.691</v>
      </c>
      <c r="F415" s="24" t="n">
        <v>11625.136</v>
      </c>
      <c r="G415" s="22" t="n">
        <f aca="false">HOUR(C415)*60+MINUTE(C415)</f>
        <v>735</v>
      </c>
      <c r="H415" s="25" t="n">
        <f aca="false">IF(AND(B415=B414,A415=A414,D415&gt;0,N(D414)&gt;0,G415&gt;N(G414)),(D415-D414)/((G415-G414)/60),"")</f>
        <v>0.623999999996158</v>
      </c>
      <c r="I415" s="22" t="str">
        <f aca="false">IFERROR(INDEX(Medidores!$B:$B,MATCH(B415,Medidores!$A:$A,0)),"")</f>
        <v>L50</v>
      </c>
      <c r="J415" s="22" t="s">
        <v>169</v>
      </c>
    </row>
    <row r="416" customFormat="false" ht="15" hidden="false" customHeight="false" outlineLevel="0" collapsed="false">
      <c r="A416" s="21" t="n">
        <v>46304</v>
      </c>
      <c r="B416" s="22" t="s">
        <v>65</v>
      </c>
      <c r="C416" s="23" t="n">
        <v>0.520833333333333</v>
      </c>
      <c r="D416" s="24" t="n">
        <v>8766.064</v>
      </c>
      <c r="E416" s="24" t="n">
        <v>5330.691</v>
      </c>
      <c r="F416" s="24" t="n">
        <v>11625.298</v>
      </c>
      <c r="G416" s="22" t="n">
        <f aca="false">HOUR(C416)*60+MINUTE(C416)</f>
        <v>750</v>
      </c>
      <c r="H416" s="25" t="n">
        <f aca="false">IF(AND(B416=B415,A416=A415,D416&gt;0,N(D415)&gt;0,G416&gt;N(G415)),(D416-D415)/((G416-G415)/60),"")</f>
        <v>0.624000000003434</v>
      </c>
      <c r="I416" s="22" t="str">
        <f aca="false">IFERROR(INDEX(Medidores!$B:$B,MATCH(B416,Medidores!$A:$A,0)),"")</f>
        <v>L50</v>
      </c>
      <c r="J416" s="22" t="s">
        <v>170</v>
      </c>
    </row>
    <row r="417" customFormat="false" ht="15" hidden="false" customHeight="false" outlineLevel="0" collapsed="false">
      <c r="A417" s="21" t="n">
        <v>46304</v>
      </c>
      <c r="B417" s="22" t="s">
        <v>65</v>
      </c>
      <c r="C417" s="23" t="n">
        <v>0.53125</v>
      </c>
      <c r="D417" s="24" t="n">
        <v>8766.22</v>
      </c>
      <c r="E417" s="24" t="n">
        <v>5330.691</v>
      </c>
      <c r="F417" s="24" t="n">
        <v>11625.46</v>
      </c>
      <c r="G417" s="22" t="n">
        <f aca="false">HOUR(C417)*60+MINUTE(C417)</f>
        <v>765</v>
      </c>
      <c r="H417" s="25" t="n">
        <f aca="false">IF(AND(B417=B416,A417=A416,D417&gt;0,N(D416)&gt;0,G417&gt;N(G416)),(D417-D416)/((G417-G416)/60),"")</f>
        <v>0.623999999996158</v>
      </c>
      <c r="I417" s="22" t="str">
        <f aca="false">IFERROR(INDEX(Medidores!$B:$B,MATCH(B417,Medidores!$A:$A,0)),"")</f>
        <v>L50</v>
      </c>
      <c r="J417" s="22" t="s">
        <v>171</v>
      </c>
    </row>
    <row r="418" customFormat="false" ht="15" hidden="false" customHeight="false" outlineLevel="0" collapsed="false">
      <c r="A418" s="21" t="n">
        <v>46304</v>
      </c>
      <c r="B418" s="22" t="s">
        <v>65</v>
      </c>
      <c r="C418" s="23" t="n">
        <v>0.541666666666667</v>
      </c>
      <c r="D418" s="24" t="n">
        <v>8766.376</v>
      </c>
      <c r="E418" s="24" t="n">
        <v>5330.691</v>
      </c>
      <c r="F418" s="24" t="n">
        <v>11625.622</v>
      </c>
      <c r="G418" s="22" t="n">
        <f aca="false">HOUR(C418)*60+MINUTE(C418)</f>
        <v>780</v>
      </c>
      <c r="H418" s="25" t="n">
        <f aca="false">IF(AND(B418=B417,A418=A417,D418&gt;0,N(D417)&gt;0,G418&gt;N(G417)),(D418-D417)/((G418-G417)/60),"")</f>
        <v>0.624000000003434</v>
      </c>
      <c r="I418" s="22" t="str">
        <f aca="false">IFERROR(INDEX(Medidores!$B:$B,MATCH(B418,Medidores!$A:$A,0)),"")</f>
        <v>L50</v>
      </c>
      <c r="J418" s="22" t="s">
        <v>172</v>
      </c>
    </row>
    <row r="419" customFormat="false" ht="15" hidden="false" customHeight="false" outlineLevel="0" collapsed="false">
      <c r="A419" s="21" t="n">
        <v>46304</v>
      </c>
      <c r="B419" s="22" t="s">
        <v>65</v>
      </c>
      <c r="C419" s="23" t="n">
        <v>0.552083333333333</v>
      </c>
      <c r="D419" s="24" t="n">
        <v>8766.532</v>
      </c>
      <c r="E419" s="24" t="n">
        <v>5330.691</v>
      </c>
      <c r="F419" s="24" t="n">
        <v>11625.784</v>
      </c>
      <c r="G419" s="22" t="n">
        <f aca="false">HOUR(C419)*60+MINUTE(C419)</f>
        <v>795</v>
      </c>
      <c r="H419" s="25" t="n">
        <f aca="false">IF(AND(B419=B418,A419=A418,D419&gt;0,N(D418)&gt;0,G419&gt;N(G418)),(D419-D418)/((G419-G418)/60),"")</f>
        <v>0.623999999996158</v>
      </c>
      <c r="I419" s="22" t="str">
        <f aca="false">IFERROR(INDEX(Medidores!$B:$B,MATCH(B419,Medidores!$A:$A,0)),"")</f>
        <v>L50</v>
      </c>
      <c r="J419" s="22" t="s">
        <v>173</v>
      </c>
    </row>
    <row r="420" customFormat="false" ht="15" hidden="false" customHeight="false" outlineLevel="0" collapsed="false">
      <c r="A420" s="21" t="n">
        <v>46304</v>
      </c>
      <c r="B420" s="22" t="s">
        <v>65</v>
      </c>
      <c r="C420" s="23" t="n">
        <v>0.5625</v>
      </c>
      <c r="D420" s="24" t="n">
        <v>8766.688</v>
      </c>
      <c r="E420" s="24" t="n">
        <v>5330.691</v>
      </c>
      <c r="F420" s="24" t="n">
        <v>11625.946</v>
      </c>
      <c r="G420" s="22" t="n">
        <f aca="false">HOUR(C420)*60+MINUTE(C420)</f>
        <v>810</v>
      </c>
      <c r="H420" s="25" t="n">
        <f aca="false">IF(AND(B420=B419,A420=A419,D420&gt;0,N(D419)&gt;0,G420&gt;N(G419)),(D420-D419)/((G420-G419)/60),"")</f>
        <v>0.624000000003434</v>
      </c>
      <c r="I420" s="22" t="str">
        <f aca="false">IFERROR(INDEX(Medidores!$B:$B,MATCH(B420,Medidores!$A:$A,0)),"")</f>
        <v>L50</v>
      </c>
      <c r="J420" s="22" t="s">
        <v>174</v>
      </c>
    </row>
    <row r="421" customFormat="false" ht="15" hidden="false" customHeight="false" outlineLevel="0" collapsed="false">
      <c r="A421" s="21" t="n">
        <v>46304</v>
      </c>
      <c r="B421" s="22" t="s">
        <v>65</v>
      </c>
      <c r="C421" s="23" t="n">
        <v>0.572916666666667</v>
      </c>
      <c r="D421" s="24" t="n">
        <v>8766.844</v>
      </c>
      <c r="E421" s="24" t="n">
        <v>5330.691</v>
      </c>
      <c r="F421" s="24" t="n">
        <v>11626.108</v>
      </c>
      <c r="G421" s="22" t="n">
        <f aca="false">HOUR(C421)*60+MINUTE(C421)</f>
        <v>825</v>
      </c>
      <c r="H421" s="25" t="n">
        <f aca="false">IF(AND(B421=B420,A421=A420,D421&gt;0,N(D420)&gt;0,G421&gt;N(G420)),(D421-D420)/((G421-G420)/60),"")</f>
        <v>0.623999999996158</v>
      </c>
      <c r="I421" s="22" t="str">
        <f aca="false">IFERROR(INDEX(Medidores!$B:$B,MATCH(B421,Medidores!$A:$A,0)),"")</f>
        <v>L50</v>
      </c>
      <c r="J421" s="22" t="s">
        <v>175</v>
      </c>
    </row>
    <row r="422" customFormat="false" ht="15" hidden="false" customHeight="false" outlineLevel="0" collapsed="false">
      <c r="A422" s="21" t="n">
        <v>46304</v>
      </c>
      <c r="B422" s="22" t="s">
        <v>85</v>
      </c>
      <c r="C422" s="23" t="n">
        <v>0.385416666666667</v>
      </c>
      <c r="D422" s="24" t="n">
        <v>9958.298</v>
      </c>
      <c r="E422" s="24" t="n">
        <v>3659.368</v>
      </c>
      <c r="F422" s="24" t="n">
        <v>11042.612</v>
      </c>
      <c r="G422" s="22" t="n">
        <f aca="false">HOUR(C422)*60+MINUTE(C422)</f>
        <v>555</v>
      </c>
      <c r="H422" s="25" t="str">
        <f aca="false">IF(AND(B422=B421,A422=A421,D422&gt;0,N(D421)&gt;0,G422&gt;N(G421)),(D422-D421)/((G422-G421)/60),"")</f>
        <v/>
      </c>
      <c r="I422" s="22" t="str">
        <f aca="false">IFERROR(INDEX(Medidores!$B:$B,MATCH(B422,Medidores!$A:$A,0)),"")</f>
        <v>L21</v>
      </c>
      <c r="J422" s="22" t="s">
        <v>136</v>
      </c>
    </row>
    <row r="423" customFormat="false" ht="15" hidden="false" customHeight="false" outlineLevel="0" collapsed="false">
      <c r="A423" s="21" t="n">
        <v>46304</v>
      </c>
      <c r="B423" s="22" t="s">
        <v>85</v>
      </c>
      <c r="C423" s="23" t="n">
        <v>0.395833333333333</v>
      </c>
      <c r="D423" s="24" t="n">
        <v>9958.453</v>
      </c>
      <c r="E423" s="24" t="n">
        <v>3659.368</v>
      </c>
      <c r="F423" s="24" t="n">
        <v>11042.769</v>
      </c>
      <c r="G423" s="22" t="n">
        <f aca="false">HOUR(C423)*60+MINUTE(C423)</f>
        <v>570</v>
      </c>
      <c r="H423" s="25" t="n">
        <f aca="false">IF(AND(B423=B422,A423=A422,D423&gt;0,N(D422)&gt;0,G423&gt;N(G422)),(D423-D422)/((G423-G422)/60),"")</f>
        <v>0.619999999995343</v>
      </c>
      <c r="I423" s="22" t="str">
        <f aca="false">IFERROR(INDEX(Medidores!$B:$B,MATCH(B423,Medidores!$A:$A,0)),"")</f>
        <v>L21</v>
      </c>
      <c r="J423" s="22" t="s">
        <v>137</v>
      </c>
    </row>
    <row r="424" customFormat="false" ht="15" hidden="false" customHeight="false" outlineLevel="0" collapsed="false">
      <c r="A424" s="21" t="n">
        <v>46304</v>
      </c>
      <c r="B424" s="22" t="s">
        <v>85</v>
      </c>
      <c r="C424" s="23" t="n">
        <v>0.40625</v>
      </c>
      <c r="D424" s="24" t="n">
        <v>9958.607</v>
      </c>
      <c r="E424" s="24" t="n">
        <v>3659.368</v>
      </c>
      <c r="F424" s="24" t="n">
        <v>11042.925</v>
      </c>
      <c r="G424" s="22" t="n">
        <f aca="false">HOUR(C424)*60+MINUTE(C424)</f>
        <v>585</v>
      </c>
      <c r="H424" s="25" t="n">
        <f aca="false">IF(AND(B424=B423,A424=A423,D424&gt;0,N(D423)&gt;0,G424&gt;N(G423)),(D424-D423)/((G424-G423)/60),"")</f>
        <v>0.616000000001804</v>
      </c>
      <c r="I424" s="22" t="str">
        <f aca="false">IFERROR(INDEX(Medidores!$B:$B,MATCH(B424,Medidores!$A:$A,0)),"")</f>
        <v>L21</v>
      </c>
      <c r="J424" s="22" t="s">
        <v>138</v>
      </c>
    </row>
    <row r="425" customFormat="false" ht="15" hidden="false" customHeight="false" outlineLevel="0" collapsed="false">
      <c r="A425" s="21" t="n">
        <v>46304</v>
      </c>
      <c r="B425" s="22" t="s">
        <v>85</v>
      </c>
      <c r="C425" s="23" t="n">
        <v>0.416666666666667</v>
      </c>
      <c r="D425" s="24" t="n">
        <v>9958.762</v>
      </c>
      <c r="E425" s="24" t="n">
        <v>3659.368</v>
      </c>
      <c r="F425" s="24" t="n">
        <v>11043.082</v>
      </c>
      <c r="G425" s="22" t="n">
        <f aca="false">HOUR(C425)*60+MINUTE(C425)</f>
        <v>600</v>
      </c>
      <c r="H425" s="25" t="n">
        <f aca="false">IF(AND(B425=B424,A425=A424,D425&gt;0,N(D424)&gt;0,G425&gt;N(G424)),(D425-D424)/((G425-G424)/60),"")</f>
        <v>0.620000000002619</v>
      </c>
      <c r="I425" s="22" t="str">
        <f aca="false">IFERROR(INDEX(Medidores!$B:$B,MATCH(B425,Medidores!$A:$A,0)),"")</f>
        <v>L21</v>
      </c>
      <c r="J425" s="22" t="s">
        <v>139</v>
      </c>
    </row>
    <row r="426" customFormat="false" ht="15" hidden="false" customHeight="false" outlineLevel="0" collapsed="false">
      <c r="A426" s="21" t="n">
        <v>46304</v>
      </c>
      <c r="B426" s="22" t="s">
        <v>85</v>
      </c>
      <c r="C426" s="23" t="n">
        <v>0.427083333333333</v>
      </c>
      <c r="D426" s="24" t="n">
        <v>9958.916</v>
      </c>
      <c r="E426" s="24" t="n">
        <v>3659.368</v>
      </c>
      <c r="F426" s="24" t="n">
        <v>11043.239</v>
      </c>
      <c r="G426" s="22" t="n">
        <f aca="false">HOUR(C426)*60+MINUTE(C426)</f>
        <v>615</v>
      </c>
      <c r="H426" s="25" t="n">
        <f aca="false">IF(AND(B426=B425,A426=A425,D426&gt;0,N(D425)&gt;0,G426&gt;N(G425)),(D426-D425)/((G426-G425)/60),"")</f>
        <v>0.615999999994529</v>
      </c>
      <c r="I426" s="22" t="str">
        <f aca="false">IFERROR(INDEX(Medidores!$B:$B,MATCH(B426,Medidores!$A:$A,0)),"")</f>
        <v>L21</v>
      </c>
      <c r="J426" s="22" t="s">
        <v>140</v>
      </c>
    </row>
    <row r="427" customFormat="false" ht="15" hidden="false" customHeight="false" outlineLevel="0" collapsed="false">
      <c r="A427" s="21" t="n">
        <v>46304</v>
      </c>
      <c r="B427" s="22" t="s">
        <v>85</v>
      </c>
      <c r="C427" s="23" t="n">
        <v>0.4375</v>
      </c>
      <c r="D427" s="24" t="n">
        <v>9959.07</v>
      </c>
      <c r="E427" s="24" t="n">
        <v>3659.368</v>
      </c>
      <c r="F427" s="24" t="n">
        <v>11043.395</v>
      </c>
      <c r="G427" s="22" t="n">
        <f aca="false">HOUR(C427)*60+MINUTE(C427)</f>
        <v>630</v>
      </c>
      <c r="H427" s="25" t="n">
        <f aca="false">IF(AND(B427=B426,A427=A426,D427&gt;0,N(D426)&gt;0,G427&gt;N(G426)),(D427-D426)/((G427-G426)/60),"")</f>
        <v>0.616000000001804</v>
      </c>
      <c r="I427" s="22" t="str">
        <f aca="false">IFERROR(INDEX(Medidores!$B:$B,MATCH(B427,Medidores!$A:$A,0)),"")</f>
        <v>L21</v>
      </c>
      <c r="J427" s="22" t="s">
        <v>141</v>
      </c>
    </row>
    <row r="428" customFormat="false" ht="15" hidden="false" customHeight="false" outlineLevel="0" collapsed="false">
      <c r="A428" s="21" t="n">
        <v>46304</v>
      </c>
      <c r="B428" s="22" t="s">
        <v>85</v>
      </c>
      <c r="C428" s="23" t="n">
        <v>0.447916666666667</v>
      </c>
      <c r="D428" s="24" t="n">
        <v>9959.225</v>
      </c>
      <c r="E428" s="24" t="n">
        <v>3659.368</v>
      </c>
      <c r="F428" s="24" t="n">
        <v>11043.552</v>
      </c>
      <c r="G428" s="22" t="n">
        <f aca="false">HOUR(C428)*60+MINUTE(C428)</f>
        <v>645</v>
      </c>
      <c r="H428" s="25" t="n">
        <f aca="false">IF(AND(B428=B427,A428=A427,D428&gt;0,N(D427)&gt;0,G428&gt;N(G427)),(D428-D427)/((G428-G427)/60),"")</f>
        <v>0.620000000002619</v>
      </c>
      <c r="I428" s="22" t="str">
        <f aca="false">IFERROR(INDEX(Medidores!$B:$B,MATCH(B428,Medidores!$A:$A,0)),"")</f>
        <v>L21</v>
      </c>
      <c r="J428" s="22" t="s">
        <v>142</v>
      </c>
    </row>
    <row r="429" customFormat="false" ht="15" hidden="false" customHeight="false" outlineLevel="0" collapsed="false">
      <c r="A429" s="21" t="n">
        <v>46304</v>
      </c>
      <c r="B429" s="22" t="s">
        <v>85</v>
      </c>
      <c r="C429" s="23" t="n">
        <v>0.458333333333333</v>
      </c>
      <c r="D429" s="24" t="n">
        <v>9959.379</v>
      </c>
      <c r="E429" s="24" t="n">
        <v>3659.368</v>
      </c>
      <c r="F429" s="24" t="n">
        <v>11043.709</v>
      </c>
      <c r="G429" s="22" t="n">
        <f aca="false">HOUR(C429)*60+MINUTE(C429)</f>
        <v>660</v>
      </c>
      <c r="H429" s="25" t="n">
        <f aca="false">IF(AND(B429=B428,A429=A428,D429&gt;0,N(D428)&gt;0,G429&gt;N(G428)),(D429-D428)/((G429-G428)/60),"")</f>
        <v>0.616000000001804</v>
      </c>
      <c r="I429" s="22" t="str">
        <f aca="false">IFERROR(INDEX(Medidores!$B:$B,MATCH(B429,Medidores!$A:$A,0)),"")</f>
        <v>L21</v>
      </c>
      <c r="J429" s="22" t="s">
        <v>143</v>
      </c>
    </row>
    <row r="430" customFormat="false" ht="15" hidden="false" customHeight="false" outlineLevel="0" collapsed="false">
      <c r="A430" s="21" t="n">
        <v>46304</v>
      </c>
      <c r="B430" s="22" t="s">
        <v>85</v>
      </c>
      <c r="C430" s="23" t="n">
        <v>0.46875</v>
      </c>
      <c r="D430" s="24" t="n">
        <v>9959.534</v>
      </c>
      <c r="E430" s="24" t="n">
        <v>3659.368</v>
      </c>
      <c r="F430" s="24" t="n">
        <v>11043.866</v>
      </c>
      <c r="G430" s="22" t="n">
        <f aca="false">HOUR(C430)*60+MINUTE(C430)</f>
        <v>675</v>
      </c>
      <c r="H430" s="25" t="n">
        <f aca="false">IF(AND(B430=B429,A430=A429,D430&gt;0,N(D429)&gt;0,G430&gt;N(G429)),(D430-D429)/((G430-G429)/60),"")</f>
        <v>0.619999999995343</v>
      </c>
      <c r="I430" s="22" t="str">
        <f aca="false">IFERROR(INDEX(Medidores!$B:$B,MATCH(B430,Medidores!$A:$A,0)),"")</f>
        <v>L21</v>
      </c>
      <c r="J430" s="22" t="s">
        <v>144</v>
      </c>
    </row>
    <row r="431" customFormat="false" ht="15" hidden="false" customHeight="false" outlineLevel="0" collapsed="false">
      <c r="A431" s="21" t="n">
        <v>46304</v>
      </c>
      <c r="B431" s="22" t="s">
        <v>85</v>
      </c>
      <c r="C431" s="23" t="n">
        <v>0.479166666666667</v>
      </c>
      <c r="D431" s="24" t="n">
        <v>9959.688</v>
      </c>
      <c r="E431" s="24" t="n">
        <v>3659.368</v>
      </c>
      <c r="F431" s="24" t="n">
        <v>11044.023</v>
      </c>
      <c r="G431" s="22" t="n">
        <f aca="false">HOUR(C431)*60+MINUTE(C431)</f>
        <v>690</v>
      </c>
      <c r="H431" s="25" t="n">
        <f aca="false">IF(AND(B431=B430,A431=A430,D431&gt;0,N(D430)&gt;0,G431&gt;N(G430)),(D431-D430)/((G431-G430)/60),"")</f>
        <v>0.616000000001804</v>
      </c>
      <c r="I431" s="22" t="str">
        <f aca="false">IFERROR(INDEX(Medidores!$B:$B,MATCH(B431,Medidores!$A:$A,0)),"")</f>
        <v>L21</v>
      </c>
      <c r="J431" s="22" t="s">
        <v>145</v>
      </c>
    </row>
    <row r="432" customFormat="false" ht="15" hidden="false" customHeight="false" outlineLevel="0" collapsed="false">
      <c r="A432" s="21" t="n">
        <v>46304</v>
      </c>
      <c r="B432" s="22" t="s">
        <v>85</v>
      </c>
      <c r="C432" s="23" t="n">
        <v>0.489583333333333</v>
      </c>
      <c r="D432" s="24" t="n">
        <v>9959.843</v>
      </c>
      <c r="E432" s="24" t="n">
        <v>3659.368</v>
      </c>
      <c r="F432" s="24" t="n">
        <v>11044.181</v>
      </c>
      <c r="G432" s="22" t="n">
        <f aca="false">HOUR(C432)*60+MINUTE(C432)</f>
        <v>705</v>
      </c>
      <c r="H432" s="25" t="n">
        <f aca="false">IF(AND(B432=B431,A432=A431,D432&gt;0,N(D431)&gt;0,G432&gt;N(G431)),(D432-D431)/((G432-G431)/60),"")</f>
        <v>0.620000000002619</v>
      </c>
      <c r="I432" s="22" t="str">
        <f aca="false">IFERROR(INDEX(Medidores!$B:$B,MATCH(B432,Medidores!$A:$A,0)),"")</f>
        <v>L21</v>
      </c>
      <c r="J432" s="22" t="s">
        <v>146</v>
      </c>
    </row>
    <row r="433" customFormat="false" ht="15" hidden="false" customHeight="false" outlineLevel="0" collapsed="false">
      <c r="A433" s="21" t="n">
        <v>46304</v>
      </c>
      <c r="B433" s="22" t="s">
        <v>85</v>
      </c>
      <c r="C433" s="23" t="n">
        <v>0.5</v>
      </c>
      <c r="D433" s="24" t="n">
        <v>9959.997</v>
      </c>
      <c r="E433" s="24" t="n">
        <v>3659.368</v>
      </c>
      <c r="F433" s="24" t="n">
        <v>11044.338</v>
      </c>
      <c r="G433" s="22" t="n">
        <f aca="false">HOUR(C433)*60+MINUTE(C433)</f>
        <v>720</v>
      </c>
      <c r="H433" s="25" t="n">
        <f aca="false">IF(AND(B433=B432,A433=A432,D433&gt;0,N(D432)&gt;0,G433&gt;N(G432)),(D433-D432)/((G433-G432)/60),"")</f>
        <v>0.615999999994529</v>
      </c>
      <c r="I433" s="22" t="str">
        <f aca="false">IFERROR(INDEX(Medidores!$B:$B,MATCH(B433,Medidores!$A:$A,0)),"")</f>
        <v>L21</v>
      </c>
      <c r="J433" s="22" t="s">
        <v>147</v>
      </c>
    </row>
    <row r="434" customFormat="false" ht="15" hidden="false" customHeight="false" outlineLevel="0" collapsed="false">
      <c r="A434" s="21" t="n">
        <v>46304</v>
      </c>
      <c r="B434" s="22" t="s">
        <v>85</v>
      </c>
      <c r="C434" s="23" t="n">
        <v>0.510416666666667</v>
      </c>
      <c r="D434" s="24" t="n">
        <v>9960.152</v>
      </c>
      <c r="E434" s="24" t="n">
        <v>3659.368</v>
      </c>
      <c r="F434" s="24" t="n">
        <v>11044.495</v>
      </c>
      <c r="G434" s="22" t="n">
        <f aca="false">HOUR(C434)*60+MINUTE(C434)</f>
        <v>735</v>
      </c>
      <c r="H434" s="25" t="n">
        <f aca="false">IF(AND(B434=B433,A434=A433,D434&gt;0,N(D433)&gt;0,G434&gt;N(G433)),(D434-D433)/((G434-G433)/60),"")</f>
        <v>0.620000000002619</v>
      </c>
      <c r="I434" s="22" t="str">
        <f aca="false">IFERROR(INDEX(Medidores!$B:$B,MATCH(B434,Medidores!$A:$A,0)),"")</f>
        <v>L21</v>
      </c>
      <c r="J434" s="22" t="s">
        <v>148</v>
      </c>
    </row>
    <row r="435" customFormat="false" ht="15" hidden="false" customHeight="false" outlineLevel="0" collapsed="false">
      <c r="A435" s="21" t="n">
        <v>46304</v>
      </c>
      <c r="B435" s="22" t="s">
        <v>85</v>
      </c>
      <c r="C435" s="23" t="n">
        <v>0.520833333333333</v>
      </c>
      <c r="D435" s="24" t="n">
        <v>9960.309</v>
      </c>
      <c r="E435" s="24" t="n">
        <v>3659.368</v>
      </c>
      <c r="F435" s="24" t="n">
        <v>11044.654</v>
      </c>
      <c r="G435" s="22" t="n">
        <f aca="false">HOUR(C435)*60+MINUTE(C435)</f>
        <v>750</v>
      </c>
      <c r="H435" s="25" t="n">
        <f aca="false">IF(AND(B435=B434,A435=A434,D435&gt;0,N(D434)&gt;0,G435&gt;N(G434)),(D435-D434)/((G435-G434)/60),"")</f>
        <v>0.627999999996973</v>
      </c>
      <c r="I435" s="22" t="str">
        <f aca="false">IFERROR(INDEX(Medidores!$B:$B,MATCH(B435,Medidores!$A:$A,0)),"")</f>
        <v>L21</v>
      </c>
      <c r="J435" s="22" t="s">
        <v>149</v>
      </c>
    </row>
    <row r="436" customFormat="false" ht="15" hidden="false" customHeight="false" outlineLevel="0" collapsed="false">
      <c r="A436" s="21" t="n">
        <v>46304</v>
      </c>
      <c r="B436" s="22" t="s">
        <v>85</v>
      </c>
      <c r="C436" s="23" t="n">
        <v>0.53125</v>
      </c>
      <c r="D436" s="24" t="n">
        <v>9960.464</v>
      </c>
      <c r="E436" s="24" t="n">
        <v>3659.368</v>
      </c>
      <c r="F436" s="24" t="n">
        <v>11044.811</v>
      </c>
      <c r="G436" s="22" t="n">
        <f aca="false">HOUR(C436)*60+MINUTE(C436)</f>
        <v>765</v>
      </c>
      <c r="H436" s="25" t="n">
        <f aca="false">IF(AND(B436=B435,A436=A435,D436&gt;0,N(D435)&gt;0,G436&gt;N(G435)),(D436-D435)/((G436-G435)/60),"")</f>
        <v>0.620000000002619</v>
      </c>
      <c r="I436" s="22" t="str">
        <f aca="false">IFERROR(INDEX(Medidores!$B:$B,MATCH(B436,Medidores!$A:$A,0)),"")</f>
        <v>L21</v>
      </c>
      <c r="J436" s="22" t="s">
        <v>150</v>
      </c>
    </row>
    <row r="437" customFormat="false" ht="15" hidden="false" customHeight="false" outlineLevel="0" collapsed="false">
      <c r="A437" s="21" t="n">
        <v>46304</v>
      </c>
      <c r="B437" s="22" t="s">
        <v>85</v>
      </c>
      <c r="C437" s="23" t="n">
        <v>0.541666666666667</v>
      </c>
      <c r="D437" s="24" t="n">
        <v>9960.619</v>
      </c>
      <c r="E437" s="24" t="n">
        <v>3659.368</v>
      </c>
      <c r="F437" s="24" t="n">
        <v>11044.969</v>
      </c>
      <c r="G437" s="22" t="n">
        <f aca="false">HOUR(C437)*60+MINUTE(C437)</f>
        <v>780</v>
      </c>
      <c r="H437" s="25" t="n">
        <f aca="false">IF(AND(B437=B436,A437=A436,D437&gt;0,N(D436)&gt;0,G437&gt;N(G436)),(D437-D436)/((G437-G436)/60),"")</f>
        <v>0.620000000002619</v>
      </c>
      <c r="I437" s="22" t="str">
        <f aca="false">IFERROR(INDEX(Medidores!$B:$B,MATCH(B437,Medidores!$A:$A,0)),"")</f>
        <v>L21</v>
      </c>
      <c r="J437" s="22" t="s">
        <v>151</v>
      </c>
    </row>
    <row r="438" customFormat="false" ht="15" hidden="false" customHeight="false" outlineLevel="0" collapsed="false">
      <c r="A438" s="21" t="n">
        <v>46304</v>
      </c>
      <c r="B438" s="22" t="s">
        <v>85</v>
      </c>
      <c r="C438" s="23" t="n">
        <v>0.552083333333333</v>
      </c>
      <c r="D438" s="24" t="n">
        <v>9960.775</v>
      </c>
      <c r="E438" s="24" t="n">
        <v>3659.368</v>
      </c>
      <c r="F438" s="24" t="n">
        <v>11045.126</v>
      </c>
      <c r="G438" s="22" t="n">
        <f aca="false">HOUR(C438)*60+MINUTE(C438)</f>
        <v>795</v>
      </c>
      <c r="H438" s="25" t="n">
        <f aca="false">IF(AND(B438=B437,A438=A437,D438&gt;0,N(D437)&gt;0,G438&gt;N(G437)),(D438-D437)/((G438-G437)/60),"")</f>
        <v>0.623999999996158</v>
      </c>
      <c r="I438" s="22" t="str">
        <f aca="false">IFERROR(INDEX(Medidores!$B:$B,MATCH(B438,Medidores!$A:$A,0)),"")</f>
        <v>L21</v>
      </c>
      <c r="J438" s="22" t="s">
        <v>152</v>
      </c>
    </row>
    <row r="439" customFormat="false" ht="15" hidden="false" customHeight="false" outlineLevel="0" collapsed="false">
      <c r="A439" s="21" t="n">
        <v>46304</v>
      </c>
      <c r="B439" s="22" t="s">
        <v>85</v>
      </c>
      <c r="C439" s="23" t="n">
        <v>0.5625</v>
      </c>
      <c r="D439" s="24" t="n">
        <v>9960.929</v>
      </c>
      <c r="E439" s="24" t="n">
        <v>3659.368</v>
      </c>
      <c r="F439" s="24" t="n">
        <v>11045.283</v>
      </c>
      <c r="G439" s="22" t="n">
        <f aca="false">HOUR(C439)*60+MINUTE(C439)</f>
        <v>810</v>
      </c>
      <c r="H439" s="25" t="n">
        <f aca="false">IF(AND(B439=B438,A439=A438,D439&gt;0,N(D438)&gt;0,G439&gt;N(G438)),(D439-D438)/((G439-G438)/60),"")</f>
        <v>0.616000000001804</v>
      </c>
      <c r="I439" s="22" t="str">
        <f aca="false">IFERROR(INDEX(Medidores!$B:$B,MATCH(B439,Medidores!$A:$A,0)),"")</f>
        <v>L21</v>
      </c>
      <c r="J439" s="22" t="s">
        <v>153</v>
      </c>
    </row>
    <row r="440" customFormat="false" ht="15" hidden="false" customHeight="false" outlineLevel="0" collapsed="false">
      <c r="A440" s="21" t="n">
        <v>46304</v>
      </c>
      <c r="B440" s="22" t="s">
        <v>85</v>
      </c>
      <c r="C440" s="23" t="n">
        <v>0.572916666666667</v>
      </c>
      <c r="D440" s="24" t="n">
        <v>9961.086</v>
      </c>
      <c r="E440" s="24" t="n">
        <v>3659.368</v>
      </c>
      <c r="F440" s="24" t="n">
        <v>11045.442</v>
      </c>
      <c r="G440" s="22" t="n">
        <f aca="false">HOUR(C440)*60+MINUTE(C440)</f>
        <v>825</v>
      </c>
      <c r="H440" s="25" t="n">
        <f aca="false">IF(AND(B440=B439,A440=A439,D440&gt;0,N(D439)&gt;0,G440&gt;N(G439)),(D440-D439)/((G440-G439)/60),"")</f>
        <v>0.627999999996973</v>
      </c>
      <c r="I440" s="22" t="str">
        <f aca="false">IFERROR(INDEX(Medidores!$B:$B,MATCH(B440,Medidores!$A:$A,0)),"")</f>
        <v>L21</v>
      </c>
      <c r="J440" s="22" t="s">
        <v>154</v>
      </c>
    </row>
    <row r="441" customFormat="false" ht="15" hidden="false" customHeight="false" outlineLevel="0" collapsed="false">
      <c r="A441" s="21" t="n">
        <v>46304</v>
      </c>
      <c r="B441" s="22" t="s">
        <v>85</v>
      </c>
      <c r="C441" s="23" t="n">
        <v>0.583333333333333</v>
      </c>
      <c r="D441" s="24" t="n">
        <v>9961.256</v>
      </c>
      <c r="E441" s="24" t="n">
        <v>3659.368</v>
      </c>
      <c r="F441" s="24" t="n">
        <v>11045.615</v>
      </c>
      <c r="G441" s="22" t="n">
        <f aca="false">HOUR(C441)*60+MINUTE(C441)</f>
        <v>840</v>
      </c>
      <c r="H441" s="25" t="n">
        <f aca="false">IF(AND(B441=B440,A441=A440,D441&gt;0,N(D440)&gt;0,G441&gt;N(G440)),(D441-D440)/((G441-G440)/60),"")</f>
        <v>0.680000000000291</v>
      </c>
      <c r="I441" s="22" t="str">
        <f aca="false">IFERROR(INDEX(Medidores!$B:$B,MATCH(B441,Medidores!$A:$A,0)),"")</f>
        <v>L21</v>
      </c>
      <c r="J441" s="22" t="s">
        <v>155</v>
      </c>
    </row>
    <row r="442" customFormat="false" ht="15" hidden="false" customHeight="false" outlineLevel="0" collapsed="false">
      <c r="A442" s="21" t="n">
        <v>46304</v>
      </c>
      <c r="B442" s="22" t="s">
        <v>87</v>
      </c>
      <c r="C442" s="23" t="n">
        <v>0.385416666666667</v>
      </c>
      <c r="D442" s="24" t="n">
        <v>10562.558</v>
      </c>
      <c r="E442" s="24" t="n">
        <v>4940.965</v>
      </c>
      <c r="F442" s="24" t="n">
        <v>11841.483</v>
      </c>
      <c r="G442" s="22" t="n">
        <f aca="false">HOUR(C442)*60+MINUTE(C442)</f>
        <v>555</v>
      </c>
      <c r="H442" s="25" t="str">
        <f aca="false">IF(AND(B442=B441,A442=A441,D442&gt;0,N(D441)&gt;0,G442&gt;N(G441)),(D442-D441)/((G442-G441)/60),"")</f>
        <v/>
      </c>
      <c r="I442" s="22" t="str">
        <f aca="false">IFERROR(INDEX(Medidores!$B:$B,MATCH(B442,Medidores!$A:$A,0)),"")</f>
        <v>L14</v>
      </c>
      <c r="J442" s="22" t="s">
        <v>157</v>
      </c>
    </row>
    <row r="443" customFormat="false" ht="15" hidden="false" customHeight="false" outlineLevel="0" collapsed="false">
      <c r="A443" s="21" t="n">
        <v>46304</v>
      </c>
      <c r="B443" s="22" t="s">
        <v>87</v>
      </c>
      <c r="C443" s="23" t="n">
        <v>0.395833333333333</v>
      </c>
      <c r="D443" s="24" t="n">
        <v>10563.103</v>
      </c>
      <c r="E443" s="24" t="n">
        <v>4941.328</v>
      </c>
      <c r="F443" s="24" t="n">
        <v>11842.14</v>
      </c>
      <c r="G443" s="22" t="n">
        <f aca="false">HOUR(C443)*60+MINUTE(C443)</f>
        <v>570</v>
      </c>
      <c r="H443" s="25" t="n">
        <f aca="false">IF(AND(B443=B442,A443=A442,D443&gt;0,N(D442)&gt;0,G443&gt;N(G442)),(D443-D442)/((G443-G442)/60),"")</f>
        <v>2.17999999999302</v>
      </c>
      <c r="I443" s="22" t="str">
        <f aca="false">IFERROR(INDEX(Medidores!$B:$B,MATCH(B443,Medidores!$A:$A,0)),"")</f>
        <v>L14</v>
      </c>
      <c r="J443" s="22" t="s">
        <v>158</v>
      </c>
    </row>
    <row r="444" customFormat="false" ht="15" hidden="false" customHeight="false" outlineLevel="0" collapsed="false">
      <c r="A444" s="21" t="n">
        <v>46304</v>
      </c>
      <c r="B444" s="22" t="s">
        <v>87</v>
      </c>
      <c r="C444" s="23" t="n">
        <v>0.40625</v>
      </c>
      <c r="D444" s="24" t="n">
        <v>10563.648</v>
      </c>
      <c r="E444" s="24" t="n">
        <v>4941.684</v>
      </c>
      <c r="F444" s="24" t="n">
        <v>11842.791</v>
      </c>
      <c r="G444" s="22" t="n">
        <f aca="false">HOUR(C444)*60+MINUTE(C444)</f>
        <v>585</v>
      </c>
      <c r="H444" s="25" t="n">
        <f aca="false">IF(AND(B444=B443,A444=A443,D444&gt;0,N(D443)&gt;0,G444&gt;N(G443)),(D444-D443)/((G444-G443)/60),"")</f>
        <v>2.18000000000029</v>
      </c>
      <c r="I444" s="22" t="str">
        <f aca="false">IFERROR(INDEX(Medidores!$B:$B,MATCH(B444,Medidores!$A:$A,0)),"")</f>
        <v>L14</v>
      </c>
      <c r="J444" s="22" t="s">
        <v>159</v>
      </c>
    </row>
    <row r="445" customFormat="false" ht="15" hidden="false" customHeight="false" outlineLevel="0" collapsed="false">
      <c r="A445" s="21" t="n">
        <v>46304</v>
      </c>
      <c r="B445" s="22" t="s">
        <v>87</v>
      </c>
      <c r="C445" s="23" t="n">
        <v>0.416666666666667</v>
      </c>
      <c r="D445" s="24" t="n">
        <v>10564.419</v>
      </c>
      <c r="E445" s="24" t="n">
        <v>4942.114</v>
      </c>
      <c r="F445" s="24" t="n">
        <v>11843.677</v>
      </c>
      <c r="G445" s="22" t="n">
        <f aca="false">HOUR(C445)*60+MINUTE(C445)</f>
        <v>600</v>
      </c>
      <c r="H445" s="25" t="n">
        <f aca="false">IF(AND(B445=B444,A445=A444,D445&gt;0,N(D444)&gt;0,G445&gt;N(G444)),(D445-D444)/((G445-G444)/60),"")</f>
        <v>3.08400000000256</v>
      </c>
      <c r="I445" s="22" t="str">
        <f aca="false">IFERROR(INDEX(Medidores!$B:$B,MATCH(B445,Medidores!$A:$A,0)),"")</f>
        <v>L14</v>
      </c>
      <c r="J445" s="22" t="s">
        <v>160</v>
      </c>
    </row>
    <row r="446" customFormat="false" ht="15" hidden="false" customHeight="false" outlineLevel="0" collapsed="false">
      <c r="A446" s="21" t="n">
        <v>46304</v>
      </c>
      <c r="B446" s="22" t="s">
        <v>87</v>
      </c>
      <c r="C446" s="23" t="n">
        <v>0.427083333333333</v>
      </c>
      <c r="D446" s="24" t="n">
        <v>10565.473</v>
      </c>
      <c r="E446" s="24" t="n">
        <v>4942.636</v>
      </c>
      <c r="F446" s="24" t="n">
        <v>11844.853</v>
      </c>
      <c r="G446" s="22" t="n">
        <f aca="false">HOUR(C446)*60+MINUTE(C446)</f>
        <v>615</v>
      </c>
      <c r="H446" s="25" t="n">
        <f aca="false">IF(AND(B446=B445,A446=A445,D446&gt;0,N(D445)&gt;0,G446&gt;N(G445)),(D446-D445)/((G446-G445)/60),"")</f>
        <v>4.21600000000035</v>
      </c>
      <c r="I446" s="22" t="str">
        <f aca="false">IFERROR(INDEX(Medidores!$B:$B,MATCH(B446,Medidores!$A:$A,0)),"")</f>
        <v>L14</v>
      </c>
      <c r="J446" s="22" t="s">
        <v>161</v>
      </c>
    </row>
    <row r="447" customFormat="false" ht="15" hidden="false" customHeight="false" outlineLevel="0" collapsed="false">
      <c r="A447" s="21" t="n">
        <v>46304</v>
      </c>
      <c r="B447" s="22" t="s">
        <v>87</v>
      </c>
      <c r="C447" s="23" t="n">
        <v>0.4375</v>
      </c>
      <c r="D447" s="24" t="n">
        <v>10566.52</v>
      </c>
      <c r="E447" s="24" t="n">
        <v>4943.164</v>
      </c>
      <c r="F447" s="24" t="n">
        <v>11846.027</v>
      </c>
      <c r="G447" s="22" t="n">
        <f aca="false">HOUR(C447)*60+MINUTE(C447)</f>
        <v>630</v>
      </c>
      <c r="H447" s="25" t="n">
        <f aca="false">IF(AND(B447=B446,A447=A446,D447&gt;0,N(D446)&gt;0,G447&gt;N(G446)),(D447-D446)/((G447-G446)/60),"")</f>
        <v>4.18800000000192</v>
      </c>
      <c r="I447" s="22" t="str">
        <f aca="false">IFERROR(INDEX(Medidores!$B:$B,MATCH(B447,Medidores!$A:$A,0)),"")</f>
        <v>L14</v>
      </c>
      <c r="J447" s="22" t="s">
        <v>162</v>
      </c>
    </row>
    <row r="448" customFormat="false" ht="15" hidden="false" customHeight="false" outlineLevel="0" collapsed="false">
      <c r="A448" s="21" t="n">
        <v>46304</v>
      </c>
      <c r="B448" s="22" t="s">
        <v>87</v>
      </c>
      <c r="C448" s="23" t="n">
        <v>0.447916666666667</v>
      </c>
      <c r="D448" s="24" t="n">
        <v>10567.384</v>
      </c>
      <c r="E448" s="24" t="n">
        <v>4943.626</v>
      </c>
      <c r="F448" s="24" t="n">
        <v>11847.008</v>
      </c>
      <c r="G448" s="22" t="n">
        <f aca="false">HOUR(C448)*60+MINUTE(C448)</f>
        <v>645</v>
      </c>
      <c r="H448" s="25" t="n">
        <f aca="false">IF(AND(B448=B447,A448=A447,D448&gt;0,N(D447)&gt;0,G448&gt;N(G447)),(D448-D447)/((G448-G447)/60),"")</f>
        <v>3.45599999999831</v>
      </c>
      <c r="I448" s="22" t="str">
        <f aca="false">IFERROR(INDEX(Medidores!$B:$B,MATCH(B448,Medidores!$A:$A,0)),"")</f>
        <v>L14</v>
      </c>
      <c r="J448" s="22" t="s">
        <v>163</v>
      </c>
    </row>
    <row r="449" customFormat="false" ht="15" hidden="false" customHeight="false" outlineLevel="0" collapsed="false">
      <c r="A449" s="21" t="n">
        <v>46304</v>
      </c>
      <c r="B449" s="22" t="s">
        <v>87</v>
      </c>
      <c r="C449" s="23" t="n">
        <v>0.458333333333333</v>
      </c>
      <c r="D449" s="24" t="n">
        <v>10567.838</v>
      </c>
      <c r="E449" s="24" t="n">
        <v>4943.728</v>
      </c>
      <c r="F449" s="24" t="n">
        <v>11847.48</v>
      </c>
      <c r="G449" s="22" t="n">
        <f aca="false">HOUR(C449)*60+MINUTE(C449)</f>
        <v>660</v>
      </c>
      <c r="H449" s="25" t="n">
        <f aca="false">IF(AND(B449=B448,A449=A448,D449&gt;0,N(D448)&gt;0,G449&gt;N(G448)),(D449-D448)/((G449-G448)/60),"")</f>
        <v>1.81599999999889</v>
      </c>
      <c r="I449" s="22" t="str">
        <f aca="false">IFERROR(INDEX(Medidores!$B:$B,MATCH(B449,Medidores!$A:$A,0)),"")</f>
        <v>L14</v>
      </c>
      <c r="J449" s="22" t="s">
        <v>164</v>
      </c>
    </row>
    <row r="450" customFormat="false" ht="15" hidden="false" customHeight="false" outlineLevel="0" collapsed="false">
      <c r="A450" s="21" t="n">
        <v>46304</v>
      </c>
      <c r="B450" s="22" t="s">
        <v>87</v>
      </c>
      <c r="C450" s="23" t="n">
        <v>0.46875</v>
      </c>
      <c r="D450" s="24" t="n">
        <v>10568.467</v>
      </c>
      <c r="E450" s="24" t="n">
        <v>4943.999</v>
      </c>
      <c r="F450" s="24" t="n">
        <v>11848.175</v>
      </c>
      <c r="G450" s="22" t="n">
        <f aca="false">HOUR(C450)*60+MINUTE(C450)</f>
        <v>675</v>
      </c>
      <c r="H450" s="25" t="n">
        <f aca="false">IF(AND(B450=B449,A450=A449,D450&gt;0,N(D449)&gt;0,G450&gt;N(G449)),(D450-D449)/((G450-G449)/60),"")</f>
        <v>2.51600000000326</v>
      </c>
      <c r="I450" s="22" t="str">
        <f aca="false">IFERROR(INDEX(Medidores!$B:$B,MATCH(B450,Medidores!$A:$A,0)),"")</f>
        <v>L14</v>
      </c>
      <c r="J450" s="22" t="s">
        <v>165</v>
      </c>
    </row>
    <row r="451" customFormat="false" ht="15" hidden="false" customHeight="false" outlineLevel="0" collapsed="false">
      <c r="A451" s="21" t="n">
        <v>46304</v>
      </c>
      <c r="B451" s="22" t="s">
        <v>87</v>
      </c>
      <c r="C451" s="23" t="n">
        <v>0.479166666666667</v>
      </c>
      <c r="D451" s="24" t="n">
        <v>10569.528</v>
      </c>
      <c r="E451" s="24" t="n">
        <v>4944.531</v>
      </c>
      <c r="F451" s="24" t="n">
        <v>11849.363</v>
      </c>
      <c r="G451" s="22" t="n">
        <f aca="false">HOUR(C451)*60+MINUTE(C451)</f>
        <v>690</v>
      </c>
      <c r="H451" s="25" t="n">
        <f aca="false">IF(AND(B451=B450,A451=A450,D451&gt;0,N(D450)&gt;0,G451&gt;N(G450)),(D451-D450)/((G451-G450)/60),"")</f>
        <v>4.24399999999878</v>
      </c>
      <c r="I451" s="22" t="str">
        <f aca="false">IFERROR(INDEX(Medidores!$B:$B,MATCH(B451,Medidores!$A:$A,0)),"")</f>
        <v>L14</v>
      </c>
      <c r="J451" s="22" t="s">
        <v>166</v>
      </c>
    </row>
    <row r="452" customFormat="false" ht="15" hidden="false" customHeight="false" outlineLevel="0" collapsed="false">
      <c r="A452" s="21" t="n">
        <v>46304</v>
      </c>
      <c r="B452" s="22" t="s">
        <v>87</v>
      </c>
      <c r="C452" s="23" t="n">
        <v>0.489583333333333</v>
      </c>
      <c r="D452" s="24" t="n">
        <v>10570.557</v>
      </c>
      <c r="E452" s="24" t="n">
        <v>4945.079</v>
      </c>
      <c r="F452" s="24" t="n">
        <v>11850.539</v>
      </c>
      <c r="G452" s="22" t="n">
        <f aca="false">HOUR(C452)*60+MINUTE(C452)</f>
        <v>705</v>
      </c>
      <c r="H452" s="25" t="n">
        <f aca="false">IF(AND(B452=B451,A452=A451,D452&gt;0,N(D451)&gt;0,G452&gt;N(G451)),(D452-D451)/((G452-G451)/60),"")</f>
        <v>4.1160000000018</v>
      </c>
      <c r="I452" s="22" t="str">
        <f aca="false">IFERROR(INDEX(Medidores!$B:$B,MATCH(B452,Medidores!$A:$A,0)),"")</f>
        <v>L14</v>
      </c>
      <c r="J452" s="22" t="s">
        <v>167</v>
      </c>
    </row>
    <row r="453" customFormat="false" ht="15" hidden="false" customHeight="false" outlineLevel="0" collapsed="false">
      <c r="A453" s="21" t="n">
        <v>46304</v>
      </c>
      <c r="B453" s="22" t="s">
        <v>87</v>
      </c>
      <c r="C453" s="23" t="n">
        <v>0.5</v>
      </c>
      <c r="D453" s="24" t="n">
        <v>10571.608</v>
      </c>
      <c r="E453" s="24" t="n">
        <v>4945.614</v>
      </c>
      <c r="F453" s="24" t="n">
        <v>11851.712</v>
      </c>
      <c r="G453" s="22" t="n">
        <f aca="false">HOUR(C453)*60+MINUTE(C453)</f>
        <v>720</v>
      </c>
      <c r="H453" s="25" t="n">
        <f aca="false">IF(AND(B453=B452,A453=A452,D453&gt;0,N(D452)&gt;0,G453&gt;N(G452)),(D453-D452)/((G453-G452)/60),"")</f>
        <v>4.2039999999979</v>
      </c>
      <c r="I453" s="22" t="str">
        <f aca="false">IFERROR(INDEX(Medidores!$B:$B,MATCH(B453,Medidores!$A:$A,0)),"")</f>
        <v>L14</v>
      </c>
      <c r="J453" s="22" t="s">
        <v>168</v>
      </c>
    </row>
    <row r="454" customFormat="false" ht="15" hidden="false" customHeight="false" outlineLevel="0" collapsed="false">
      <c r="A454" s="21" t="n">
        <v>46304</v>
      </c>
      <c r="B454" s="22" t="s">
        <v>87</v>
      </c>
      <c r="C454" s="23" t="n">
        <v>0.510416666666667</v>
      </c>
      <c r="D454" s="24" t="n">
        <v>10572.654</v>
      </c>
      <c r="E454" s="24" t="n">
        <v>4946.174</v>
      </c>
      <c r="F454" s="24" t="n">
        <v>11852.899</v>
      </c>
      <c r="G454" s="22" t="n">
        <f aca="false">HOUR(C454)*60+MINUTE(C454)</f>
        <v>735</v>
      </c>
      <c r="H454" s="25" t="n">
        <f aca="false">IF(AND(B454=B453,A454=A453,D454&gt;0,N(D453)&gt;0,G454&gt;N(G453)),(D454-D453)/((G454-G453)/60),"")</f>
        <v>4.18400000000111</v>
      </c>
      <c r="I454" s="22" t="str">
        <f aca="false">IFERROR(INDEX(Medidores!$B:$B,MATCH(B454,Medidores!$A:$A,0)),"")</f>
        <v>L14</v>
      </c>
      <c r="J454" s="22" t="s">
        <v>169</v>
      </c>
    </row>
    <row r="455" customFormat="false" ht="15" hidden="false" customHeight="false" outlineLevel="0" collapsed="false">
      <c r="A455" s="21" t="n">
        <v>46304</v>
      </c>
      <c r="B455" s="22" t="s">
        <v>87</v>
      </c>
      <c r="C455" s="23" t="n">
        <v>0.520833333333333</v>
      </c>
      <c r="D455" s="24" t="n">
        <v>10573.699</v>
      </c>
      <c r="E455" s="24" t="n">
        <v>4946.712</v>
      </c>
      <c r="F455" s="24" t="n">
        <v>11854.078</v>
      </c>
      <c r="G455" s="22" t="n">
        <f aca="false">HOUR(C455)*60+MINUTE(C455)</f>
        <v>750</v>
      </c>
      <c r="H455" s="25" t="n">
        <f aca="false">IF(AND(B455=B454,A455=A454,D455&gt;0,N(D454)&gt;0,G455&gt;N(G454)),(D455-D454)/((G455-G454)/60),"")</f>
        <v>4.18000000000029</v>
      </c>
      <c r="I455" s="22" t="str">
        <f aca="false">IFERROR(INDEX(Medidores!$B:$B,MATCH(B455,Medidores!$A:$A,0)),"")</f>
        <v>L14</v>
      </c>
      <c r="J455" s="22" t="s">
        <v>170</v>
      </c>
    </row>
    <row r="456" customFormat="false" ht="15" hidden="false" customHeight="false" outlineLevel="0" collapsed="false">
      <c r="A456" s="21" t="n">
        <v>46304</v>
      </c>
      <c r="B456" s="22" t="s">
        <v>87</v>
      </c>
      <c r="C456" s="23" t="n">
        <v>0.53125</v>
      </c>
      <c r="D456" s="24" t="n">
        <v>10574.742</v>
      </c>
      <c r="E456" s="24" t="n">
        <v>4947.265</v>
      </c>
      <c r="F456" s="24" t="n">
        <v>11855.258</v>
      </c>
      <c r="G456" s="22" t="n">
        <f aca="false">HOUR(C456)*60+MINUTE(C456)</f>
        <v>765</v>
      </c>
      <c r="H456" s="25" t="n">
        <f aca="false">IF(AND(B456=B455,A456=A455,D456&gt;0,N(D455)&gt;0,G456&gt;N(G455)),(D456-D455)/((G456-G455)/60),"")</f>
        <v>4.17199999999866</v>
      </c>
      <c r="I456" s="22" t="str">
        <f aca="false">IFERROR(INDEX(Medidores!$B:$B,MATCH(B456,Medidores!$A:$A,0)),"")</f>
        <v>L14</v>
      </c>
      <c r="J456" s="22" t="s">
        <v>171</v>
      </c>
    </row>
    <row r="457" customFormat="false" ht="15" hidden="false" customHeight="false" outlineLevel="0" collapsed="false">
      <c r="A457" s="21" t="n">
        <v>46304</v>
      </c>
      <c r="B457" s="22" t="s">
        <v>87</v>
      </c>
      <c r="C457" s="23" t="n">
        <v>0.541666666666667</v>
      </c>
      <c r="D457" s="24" t="n">
        <v>10575.789</v>
      </c>
      <c r="E457" s="24" t="n">
        <v>4947.809</v>
      </c>
      <c r="F457" s="24" t="n">
        <v>11856.441</v>
      </c>
      <c r="G457" s="22" t="n">
        <f aca="false">HOUR(C457)*60+MINUTE(C457)</f>
        <v>780</v>
      </c>
      <c r="H457" s="25" t="n">
        <f aca="false">IF(AND(B457=B456,A457=A456,D457&gt;0,N(D456)&gt;0,G457&gt;N(G456)),(D457-D456)/((G457-G456)/60),"")</f>
        <v>4.18800000000192</v>
      </c>
      <c r="I457" s="22" t="str">
        <f aca="false">IFERROR(INDEX(Medidores!$B:$B,MATCH(B457,Medidores!$A:$A,0)),"")</f>
        <v>L14</v>
      </c>
      <c r="J457" s="22" t="s">
        <v>172</v>
      </c>
    </row>
    <row r="458" customFormat="false" ht="15" hidden="false" customHeight="false" outlineLevel="0" collapsed="false">
      <c r="A458" s="21" t="n">
        <v>46304</v>
      </c>
      <c r="B458" s="22" t="s">
        <v>87</v>
      </c>
      <c r="C458" s="23" t="n">
        <v>0.552083333333333</v>
      </c>
      <c r="D458" s="24" t="n">
        <v>10576.833</v>
      </c>
      <c r="E458" s="24" t="n">
        <v>4948.361</v>
      </c>
      <c r="F458" s="24" t="n">
        <v>11857.623</v>
      </c>
      <c r="G458" s="22" t="n">
        <f aca="false">HOUR(C458)*60+MINUTE(C458)</f>
        <v>795</v>
      </c>
      <c r="H458" s="25" t="n">
        <f aca="false">IF(AND(B458=B457,A458=A457,D458&gt;0,N(D457)&gt;0,G458&gt;N(G457)),(D458-D457)/((G458-G457)/60),"")</f>
        <v>4.17599999999948</v>
      </c>
      <c r="I458" s="22" t="str">
        <f aca="false">IFERROR(INDEX(Medidores!$B:$B,MATCH(B458,Medidores!$A:$A,0)),"")</f>
        <v>L14</v>
      </c>
      <c r="J458" s="22" t="s">
        <v>173</v>
      </c>
    </row>
    <row r="459" customFormat="false" ht="15" hidden="false" customHeight="false" outlineLevel="0" collapsed="false">
      <c r="A459" s="21" t="n">
        <v>46304</v>
      </c>
      <c r="B459" s="22" t="s">
        <v>87</v>
      </c>
      <c r="C459" s="23" t="n">
        <v>0.5625</v>
      </c>
      <c r="D459" s="24" t="n">
        <v>10577.879</v>
      </c>
      <c r="E459" s="24" t="n">
        <v>4948.892</v>
      </c>
      <c r="F459" s="24" t="n">
        <v>11858.798</v>
      </c>
      <c r="G459" s="22" t="n">
        <f aca="false">HOUR(C459)*60+MINUTE(C459)</f>
        <v>810</v>
      </c>
      <c r="H459" s="25" t="n">
        <f aca="false">IF(AND(B459=B458,A459=A458,D459&gt;0,N(D458)&gt;0,G459&gt;N(G458)),(D459-D458)/((G459-G458)/60),"")</f>
        <v>4.18400000000111</v>
      </c>
      <c r="I459" s="22" t="str">
        <f aca="false">IFERROR(INDEX(Medidores!$B:$B,MATCH(B459,Medidores!$A:$A,0)),"")</f>
        <v>L14</v>
      </c>
      <c r="J459" s="22" t="s">
        <v>174</v>
      </c>
    </row>
    <row r="460" customFormat="false" ht="15" hidden="false" customHeight="false" outlineLevel="0" collapsed="false">
      <c r="A460" s="21" t="n">
        <v>46304</v>
      </c>
      <c r="B460" s="22" t="s">
        <v>87</v>
      </c>
      <c r="C460" s="23" t="n">
        <v>0.572916666666667</v>
      </c>
      <c r="D460" s="24" t="n">
        <v>10578.929</v>
      </c>
      <c r="E460" s="24" t="n">
        <v>4949.439</v>
      </c>
      <c r="F460" s="24" t="n">
        <v>11859.985</v>
      </c>
      <c r="G460" s="22" t="n">
        <f aca="false">HOUR(C460)*60+MINUTE(C460)</f>
        <v>825</v>
      </c>
      <c r="H460" s="25" t="n">
        <f aca="false">IF(AND(B460=B459,A460=A459,D460&gt;0,N(D459)&gt;0,G460&gt;N(G459)),(D460-D459)/((G460-G459)/60),"")</f>
        <v>4.19999999999709</v>
      </c>
      <c r="I460" s="22" t="str">
        <f aca="false">IFERROR(INDEX(Medidores!$B:$B,MATCH(B460,Medidores!$A:$A,0)),"")</f>
        <v>L14</v>
      </c>
      <c r="J460" s="22" t="s">
        <v>175</v>
      </c>
    </row>
    <row r="461" customFormat="false" ht="15" hidden="false" customHeight="false" outlineLevel="0" collapsed="false">
      <c r="A461" s="21" t="n">
        <v>46304</v>
      </c>
      <c r="B461" s="22" t="s">
        <v>87</v>
      </c>
      <c r="C461" s="23" t="n">
        <v>0.583333333333333</v>
      </c>
      <c r="D461" s="24" t="n">
        <v>10579.974</v>
      </c>
      <c r="E461" s="24" t="n">
        <v>4949.979</v>
      </c>
      <c r="F461" s="24" t="n">
        <v>11861.162</v>
      </c>
      <c r="G461" s="22" t="n">
        <f aca="false">HOUR(C461)*60+MINUTE(C461)</f>
        <v>840</v>
      </c>
      <c r="H461" s="25" t="n">
        <f aca="false">IF(AND(B461=B460,A461=A460,D461&gt;0,N(D460)&gt;0,G461&gt;N(G460)),(D461-D460)/((G461-G460)/60),"")</f>
        <v>4.18000000000029</v>
      </c>
      <c r="I461" s="22" t="str">
        <f aca="false">IFERROR(INDEX(Medidores!$B:$B,MATCH(B461,Medidores!$A:$A,0)),"")</f>
        <v>L14</v>
      </c>
      <c r="J461" s="22" t="s">
        <v>176</v>
      </c>
    </row>
    <row r="462" customFormat="false" ht="15" hidden="false" customHeight="false" outlineLevel="0" collapsed="false">
      <c r="A462" s="21" t="n">
        <v>46304</v>
      </c>
      <c r="B462" s="22" t="s">
        <v>89</v>
      </c>
      <c r="C462" s="23" t="n">
        <v>0.375</v>
      </c>
      <c r="D462" s="24" t="n">
        <v>13636.002</v>
      </c>
      <c r="E462" s="24" t="n">
        <v>11000.733</v>
      </c>
      <c r="F462" s="24" t="n">
        <v>17769.705</v>
      </c>
      <c r="G462" s="22" t="n">
        <f aca="false">HOUR(C462)*60+MINUTE(C462)</f>
        <v>540</v>
      </c>
      <c r="H462" s="25" t="str">
        <f aca="false">IF(AND(B462=B461,A462=A461,D462&gt;0,N(D461)&gt;0,G462&gt;N(G461)),(D462-D461)/((G462-G461)/60),"")</f>
        <v/>
      </c>
      <c r="I462" s="22" t="str">
        <f aca="false">IFERROR(INDEX(Medidores!$B:$B,MATCH(B462,Medidores!$A:$A,0)),"")</f>
        <v>L20</v>
      </c>
      <c r="J462" s="22" t="s">
        <v>176</v>
      </c>
    </row>
    <row r="463" customFormat="false" ht="15" hidden="false" customHeight="false" outlineLevel="0" collapsed="false">
      <c r="A463" s="21" t="n">
        <v>46304</v>
      </c>
      <c r="B463" s="22" t="s">
        <v>89</v>
      </c>
      <c r="C463" s="23" t="n">
        <v>0.385416666666667</v>
      </c>
      <c r="D463" s="24" t="n">
        <v>13636.899</v>
      </c>
      <c r="E463" s="24" t="n">
        <v>11001.426</v>
      </c>
      <c r="F463" s="24" t="n">
        <v>17770.844</v>
      </c>
      <c r="G463" s="22" t="n">
        <f aca="false">HOUR(C463)*60+MINUTE(C463)</f>
        <v>555</v>
      </c>
      <c r="H463" s="25" t="n">
        <f aca="false">IF(AND(B463=B462,A463=A462,D463&gt;0,N(D462)&gt;0,G463&gt;N(G462)),(D463-D462)/((G463-G462)/60),"")</f>
        <v>3.5879999999961</v>
      </c>
      <c r="I463" s="22" t="str">
        <f aca="false">IFERROR(INDEX(Medidores!$B:$B,MATCH(B463,Medidores!$A:$A,0)),"")</f>
        <v>L20</v>
      </c>
      <c r="J463" s="22" t="s">
        <v>136</v>
      </c>
    </row>
    <row r="464" customFormat="false" ht="15" hidden="false" customHeight="false" outlineLevel="0" collapsed="false">
      <c r="A464" s="21" t="n">
        <v>46304</v>
      </c>
      <c r="B464" s="22" t="s">
        <v>89</v>
      </c>
      <c r="C464" s="23" t="n">
        <v>0.395833333333333</v>
      </c>
      <c r="D464" s="24" t="n">
        <v>13637.685</v>
      </c>
      <c r="E464" s="24" t="n">
        <v>11002.037</v>
      </c>
      <c r="F464" s="24" t="n">
        <v>17771.846</v>
      </c>
      <c r="G464" s="22" t="n">
        <f aca="false">HOUR(C464)*60+MINUTE(C464)</f>
        <v>570</v>
      </c>
      <c r="H464" s="25" t="n">
        <f aca="false">IF(AND(B464=B463,A464=A463,D464&gt;0,N(D463)&gt;0,G464&gt;N(G463)),(D464-D463)/((G464-G463)/60),"")</f>
        <v>3.14400000000023</v>
      </c>
      <c r="I464" s="22" t="str">
        <f aca="false">IFERROR(INDEX(Medidores!$B:$B,MATCH(B464,Medidores!$A:$A,0)),"")</f>
        <v>L20</v>
      </c>
      <c r="J464" s="22" t="s">
        <v>137</v>
      </c>
    </row>
    <row r="465" customFormat="false" ht="15" hidden="false" customHeight="false" outlineLevel="0" collapsed="false">
      <c r="A465" s="21" t="n">
        <v>46304</v>
      </c>
      <c r="B465" s="22" t="s">
        <v>89</v>
      </c>
      <c r="C465" s="23" t="n">
        <v>0.40625</v>
      </c>
      <c r="D465" s="24" t="n">
        <v>13638.69</v>
      </c>
      <c r="E465" s="24" t="n">
        <v>11002.762</v>
      </c>
      <c r="F465" s="24" t="n">
        <v>17773.084</v>
      </c>
      <c r="G465" s="22" t="n">
        <f aca="false">HOUR(C465)*60+MINUTE(C465)</f>
        <v>585</v>
      </c>
      <c r="H465" s="25" t="n">
        <f aca="false">IF(AND(B465=B464,A465=A464,D465&gt;0,N(D464)&gt;0,G465&gt;N(G464)),(D465-D464)/((G465-G464)/60),"")</f>
        <v>4.02000000000407</v>
      </c>
      <c r="I465" s="22" t="str">
        <f aca="false">IFERROR(INDEX(Medidores!$B:$B,MATCH(B465,Medidores!$A:$A,0)),"")</f>
        <v>L20</v>
      </c>
      <c r="J465" s="22" t="s">
        <v>138</v>
      </c>
    </row>
    <row r="466" customFormat="false" ht="15" hidden="false" customHeight="false" outlineLevel="0" collapsed="false">
      <c r="A466" s="21" t="n">
        <v>46304</v>
      </c>
      <c r="B466" s="22" t="s">
        <v>89</v>
      </c>
      <c r="C466" s="23" t="n">
        <v>0.416666666666667</v>
      </c>
      <c r="D466" s="24" t="n">
        <v>13639.679</v>
      </c>
      <c r="E466" s="24" t="n">
        <v>11003.482</v>
      </c>
      <c r="F466" s="24" t="n">
        <v>17774.313</v>
      </c>
      <c r="G466" s="22" t="n">
        <f aca="false">HOUR(C466)*60+MINUTE(C466)</f>
        <v>600</v>
      </c>
      <c r="H466" s="25" t="n">
        <f aca="false">IF(AND(B466=B465,A466=A465,D466&gt;0,N(D465)&gt;0,G466&gt;N(G465)),(D466-D465)/((G466-G465)/60),"")</f>
        <v>3.95599999999831</v>
      </c>
      <c r="I466" s="22" t="str">
        <f aca="false">IFERROR(INDEX(Medidores!$B:$B,MATCH(B466,Medidores!$A:$A,0)),"")</f>
        <v>L20</v>
      </c>
      <c r="J466" s="22" t="s">
        <v>139</v>
      </c>
    </row>
    <row r="467" customFormat="false" ht="15" hidden="false" customHeight="false" outlineLevel="0" collapsed="false">
      <c r="A467" s="21" t="n">
        <v>46304</v>
      </c>
      <c r="B467" s="22" t="s">
        <v>89</v>
      </c>
      <c r="C467" s="23" t="n">
        <v>0.427083333333333</v>
      </c>
      <c r="D467" s="24" t="n">
        <v>13640.677</v>
      </c>
      <c r="E467" s="24" t="n">
        <v>11004.22</v>
      </c>
      <c r="F467" s="24" t="n">
        <v>17775.559</v>
      </c>
      <c r="G467" s="22" t="n">
        <f aca="false">HOUR(C467)*60+MINUTE(C467)</f>
        <v>615</v>
      </c>
      <c r="H467" s="25" t="n">
        <f aca="false">IF(AND(B467=B466,A467=A466,D467&gt;0,N(D466)&gt;0,G467&gt;N(G466)),(D467-D466)/((G467-G466)/60),"")</f>
        <v>3.99199999999837</v>
      </c>
      <c r="I467" s="22" t="str">
        <f aca="false">IFERROR(INDEX(Medidores!$B:$B,MATCH(B467,Medidores!$A:$A,0)),"")</f>
        <v>L20</v>
      </c>
      <c r="J467" s="22" t="s">
        <v>140</v>
      </c>
    </row>
    <row r="468" customFormat="false" ht="15" hidden="false" customHeight="false" outlineLevel="0" collapsed="false">
      <c r="A468" s="21" t="n">
        <v>46304</v>
      </c>
      <c r="B468" s="22" t="s">
        <v>89</v>
      </c>
      <c r="C468" s="23" t="n">
        <v>0.4375</v>
      </c>
      <c r="D468" s="24" t="n">
        <v>13641.442</v>
      </c>
      <c r="E468" s="24" t="n">
        <v>11004.794</v>
      </c>
      <c r="F468" s="24" t="n">
        <v>17776.519</v>
      </c>
      <c r="G468" s="22" t="n">
        <f aca="false">HOUR(C468)*60+MINUTE(C468)</f>
        <v>630</v>
      </c>
      <c r="H468" s="25" t="n">
        <f aca="false">IF(AND(B468=B467,A468=A467,D468&gt;0,N(D467)&gt;0,G468&gt;N(G467)),(D468-D467)/((G468-G467)/60),"")</f>
        <v>3.05999999999767</v>
      </c>
      <c r="I468" s="22" t="str">
        <f aca="false">IFERROR(INDEX(Medidores!$B:$B,MATCH(B468,Medidores!$A:$A,0)),"")</f>
        <v>L20</v>
      </c>
      <c r="J468" s="22" t="s">
        <v>141</v>
      </c>
    </row>
    <row r="469" customFormat="false" ht="15" hidden="false" customHeight="false" outlineLevel="0" collapsed="false">
      <c r="A469" s="21" t="n">
        <v>46304</v>
      </c>
      <c r="B469" s="22" t="s">
        <v>89</v>
      </c>
      <c r="C469" s="23" t="n">
        <v>0.447916666666667</v>
      </c>
      <c r="D469" s="24" t="n">
        <v>13641.829</v>
      </c>
      <c r="E469" s="24" t="n">
        <v>11005.072</v>
      </c>
      <c r="F469" s="24" t="n">
        <v>17776.998</v>
      </c>
      <c r="G469" s="22" t="n">
        <f aca="false">HOUR(C469)*60+MINUTE(C469)</f>
        <v>645</v>
      </c>
      <c r="H469" s="25" t="n">
        <f aca="false">IF(AND(B469=B468,A469=A468,D469&gt;0,N(D468)&gt;0,G469&gt;N(G468)),(D469-D468)/((G469-G468)/60),"")</f>
        <v>1.5480000000025</v>
      </c>
      <c r="I469" s="22" t="str">
        <f aca="false">IFERROR(INDEX(Medidores!$B:$B,MATCH(B469,Medidores!$A:$A,0)),"")</f>
        <v>L20</v>
      </c>
      <c r="J469" s="22" t="s">
        <v>142</v>
      </c>
    </row>
    <row r="470" customFormat="false" ht="15" hidden="false" customHeight="false" outlineLevel="0" collapsed="false">
      <c r="A470" s="21" t="n">
        <v>46304</v>
      </c>
      <c r="B470" s="22" t="s">
        <v>89</v>
      </c>
      <c r="C470" s="23" t="n">
        <v>0.458333333333333</v>
      </c>
      <c r="D470" s="24" t="n">
        <v>13642.371</v>
      </c>
      <c r="E470" s="24" t="n">
        <v>11005.468</v>
      </c>
      <c r="F470" s="24" t="n">
        <v>17777.672</v>
      </c>
      <c r="G470" s="22" t="n">
        <f aca="false">HOUR(C470)*60+MINUTE(C470)</f>
        <v>660</v>
      </c>
      <c r="H470" s="25" t="n">
        <f aca="false">IF(AND(B470=B469,A470=A469,D470&gt;0,N(D469)&gt;0,G470&gt;N(G469)),(D470-D469)/((G470-G469)/60),"")</f>
        <v>2.16799999999785</v>
      </c>
      <c r="I470" s="22" t="str">
        <f aca="false">IFERROR(INDEX(Medidores!$B:$B,MATCH(B470,Medidores!$A:$A,0)),"")</f>
        <v>L20</v>
      </c>
      <c r="J470" s="22" t="s">
        <v>143</v>
      </c>
    </row>
    <row r="471" customFormat="false" ht="15" hidden="false" customHeight="false" outlineLevel="0" collapsed="false">
      <c r="A471" s="21" t="n">
        <v>46304</v>
      </c>
      <c r="B471" s="22" t="s">
        <v>89</v>
      </c>
      <c r="C471" s="23" t="n">
        <v>0.46875</v>
      </c>
      <c r="D471" s="24" t="n">
        <v>13643.391</v>
      </c>
      <c r="E471" s="24" t="n">
        <v>11006.196</v>
      </c>
      <c r="F471" s="24" t="n">
        <v>17778.926</v>
      </c>
      <c r="G471" s="22" t="n">
        <f aca="false">HOUR(C471)*60+MINUTE(C471)</f>
        <v>675</v>
      </c>
      <c r="H471" s="25" t="n">
        <f aca="false">IF(AND(B471=B470,A471=A470,D471&gt;0,N(D470)&gt;0,G471&gt;N(G470)),(D471-D470)/((G471-G470)/60),"")</f>
        <v>4.08000000000175</v>
      </c>
      <c r="I471" s="22" t="str">
        <f aca="false">IFERROR(INDEX(Medidores!$B:$B,MATCH(B471,Medidores!$A:$A,0)),"")</f>
        <v>L20</v>
      </c>
      <c r="J471" s="22" t="s">
        <v>144</v>
      </c>
    </row>
    <row r="472" customFormat="false" ht="15" hidden="false" customHeight="false" outlineLevel="0" collapsed="false">
      <c r="A472" s="21" t="n">
        <v>46304</v>
      </c>
      <c r="B472" s="22" t="s">
        <v>89</v>
      </c>
      <c r="C472" s="23" t="n">
        <v>0.479166666666667</v>
      </c>
      <c r="D472" s="24" t="n">
        <v>13644.394</v>
      </c>
      <c r="E472" s="24" t="n">
        <v>11006.935</v>
      </c>
      <c r="F472" s="24" t="n">
        <v>17780.174</v>
      </c>
      <c r="G472" s="22" t="n">
        <f aca="false">HOUR(C472)*60+MINUTE(C472)</f>
        <v>690</v>
      </c>
      <c r="H472" s="25" t="n">
        <f aca="false">IF(AND(B472=B471,A472=A471,D472&gt;0,N(D471)&gt;0,G472&gt;N(G471)),(D472-D471)/((G472-G471)/60),"")</f>
        <v>4.01200000000245</v>
      </c>
      <c r="I472" s="22" t="str">
        <f aca="false">IFERROR(INDEX(Medidores!$B:$B,MATCH(B472,Medidores!$A:$A,0)),"")</f>
        <v>L20</v>
      </c>
      <c r="J472" s="22" t="s">
        <v>145</v>
      </c>
    </row>
    <row r="473" customFormat="false" ht="15" hidden="false" customHeight="false" outlineLevel="0" collapsed="false">
      <c r="A473" s="21" t="n">
        <v>46304</v>
      </c>
      <c r="B473" s="22" t="s">
        <v>89</v>
      </c>
      <c r="C473" s="23" t="n">
        <v>0.489583333333333</v>
      </c>
      <c r="D473" s="24" t="n">
        <v>13645.415</v>
      </c>
      <c r="E473" s="24" t="n">
        <v>11007.663</v>
      </c>
      <c r="F473" s="24" t="n">
        <v>17781.432</v>
      </c>
      <c r="G473" s="22" t="n">
        <f aca="false">HOUR(C473)*60+MINUTE(C473)</f>
        <v>705</v>
      </c>
      <c r="H473" s="25" t="n">
        <f aca="false">IF(AND(B473=B472,A473=A472,D473&gt;0,N(D472)&gt;0,G473&gt;N(G472)),(D473-D472)/((G473-G472)/60),"")</f>
        <v>4.08400000000256</v>
      </c>
      <c r="I473" s="22" t="str">
        <f aca="false">IFERROR(INDEX(Medidores!$B:$B,MATCH(B473,Medidores!$A:$A,0)),"")</f>
        <v>L20</v>
      </c>
      <c r="J473" s="22" t="s">
        <v>146</v>
      </c>
    </row>
    <row r="474" customFormat="false" ht="15" hidden="false" customHeight="false" outlineLevel="0" collapsed="false">
      <c r="A474" s="21" t="n">
        <v>46304</v>
      </c>
      <c r="B474" s="22" t="s">
        <v>89</v>
      </c>
      <c r="C474" s="23" t="n">
        <v>0.5</v>
      </c>
      <c r="D474" s="24" t="n">
        <v>13646.405</v>
      </c>
      <c r="E474" s="24" t="n">
        <v>11008.384</v>
      </c>
      <c r="F474" s="24" t="n">
        <v>17782.66</v>
      </c>
      <c r="G474" s="22" t="n">
        <f aca="false">HOUR(C474)*60+MINUTE(C474)</f>
        <v>720</v>
      </c>
      <c r="H474" s="25" t="n">
        <f aca="false">IF(AND(B474=B473,A474=A473,D474&gt;0,N(D473)&gt;0,G474&gt;N(G473)),(D474-D473)/((G474-G473)/60),"")</f>
        <v>3.95999999999913</v>
      </c>
      <c r="I474" s="22" t="str">
        <f aca="false">IFERROR(INDEX(Medidores!$B:$B,MATCH(B474,Medidores!$A:$A,0)),"")</f>
        <v>L20</v>
      </c>
      <c r="J474" s="22" t="s">
        <v>147</v>
      </c>
    </row>
    <row r="475" customFormat="false" ht="15" hidden="false" customHeight="false" outlineLevel="0" collapsed="false">
      <c r="A475" s="21" t="n">
        <v>46304</v>
      </c>
      <c r="B475" s="22" t="s">
        <v>89</v>
      </c>
      <c r="C475" s="23" t="n">
        <v>0.510416666666667</v>
      </c>
      <c r="D475" s="24" t="n">
        <v>13647.272</v>
      </c>
      <c r="E475" s="24" t="n">
        <v>11009.068</v>
      </c>
      <c r="F475" s="24" t="n">
        <v>17783.766</v>
      </c>
      <c r="G475" s="22" t="n">
        <f aca="false">HOUR(C475)*60+MINUTE(C475)</f>
        <v>735</v>
      </c>
      <c r="H475" s="25" t="n">
        <f aca="false">IF(AND(B475=B474,A475=A474,D475&gt;0,N(D474)&gt;0,G475&gt;N(G474)),(D475-D474)/((G475-G474)/60),"")</f>
        <v>3.46800000000076</v>
      </c>
      <c r="I475" s="22" t="str">
        <f aca="false">IFERROR(INDEX(Medidores!$B:$B,MATCH(B475,Medidores!$A:$A,0)),"")</f>
        <v>L20</v>
      </c>
      <c r="J475" s="22" t="s">
        <v>148</v>
      </c>
    </row>
    <row r="476" customFormat="false" ht="15" hidden="false" customHeight="false" outlineLevel="0" collapsed="false">
      <c r="A476" s="21" t="n">
        <v>46304</v>
      </c>
      <c r="B476" s="22" t="s">
        <v>89</v>
      </c>
      <c r="C476" s="23" t="n">
        <v>0.520833333333333</v>
      </c>
      <c r="D476" s="24" t="n">
        <v>13648.018</v>
      </c>
      <c r="E476" s="24" t="n">
        <v>11009.682</v>
      </c>
      <c r="F476" s="24" t="n">
        <v>17784.736</v>
      </c>
      <c r="G476" s="22" t="n">
        <f aca="false">HOUR(C476)*60+MINUTE(C476)</f>
        <v>750</v>
      </c>
      <c r="H476" s="25" t="n">
        <f aca="false">IF(AND(B476=B475,A476=A475,D476&gt;0,N(D475)&gt;0,G476&gt;N(G475)),(D476-D475)/((G476-G475)/60),"")</f>
        <v>2.98399999999674</v>
      </c>
      <c r="I476" s="22" t="str">
        <f aca="false">IFERROR(INDEX(Medidores!$B:$B,MATCH(B476,Medidores!$A:$A,0)),"")</f>
        <v>L20</v>
      </c>
      <c r="J476" s="22" t="s">
        <v>149</v>
      </c>
    </row>
    <row r="477" customFormat="false" ht="15" hidden="false" customHeight="false" outlineLevel="0" collapsed="false">
      <c r="A477" s="21" t="n">
        <v>46304</v>
      </c>
      <c r="B477" s="22" t="s">
        <v>89</v>
      </c>
      <c r="C477" s="23" t="n">
        <v>0.53125</v>
      </c>
      <c r="D477" s="24" t="n">
        <v>13648.871</v>
      </c>
      <c r="E477" s="24" t="n">
        <v>11010.346</v>
      </c>
      <c r="F477" s="24" t="n">
        <v>17785.82</v>
      </c>
      <c r="G477" s="22" t="n">
        <f aca="false">HOUR(C477)*60+MINUTE(C477)</f>
        <v>765</v>
      </c>
      <c r="H477" s="25" t="n">
        <f aca="false">IF(AND(B477=B476,A477=A476,D477&gt;0,N(D476)&gt;0,G477&gt;N(G476)),(D477-D476)/((G477-G476)/60),"")</f>
        <v>3.41199999999662</v>
      </c>
      <c r="I477" s="22" t="str">
        <f aca="false">IFERROR(INDEX(Medidores!$B:$B,MATCH(B477,Medidores!$A:$A,0)),"")</f>
        <v>L20</v>
      </c>
      <c r="J477" s="22" t="s">
        <v>150</v>
      </c>
    </row>
    <row r="478" customFormat="false" ht="15" hidden="false" customHeight="false" outlineLevel="0" collapsed="false">
      <c r="A478" s="21" t="n">
        <v>46304</v>
      </c>
      <c r="B478" s="22" t="s">
        <v>89</v>
      </c>
      <c r="C478" s="23" t="n">
        <v>0.541666666666667</v>
      </c>
      <c r="D478" s="24" t="n">
        <v>13649.755</v>
      </c>
      <c r="E478" s="24" t="n">
        <v>11011.027</v>
      </c>
      <c r="F478" s="24" t="n">
        <v>17786.94</v>
      </c>
      <c r="G478" s="22" t="n">
        <f aca="false">HOUR(C478)*60+MINUTE(C478)</f>
        <v>780</v>
      </c>
      <c r="H478" s="25" t="n">
        <f aca="false">IF(AND(B478=B477,A478=A477,D478&gt;0,N(D477)&gt;0,G478&gt;N(G477)),(D478-D477)/((G478-G477)/60),"")</f>
        <v>3.53600000000006</v>
      </c>
      <c r="I478" s="22" t="str">
        <f aca="false">IFERROR(INDEX(Medidores!$B:$B,MATCH(B478,Medidores!$A:$A,0)),"")</f>
        <v>L20</v>
      </c>
      <c r="J478" s="22" t="s">
        <v>151</v>
      </c>
    </row>
    <row r="479" customFormat="false" ht="15" hidden="false" customHeight="false" outlineLevel="0" collapsed="false">
      <c r="A479" s="21" t="n">
        <v>46304</v>
      </c>
      <c r="B479" s="22" t="s">
        <v>89</v>
      </c>
      <c r="C479" s="23" t="n">
        <v>0.552083333333333</v>
      </c>
      <c r="D479" s="24" t="n">
        <v>13650.44</v>
      </c>
      <c r="E479" s="24" t="n">
        <v>11011.614</v>
      </c>
      <c r="F479" s="24" t="n">
        <v>17787.844</v>
      </c>
      <c r="G479" s="22" t="n">
        <f aca="false">HOUR(C479)*60+MINUTE(C479)</f>
        <v>795</v>
      </c>
      <c r="H479" s="25" t="n">
        <f aca="false">IF(AND(B479=B478,A479=A478,D479&gt;0,N(D478)&gt;0,G479&gt;N(G478)),(D479-D478)/((G479-G478)/60),"")</f>
        <v>2.74000000000524</v>
      </c>
      <c r="I479" s="22" t="str">
        <f aca="false">IFERROR(INDEX(Medidores!$B:$B,MATCH(B479,Medidores!$A:$A,0)),"")</f>
        <v>L20</v>
      </c>
      <c r="J479" s="22" t="s">
        <v>152</v>
      </c>
    </row>
    <row r="480" customFormat="false" ht="15" hidden="false" customHeight="false" outlineLevel="0" collapsed="false">
      <c r="A480" s="21" t="n">
        <v>46304</v>
      </c>
      <c r="B480" s="22" t="s">
        <v>89</v>
      </c>
      <c r="C480" s="23" t="n">
        <v>0.5625</v>
      </c>
      <c r="D480" s="24" t="n">
        <v>13651.203</v>
      </c>
      <c r="E480" s="24" t="n">
        <v>11012.245</v>
      </c>
      <c r="F480" s="24" t="n">
        <v>17788.84</v>
      </c>
      <c r="G480" s="22" t="n">
        <f aca="false">HOUR(C480)*60+MINUTE(C480)</f>
        <v>810</v>
      </c>
      <c r="H480" s="25" t="n">
        <f aca="false">IF(AND(B480=B479,A480=A479,D480&gt;0,N(D479)&gt;0,G480&gt;N(G479)),(D480-D479)/((G480-G479)/60),"")</f>
        <v>3.05199999999604</v>
      </c>
      <c r="I480" s="22" t="str">
        <f aca="false">IFERROR(INDEX(Medidores!$B:$B,MATCH(B480,Medidores!$A:$A,0)),"")</f>
        <v>L20</v>
      </c>
      <c r="J480" s="22" t="s">
        <v>153</v>
      </c>
    </row>
    <row r="481" customFormat="false" ht="15" hidden="false" customHeight="false" outlineLevel="0" collapsed="false">
      <c r="A481" s="21" t="n">
        <v>46304</v>
      </c>
      <c r="B481" s="22" t="s">
        <v>89</v>
      </c>
      <c r="C481" s="23" t="n">
        <v>0.572916666666667</v>
      </c>
      <c r="D481" s="24" t="n">
        <v>13652.201</v>
      </c>
      <c r="E481" s="24" t="n">
        <v>11012.983</v>
      </c>
      <c r="F481" s="24" t="n">
        <v>17790.088</v>
      </c>
      <c r="G481" s="22" t="n">
        <f aca="false">HOUR(C481)*60+MINUTE(C481)</f>
        <v>825</v>
      </c>
      <c r="H481" s="25" t="n">
        <f aca="false">IF(AND(B481=B480,A481=A480,D481&gt;0,N(D480)&gt;0,G481&gt;N(G480)),(D481-D480)/((G481-G480)/60),"")</f>
        <v>3.99199999999837</v>
      </c>
      <c r="I481" s="22" t="str">
        <f aca="false">IFERROR(INDEX(Medidores!$B:$B,MATCH(B481,Medidores!$A:$A,0)),"")</f>
        <v>L20</v>
      </c>
      <c r="J481" s="22" t="s">
        <v>154</v>
      </c>
    </row>
    <row r="482" customFormat="false" ht="15" hidden="false" customHeight="false" outlineLevel="0" collapsed="false">
      <c r="A482" s="21" t="n">
        <v>46304</v>
      </c>
      <c r="B482" s="22" t="s">
        <v>90</v>
      </c>
      <c r="C482" s="23" t="n">
        <v>0.385416666666667</v>
      </c>
      <c r="D482" s="24" t="n">
        <v>6628.23</v>
      </c>
      <c r="E482" s="24" t="n">
        <v>1761.235</v>
      </c>
      <c r="F482" s="24" t="n">
        <v>8234.571</v>
      </c>
      <c r="G482" s="22" t="n">
        <f aca="false">HOUR(C482)*60+MINUTE(C482)</f>
        <v>555</v>
      </c>
      <c r="H482" s="25" t="str">
        <f aca="false">IF(AND(B482=B481,A482=A481,D482&gt;0,N(D481)&gt;0,G482&gt;N(G481)),(D482-D481)/((G482-G481)/60),"")</f>
        <v/>
      </c>
      <c r="I482" s="22" t="str">
        <f aca="false">IFERROR(INDEX(Medidores!$B:$B,MATCH(B482,Medidores!$A:$A,0)),"")</f>
        <v>L16</v>
      </c>
      <c r="J482" s="22" t="s">
        <v>136</v>
      </c>
    </row>
    <row r="483" customFormat="false" ht="15" hidden="false" customHeight="false" outlineLevel="0" collapsed="false">
      <c r="A483" s="21" t="n">
        <v>46304</v>
      </c>
      <c r="B483" s="22" t="s">
        <v>90</v>
      </c>
      <c r="C483" s="23" t="n">
        <v>0.395833333333333</v>
      </c>
      <c r="D483" s="24" t="n">
        <v>6628.27</v>
      </c>
      <c r="E483" s="24" t="n">
        <v>1761.235</v>
      </c>
      <c r="F483" s="24" t="n">
        <v>8234.677</v>
      </c>
      <c r="G483" s="22" t="n">
        <f aca="false">HOUR(C483)*60+MINUTE(C483)</f>
        <v>570</v>
      </c>
      <c r="H483" s="25" t="n">
        <f aca="false">IF(AND(B483=B482,A483=A482,D483&gt;0,N(D482)&gt;0,G483&gt;N(G482)),(D483-D482)/((G483-G482)/60),"")</f>
        <v>0.160000000003492</v>
      </c>
      <c r="I483" s="22" t="str">
        <f aca="false">IFERROR(INDEX(Medidores!$B:$B,MATCH(B483,Medidores!$A:$A,0)),"")</f>
        <v>L16</v>
      </c>
      <c r="J483" s="22" t="s">
        <v>137</v>
      </c>
    </row>
    <row r="484" customFormat="false" ht="15" hidden="false" customHeight="false" outlineLevel="0" collapsed="false">
      <c r="A484" s="21" t="n">
        <v>46304</v>
      </c>
      <c r="B484" s="22" t="s">
        <v>90</v>
      </c>
      <c r="C484" s="23" t="n">
        <v>0.40625</v>
      </c>
      <c r="D484" s="24" t="n">
        <v>6628.309</v>
      </c>
      <c r="E484" s="24" t="n">
        <v>1761.235</v>
      </c>
      <c r="F484" s="24" t="n">
        <v>8234.783</v>
      </c>
      <c r="G484" s="22" t="n">
        <f aca="false">HOUR(C484)*60+MINUTE(C484)</f>
        <v>585</v>
      </c>
      <c r="H484" s="25" t="n">
        <f aca="false">IF(AND(B484=B483,A484=A483,D484&gt;0,N(D483)&gt;0,G484&gt;N(G483)),(D484-D483)/((G484-G483)/60),"")</f>
        <v>0.15599999999904</v>
      </c>
      <c r="I484" s="22" t="str">
        <f aca="false">IFERROR(INDEX(Medidores!$B:$B,MATCH(B484,Medidores!$A:$A,0)),"")</f>
        <v>L16</v>
      </c>
      <c r="J484" s="22" t="s">
        <v>138</v>
      </c>
    </row>
    <row r="485" customFormat="false" ht="15" hidden="false" customHeight="false" outlineLevel="0" collapsed="false">
      <c r="A485" s="21" t="n">
        <v>46304</v>
      </c>
      <c r="B485" s="22" t="s">
        <v>90</v>
      </c>
      <c r="C485" s="23" t="n">
        <v>0.416666666666667</v>
      </c>
      <c r="D485" s="24" t="n">
        <v>6628.348</v>
      </c>
      <c r="E485" s="24" t="n">
        <v>1761.235</v>
      </c>
      <c r="F485" s="24" t="n">
        <v>8234.888</v>
      </c>
      <c r="G485" s="22" t="n">
        <f aca="false">HOUR(C485)*60+MINUTE(C485)</f>
        <v>600</v>
      </c>
      <c r="H485" s="25" t="n">
        <f aca="false">IF(AND(B485=B484,A485=A484,D485&gt;0,N(D484)&gt;0,G485&gt;N(G484)),(D485-D484)/((G485-G484)/60),"")</f>
        <v>0.15599999999904</v>
      </c>
      <c r="I485" s="22" t="str">
        <f aca="false">IFERROR(INDEX(Medidores!$B:$B,MATCH(B485,Medidores!$A:$A,0)),"")</f>
        <v>L16</v>
      </c>
      <c r="J485" s="22" t="s">
        <v>139</v>
      </c>
    </row>
    <row r="486" customFormat="false" ht="15" hidden="false" customHeight="false" outlineLevel="0" collapsed="false">
      <c r="A486" s="21" t="n">
        <v>46304</v>
      </c>
      <c r="B486" s="22" t="s">
        <v>90</v>
      </c>
      <c r="C486" s="23" t="n">
        <v>0.427083333333333</v>
      </c>
      <c r="D486" s="24" t="n">
        <v>6628.387</v>
      </c>
      <c r="E486" s="24" t="n">
        <v>1761.235</v>
      </c>
      <c r="F486" s="24" t="n">
        <v>8234.994</v>
      </c>
      <c r="G486" s="22" t="n">
        <f aca="false">HOUR(C486)*60+MINUTE(C486)</f>
        <v>615</v>
      </c>
      <c r="H486" s="25" t="n">
        <f aca="false">IF(AND(B486=B485,A486=A485,D486&gt;0,N(D485)&gt;0,G486&gt;N(G485)),(D486-D485)/((G486-G485)/60),"")</f>
        <v>0.15599999999904</v>
      </c>
      <c r="I486" s="22" t="str">
        <f aca="false">IFERROR(INDEX(Medidores!$B:$B,MATCH(B486,Medidores!$A:$A,0)),"")</f>
        <v>L16</v>
      </c>
      <c r="J486" s="22" t="s">
        <v>140</v>
      </c>
    </row>
    <row r="487" customFormat="false" ht="15" hidden="false" customHeight="false" outlineLevel="0" collapsed="false">
      <c r="A487" s="21" t="n">
        <v>46304</v>
      </c>
      <c r="B487" s="22" t="s">
        <v>90</v>
      </c>
      <c r="C487" s="23" t="n">
        <v>0.4375</v>
      </c>
      <c r="D487" s="24" t="n">
        <v>6628.427</v>
      </c>
      <c r="E487" s="24" t="n">
        <v>1761.235</v>
      </c>
      <c r="F487" s="24" t="n">
        <v>8235.099</v>
      </c>
      <c r="G487" s="22" t="n">
        <f aca="false">HOUR(C487)*60+MINUTE(C487)</f>
        <v>630</v>
      </c>
      <c r="H487" s="25" t="n">
        <f aca="false">IF(AND(B487=B486,A487=A486,D487&gt;0,N(D486)&gt;0,G487&gt;N(G486)),(D487-D486)/((G487-G486)/60),"")</f>
        <v>0.159999999999854</v>
      </c>
      <c r="I487" s="22" t="str">
        <f aca="false">IFERROR(INDEX(Medidores!$B:$B,MATCH(B487,Medidores!$A:$A,0)),"")</f>
        <v>L16</v>
      </c>
      <c r="J487" s="22" t="s">
        <v>141</v>
      </c>
    </row>
    <row r="488" customFormat="false" ht="15" hidden="false" customHeight="false" outlineLevel="0" collapsed="false">
      <c r="A488" s="21" t="n">
        <v>46304</v>
      </c>
      <c r="B488" s="22" t="s">
        <v>90</v>
      </c>
      <c r="C488" s="23" t="n">
        <v>0.447916666666667</v>
      </c>
      <c r="D488" s="24" t="n">
        <v>6628.466</v>
      </c>
      <c r="E488" s="24" t="n">
        <v>1761.235</v>
      </c>
      <c r="F488" s="24" t="n">
        <v>8235.205</v>
      </c>
      <c r="G488" s="22" t="n">
        <f aca="false">HOUR(C488)*60+MINUTE(C488)</f>
        <v>645</v>
      </c>
      <c r="H488" s="25" t="n">
        <f aca="false">IF(AND(B488=B487,A488=A487,D488&gt;0,N(D487)&gt;0,G488&gt;N(G487)),(D488-D487)/((G488-G487)/60),"")</f>
        <v>0.156000000002678</v>
      </c>
      <c r="I488" s="22" t="str">
        <f aca="false">IFERROR(INDEX(Medidores!$B:$B,MATCH(B488,Medidores!$A:$A,0)),"")</f>
        <v>L16</v>
      </c>
      <c r="J488" s="22" t="s">
        <v>142</v>
      </c>
    </row>
    <row r="489" customFormat="false" ht="15" hidden="false" customHeight="false" outlineLevel="0" collapsed="false">
      <c r="A489" s="21" t="n">
        <v>46304</v>
      </c>
      <c r="B489" s="22" t="s">
        <v>90</v>
      </c>
      <c r="C489" s="23" t="n">
        <v>0.458333333333333</v>
      </c>
      <c r="D489" s="24" t="n">
        <v>6628.505</v>
      </c>
      <c r="E489" s="24" t="n">
        <v>1761.235</v>
      </c>
      <c r="F489" s="24" t="n">
        <v>8235.311</v>
      </c>
      <c r="G489" s="22" t="n">
        <f aca="false">HOUR(C489)*60+MINUTE(C489)</f>
        <v>660</v>
      </c>
      <c r="H489" s="25" t="n">
        <f aca="false">IF(AND(B489=B488,A489=A488,D489&gt;0,N(D488)&gt;0,G489&gt;N(G488)),(D489-D488)/((G489-G488)/60),"")</f>
        <v>0.15599999999904</v>
      </c>
      <c r="I489" s="22" t="str">
        <f aca="false">IFERROR(INDEX(Medidores!$B:$B,MATCH(B489,Medidores!$A:$A,0)),"")</f>
        <v>L16</v>
      </c>
      <c r="J489" s="22" t="s">
        <v>143</v>
      </c>
    </row>
    <row r="490" customFormat="false" ht="15" hidden="false" customHeight="false" outlineLevel="0" collapsed="false">
      <c r="A490" s="21" t="n">
        <v>46304</v>
      </c>
      <c r="B490" s="22" t="s">
        <v>90</v>
      </c>
      <c r="C490" s="23" t="n">
        <v>0.46875</v>
      </c>
      <c r="D490" s="24" t="n">
        <v>6628.545</v>
      </c>
      <c r="E490" s="24" t="n">
        <v>1761.235</v>
      </c>
      <c r="F490" s="24" t="n">
        <v>8235.418</v>
      </c>
      <c r="G490" s="22" t="n">
        <f aca="false">HOUR(C490)*60+MINUTE(C490)</f>
        <v>675</v>
      </c>
      <c r="H490" s="25" t="n">
        <f aca="false">IF(AND(B490=B489,A490=A489,D490&gt;0,N(D489)&gt;0,G490&gt;N(G489)),(D490-D489)/((G490-G489)/60),"")</f>
        <v>0.159999999999854</v>
      </c>
      <c r="I490" s="22" t="str">
        <f aca="false">IFERROR(INDEX(Medidores!$B:$B,MATCH(B490,Medidores!$A:$A,0)),"")</f>
        <v>L16</v>
      </c>
      <c r="J490" s="22" t="s">
        <v>144</v>
      </c>
    </row>
    <row r="491" customFormat="false" ht="15" hidden="false" customHeight="false" outlineLevel="0" collapsed="false">
      <c r="A491" s="21" t="n">
        <v>46304</v>
      </c>
      <c r="B491" s="22" t="s">
        <v>90</v>
      </c>
      <c r="C491" s="23" t="n">
        <v>0.479166666666667</v>
      </c>
      <c r="D491" s="24" t="n">
        <v>6628.584</v>
      </c>
      <c r="E491" s="24" t="n">
        <v>1761.235</v>
      </c>
      <c r="F491" s="24" t="n">
        <v>8235.525</v>
      </c>
      <c r="G491" s="22" t="n">
        <f aca="false">HOUR(C491)*60+MINUTE(C491)</f>
        <v>690</v>
      </c>
      <c r="H491" s="25" t="n">
        <f aca="false">IF(AND(B491=B490,A491=A490,D491&gt;0,N(D490)&gt;0,G491&gt;N(G490)),(D491-D490)/((G491-G490)/60),"")</f>
        <v>0.15599999999904</v>
      </c>
      <c r="I491" s="22" t="str">
        <f aca="false">IFERROR(INDEX(Medidores!$B:$B,MATCH(B491,Medidores!$A:$A,0)),"")</f>
        <v>L16</v>
      </c>
      <c r="J491" s="22" t="s">
        <v>145</v>
      </c>
    </row>
    <row r="492" customFormat="false" ht="15" hidden="false" customHeight="false" outlineLevel="0" collapsed="false">
      <c r="A492" s="21" t="n">
        <v>46304</v>
      </c>
      <c r="B492" s="22" t="s">
        <v>90</v>
      </c>
      <c r="C492" s="23" t="n">
        <v>0.489583333333333</v>
      </c>
      <c r="D492" s="24" t="n">
        <v>6628.623</v>
      </c>
      <c r="E492" s="24" t="n">
        <v>1761.235</v>
      </c>
      <c r="F492" s="24" t="n">
        <v>8235.632</v>
      </c>
      <c r="G492" s="22" t="n">
        <f aca="false">HOUR(C492)*60+MINUTE(C492)</f>
        <v>705</v>
      </c>
      <c r="H492" s="25" t="n">
        <f aca="false">IF(AND(B492=B491,A492=A491,D492&gt;0,N(D491)&gt;0,G492&gt;N(G491)),(D492-D491)/((G492-G491)/60),"")</f>
        <v>0.15599999999904</v>
      </c>
      <c r="I492" s="22" t="str">
        <f aca="false">IFERROR(INDEX(Medidores!$B:$B,MATCH(B492,Medidores!$A:$A,0)),"")</f>
        <v>L16</v>
      </c>
      <c r="J492" s="22" t="s">
        <v>146</v>
      </c>
    </row>
    <row r="493" customFormat="false" ht="15" hidden="false" customHeight="false" outlineLevel="0" collapsed="false">
      <c r="A493" s="21" t="n">
        <v>46304</v>
      </c>
      <c r="B493" s="22" t="s">
        <v>90</v>
      </c>
      <c r="C493" s="23" t="n">
        <v>0.5</v>
      </c>
      <c r="D493" s="24" t="n">
        <v>6628.662</v>
      </c>
      <c r="E493" s="24" t="n">
        <v>1761.235</v>
      </c>
      <c r="F493" s="24" t="n">
        <v>8235.739</v>
      </c>
      <c r="G493" s="22" t="n">
        <f aca="false">HOUR(C493)*60+MINUTE(C493)</f>
        <v>720</v>
      </c>
      <c r="H493" s="25" t="n">
        <f aca="false">IF(AND(B493=B492,A493=A492,D493&gt;0,N(D492)&gt;0,G493&gt;N(G492)),(D493-D492)/((G493-G492)/60),"")</f>
        <v>0.156000000002678</v>
      </c>
      <c r="I493" s="22" t="str">
        <f aca="false">IFERROR(INDEX(Medidores!$B:$B,MATCH(B493,Medidores!$A:$A,0)),"")</f>
        <v>L16</v>
      </c>
      <c r="J493" s="22" t="s">
        <v>147</v>
      </c>
    </row>
    <row r="494" customFormat="false" ht="15" hidden="false" customHeight="false" outlineLevel="0" collapsed="false">
      <c r="A494" s="21" t="n">
        <v>46304</v>
      </c>
      <c r="B494" s="22" t="s">
        <v>90</v>
      </c>
      <c r="C494" s="23" t="n">
        <v>0.510416666666667</v>
      </c>
      <c r="D494" s="24" t="n">
        <v>6628.702</v>
      </c>
      <c r="E494" s="24" t="n">
        <v>1761.235</v>
      </c>
      <c r="F494" s="24" t="n">
        <v>8235.844</v>
      </c>
      <c r="G494" s="22" t="n">
        <f aca="false">HOUR(C494)*60+MINUTE(C494)</f>
        <v>735</v>
      </c>
      <c r="H494" s="25" t="n">
        <f aca="false">IF(AND(B494=B493,A494=A493,D494&gt;0,N(D493)&gt;0,G494&gt;N(G493)),(D494-D493)/((G494-G493)/60),"")</f>
        <v>0.159999999999854</v>
      </c>
      <c r="I494" s="22" t="str">
        <f aca="false">IFERROR(INDEX(Medidores!$B:$B,MATCH(B494,Medidores!$A:$A,0)),"")</f>
        <v>L16</v>
      </c>
      <c r="J494" s="22" t="s">
        <v>148</v>
      </c>
    </row>
    <row r="495" customFormat="false" ht="15" hidden="false" customHeight="false" outlineLevel="0" collapsed="false">
      <c r="A495" s="21" t="n">
        <v>46304</v>
      </c>
      <c r="B495" s="22" t="s">
        <v>90</v>
      </c>
      <c r="C495" s="23" t="n">
        <v>0.520833333333333</v>
      </c>
      <c r="D495" s="24" t="n">
        <v>6628.741</v>
      </c>
      <c r="E495" s="24" t="n">
        <v>1761.235</v>
      </c>
      <c r="F495" s="24" t="n">
        <v>8235.951</v>
      </c>
      <c r="G495" s="22" t="n">
        <f aca="false">HOUR(C495)*60+MINUTE(C495)</f>
        <v>750</v>
      </c>
      <c r="H495" s="25" t="n">
        <f aca="false">IF(AND(B495=B494,A495=A494,D495&gt;0,N(D494)&gt;0,G495&gt;N(G494)),(D495-D494)/((G495-G494)/60),"")</f>
        <v>0.15599999999904</v>
      </c>
      <c r="I495" s="22" t="str">
        <f aca="false">IFERROR(INDEX(Medidores!$B:$B,MATCH(B495,Medidores!$A:$A,0)),"")</f>
        <v>L16</v>
      </c>
      <c r="J495" s="22" t="s">
        <v>149</v>
      </c>
    </row>
    <row r="496" customFormat="false" ht="15" hidden="false" customHeight="false" outlineLevel="0" collapsed="false">
      <c r="A496" s="21" t="n">
        <v>46304</v>
      </c>
      <c r="B496" s="22" t="s">
        <v>90</v>
      </c>
      <c r="C496" s="23" t="n">
        <v>0.53125</v>
      </c>
      <c r="D496" s="24" t="n">
        <v>6628.78</v>
      </c>
      <c r="E496" s="24" t="n">
        <v>1761.235</v>
      </c>
      <c r="F496" s="24" t="n">
        <v>8236.056</v>
      </c>
      <c r="G496" s="22" t="n">
        <f aca="false">HOUR(C496)*60+MINUTE(C496)</f>
        <v>765</v>
      </c>
      <c r="H496" s="25" t="n">
        <f aca="false">IF(AND(B496=B495,A496=A495,D496&gt;0,N(D495)&gt;0,G496&gt;N(G495)),(D496-D495)/((G496-G495)/60),"")</f>
        <v>0.15599999999904</v>
      </c>
      <c r="I496" s="22" t="str">
        <f aca="false">IFERROR(INDEX(Medidores!$B:$B,MATCH(B496,Medidores!$A:$A,0)),"")</f>
        <v>L16</v>
      </c>
      <c r="J496" s="22" t="s">
        <v>150</v>
      </c>
    </row>
    <row r="497" customFormat="false" ht="15" hidden="false" customHeight="false" outlineLevel="0" collapsed="false">
      <c r="A497" s="21" t="n">
        <v>46304</v>
      </c>
      <c r="B497" s="22" t="s">
        <v>90</v>
      </c>
      <c r="C497" s="23" t="n">
        <v>0.541666666666667</v>
      </c>
      <c r="D497" s="24" t="n">
        <v>6628.819</v>
      </c>
      <c r="E497" s="24" t="n">
        <v>1761.235</v>
      </c>
      <c r="F497" s="24" t="n">
        <v>8236.163</v>
      </c>
      <c r="G497" s="22" t="n">
        <f aca="false">HOUR(C497)*60+MINUTE(C497)</f>
        <v>780</v>
      </c>
      <c r="H497" s="25" t="n">
        <f aca="false">IF(AND(B497=B496,A497=A496,D497&gt;0,N(D496)&gt;0,G497&gt;N(G496)),(D497-D496)/((G497-G496)/60),"")</f>
        <v>0.156000000002678</v>
      </c>
      <c r="I497" s="22" t="str">
        <f aca="false">IFERROR(INDEX(Medidores!$B:$B,MATCH(B497,Medidores!$A:$A,0)),"")</f>
        <v>L16</v>
      </c>
      <c r="J497" s="22" t="s">
        <v>151</v>
      </c>
    </row>
    <row r="498" customFormat="false" ht="15" hidden="false" customHeight="false" outlineLevel="0" collapsed="false">
      <c r="A498" s="21" t="n">
        <v>46304</v>
      </c>
      <c r="B498" s="22" t="s">
        <v>90</v>
      </c>
      <c r="C498" s="23" t="n">
        <v>0.552083333333333</v>
      </c>
      <c r="D498" s="24" t="n">
        <v>6628.858</v>
      </c>
      <c r="E498" s="24" t="n">
        <v>1761.235</v>
      </c>
      <c r="F498" s="24" t="n">
        <v>8236.269</v>
      </c>
      <c r="G498" s="22" t="n">
        <f aca="false">HOUR(C498)*60+MINUTE(C498)</f>
        <v>795</v>
      </c>
      <c r="H498" s="25" t="n">
        <f aca="false">IF(AND(B498=B497,A498=A497,D498&gt;0,N(D497)&gt;0,G498&gt;N(G497)),(D498-D497)/((G498-G497)/60),"")</f>
        <v>0.15599999999904</v>
      </c>
      <c r="I498" s="22" t="str">
        <f aca="false">IFERROR(INDEX(Medidores!$B:$B,MATCH(B498,Medidores!$A:$A,0)),"")</f>
        <v>L16</v>
      </c>
      <c r="J498" s="22" t="s">
        <v>152</v>
      </c>
    </row>
    <row r="499" customFormat="false" ht="15" hidden="false" customHeight="false" outlineLevel="0" collapsed="false">
      <c r="A499" s="21" t="n">
        <v>46304</v>
      </c>
      <c r="B499" s="22" t="s">
        <v>90</v>
      </c>
      <c r="C499" s="23" t="n">
        <v>0.5625</v>
      </c>
      <c r="D499" s="24" t="n">
        <v>6628.897</v>
      </c>
      <c r="E499" s="24" t="n">
        <v>1761.235</v>
      </c>
      <c r="F499" s="24" t="n">
        <v>8236.376</v>
      </c>
      <c r="G499" s="22" t="n">
        <f aca="false">HOUR(C499)*60+MINUTE(C499)</f>
        <v>810</v>
      </c>
      <c r="H499" s="25" t="n">
        <f aca="false">IF(AND(B499=B498,A499=A498,D499&gt;0,N(D498)&gt;0,G499&gt;N(G498)),(D499-D498)/((G499-G498)/60),"")</f>
        <v>0.15599999999904</v>
      </c>
      <c r="I499" s="22" t="str">
        <f aca="false">IFERROR(INDEX(Medidores!$B:$B,MATCH(B499,Medidores!$A:$A,0)),"")</f>
        <v>L16</v>
      </c>
      <c r="J499" s="22" t="s">
        <v>153</v>
      </c>
    </row>
    <row r="500" customFormat="false" ht="15" hidden="false" customHeight="false" outlineLevel="0" collapsed="false">
      <c r="A500" s="21" t="n">
        <v>46304</v>
      </c>
      <c r="B500" s="22" t="s">
        <v>90</v>
      </c>
      <c r="C500" s="23" t="n">
        <v>0.572916666666667</v>
      </c>
      <c r="D500" s="24" t="n">
        <v>6628.936</v>
      </c>
      <c r="E500" s="24" t="n">
        <v>1761.235</v>
      </c>
      <c r="F500" s="24" t="n">
        <v>8236.482</v>
      </c>
      <c r="G500" s="22" t="n">
        <f aca="false">HOUR(C500)*60+MINUTE(C500)</f>
        <v>825</v>
      </c>
      <c r="H500" s="25" t="n">
        <f aca="false">IF(AND(B500=B499,A500=A499,D500&gt;0,N(D499)&gt;0,G500&gt;N(G499)),(D500-D499)/((G500-G499)/60),"")</f>
        <v>0.15599999999904</v>
      </c>
      <c r="I500" s="22" t="str">
        <f aca="false">IFERROR(INDEX(Medidores!$B:$B,MATCH(B500,Medidores!$A:$A,0)),"")</f>
        <v>L16</v>
      </c>
      <c r="J500" s="22" t="s">
        <v>154</v>
      </c>
    </row>
    <row r="501" customFormat="false" ht="15" hidden="false" customHeight="false" outlineLevel="0" collapsed="false">
      <c r="A501" s="21" t="n">
        <v>46304</v>
      </c>
      <c r="B501" s="22" t="s">
        <v>90</v>
      </c>
      <c r="C501" s="23" t="n">
        <v>0.583333333333333</v>
      </c>
      <c r="D501" s="24" t="n">
        <v>6628.975</v>
      </c>
      <c r="E501" s="24" t="n">
        <v>1761.235</v>
      </c>
      <c r="F501" s="24" t="n">
        <v>8236.588</v>
      </c>
      <c r="G501" s="22" t="n">
        <f aca="false">HOUR(C501)*60+MINUTE(C501)</f>
        <v>840</v>
      </c>
      <c r="H501" s="25" t="n">
        <f aca="false">IF(AND(B501=B500,A501=A500,D501&gt;0,N(D500)&gt;0,G501&gt;N(G500)),(D501-D500)/((G501-G500)/60),"")</f>
        <v>0.156000000002678</v>
      </c>
      <c r="I501" s="22" t="str">
        <f aca="false">IFERROR(INDEX(Medidores!$B:$B,MATCH(B501,Medidores!$A:$A,0)),"")</f>
        <v>L16</v>
      </c>
      <c r="J501" s="22" t="s">
        <v>155</v>
      </c>
    </row>
    <row r="502" customFormat="false" ht="15" hidden="false" customHeight="false" outlineLevel="0" collapsed="false">
      <c r="A502" s="21" t="n">
        <v>46304</v>
      </c>
      <c r="B502" s="22" t="s">
        <v>91</v>
      </c>
      <c r="C502" s="23" t="n">
        <v>0.385416666666667</v>
      </c>
      <c r="D502" s="24" t="n">
        <v>107785.156</v>
      </c>
      <c r="E502" s="24" t="n">
        <v>22843.979</v>
      </c>
      <c r="F502" s="24" t="n">
        <v>110745.102</v>
      </c>
      <c r="G502" s="22" t="n">
        <f aca="false">HOUR(C502)*60+MINUTE(C502)</f>
        <v>555</v>
      </c>
      <c r="H502" s="25" t="str">
        <f aca="false">IF(AND(B502=B501,A502=A501,D502&gt;0,N(D501)&gt;0,G502&gt;N(G501)),(D502-D501)/((G502-G501)/60),"")</f>
        <v/>
      </c>
      <c r="I502" s="22" t="str">
        <f aca="false">IFERROR(INDEX(Medidores!$B:$B,MATCH(B502,Medidores!$A:$A,0)),"")</f>
        <v>Estación planta</v>
      </c>
      <c r="J502" s="22" t="s">
        <v>136</v>
      </c>
    </row>
    <row r="503" customFormat="false" ht="15" hidden="false" customHeight="false" outlineLevel="0" collapsed="false">
      <c r="A503" s="21" t="n">
        <v>46304</v>
      </c>
      <c r="B503" s="22" t="s">
        <v>91</v>
      </c>
      <c r="C503" s="23" t="n">
        <v>0.395833333333333</v>
      </c>
      <c r="D503" s="24" t="n">
        <v>107792.063</v>
      </c>
      <c r="E503" s="24" t="n">
        <v>22844.356</v>
      </c>
      <c r="F503" s="24" t="n">
        <v>110752.016</v>
      </c>
      <c r="G503" s="22" t="n">
        <f aca="false">HOUR(C503)*60+MINUTE(C503)</f>
        <v>570</v>
      </c>
      <c r="H503" s="25" t="n">
        <f aca="false">IF(AND(B503=B502,A503=A502,D503&gt;0,N(D502)&gt;0,G503&gt;N(G502)),(D503-D502)/((G503-G502)/60),"")</f>
        <v>27.6279999999679</v>
      </c>
      <c r="I503" s="22" t="str">
        <f aca="false">IFERROR(INDEX(Medidores!$B:$B,MATCH(B503,Medidores!$A:$A,0)),"")</f>
        <v>Estación planta</v>
      </c>
      <c r="J503" s="22" t="s">
        <v>137</v>
      </c>
    </row>
    <row r="504" customFormat="false" ht="15" hidden="false" customHeight="false" outlineLevel="0" collapsed="false">
      <c r="A504" s="21" t="n">
        <v>46304</v>
      </c>
      <c r="B504" s="22" t="s">
        <v>91</v>
      </c>
      <c r="C504" s="23" t="n">
        <v>0.40625</v>
      </c>
      <c r="D504" s="24" t="n">
        <v>107798.906</v>
      </c>
      <c r="E504" s="24" t="n">
        <v>22844.66</v>
      </c>
      <c r="F504" s="24" t="n">
        <v>110758.867</v>
      </c>
      <c r="G504" s="22" t="n">
        <f aca="false">HOUR(C504)*60+MINUTE(C504)</f>
        <v>585</v>
      </c>
      <c r="H504" s="25" t="n">
        <f aca="false">IF(AND(B504=B503,A504=A503,D504&gt;0,N(D503)&gt;0,G504&gt;N(G503)),(D504-D503)/((G504-G503)/60),"")</f>
        <v>27.3720000000321</v>
      </c>
      <c r="I504" s="22" t="str">
        <f aca="false">IFERROR(INDEX(Medidores!$B:$B,MATCH(B504,Medidores!$A:$A,0)),"")</f>
        <v>Estación planta</v>
      </c>
      <c r="J504" s="22" t="s">
        <v>138</v>
      </c>
    </row>
    <row r="505" customFormat="false" ht="15" hidden="false" customHeight="false" outlineLevel="0" collapsed="false">
      <c r="A505" s="21" t="n">
        <v>46304</v>
      </c>
      <c r="B505" s="22" t="s">
        <v>91</v>
      </c>
      <c r="C505" s="23" t="n">
        <v>0.416666666666667</v>
      </c>
      <c r="D505" s="24" t="n">
        <v>107806.023</v>
      </c>
      <c r="E505" s="24" t="n">
        <v>22845.049</v>
      </c>
      <c r="F505" s="24" t="n">
        <v>110765.992</v>
      </c>
      <c r="G505" s="22" t="n">
        <f aca="false">HOUR(C505)*60+MINUTE(C505)</f>
        <v>600</v>
      </c>
      <c r="H505" s="25" t="n">
        <f aca="false">IF(AND(B505=B504,A505=A504,D505&gt;0,N(D504)&gt;0,G505&gt;N(G504)),(D505-D504)/((G505-G504)/60),"")</f>
        <v>28.4679999999935</v>
      </c>
      <c r="I505" s="22" t="str">
        <f aca="false">IFERROR(INDEX(Medidores!$B:$B,MATCH(B505,Medidores!$A:$A,0)),"")</f>
        <v>Estación planta</v>
      </c>
      <c r="J505" s="22" t="s">
        <v>139</v>
      </c>
    </row>
    <row r="506" customFormat="false" ht="15" hidden="false" customHeight="false" outlineLevel="0" collapsed="false">
      <c r="A506" s="21" t="n">
        <v>46304</v>
      </c>
      <c r="B506" s="22" t="s">
        <v>91</v>
      </c>
      <c r="C506" s="23" t="n">
        <v>0.427083333333333</v>
      </c>
      <c r="D506" s="24" t="n">
        <v>107813.492</v>
      </c>
      <c r="E506" s="24" t="n">
        <v>22845.565</v>
      </c>
      <c r="F506" s="24" t="n">
        <v>110773.484</v>
      </c>
      <c r="G506" s="22" t="n">
        <f aca="false">HOUR(C506)*60+MINUTE(C506)</f>
        <v>615</v>
      </c>
      <c r="H506" s="25" t="n">
        <f aca="false">IF(AND(B506=B505,A506=A505,D506&gt;0,N(D505)&gt;0,G506&gt;N(G505)),(D506-D505)/((G506-G505)/60),"")</f>
        <v>29.8759999999893</v>
      </c>
      <c r="I506" s="22" t="str">
        <f aca="false">IFERROR(INDEX(Medidores!$B:$B,MATCH(B506,Medidores!$A:$A,0)),"")</f>
        <v>Estación planta</v>
      </c>
      <c r="J506" s="22" t="s">
        <v>140</v>
      </c>
    </row>
    <row r="507" customFormat="false" ht="15" hidden="false" customHeight="false" outlineLevel="0" collapsed="false">
      <c r="A507" s="21" t="n">
        <v>46304</v>
      </c>
      <c r="B507" s="22" t="s">
        <v>91</v>
      </c>
      <c r="C507" s="23" t="n">
        <v>0.4375</v>
      </c>
      <c r="D507" s="24" t="n">
        <v>107820.906</v>
      </c>
      <c r="E507" s="24" t="n">
        <v>22846.088</v>
      </c>
      <c r="F507" s="24" t="n">
        <v>110780.914</v>
      </c>
      <c r="G507" s="22" t="n">
        <f aca="false">HOUR(C507)*60+MINUTE(C507)</f>
        <v>630</v>
      </c>
      <c r="H507" s="25" t="n">
        <f aca="false">IF(AND(B507=B506,A507=A506,D507&gt;0,N(D506)&gt;0,G507&gt;N(G506)),(D507-D506)/((G507-G506)/60),"")</f>
        <v>29.6560000000172</v>
      </c>
      <c r="I507" s="22" t="str">
        <f aca="false">IFERROR(INDEX(Medidores!$B:$B,MATCH(B507,Medidores!$A:$A,0)),"")</f>
        <v>Estación planta</v>
      </c>
      <c r="J507" s="22" t="s">
        <v>141</v>
      </c>
    </row>
    <row r="508" customFormat="false" ht="15" hidden="false" customHeight="false" outlineLevel="0" collapsed="false">
      <c r="A508" s="21" t="n">
        <v>46304</v>
      </c>
      <c r="B508" s="22" t="s">
        <v>91</v>
      </c>
      <c r="C508" s="23" t="n">
        <v>0.447916666666667</v>
      </c>
      <c r="D508" s="24" t="n">
        <v>107828.234</v>
      </c>
      <c r="E508" s="24" t="n">
        <v>22846.516</v>
      </c>
      <c r="F508" s="24" t="n">
        <v>110788.258</v>
      </c>
      <c r="G508" s="22" t="n">
        <f aca="false">HOUR(C508)*60+MINUTE(C508)</f>
        <v>645</v>
      </c>
      <c r="H508" s="25" t="n">
        <f aca="false">IF(AND(B508=B507,A508=A507,D508&gt;0,N(D507)&gt;0,G508&gt;N(G507)),(D508-D507)/((G508-G507)/60),"")</f>
        <v>29.3119999999763</v>
      </c>
      <c r="I508" s="22" t="str">
        <f aca="false">IFERROR(INDEX(Medidores!$B:$B,MATCH(B508,Medidores!$A:$A,0)),"")</f>
        <v>Estación planta</v>
      </c>
      <c r="J508" s="22" t="s">
        <v>142</v>
      </c>
    </row>
    <row r="509" customFormat="false" ht="15" hidden="false" customHeight="false" outlineLevel="0" collapsed="false">
      <c r="A509" s="21" t="n">
        <v>46304</v>
      </c>
      <c r="B509" s="22" t="s">
        <v>91</v>
      </c>
      <c r="C509" s="23" t="n">
        <v>0.458333333333333</v>
      </c>
      <c r="D509" s="24" t="n">
        <v>107835.258</v>
      </c>
      <c r="E509" s="24" t="n">
        <v>22846.856</v>
      </c>
      <c r="F509" s="24" t="n">
        <v>110795.289</v>
      </c>
      <c r="G509" s="22" t="n">
        <f aca="false">HOUR(C509)*60+MINUTE(C509)</f>
        <v>660</v>
      </c>
      <c r="H509" s="25" t="n">
        <f aca="false">IF(AND(B509=B508,A509=A508,D509&gt;0,N(D508)&gt;0,G509&gt;N(G508)),(D509-D508)/((G509-G508)/60),"")</f>
        <v>28.0960000000196</v>
      </c>
      <c r="I509" s="22" t="str">
        <f aca="false">IFERROR(INDEX(Medidores!$B:$B,MATCH(B509,Medidores!$A:$A,0)),"")</f>
        <v>Estación planta</v>
      </c>
      <c r="J509" s="22" t="s">
        <v>143</v>
      </c>
    </row>
    <row r="510" customFormat="false" ht="15" hidden="false" customHeight="false" outlineLevel="0" collapsed="false">
      <c r="A510" s="21" t="n">
        <v>46304</v>
      </c>
      <c r="B510" s="22" t="s">
        <v>91</v>
      </c>
      <c r="C510" s="23" t="n">
        <v>0.46875</v>
      </c>
      <c r="D510" s="24" t="n">
        <v>107842.273</v>
      </c>
      <c r="E510" s="24" t="n">
        <v>22847.131</v>
      </c>
      <c r="F510" s="24" t="n">
        <v>110802.313</v>
      </c>
      <c r="G510" s="22" t="n">
        <f aca="false">HOUR(C510)*60+MINUTE(C510)</f>
        <v>675</v>
      </c>
      <c r="H510" s="25" t="n">
        <f aca="false">IF(AND(B510=B509,A510=A509,D510&gt;0,N(D509)&gt;0,G510&gt;N(G509)),(D510-D509)/((G510-G509)/60),"")</f>
        <v>28.0599999999977</v>
      </c>
      <c r="I510" s="22" t="str">
        <f aca="false">IFERROR(INDEX(Medidores!$B:$B,MATCH(B510,Medidores!$A:$A,0)),"")</f>
        <v>Estación planta</v>
      </c>
      <c r="J510" s="22" t="s">
        <v>144</v>
      </c>
    </row>
    <row r="511" customFormat="false" ht="15" hidden="false" customHeight="false" outlineLevel="0" collapsed="false">
      <c r="A511" s="21" t="n">
        <v>46304</v>
      </c>
      <c r="B511" s="22" t="s">
        <v>91</v>
      </c>
      <c r="C511" s="23" t="n">
        <v>0.479166666666667</v>
      </c>
      <c r="D511" s="24" t="n">
        <v>107849.227</v>
      </c>
      <c r="E511" s="24" t="n">
        <v>22847.44</v>
      </c>
      <c r="F511" s="24" t="n">
        <v>110809.266</v>
      </c>
      <c r="G511" s="22" t="n">
        <f aca="false">HOUR(C511)*60+MINUTE(C511)</f>
        <v>690</v>
      </c>
      <c r="H511" s="25" t="n">
        <f aca="false">IF(AND(B511=B510,A511=A510,D511&gt;0,N(D510)&gt;0,G511&gt;N(G510)),(D511-D510)/((G511-G510)/60),"")</f>
        <v>27.8159999999916</v>
      </c>
      <c r="I511" s="22" t="str">
        <f aca="false">IFERROR(INDEX(Medidores!$B:$B,MATCH(B511,Medidores!$A:$A,0)),"")</f>
        <v>Estación planta</v>
      </c>
      <c r="J511" s="22" t="s">
        <v>145</v>
      </c>
    </row>
    <row r="512" customFormat="false" ht="15" hidden="false" customHeight="false" outlineLevel="0" collapsed="false">
      <c r="A512" s="21" t="n">
        <v>46304</v>
      </c>
      <c r="B512" s="22" t="s">
        <v>91</v>
      </c>
      <c r="C512" s="23" t="n">
        <v>0.489583333333333</v>
      </c>
      <c r="D512" s="24" t="n">
        <v>107856.266</v>
      </c>
      <c r="E512" s="24" t="n">
        <v>22847.783</v>
      </c>
      <c r="F512" s="24" t="n">
        <v>110816.32</v>
      </c>
      <c r="G512" s="22" t="n">
        <f aca="false">HOUR(C512)*60+MINUTE(C512)</f>
        <v>705</v>
      </c>
      <c r="H512" s="25" t="n">
        <f aca="false">IF(AND(B512=B511,A512=A511,D512&gt;0,N(D511)&gt;0,G512&gt;N(G511)),(D512-D511)/((G512-G511)/60),"")</f>
        <v>28.1560000000172</v>
      </c>
      <c r="I512" s="22" t="str">
        <f aca="false">IFERROR(INDEX(Medidores!$B:$B,MATCH(B512,Medidores!$A:$A,0)),"")</f>
        <v>Estación planta</v>
      </c>
      <c r="J512" s="22" t="s">
        <v>146</v>
      </c>
    </row>
    <row r="513" customFormat="false" ht="15" hidden="false" customHeight="false" outlineLevel="0" collapsed="false">
      <c r="A513" s="21" t="n">
        <v>46304</v>
      </c>
      <c r="B513" s="22" t="s">
        <v>91</v>
      </c>
      <c r="C513" s="23" t="n">
        <v>0.5</v>
      </c>
      <c r="D513" s="24" t="n">
        <v>107863.25</v>
      </c>
      <c r="E513" s="24" t="n">
        <v>22848.1</v>
      </c>
      <c r="F513" s="24" t="n">
        <v>110823.313</v>
      </c>
      <c r="G513" s="22" t="n">
        <f aca="false">HOUR(C513)*60+MINUTE(C513)</f>
        <v>720</v>
      </c>
      <c r="H513" s="25" t="n">
        <f aca="false">IF(AND(B513=B512,A513=A512,D513&gt;0,N(D512)&gt;0,G513&gt;N(G512)),(D513-D512)/((G513-G512)/60),"")</f>
        <v>27.935999999987</v>
      </c>
      <c r="I513" s="22" t="str">
        <f aca="false">IFERROR(INDEX(Medidores!$B:$B,MATCH(B513,Medidores!$A:$A,0)),"")</f>
        <v>Estación planta</v>
      </c>
      <c r="J513" s="22" t="s">
        <v>147</v>
      </c>
    </row>
    <row r="514" customFormat="false" ht="15" hidden="false" customHeight="false" outlineLevel="0" collapsed="false">
      <c r="A514" s="21" t="n">
        <v>46304</v>
      </c>
      <c r="B514" s="22" t="s">
        <v>91</v>
      </c>
      <c r="C514" s="23" t="n">
        <v>0.510416666666667</v>
      </c>
      <c r="D514" s="24" t="n">
        <v>107870.195</v>
      </c>
      <c r="E514" s="24" t="n">
        <v>22848.441</v>
      </c>
      <c r="F514" s="24" t="n">
        <v>110830.266</v>
      </c>
      <c r="G514" s="22" t="n">
        <f aca="false">HOUR(C514)*60+MINUTE(C514)</f>
        <v>735</v>
      </c>
      <c r="H514" s="25" t="n">
        <f aca="false">IF(AND(B514=B513,A514=A513,D514&gt;0,N(D513)&gt;0,G514&gt;N(G513)),(D514-D513)/((G514-G513)/60),"")</f>
        <v>27.7800000000279</v>
      </c>
      <c r="I514" s="22" t="str">
        <f aca="false">IFERROR(INDEX(Medidores!$B:$B,MATCH(B514,Medidores!$A:$A,0)),"")</f>
        <v>Estación planta</v>
      </c>
      <c r="J514" s="22" t="s">
        <v>148</v>
      </c>
    </row>
    <row r="515" customFormat="false" ht="15" hidden="false" customHeight="false" outlineLevel="0" collapsed="false">
      <c r="A515" s="21" t="n">
        <v>46304</v>
      </c>
      <c r="B515" s="22" t="s">
        <v>91</v>
      </c>
      <c r="C515" s="23" t="n">
        <v>0.520833333333333</v>
      </c>
      <c r="D515" s="24" t="n">
        <v>107876.734</v>
      </c>
      <c r="E515" s="24" t="n">
        <v>22848.742</v>
      </c>
      <c r="F515" s="24" t="n">
        <v>110836.813</v>
      </c>
      <c r="G515" s="22" t="n">
        <f aca="false">HOUR(C515)*60+MINUTE(C515)</f>
        <v>750</v>
      </c>
      <c r="H515" s="25" t="n">
        <f aca="false">IF(AND(B515=B514,A515=A514,D515&gt;0,N(D514)&gt;0,G515&gt;N(G514)),(D515-D514)/((G515-G514)/60),"")</f>
        <v>26.155999999959</v>
      </c>
      <c r="I515" s="22" t="str">
        <f aca="false">IFERROR(INDEX(Medidores!$B:$B,MATCH(B515,Medidores!$A:$A,0)),"")</f>
        <v>Estación planta</v>
      </c>
      <c r="J515" s="22" t="s">
        <v>149</v>
      </c>
    </row>
    <row r="516" customFormat="false" ht="15" hidden="false" customHeight="false" outlineLevel="0" collapsed="false">
      <c r="A516" s="21" t="n">
        <v>46304</v>
      </c>
      <c r="B516" s="22" t="s">
        <v>91</v>
      </c>
      <c r="C516" s="23" t="n">
        <v>0.53125</v>
      </c>
      <c r="D516" s="24" t="n">
        <v>107883.297</v>
      </c>
      <c r="E516" s="24" t="n">
        <v>22849.019</v>
      </c>
      <c r="F516" s="24" t="n">
        <v>110843.383</v>
      </c>
      <c r="G516" s="22" t="n">
        <f aca="false">HOUR(C516)*60+MINUTE(C516)</f>
        <v>765</v>
      </c>
      <c r="H516" s="25" t="n">
        <f aca="false">IF(AND(B516=B515,A516=A515,D516&gt;0,N(D515)&gt;0,G516&gt;N(G515)),(D516-D515)/((G516-G515)/60),"")</f>
        <v>26.2520000000368</v>
      </c>
      <c r="I516" s="22" t="str">
        <f aca="false">IFERROR(INDEX(Medidores!$B:$B,MATCH(B516,Medidores!$A:$A,0)),"")</f>
        <v>Estación planta</v>
      </c>
      <c r="J516" s="22" t="s">
        <v>150</v>
      </c>
    </row>
    <row r="517" customFormat="false" ht="15" hidden="false" customHeight="false" outlineLevel="0" collapsed="false">
      <c r="A517" s="21" t="n">
        <v>46304</v>
      </c>
      <c r="B517" s="22" t="s">
        <v>91</v>
      </c>
      <c r="C517" s="23" t="n">
        <v>0.541666666666667</v>
      </c>
      <c r="D517" s="24" t="n">
        <v>107889.57</v>
      </c>
      <c r="E517" s="24" t="n">
        <v>22849.373</v>
      </c>
      <c r="F517" s="24" t="n">
        <v>110849.664</v>
      </c>
      <c r="G517" s="22" t="n">
        <f aca="false">HOUR(C517)*60+MINUTE(C517)</f>
        <v>780</v>
      </c>
      <c r="H517" s="25" t="n">
        <f aca="false">IF(AND(B517=B516,A517=A516,D517&gt;0,N(D516)&gt;0,G517&gt;N(G516)),(D517-D516)/((G517-G516)/60),"")</f>
        <v>25.0920000000042</v>
      </c>
      <c r="I517" s="22" t="str">
        <f aca="false">IFERROR(INDEX(Medidores!$B:$B,MATCH(B517,Medidores!$A:$A,0)),"")</f>
        <v>Estación planta</v>
      </c>
      <c r="J517" s="22" t="s">
        <v>151</v>
      </c>
    </row>
    <row r="518" customFormat="false" ht="15" hidden="false" customHeight="false" outlineLevel="0" collapsed="false">
      <c r="A518" s="21" t="n">
        <v>46304</v>
      </c>
      <c r="B518" s="22" t="s">
        <v>91</v>
      </c>
      <c r="C518" s="23" t="n">
        <v>0.552083333333333</v>
      </c>
      <c r="D518" s="24" t="n">
        <v>107895.172</v>
      </c>
      <c r="E518" s="24" t="n">
        <v>22849.688</v>
      </c>
      <c r="F518" s="24" t="n">
        <v>110855.281</v>
      </c>
      <c r="G518" s="22" t="n">
        <f aca="false">HOUR(C518)*60+MINUTE(C518)</f>
        <v>795</v>
      </c>
      <c r="H518" s="25" t="n">
        <f aca="false">IF(AND(B518=B517,A518=A517,D518&gt;0,N(D517)&gt;0,G518&gt;N(G517)),(D518-D517)/((G518-G517)/60),"")</f>
        <v>22.4079999999958</v>
      </c>
      <c r="I518" s="22" t="str">
        <f aca="false">IFERROR(INDEX(Medidores!$B:$B,MATCH(B518,Medidores!$A:$A,0)),"")</f>
        <v>Estación planta</v>
      </c>
      <c r="J518" s="22" t="s">
        <v>152</v>
      </c>
    </row>
    <row r="519" customFormat="false" ht="15" hidden="false" customHeight="false" outlineLevel="0" collapsed="false">
      <c r="A519" s="21" t="n">
        <v>46304</v>
      </c>
      <c r="B519" s="22" t="s">
        <v>91</v>
      </c>
      <c r="C519" s="23" t="n">
        <v>0.5625</v>
      </c>
      <c r="D519" s="24" t="n">
        <v>107900.922</v>
      </c>
      <c r="E519" s="24" t="n">
        <v>22850.156</v>
      </c>
      <c r="F519" s="24" t="n">
        <v>110861.055</v>
      </c>
      <c r="G519" s="22" t="n">
        <f aca="false">HOUR(C519)*60+MINUTE(C519)</f>
        <v>810</v>
      </c>
      <c r="H519" s="25" t="n">
        <f aca="false">IF(AND(B519=B518,A519=A518,D519&gt;0,N(D518)&gt;0,G519&gt;N(G518)),(D519-D518)/((G519-G518)/60),"")</f>
        <v>23</v>
      </c>
      <c r="I519" s="22" t="str">
        <f aca="false">IFERROR(INDEX(Medidores!$B:$B,MATCH(B519,Medidores!$A:$A,0)),"")</f>
        <v>Estación planta</v>
      </c>
      <c r="J519" s="22" t="s">
        <v>153</v>
      </c>
    </row>
    <row r="520" customFormat="false" ht="15" hidden="false" customHeight="false" outlineLevel="0" collapsed="false">
      <c r="A520" s="21" t="n">
        <v>46304</v>
      </c>
      <c r="B520" s="22" t="s">
        <v>91</v>
      </c>
      <c r="C520" s="23" t="n">
        <v>0.572916666666667</v>
      </c>
      <c r="D520" s="24" t="n">
        <v>107906.852</v>
      </c>
      <c r="E520" s="24" t="n">
        <v>22850.379</v>
      </c>
      <c r="F520" s="24" t="n">
        <v>110866.992</v>
      </c>
      <c r="G520" s="22" t="n">
        <f aca="false">HOUR(C520)*60+MINUTE(C520)</f>
        <v>825</v>
      </c>
      <c r="H520" s="25" t="n">
        <f aca="false">IF(AND(B520=B519,A520=A519,D520&gt;0,N(D519)&gt;0,G520&gt;N(G519)),(D520-D519)/((G520-G519)/60),"")</f>
        <v>23.7199999999721</v>
      </c>
      <c r="I520" s="22" t="str">
        <f aca="false">IFERROR(INDEX(Medidores!$B:$B,MATCH(B520,Medidores!$A:$A,0)),"")</f>
        <v>Estación planta</v>
      </c>
      <c r="J520" s="22" t="s">
        <v>154</v>
      </c>
    </row>
    <row r="521" customFormat="false" ht="15" hidden="false" customHeight="false" outlineLevel="0" collapsed="false">
      <c r="A521" s="21" t="n">
        <v>46304</v>
      </c>
      <c r="B521" s="22" t="s">
        <v>91</v>
      </c>
      <c r="C521" s="23" t="n">
        <v>0.583333333333333</v>
      </c>
      <c r="D521" s="24" t="n">
        <v>107913.102</v>
      </c>
      <c r="E521" s="24" t="n">
        <v>22850.629</v>
      </c>
      <c r="F521" s="24" t="n">
        <v>110873.25</v>
      </c>
      <c r="G521" s="22" t="n">
        <f aca="false">HOUR(C521)*60+MINUTE(C521)</f>
        <v>840</v>
      </c>
      <c r="H521" s="25" t="n">
        <f aca="false">IF(AND(B521=B520,A521=A520,D521&gt;0,N(D520)&gt;0,G521&gt;N(G520)),(D521-D520)/((G521-G520)/60),"")</f>
        <v>25</v>
      </c>
      <c r="I521" s="22" t="str">
        <f aca="false">IFERROR(INDEX(Medidores!$B:$B,MATCH(B521,Medidores!$A:$A,0)),"")</f>
        <v>Estación planta</v>
      </c>
      <c r="J521" s="22" t="s">
        <v>155</v>
      </c>
    </row>
    <row r="522" customFormat="false" ht="15" hidden="false" customHeight="false" outlineLevel="0" collapsed="false">
      <c r="A522" s="21" t="n">
        <v>46304</v>
      </c>
      <c r="B522" s="22" t="s">
        <v>92</v>
      </c>
      <c r="C522" s="23" t="n">
        <v>0.385416666666667</v>
      </c>
      <c r="D522" s="24" t="n">
        <v>267571.281</v>
      </c>
      <c r="E522" s="24" t="n">
        <v>110188.578</v>
      </c>
      <c r="F522" s="24" t="n">
        <v>291013.563</v>
      </c>
      <c r="G522" s="22" t="n">
        <f aca="false">HOUR(C522)*60+MINUTE(C522)</f>
        <v>555</v>
      </c>
      <c r="H522" s="25" t="str">
        <f aca="false">IF(AND(B522=B521,A522=A521,D522&gt;0,N(D521)&gt;0,G522&gt;N(G521)),(D522-D521)/((G522-G521)/60),"")</f>
        <v/>
      </c>
      <c r="I522" s="22" t="str">
        <f aca="false">IFERROR(INDEX(Medidores!$B:$B,MATCH(B522,Medidores!$A:$A,0)),"")</f>
        <v>Estación celda 3</v>
      </c>
      <c r="J522" s="22" t="s">
        <v>136</v>
      </c>
    </row>
    <row r="523" customFormat="false" ht="15" hidden="false" customHeight="false" outlineLevel="0" collapsed="false">
      <c r="A523" s="21" t="n">
        <v>46304</v>
      </c>
      <c r="B523" s="22" t="s">
        <v>92</v>
      </c>
      <c r="C523" s="23" t="n">
        <v>0.395833333333333</v>
      </c>
      <c r="D523" s="24" t="n">
        <v>267586.188</v>
      </c>
      <c r="E523" s="24" t="n">
        <v>110193.93</v>
      </c>
      <c r="F523" s="24" t="n">
        <v>291029.375</v>
      </c>
      <c r="G523" s="22" t="n">
        <f aca="false">HOUR(C523)*60+MINUTE(C523)</f>
        <v>570</v>
      </c>
      <c r="H523" s="25" t="n">
        <f aca="false">IF(AND(B523=B522,A523=A522,D523&gt;0,N(D522)&gt;0,G523&gt;N(G522)),(D523-D522)/((G523-G522)/60),"")</f>
        <v>59.6280000000261</v>
      </c>
      <c r="I523" s="22" t="str">
        <f aca="false">IFERROR(INDEX(Medidores!$B:$B,MATCH(B523,Medidores!$A:$A,0)),"")</f>
        <v>Estación celda 3</v>
      </c>
      <c r="J523" s="22" t="s">
        <v>137</v>
      </c>
    </row>
    <row r="524" customFormat="false" ht="15" hidden="false" customHeight="false" outlineLevel="0" collapsed="false">
      <c r="A524" s="21" t="n">
        <v>46304</v>
      </c>
      <c r="B524" s="22" t="s">
        <v>92</v>
      </c>
      <c r="C524" s="23" t="n">
        <v>0.40625</v>
      </c>
      <c r="D524" s="24" t="n">
        <v>267601.188</v>
      </c>
      <c r="E524" s="24" t="n">
        <v>110199.773</v>
      </c>
      <c r="F524" s="24" t="n">
        <v>291045.5</v>
      </c>
      <c r="G524" s="22" t="n">
        <f aca="false">HOUR(C524)*60+MINUTE(C524)</f>
        <v>585</v>
      </c>
      <c r="H524" s="25" t="n">
        <f aca="false">IF(AND(B524=B523,A524=A523,D524&gt;0,N(D523)&gt;0,G524&gt;N(G523)),(D524-D523)/((G524-G523)/60),"")</f>
        <v>60</v>
      </c>
      <c r="I524" s="22" t="str">
        <f aca="false">IFERROR(INDEX(Medidores!$B:$B,MATCH(B524,Medidores!$A:$A,0)),"")</f>
        <v>Estación celda 3</v>
      </c>
      <c r="J524" s="22" t="s">
        <v>138</v>
      </c>
    </row>
    <row r="525" customFormat="false" ht="15" hidden="false" customHeight="false" outlineLevel="0" collapsed="false">
      <c r="A525" s="21" t="n">
        <v>46304</v>
      </c>
      <c r="B525" s="22" t="s">
        <v>92</v>
      </c>
      <c r="C525" s="23" t="n">
        <v>0.416666666666667</v>
      </c>
      <c r="D525" s="24" t="n">
        <v>267618.406</v>
      </c>
      <c r="E525" s="24" t="n">
        <v>110207.453</v>
      </c>
      <c r="F525" s="24" t="n">
        <v>291064.344</v>
      </c>
      <c r="G525" s="22" t="n">
        <f aca="false">HOUR(C525)*60+MINUTE(C525)</f>
        <v>600</v>
      </c>
      <c r="H525" s="25" t="n">
        <f aca="false">IF(AND(B525=B524,A525=A524,D525&gt;0,N(D524)&gt;0,G525&gt;N(G524)),(D525-D524)/((G525-G524)/60),"")</f>
        <v>68.8719999999739</v>
      </c>
      <c r="I525" s="22" t="str">
        <f aca="false">IFERROR(INDEX(Medidores!$B:$B,MATCH(B525,Medidores!$A:$A,0)),"")</f>
        <v>Estación celda 3</v>
      </c>
      <c r="J525" s="22" t="s">
        <v>139</v>
      </c>
    </row>
    <row r="526" customFormat="false" ht="15" hidden="false" customHeight="false" outlineLevel="0" collapsed="false">
      <c r="A526" s="21" t="n">
        <v>46304</v>
      </c>
      <c r="B526" s="22" t="s">
        <v>92</v>
      </c>
      <c r="C526" s="23" t="n">
        <v>0.427083333333333</v>
      </c>
      <c r="D526" s="24" t="n">
        <v>267634.781</v>
      </c>
      <c r="E526" s="24" t="n">
        <v>110213.758</v>
      </c>
      <c r="F526" s="24" t="n">
        <v>291081.906</v>
      </c>
      <c r="G526" s="22" t="n">
        <f aca="false">HOUR(C526)*60+MINUTE(C526)</f>
        <v>615</v>
      </c>
      <c r="H526" s="25" t="n">
        <f aca="false">IF(AND(B526=B525,A526=A525,D526&gt;0,N(D525)&gt;0,G526&gt;N(G525)),(D526-D525)/((G526-G525)/60),"")</f>
        <v>65.5</v>
      </c>
      <c r="I526" s="22" t="str">
        <f aca="false">IFERROR(INDEX(Medidores!$B:$B,MATCH(B526,Medidores!$A:$A,0)),"")</f>
        <v>Estación celda 3</v>
      </c>
      <c r="J526" s="22" t="s">
        <v>140</v>
      </c>
    </row>
    <row r="527" customFormat="false" ht="15" hidden="false" customHeight="false" outlineLevel="0" collapsed="false">
      <c r="A527" s="21" t="n">
        <v>46304</v>
      </c>
      <c r="B527" s="22" t="s">
        <v>92</v>
      </c>
      <c r="C527" s="23" t="n">
        <v>0.4375</v>
      </c>
      <c r="D527" s="24" t="n">
        <v>267654.219</v>
      </c>
      <c r="E527" s="24" t="n">
        <v>110221.953</v>
      </c>
      <c r="F527" s="24" t="n">
        <v>291103.031</v>
      </c>
      <c r="G527" s="22" t="n">
        <f aca="false">HOUR(C527)*60+MINUTE(C527)</f>
        <v>630</v>
      </c>
      <c r="H527" s="25" t="n">
        <f aca="false">IF(AND(B527=B526,A527=A526,D527&gt;0,N(D526)&gt;0,G527&gt;N(G526)),(D527-D526)/((G527-G526)/60),"")</f>
        <v>77.7519999998622</v>
      </c>
      <c r="I527" s="22" t="str">
        <f aca="false">IFERROR(INDEX(Medidores!$B:$B,MATCH(B527,Medidores!$A:$A,0)),"")</f>
        <v>Estación celda 3</v>
      </c>
      <c r="J527" s="22" t="s">
        <v>141</v>
      </c>
    </row>
    <row r="528" customFormat="false" ht="15" hidden="false" customHeight="false" outlineLevel="0" collapsed="false">
      <c r="A528" s="21" t="n">
        <v>46304</v>
      </c>
      <c r="B528" s="22" t="s">
        <v>92</v>
      </c>
      <c r="C528" s="23" t="n">
        <v>0.447916666666667</v>
      </c>
      <c r="D528" s="24" t="n">
        <v>267670.438</v>
      </c>
      <c r="E528" s="24" t="n">
        <v>110228.211</v>
      </c>
      <c r="F528" s="24" t="n">
        <v>291120.406</v>
      </c>
      <c r="G528" s="22" t="n">
        <f aca="false">HOUR(C528)*60+MINUTE(C528)</f>
        <v>645</v>
      </c>
      <c r="H528" s="25" t="n">
        <f aca="false">IF(AND(B528=B527,A528=A527,D528&gt;0,N(D527)&gt;0,G528&gt;N(G527)),(D528-D527)/((G528-G527)/60),"")</f>
        <v>64.8760000001639</v>
      </c>
      <c r="I528" s="22" t="str">
        <f aca="false">IFERROR(INDEX(Medidores!$B:$B,MATCH(B528,Medidores!$A:$A,0)),"")</f>
        <v>Estación celda 3</v>
      </c>
      <c r="J528" s="22" t="s">
        <v>142</v>
      </c>
    </row>
    <row r="529" customFormat="false" ht="15" hidden="false" customHeight="false" outlineLevel="0" collapsed="false">
      <c r="A529" s="21" t="n">
        <v>46304</v>
      </c>
      <c r="B529" s="22" t="s">
        <v>92</v>
      </c>
      <c r="C529" s="23" t="n">
        <v>0.458333333333333</v>
      </c>
      <c r="D529" s="24" t="n">
        <v>267686.719</v>
      </c>
      <c r="E529" s="24" t="n">
        <v>110234.18</v>
      </c>
      <c r="F529" s="24" t="n">
        <v>291137.75</v>
      </c>
      <c r="G529" s="22" t="n">
        <f aca="false">HOUR(C529)*60+MINUTE(C529)</f>
        <v>660</v>
      </c>
      <c r="H529" s="25" t="n">
        <f aca="false">IF(AND(B529=B528,A529=A528,D529&gt;0,N(D528)&gt;0,G529&gt;N(G528)),(D529-D528)/((G529-G528)/60),"")</f>
        <v>65.1239999998361</v>
      </c>
      <c r="I529" s="22" t="str">
        <f aca="false">IFERROR(INDEX(Medidores!$B:$B,MATCH(B529,Medidores!$A:$A,0)),"")</f>
        <v>Estación celda 3</v>
      </c>
      <c r="J529" s="22" t="s">
        <v>143</v>
      </c>
    </row>
    <row r="530" customFormat="false" ht="15" hidden="false" customHeight="false" outlineLevel="0" collapsed="false">
      <c r="A530" s="21" t="n">
        <v>46304</v>
      </c>
      <c r="B530" s="22" t="s">
        <v>92</v>
      </c>
      <c r="C530" s="23" t="n">
        <v>0.46875</v>
      </c>
      <c r="D530" s="24" t="n">
        <v>267704.531</v>
      </c>
      <c r="E530" s="24" t="n">
        <v>110241.977</v>
      </c>
      <c r="F530" s="24" t="n">
        <v>291157.219</v>
      </c>
      <c r="G530" s="22" t="n">
        <f aca="false">HOUR(C530)*60+MINUTE(C530)</f>
        <v>675</v>
      </c>
      <c r="H530" s="25" t="n">
        <f aca="false">IF(AND(B530=B529,A530=A529,D530&gt;0,N(D529)&gt;0,G530&gt;N(G529)),(D530-D529)/((G530-G529)/60),"")</f>
        <v>71.2480000001378</v>
      </c>
      <c r="I530" s="22" t="str">
        <f aca="false">IFERROR(INDEX(Medidores!$B:$B,MATCH(B530,Medidores!$A:$A,0)),"")</f>
        <v>Estación celda 3</v>
      </c>
      <c r="J530" s="22" t="s">
        <v>144</v>
      </c>
    </row>
    <row r="531" customFormat="false" ht="15" hidden="false" customHeight="false" outlineLevel="0" collapsed="false">
      <c r="A531" s="21" t="n">
        <v>46304</v>
      </c>
      <c r="B531" s="22" t="s">
        <v>92</v>
      </c>
      <c r="C531" s="23" t="n">
        <v>0.479166666666667</v>
      </c>
      <c r="D531" s="24" t="n">
        <v>267722.281</v>
      </c>
      <c r="E531" s="24" t="n">
        <v>110248.477</v>
      </c>
      <c r="F531" s="24" t="n">
        <v>291176.094</v>
      </c>
      <c r="G531" s="22" t="n">
        <f aca="false">HOUR(C531)*60+MINUTE(C531)</f>
        <v>690</v>
      </c>
      <c r="H531" s="25" t="n">
        <f aca="false">IF(AND(B531=B530,A531=A530,D531&gt;0,N(D530)&gt;0,G531&gt;N(G530)),(D531-D530)/((G531-G530)/60),"")</f>
        <v>71</v>
      </c>
      <c r="I531" s="22" t="str">
        <f aca="false">IFERROR(INDEX(Medidores!$B:$B,MATCH(B531,Medidores!$A:$A,0)),"")</f>
        <v>Estación celda 3</v>
      </c>
      <c r="J531" s="22" t="s">
        <v>145</v>
      </c>
    </row>
    <row r="532" customFormat="false" ht="15" hidden="false" customHeight="false" outlineLevel="0" collapsed="false">
      <c r="A532" s="21" t="n">
        <v>46304</v>
      </c>
      <c r="B532" s="22" t="s">
        <v>92</v>
      </c>
      <c r="C532" s="23" t="n">
        <v>0.489583333333333</v>
      </c>
      <c r="D532" s="24" t="n">
        <v>267741.75</v>
      </c>
      <c r="E532" s="24" t="n">
        <v>110256.586</v>
      </c>
      <c r="F532" s="24" t="n">
        <v>291197.219</v>
      </c>
      <c r="G532" s="22" t="n">
        <f aca="false">HOUR(C532)*60+MINUTE(C532)</f>
        <v>705</v>
      </c>
      <c r="H532" s="25" t="n">
        <f aca="false">IF(AND(B532=B531,A532=A531,D532&gt;0,N(D531)&gt;0,G532&gt;N(G531)),(D532-D531)/((G532-G531)/60),"")</f>
        <v>77.8759999999311</v>
      </c>
      <c r="I532" s="22" t="str">
        <f aca="false">IFERROR(INDEX(Medidores!$B:$B,MATCH(B532,Medidores!$A:$A,0)),"")</f>
        <v>Estación celda 3</v>
      </c>
      <c r="J532" s="22" t="s">
        <v>146</v>
      </c>
    </row>
    <row r="533" customFormat="false" ht="15" hidden="false" customHeight="false" outlineLevel="0" collapsed="false">
      <c r="A533" s="21" t="n">
        <v>46304</v>
      </c>
      <c r="B533" s="22" t="s">
        <v>92</v>
      </c>
      <c r="C533" s="23" t="n">
        <v>0.5</v>
      </c>
      <c r="D533" s="24" t="n">
        <v>267759.313</v>
      </c>
      <c r="E533" s="24" t="n">
        <v>110263.828</v>
      </c>
      <c r="F533" s="24" t="n">
        <v>291216.219</v>
      </c>
      <c r="G533" s="22" t="n">
        <f aca="false">HOUR(C533)*60+MINUTE(C533)</f>
        <v>720</v>
      </c>
      <c r="H533" s="25" t="n">
        <f aca="false">IF(AND(B533=B532,A533=A532,D533&gt;0,N(D532)&gt;0,G533&gt;N(G532)),(D533-D532)/((G533-G532)/60),"")</f>
        <v>70.252000000095</v>
      </c>
      <c r="I533" s="22" t="str">
        <f aca="false">IFERROR(INDEX(Medidores!$B:$B,MATCH(B533,Medidores!$A:$A,0)),"")</f>
        <v>Estación celda 3</v>
      </c>
      <c r="J533" s="22" t="s">
        <v>147</v>
      </c>
    </row>
    <row r="534" customFormat="false" ht="15" hidden="false" customHeight="false" outlineLevel="0" collapsed="false">
      <c r="A534" s="21" t="n">
        <v>46304</v>
      </c>
      <c r="B534" s="22" t="s">
        <v>92</v>
      </c>
      <c r="C534" s="23" t="n">
        <v>0.510416666666667</v>
      </c>
      <c r="D534" s="24" t="n">
        <v>267776.313</v>
      </c>
      <c r="E534" s="24" t="n">
        <v>110270.68</v>
      </c>
      <c r="F534" s="24" t="n">
        <v>291234.563</v>
      </c>
      <c r="G534" s="22" t="n">
        <f aca="false">HOUR(C534)*60+MINUTE(C534)</f>
        <v>735</v>
      </c>
      <c r="H534" s="25" t="n">
        <f aca="false">IF(AND(B534=B533,A534=A533,D534&gt;0,N(D533)&gt;0,G534&gt;N(G533)),(D534-D533)/((G534-G533)/60),"")</f>
        <v>68</v>
      </c>
      <c r="I534" s="22" t="str">
        <f aca="false">IFERROR(INDEX(Medidores!$B:$B,MATCH(B534,Medidores!$A:$A,0)),"")</f>
        <v>Estación celda 3</v>
      </c>
      <c r="J534" s="22" t="s">
        <v>148</v>
      </c>
    </row>
    <row r="535" customFormat="false" ht="15" hidden="false" customHeight="false" outlineLevel="0" collapsed="false">
      <c r="A535" s="21" t="n">
        <v>46304</v>
      </c>
      <c r="B535" s="22" t="s">
        <v>92</v>
      </c>
      <c r="C535" s="23" t="n">
        <v>0.520833333333333</v>
      </c>
      <c r="D535" s="24" t="n">
        <v>267795.813</v>
      </c>
      <c r="E535" s="24" t="n">
        <v>110279.922</v>
      </c>
      <c r="F535" s="24" t="n">
        <v>291256.125</v>
      </c>
      <c r="G535" s="22" t="n">
        <f aca="false">HOUR(C535)*60+MINUTE(C535)</f>
        <v>750</v>
      </c>
      <c r="H535" s="25" t="n">
        <f aca="false">IF(AND(B535=B534,A535=A534,D535&gt;0,N(D534)&gt;0,G535&gt;N(G534)),(D535-D534)/((G535-G534)/60),"")</f>
        <v>78</v>
      </c>
      <c r="I535" s="22" t="str">
        <f aca="false">IFERROR(INDEX(Medidores!$B:$B,MATCH(B535,Medidores!$A:$A,0)),"")</f>
        <v>Estación celda 3</v>
      </c>
      <c r="J535" s="22" t="s">
        <v>149</v>
      </c>
    </row>
    <row r="536" customFormat="false" ht="15" hidden="false" customHeight="false" outlineLevel="0" collapsed="false">
      <c r="A536" s="21" t="n">
        <v>46304</v>
      </c>
      <c r="B536" s="22" t="s">
        <v>92</v>
      </c>
      <c r="C536" s="23" t="n">
        <v>0.53125</v>
      </c>
      <c r="D536" s="24" t="n">
        <v>267812.063</v>
      </c>
      <c r="E536" s="24" t="n">
        <v>110286.586</v>
      </c>
      <c r="F536" s="24" t="n">
        <v>291273.719</v>
      </c>
      <c r="G536" s="22" t="n">
        <f aca="false">HOUR(C536)*60+MINUTE(C536)</f>
        <v>765</v>
      </c>
      <c r="H536" s="25" t="n">
        <f aca="false">IF(AND(B536=B535,A536=A535,D536&gt;0,N(D535)&gt;0,G536&gt;N(G535)),(D536-D535)/((G536-G535)/60),"")</f>
        <v>65</v>
      </c>
      <c r="I536" s="22" t="str">
        <f aca="false">IFERROR(INDEX(Medidores!$B:$B,MATCH(B536,Medidores!$A:$A,0)),"")</f>
        <v>Estación celda 3</v>
      </c>
      <c r="J536" s="22" t="s">
        <v>150</v>
      </c>
    </row>
    <row r="537" customFormat="false" ht="15" hidden="false" customHeight="false" outlineLevel="0" collapsed="false">
      <c r="A537" s="21" t="n">
        <v>46304</v>
      </c>
      <c r="B537" s="22" t="s">
        <v>92</v>
      </c>
      <c r="C537" s="23" t="n">
        <v>0.541666666666667</v>
      </c>
      <c r="D537" s="24" t="n">
        <v>267833.406</v>
      </c>
      <c r="E537" s="24" t="n">
        <v>110295.883</v>
      </c>
      <c r="F537" s="24" t="n">
        <v>291297.031</v>
      </c>
      <c r="G537" s="22" t="n">
        <f aca="false">HOUR(C537)*60+MINUTE(C537)</f>
        <v>780</v>
      </c>
      <c r="H537" s="25" t="n">
        <f aca="false">IF(AND(B537=B536,A537=A536,D537&gt;0,N(D536)&gt;0,G537&gt;N(G536)),(D537-D536)/((G537-G536)/60),"")</f>
        <v>85.3719999999739</v>
      </c>
      <c r="I537" s="22" t="str">
        <f aca="false">IFERROR(INDEX(Medidores!$B:$B,MATCH(B537,Medidores!$A:$A,0)),"")</f>
        <v>Estación celda 3</v>
      </c>
      <c r="J537" s="22" t="s">
        <v>151</v>
      </c>
    </row>
    <row r="538" customFormat="false" ht="15" hidden="false" customHeight="false" outlineLevel="0" collapsed="false">
      <c r="A538" s="21" t="n">
        <v>46304</v>
      </c>
      <c r="B538" s="22" t="s">
        <v>92</v>
      </c>
      <c r="C538" s="23" t="n">
        <v>0.552083333333333</v>
      </c>
      <c r="D538" s="24" t="n">
        <v>267851.625</v>
      </c>
      <c r="E538" s="24" t="n">
        <v>110302.805</v>
      </c>
      <c r="F538" s="24" t="n">
        <v>291316.5</v>
      </c>
      <c r="G538" s="22" t="n">
        <f aca="false">HOUR(C538)*60+MINUTE(C538)</f>
        <v>795</v>
      </c>
      <c r="H538" s="25" t="n">
        <f aca="false">IF(AND(B538=B537,A538=A537,D538&gt;0,N(D537)&gt;0,G538&gt;N(G537)),(D538-D537)/((G538-G537)/60),"")</f>
        <v>72.8759999999311</v>
      </c>
      <c r="I538" s="22" t="str">
        <f aca="false">IFERROR(INDEX(Medidores!$B:$B,MATCH(B538,Medidores!$A:$A,0)),"")</f>
        <v>Estación celda 3</v>
      </c>
      <c r="J538" s="22" t="s">
        <v>152</v>
      </c>
    </row>
    <row r="539" customFormat="false" ht="15" hidden="false" customHeight="false" outlineLevel="0" collapsed="false">
      <c r="A539" s="21" t="n">
        <v>46304</v>
      </c>
      <c r="B539" s="22" t="s">
        <v>92</v>
      </c>
      <c r="C539" s="23" t="n">
        <v>0.5625</v>
      </c>
      <c r="D539" s="24" t="n">
        <v>267871.531</v>
      </c>
      <c r="E539" s="24" t="n">
        <v>110310.297</v>
      </c>
      <c r="F539" s="24" t="n">
        <v>291337.75</v>
      </c>
      <c r="G539" s="22" t="n">
        <f aca="false">HOUR(C539)*60+MINUTE(C539)</f>
        <v>810</v>
      </c>
      <c r="H539" s="25" t="n">
        <f aca="false">IF(AND(B539=B538,A539=A538,D539&gt;0,N(D538)&gt;0,G539&gt;N(G538)),(D539-D538)/((G539-G538)/60),"")</f>
        <v>79.6240000000689</v>
      </c>
      <c r="I539" s="22" t="str">
        <f aca="false">IFERROR(INDEX(Medidores!$B:$B,MATCH(B539,Medidores!$A:$A,0)),"")</f>
        <v>Estación celda 3</v>
      </c>
      <c r="J539" s="22" t="s">
        <v>153</v>
      </c>
    </row>
    <row r="540" customFormat="false" ht="15" hidden="false" customHeight="false" outlineLevel="0" collapsed="false">
      <c r="A540" s="21" t="n">
        <v>46304</v>
      </c>
      <c r="B540" s="22" t="s">
        <v>92</v>
      </c>
      <c r="C540" s="23" t="n">
        <v>0.572916666666667</v>
      </c>
      <c r="D540" s="24" t="n">
        <v>267893.219</v>
      </c>
      <c r="E540" s="24" t="n">
        <v>110319.273</v>
      </c>
      <c r="F540" s="24" t="n">
        <v>291361.281</v>
      </c>
      <c r="G540" s="22" t="n">
        <f aca="false">HOUR(C540)*60+MINUTE(C540)</f>
        <v>825</v>
      </c>
      <c r="H540" s="25" t="n">
        <f aca="false">IF(AND(B540=B539,A540=A539,D540&gt;0,N(D539)&gt;0,G540&gt;N(G539)),(D540-D539)/((G540-G539)/60),"")</f>
        <v>86.7519999998622</v>
      </c>
      <c r="I540" s="22" t="str">
        <f aca="false">IFERROR(INDEX(Medidores!$B:$B,MATCH(B540,Medidores!$A:$A,0)),"")</f>
        <v>Estación celda 3</v>
      </c>
      <c r="J540" s="22" t="s">
        <v>154</v>
      </c>
    </row>
    <row r="541" customFormat="false" ht="15" hidden="false" customHeight="false" outlineLevel="0" collapsed="false">
      <c r="A541" s="21" t="n">
        <v>46304</v>
      </c>
      <c r="B541" s="22" t="s">
        <v>92</v>
      </c>
      <c r="C541" s="23" t="n">
        <v>0.583333333333333</v>
      </c>
      <c r="D541" s="24" t="n">
        <v>267912.5</v>
      </c>
      <c r="E541" s="24" t="n">
        <v>110326.352</v>
      </c>
      <c r="F541" s="24" t="n">
        <v>291381.813</v>
      </c>
      <c r="G541" s="22" t="n">
        <f aca="false">HOUR(C541)*60+MINUTE(C541)</f>
        <v>840</v>
      </c>
      <c r="H541" s="25" t="n">
        <f aca="false">IF(AND(B541=B540,A541=A540,D541&gt;0,N(D540)&gt;0,G541&gt;N(G540)),(D541-D540)/((G541-G540)/60),"")</f>
        <v>77.1240000000689</v>
      </c>
      <c r="I541" s="22" t="str">
        <f aca="false">IFERROR(INDEX(Medidores!$B:$B,MATCH(B541,Medidores!$A:$A,0)),"")</f>
        <v>Estación celda 3</v>
      </c>
      <c r="J541" s="22" t="s">
        <v>155</v>
      </c>
    </row>
    <row r="542" customFormat="false" ht="15" hidden="false" customHeight="false" outlineLevel="0" collapsed="false">
      <c r="A542" s="21" t="n">
        <v>46304</v>
      </c>
      <c r="B542" s="22" t="s">
        <v>93</v>
      </c>
      <c r="C542" s="23" t="n">
        <v>0.385416666666667</v>
      </c>
      <c r="D542" s="24" t="n">
        <v>436016.188</v>
      </c>
      <c r="E542" s="24" t="n">
        <v>174021.859</v>
      </c>
      <c r="F542" s="24" t="n">
        <v>471401.313</v>
      </c>
      <c r="G542" s="22" t="n">
        <f aca="false">HOUR(C542)*60+MINUTE(C542)</f>
        <v>555</v>
      </c>
      <c r="H542" s="25" t="str">
        <f aca="false">IF(AND(B542=B541,A542=A541,D542&gt;0,N(D541)&gt;0,G542&gt;N(G541)),(D542-D541)/((G542-G541)/60),"")</f>
        <v/>
      </c>
      <c r="I542" s="22" t="str">
        <f aca="false">IFERROR(INDEX(Medidores!$B:$B,MATCH(B542,Medidores!$A:$A,0)),"")</f>
        <v>Estación celda 2</v>
      </c>
      <c r="J542" s="22" t="s">
        <v>136</v>
      </c>
    </row>
    <row r="543" customFormat="false" ht="15" hidden="false" customHeight="false" outlineLevel="0" collapsed="false">
      <c r="A543" s="21" t="n">
        <v>46304</v>
      </c>
      <c r="B543" s="22" t="s">
        <v>93</v>
      </c>
      <c r="C543" s="23" t="n">
        <v>0.395833333333333</v>
      </c>
      <c r="D543" s="24" t="n">
        <v>436036.406</v>
      </c>
      <c r="E543" s="24" t="n">
        <v>174031.125</v>
      </c>
      <c r="F543" s="24" t="n">
        <v>471423.594</v>
      </c>
      <c r="G543" s="22" t="n">
        <f aca="false">HOUR(C543)*60+MINUTE(C543)</f>
        <v>570</v>
      </c>
      <c r="H543" s="25" t="n">
        <f aca="false">IF(AND(B543=B542,A543=A542,D543&gt;0,N(D542)&gt;0,G543&gt;N(G542)),(D543-D542)/((G543-G542)/60),"")</f>
        <v>80.8719999999739</v>
      </c>
      <c r="I543" s="22" t="str">
        <f aca="false">IFERROR(INDEX(Medidores!$B:$B,MATCH(B543,Medidores!$A:$A,0)),"")</f>
        <v>Estación celda 2</v>
      </c>
      <c r="J543" s="22" t="s">
        <v>137</v>
      </c>
    </row>
    <row r="544" customFormat="false" ht="15" hidden="false" customHeight="false" outlineLevel="0" collapsed="false">
      <c r="A544" s="21" t="n">
        <v>46304</v>
      </c>
      <c r="B544" s="22" t="s">
        <v>93</v>
      </c>
      <c r="C544" s="23" t="n">
        <v>0.40625</v>
      </c>
      <c r="D544" s="24" t="n">
        <v>436056.031</v>
      </c>
      <c r="E544" s="24" t="n">
        <v>174040.438</v>
      </c>
      <c r="F544" s="24" t="n">
        <v>471445.281</v>
      </c>
      <c r="G544" s="22" t="n">
        <f aca="false">HOUR(C544)*60+MINUTE(C544)</f>
        <v>585</v>
      </c>
      <c r="H544" s="25" t="n">
        <f aca="false">IF(AND(B544=B543,A544=A543,D544&gt;0,N(D543)&gt;0,G544&gt;N(G543)),(D544-D543)/((G544-G543)/60),"")</f>
        <v>78.5</v>
      </c>
      <c r="I544" s="22" t="str">
        <f aca="false">IFERROR(INDEX(Medidores!$B:$B,MATCH(B544,Medidores!$A:$A,0)),"")</f>
        <v>Estación celda 2</v>
      </c>
      <c r="J544" s="22" t="s">
        <v>138</v>
      </c>
    </row>
    <row r="545" customFormat="false" ht="15" hidden="false" customHeight="false" outlineLevel="0" collapsed="false">
      <c r="A545" s="21" t="n">
        <v>46304</v>
      </c>
      <c r="B545" s="22" t="s">
        <v>93</v>
      </c>
      <c r="C545" s="23" t="n">
        <v>0.416666666666667</v>
      </c>
      <c r="D545" s="24" t="n">
        <v>436077</v>
      </c>
      <c r="E545" s="24" t="n">
        <v>174049.703</v>
      </c>
      <c r="F545" s="24" t="n">
        <v>471468.188</v>
      </c>
      <c r="G545" s="22" t="n">
        <f aca="false">HOUR(C545)*60+MINUTE(C545)</f>
        <v>600</v>
      </c>
      <c r="H545" s="25" t="n">
        <f aca="false">IF(AND(B545=B544,A545=A544,D545&gt;0,N(D544)&gt;0,G545&gt;N(G544)),(D545-D544)/((G545-G544)/60),"")</f>
        <v>83.8759999999311</v>
      </c>
      <c r="I545" s="22" t="str">
        <f aca="false">IFERROR(INDEX(Medidores!$B:$B,MATCH(B545,Medidores!$A:$A,0)),"")</f>
        <v>Estación celda 2</v>
      </c>
      <c r="J545" s="22" t="s">
        <v>139</v>
      </c>
    </row>
    <row r="546" customFormat="false" ht="15" hidden="false" customHeight="false" outlineLevel="0" collapsed="false">
      <c r="A546" s="21" t="n">
        <v>46304</v>
      </c>
      <c r="B546" s="22" t="s">
        <v>93</v>
      </c>
      <c r="C546" s="23" t="n">
        <v>0.427083333333333</v>
      </c>
      <c r="D546" s="24" t="n">
        <v>436100.625</v>
      </c>
      <c r="E546" s="24" t="n">
        <v>174059.266</v>
      </c>
      <c r="F546" s="24" t="n">
        <v>471493.688</v>
      </c>
      <c r="G546" s="22" t="n">
        <f aca="false">HOUR(C546)*60+MINUTE(C546)</f>
        <v>615</v>
      </c>
      <c r="H546" s="25" t="n">
        <f aca="false">IF(AND(B546=B545,A546=A545,D546&gt;0,N(D545)&gt;0,G546&gt;N(G545)),(D546-D545)/((G546-G545)/60),"")</f>
        <v>94.5</v>
      </c>
      <c r="I546" s="22" t="str">
        <f aca="false">IFERROR(INDEX(Medidores!$B:$B,MATCH(B546,Medidores!$A:$A,0)),"")</f>
        <v>Estación celda 2</v>
      </c>
      <c r="J546" s="22" t="s">
        <v>140</v>
      </c>
    </row>
    <row r="547" customFormat="false" ht="15" hidden="false" customHeight="false" outlineLevel="0" collapsed="false">
      <c r="A547" s="21" t="n">
        <v>46304</v>
      </c>
      <c r="B547" s="22" t="s">
        <v>93</v>
      </c>
      <c r="C547" s="23" t="n">
        <v>0.4375</v>
      </c>
      <c r="D547" s="24" t="n">
        <v>436125.031</v>
      </c>
      <c r="E547" s="24" t="n">
        <v>174069.297</v>
      </c>
      <c r="F547" s="24" t="n">
        <v>471520.063</v>
      </c>
      <c r="G547" s="22" t="n">
        <f aca="false">HOUR(C547)*60+MINUTE(C547)</f>
        <v>630</v>
      </c>
      <c r="H547" s="25" t="n">
        <f aca="false">IF(AND(B547=B546,A547=A546,D547&gt;0,N(D546)&gt;0,G547&gt;N(G546)),(D547-D546)/((G547-G546)/60),"")</f>
        <v>97.6240000000689</v>
      </c>
      <c r="I547" s="22" t="str">
        <f aca="false">IFERROR(INDEX(Medidores!$B:$B,MATCH(B547,Medidores!$A:$A,0)),"")</f>
        <v>Estación celda 2</v>
      </c>
      <c r="J547" s="22" t="s">
        <v>141</v>
      </c>
    </row>
    <row r="548" customFormat="false" ht="15" hidden="false" customHeight="false" outlineLevel="0" collapsed="false">
      <c r="A548" s="21" t="n">
        <v>46304</v>
      </c>
      <c r="B548" s="22" t="s">
        <v>93</v>
      </c>
      <c r="C548" s="23" t="n">
        <v>0.447916666666667</v>
      </c>
      <c r="D548" s="24" t="n">
        <v>436147.625</v>
      </c>
      <c r="E548" s="24" t="n">
        <v>174079.141</v>
      </c>
      <c r="F548" s="24" t="n">
        <v>471544.719</v>
      </c>
      <c r="G548" s="22" t="n">
        <f aca="false">HOUR(C548)*60+MINUTE(C548)</f>
        <v>645</v>
      </c>
      <c r="H548" s="25" t="n">
        <f aca="false">IF(AND(B548=B547,A548=A547,D548&gt;0,N(D547)&gt;0,G548&gt;N(G547)),(D548-D547)/((G548-G547)/60),"")</f>
        <v>90.3759999999311</v>
      </c>
      <c r="I548" s="22" t="str">
        <f aca="false">IFERROR(INDEX(Medidores!$B:$B,MATCH(B548,Medidores!$A:$A,0)),"")</f>
        <v>Estación celda 2</v>
      </c>
      <c r="J548" s="22" t="s">
        <v>142</v>
      </c>
    </row>
    <row r="549" customFormat="false" ht="15" hidden="false" customHeight="false" outlineLevel="0" collapsed="false">
      <c r="A549" s="21" t="n">
        <v>46304</v>
      </c>
      <c r="B549" s="22" t="s">
        <v>93</v>
      </c>
      <c r="C549" s="23" t="n">
        <v>0.458333333333333</v>
      </c>
      <c r="D549" s="24" t="n">
        <v>436169.313</v>
      </c>
      <c r="E549" s="24" t="n">
        <v>174088.766</v>
      </c>
      <c r="F549" s="24" t="n">
        <v>471568.438</v>
      </c>
      <c r="G549" s="22" t="n">
        <f aca="false">HOUR(C549)*60+MINUTE(C549)</f>
        <v>660</v>
      </c>
      <c r="H549" s="25" t="n">
        <f aca="false">IF(AND(B549=B548,A549=A548,D549&gt;0,N(D548)&gt;0,G549&gt;N(G548)),(D549-D548)/((G549-G548)/60),"")</f>
        <v>86.752000000095</v>
      </c>
      <c r="I549" s="22" t="str">
        <f aca="false">IFERROR(INDEX(Medidores!$B:$B,MATCH(B549,Medidores!$A:$A,0)),"")</f>
        <v>Estación celda 2</v>
      </c>
      <c r="J549" s="22" t="s">
        <v>143</v>
      </c>
    </row>
    <row r="550" customFormat="false" ht="15" hidden="false" customHeight="false" outlineLevel="0" collapsed="false">
      <c r="A550" s="21" t="n">
        <v>46304</v>
      </c>
      <c r="B550" s="22" t="s">
        <v>93</v>
      </c>
      <c r="C550" s="23" t="n">
        <v>0.46875</v>
      </c>
      <c r="D550" s="24" t="n">
        <v>436189.844</v>
      </c>
      <c r="E550" s="24" t="n">
        <v>174098.438</v>
      </c>
      <c r="F550" s="24" t="n">
        <v>471591.156</v>
      </c>
      <c r="G550" s="22" t="n">
        <f aca="false">HOUR(C550)*60+MINUTE(C550)</f>
        <v>675</v>
      </c>
      <c r="H550" s="25" t="n">
        <f aca="false">IF(AND(B550=B549,A550=A549,D550&gt;0,N(D549)&gt;0,G550&gt;N(G549)),(D550-D549)/((G550-G549)/60),"")</f>
        <v>82.1239999998361</v>
      </c>
      <c r="I550" s="22" t="str">
        <f aca="false">IFERROR(INDEX(Medidores!$B:$B,MATCH(B550,Medidores!$A:$A,0)),"")</f>
        <v>Estación celda 2</v>
      </c>
      <c r="J550" s="22" t="s">
        <v>144</v>
      </c>
    </row>
    <row r="551" customFormat="false" ht="15" hidden="false" customHeight="false" outlineLevel="0" collapsed="false">
      <c r="A551" s="21" t="n">
        <v>46304</v>
      </c>
      <c r="B551" s="22" t="s">
        <v>93</v>
      </c>
      <c r="C551" s="23" t="n">
        <v>0.479166666666667</v>
      </c>
      <c r="D551" s="24" t="n">
        <v>436210.688</v>
      </c>
      <c r="E551" s="24" t="n">
        <v>174108.141</v>
      </c>
      <c r="F551" s="24" t="n">
        <v>471614.156</v>
      </c>
      <c r="G551" s="22" t="n">
        <f aca="false">HOUR(C551)*60+MINUTE(C551)</f>
        <v>690</v>
      </c>
      <c r="H551" s="25" t="n">
        <f aca="false">IF(AND(B551=B550,A551=A550,D551&gt;0,N(D550)&gt;0,G551&gt;N(G550)),(D551-D550)/((G551-G550)/60),"")</f>
        <v>83.3760000001639</v>
      </c>
      <c r="I551" s="22" t="str">
        <f aca="false">IFERROR(INDEX(Medidores!$B:$B,MATCH(B551,Medidores!$A:$A,0)),"")</f>
        <v>Estación celda 2</v>
      </c>
      <c r="J551" s="22" t="s">
        <v>145</v>
      </c>
    </row>
    <row r="552" customFormat="false" ht="15" hidden="false" customHeight="false" outlineLevel="0" collapsed="false">
      <c r="A552" s="21" t="n">
        <v>46304</v>
      </c>
      <c r="B552" s="22" t="s">
        <v>93</v>
      </c>
      <c r="C552" s="23" t="n">
        <v>0.489583333333333</v>
      </c>
      <c r="D552" s="24" t="n">
        <v>436234.969</v>
      </c>
      <c r="E552" s="24" t="n">
        <v>174118.375</v>
      </c>
      <c r="F552" s="24" t="n">
        <v>471640.5</v>
      </c>
      <c r="G552" s="22" t="n">
        <f aca="false">HOUR(C552)*60+MINUTE(C552)</f>
        <v>705</v>
      </c>
      <c r="H552" s="25" t="n">
        <f aca="false">IF(AND(B552=B551,A552=A551,D552&gt;0,N(D551)&gt;0,G552&gt;N(G551)),(D552-D551)/((G552-G551)/60),"")</f>
        <v>97.1239999998361</v>
      </c>
      <c r="I552" s="22" t="str">
        <f aca="false">IFERROR(INDEX(Medidores!$B:$B,MATCH(B552,Medidores!$A:$A,0)),"")</f>
        <v>Estación celda 2</v>
      </c>
      <c r="J552" s="22" t="s">
        <v>146</v>
      </c>
    </row>
    <row r="553" customFormat="false" ht="15" hidden="false" customHeight="false" outlineLevel="0" collapsed="false">
      <c r="A553" s="21" t="n">
        <v>46304</v>
      </c>
      <c r="B553" s="22" t="s">
        <v>93</v>
      </c>
      <c r="C553" s="23" t="n">
        <v>0.5</v>
      </c>
      <c r="D553" s="24" t="n">
        <v>436258.531</v>
      </c>
      <c r="E553" s="24" t="n">
        <v>174128.5</v>
      </c>
      <c r="F553" s="24" t="n">
        <v>471666.156</v>
      </c>
      <c r="G553" s="22" t="n">
        <f aca="false">HOUR(C553)*60+MINUTE(C553)</f>
        <v>720</v>
      </c>
      <c r="H553" s="25" t="n">
        <f aca="false">IF(AND(B553=B552,A553=A552,D553&gt;0,N(D552)&gt;0,G553&gt;N(G552)),(D553-D552)/((G553-G552)/60),"")</f>
        <v>94.2480000001378</v>
      </c>
      <c r="I553" s="22" t="str">
        <f aca="false">IFERROR(INDEX(Medidores!$B:$B,MATCH(B553,Medidores!$A:$A,0)),"")</f>
        <v>Estación celda 2</v>
      </c>
      <c r="J553" s="22" t="s">
        <v>147</v>
      </c>
    </row>
    <row r="554" customFormat="false" ht="15" hidden="false" customHeight="false" outlineLevel="0" collapsed="false">
      <c r="A554" s="21" t="n">
        <v>46304</v>
      </c>
      <c r="B554" s="22" t="s">
        <v>93</v>
      </c>
      <c r="C554" s="23" t="n">
        <v>0.510416666666667</v>
      </c>
      <c r="D554" s="24" t="n">
        <v>436282.656</v>
      </c>
      <c r="E554" s="24" t="n">
        <v>174138.234</v>
      </c>
      <c r="F554" s="24" t="n">
        <v>471692.156</v>
      </c>
      <c r="G554" s="22" t="n">
        <f aca="false">HOUR(C554)*60+MINUTE(C554)</f>
        <v>735</v>
      </c>
      <c r="H554" s="25" t="n">
        <f aca="false">IF(AND(B554=B553,A554=A553,D554&gt;0,N(D553)&gt;0,G554&gt;N(G553)),(D554-D553)/((G554-G553)/60),"")</f>
        <v>96.5</v>
      </c>
      <c r="I554" s="22" t="str">
        <f aca="false">IFERROR(INDEX(Medidores!$B:$B,MATCH(B554,Medidores!$A:$A,0)),"")</f>
        <v>Estación celda 2</v>
      </c>
      <c r="J554" s="22" t="s">
        <v>148</v>
      </c>
    </row>
    <row r="555" customFormat="false" ht="15" hidden="false" customHeight="false" outlineLevel="0" collapsed="false">
      <c r="A555" s="21" t="n">
        <v>46304</v>
      </c>
      <c r="B555" s="22" t="s">
        <v>93</v>
      </c>
      <c r="C555" s="23" t="n">
        <v>0.520833333333333</v>
      </c>
      <c r="D555" s="24" t="n">
        <v>436306.25</v>
      </c>
      <c r="E555" s="24" t="n">
        <v>174147.797</v>
      </c>
      <c r="F555" s="24" t="n">
        <v>471717.625</v>
      </c>
      <c r="G555" s="22" t="n">
        <f aca="false">HOUR(C555)*60+MINUTE(C555)</f>
        <v>750</v>
      </c>
      <c r="H555" s="25" t="n">
        <f aca="false">IF(AND(B555=B554,A555=A554,D555&gt;0,N(D554)&gt;0,G555&gt;N(G554)),(D555-D554)/((G555-G554)/60),"")</f>
        <v>94.3759999999311</v>
      </c>
      <c r="I555" s="22" t="str">
        <f aca="false">IFERROR(INDEX(Medidores!$B:$B,MATCH(B555,Medidores!$A:$A,0)),"")</f>
        <v>Estación celda 2</v>
      </c>
      <c r="J555" s="22" t="s">
        <v>149</v>
      </c>
    </row>
    <row r="556" customFormat="false" ht="15" hidden="false" customHeight="false" outlineLevel="0" collapsed="false">
      <c r="A556" s="21" t="n">
        <v>46304</v>
      </c>
      <c r="B556" s="22" t="s">
        <v>93</v>
      </c>
      <c r="C556" s="23" t="n">
        <v>0.53125</v>
      </c>
      <c r="D556" s="24" t="n">
        <v>436327.063</v>
      </c>
      <c r="E556" s="24" t="n">
        <v>174157.297</v>
      </c>
      <c r="F556" s="24" t="n">
        <v>471740.5</v>
      </c>
      <c r="G556" s="22" t="n">
        <f aca="false">HOUR(C556)*60+MINUTE(C556)</f>
        <v>765</v>
      </c>
      <c r="H556" s="25" t="n">
        <f aca="false">IF(AND(B556=B555,A556=A555,D556&gt;0,N(D555)&gt;0,G556&gt;N(G555)),(D556-D555)/((G556-G555)/60),"")</f>
        <v>83.252000000095</v>
      </c>
      <c r="I556" s="22" t="str">
        <f aca="false">IFERROR(INDEX(Medidores!$B:$B,MATCH(B556,Medidores!$A:$A,0)),"")</f>
        <v>Estación celda 2</v>
      </c>
      <c r="J556" s="22" t="s">
        <v>150</v>
      </c>
    </row>
    <row r="557" customFormat="false" ht="15" hidden="false" customHeight="false" outlineLevel="0" collapsed="false">
      <c r="A557" s="21" t="n">
        <v>46304</v>
      </c>
      <c r="B557" s="22" t="s">
        <v>93</v>
      </c>
      <c r="C557" s="23" t="n">
        <v>0.541666666666667</v>
      </c>
      <c r="D557" s="24" t="n">
        <v>436348.844</v>
      </c>
      <c r="E557" s="24" t="n">
        <v>174166.672</v>
      </c>
      <c r="F557" s="24" t="n">
        <v>471764.188</v>
      </c>
      <c r="G557" s="22" t="n">
        <f aca="false">HOUR(C557)*60+MINUTE(C557)</f>
        <v>780</v>
      </c>
      <c r="H557" s="25" t="n">
        <f aca="false">IF(AND(B557=B556,A557=A556,D557&gt;0,N(D556)&gt;0,G557&gt;N(G556)),(D557-D556)/((G557-G556)/60),"")</f>
        <v>87.1239999998361</v>
      </c>
      <c r="I557" s="22" t="str">
        <f aca="false">IFERROR(INDEX(Medidores!$B:$B,MATCH(B557,Medidores!$A:$A,0)),"")</f>
        <v>Estación celda 2</v>
      </c>
      <c r="J557" s="22" t="s">
        <v>151</v>
      </c>
    </row>
    <row r="558" customFormat="false" ht="15" hidden="false" customHeight="false" outlineLevel="0" collapsed="false">
      <c r="A558" s="21" t="n">
        <v>46304</v>
      </c>
      <c r="B558" s="22" t="s">
        <v>93</v>
      </c>
      <c r="C558" s="23" t="n">
        <v>0.552083333333333</v>
      </c>
      <c r="D558" s="24" t="n">
        <v>436369.531</v>
      </c>
      <c r="E558" s="24" t="n">
        <v>174176.031</v>
      </c>
      <c r="F558" s="24" t="n">
        <v>471786.938</v>
      </c>
      <c r="G558" s="22" t="n">
        <f aca="false">HOUR(C558)*60+MINUTE(C558)</f>
        <v>795</v>
      </c>
      <c r="H558" s="25" t="n">
        <f aca="false">IF(AND(B558=B557,A558=A557,D558&gt;0,N(D557)&gt;0,G558&gt;N(G557)),(D558-D557)/((G558-G557)/60),"")</f>
        <v>82.7480000001378</v>
      </c>
      <c r="I558" s="22" t="str">
        <f aca="false">IFERROR(INDEX(Medidores!$B:$B,MATCH(B558,Medidores!$A:$A,0)),"")</f>
        <v>Estación celda 2</v>
      </c>
      <c r="J558" s="22" t="s">
        <v>152</v>
      </c>
    </row>
    <row r="559" customFormat="false" ht="15" hidden="false" customHeight="false" outlineLevel="0" collapsed="false">
      <c r="A559" s="21" t="n">
        <v>46304</v>
      </c>
      <c r="B559" s="22" t="s">
        <v>93</v>
      </c>
      <c r="C559" s="23" t="n">
        <v>0.5625</v>
      </c>
      <c r="D559" s="24" t="n">
        <v>436393.906</v>
      </c>
      <c r="E559" s="24" t="n">
        <v>174185.922</v>
      </c>
      <c r="F559" s="24" t="n">
        <v>471813.25</v>
      </c>
      <c r="G559" s="22" t="n">
        <f aca="false">HOUR(C559)*60+MINUTE(C559)</f>
        <v>810</v>
      </c>
      <c r="H559" s="25" t="n">
        <f aca="false">IF(AND(B559=B558,A559=A558,D559&gt;0,N(D558)&gt;0,G559&gt;N(G558)),(D559-D558)/((G559-G558)/60),"")</f>
        <v>97.5</v>
      </c>
      <c r="I559" s="22" t="str">
        <f aca="false">IFERROR(INDEX(Medidores!$B:$B,MATCH(B559,Medidores!$A:$A,0)),"")</f>
        <v>Estación celda 2</v>
      </c>
      <c r="J559" s="22" t="s">
        <v>153</v>
      </c>
    </row>
    <row r="560" customFormat="false" ht="15" hidden="false" customHeight="false" outlineLevel="0" collapsed="false">
      <c r="A560" s="21" t="n">
        <v>46304</v>
      </c>
      <c r="B560" s="22" t="s">
        <v>93</v>
      </c>
      <c r="C560" s="23" t="n">
        <v>0.572916666666667</v>
      </c>
      <c r="D560" s="24" t="n">
        <v>436418.969</v>
      </c>
      <c r="E560" s="24" t="n">
        <v>174196.172</v>
      </c>
      <c r="F560" s="24" t="n">
        <v>471840.344</v>
      </c>
      <c r="G560" s="22" t="n">
        <f aca="false">HOUR(C560)*60+MINUTE(C560)</f>
        <v>825</v>
      </c>
      <c r="H560" s="25" t="n">
        <f aca="false">IF(AND(B560=B559,A560=A559,D560&gt;0,N(D559)&gt;0,G560&gt;N(G559)),(D560-D559)/((G560-G559)/60),"")</f>
        <v>100.251999999862</v>
      </c>
      <c r="I560" s="22" t="str">
        <f aca="false">IFERROR(INDEX(Medidores!$B:$B,MATCH(B560,Medidores!$A:$A,0)),"")</f>
        <v>Estación celda 2</v>
      </c>
      <c r="J560" s="22" t="s">
        <v>154</v>
      </c>
    </row>
    <row r="561" customFormat="false" ht="15" hidden="false" customHeight="false" outlineLevel="0" collapsed="false">
      <c r="A561" s="21" t="n">
        <v>46304</v>
      </c>
      <c r="B561" s="22" t="s">
        <v>93</v>
      </c>
      <c r="C561" s="23" t="n">
        <v>0.583333333333333</v>
      </c>
      <c r="D561" s="24" t="n">
        <v>436443.531</v>
      </c>
      <c r="E561" s="24" t="n">
        <v>174206.781</v>
      </c>
      <c r="F561" s="24" t="n">
        <v>471867.031</v>
      </c>
      <c r="G561" s="22" t="n">
        <f aca="false">HOUR(C561)*60+MINUTE(C561)</f>
        <v>840</v>
      </c>
      <c r="H561" s="25" t="n">
        <f aca="false">IF(AND(B561=B560,A561=A560,D561&gt;0,N(D560)&gt;0,G561&gt;N(G560)),(D561-D560)/((G561-G560)/60),"")</f>
        <v>98.2480000001378</v>
      </c>
      <c r="I561" s="22" t="str">
        <f aca="false">IFERROR(INDEX(Medidores!$B:$B,MATCH(B561,Medidores!$A:$A,0)),"")</f>
        <v>Estación celda 2</v>
      </c>
      <c r="J561" s="22" t="s">
        <v>155</v>
      </c>
    </row>
    <row r="562" customFormat="false" ht="15" hidden="false" customHeight="false" outlineLevel="0" collapsed="false">
      <c r="A562" s="21" t="n">
        <v>46304</v>
      </c>
      <c r="B562" s="22" t="s">
        <v>94</v>
      </c>
      <c r="C562" s="23" t="n">
        <v>0.385416666666667</v>
      </c>
      <c r="D562" s="24" t="n">
        <v>331342.844</v>
      </c>
      <c r="E562" s="24" t="n">
        <v>173164.734</v>
      </c>
      <c r="F562" s="24" t="n">
        <v>375269.969</v>
      </c>
      <c r="G562" s="22" t="n">
        <f aca="false">HOUR(C562)*60+MINUTE(C562)</f>
        <v>555</v>
      </c>
      <c r="H562" s="25" t="str">
        <f aca="false">IF(AND(B562=B561,A562=A561,D562&gt;0,N(D561)&gt;0,G562&gt;N(G561)),(D562-D561)/((G562-G561)/60),"")</f>
        <v/>
      </c>
      <c r="I562" s="22" t="str">
        <f aca="false">IFERROR(INDEX(Medidores!$B:$B,MATCH(B562,Medidores!$A:$A,0)),"")</f>
        <v>Estación celda 1</v>
      </c>
      <c r="J562" s="22" t="s">
        <v>136</v>
      </c>
    </row>
    <row r="563" customFormat="false" ht="15" hidden="false" customHeight="false" outlineLevel="0" collapsed="false">
      <c r="A563" s="21" t="n">
        <v>46304</v>
      </c>
      <c r="B563" s="22" t="s">
        <v>94</v>
      </c>
      <c r="C563" s="23" t="n">
        <v>0.395833333333333</v>
      </c>
      <c r="D563" s="24" t="n">
        <v>331370.563</v>
      </c>
      <c r="E563" s="24" t="n">
        <v>173183.375</v>
      </c>
      <c r="F563" s="24" t="n">
        <v>375303.438</v>
      </c>
      <c r="G563" s="22" t="n">
        <f aca="false">HOUR(C563)*60+MINUTE(C563)</f>
        <v>570</v>
      </c>
      <c r="H563" s="25" t="n">
        <f aca="false">IF(AND(B563=B562,A563=A562,D563&gt;0,N(D562)&gt;0,G563&gt;N(G562)),(D563-D562)/((G563-G562)/60),"")</f>
        <v>110.876000000164</v>
      </c>
      <c r="I563" s="22" t="str">
        <f aca="false">IFERROR(INDEX(Medidores!$B:$B,MATCH(B563,Medidores!$A:$A,0)),"")</f>
        <v>Estación celda 1</v>
      </c>
      <c r="J563" s="22" t="s">
        <v>137</v>
      </c>
    </row>
    <row r="564" customFormat="false" ht="15" hidden="false" customHeight="false" outlineLevel="0" collapsed="false">
      <c r="A564" s="21" t="n">
        <v>46304</v>
      </c>
      <c r="B564" s="22" t="s">
        <v>94</v>
      </c>
      <c r="C564" s="23" t="n">
        <v>0.40625</v>
      </c>
      <c r="D564" s="24" t="n">
        <v>331403.125</v>
      </c>
      <c r="E564" s="24" t="n">
        <v>173203.734</v>
      </c>
      <c r="F564" s="24" t="n">
        <v>375341.844</v>
      </c>
      <c r="G564" s="22" t="n">
        <f aca="false">HOUR(C564)*60+MINUTE(C564)</f>
        <v>585</v>
      </c>
      <c r="H564" s="25" t="n">
        <f aca="false">IF(AND(B564=B563,A564=A563,D564&gt;0,N(D563)&gt;0,G564&gt;N(G563)),(D564-D563)/((G564-G563)/60),"")</f>
        <v>130.247999999905</v>
      </c>
      <c r="I564" s="22" t="str">
        <f aca="false">IFERROR(INDEX(Medidores!$B:$B,MATCH(B564,Medidores!$A:$A,0)),"")</f>
        <v>Estación celda 1</v>
      </c>
      <c r="J564" s="22" t="s">
        <v>138</v>
      </c>
    </row>
    <row r="565" customFormat="false" ht="15" hidden="false" customHeight="false" outlineLevel="0" collapsed="false">
      <c r="A565" s="21" t="n">
        <v>46304</v>
      </c>
      <c r="B565" s="22" t="s">
        <v>94</v>
      </c>
      <c r="C565" s="23" t="n">
        <v>0.416666666666667</v>
      </c>
      <c r="D565" s="24" t="n">
        <v>331427.844</v>
      </c>
      <c r="E565" s="24" t="n">
        <v>173217.625</v>
      </c>
      <c r="F565" s="24" t="n">
        <v>375370.219</v>
      </c>
      <c r="G565" s="22" t="n">
        <f aca="false">HOUR(C565)*60+MINUTE(C565)</f>
        <v>600</v>
      </c>
      <c r="H565" s="25" t="n">
        <f aca="false">IF(AND(B565=B564,A565=A564,D565&gt;0,N(D564)&gt;0,G565&gt;N(G564)),(D565-D564)/((G565-G564)/60),"")</f>
        <v>98.8759999999311</v>
      </c>
      <c r="I565" s="22" t="str">
        <f aca="false">IFERROR(INDEX(Medidores!$B:$B,MATCH(B565,Medidores!$A:$A,0)),"")</f>
        <v>Estación celda 1</v>
      </c>
      <c r="J565" s="22" t="s">
        <v>139</v>
      </c>
    </row>
    <row r="566" customFormat="false" ht="15" hidden="false" customHeight="false" outlineLevel="0" collapsed="false">
      <c r="A566" s="21" t="n">
        <v>46304</v>
      </c>
      <c r="B566" s="22" t="s">
        <v>94</v>
      </c>
      <c r="C566" s="23" t="n">
        <v>0.427083333333333</v>
      </c>
      <c r="D566" s="24" t="n">
        <v>331452.063</v>
      </c>
      <c r="E566" s="24" t="n">
        <v>173231.484</v>
      </c>
      <c r="F566" s="24" t="n">
        <v>375398.125</v>
      </c>
      <c r="G566" s="22" t="n">
        <f aca="false">HOUR(C566)*60+MINUTE(C566)</f>
        <v>615</v>
      </c>
      <c r="H566" s="25" t="n">
        <f aca="false">IF(AND(B566=B565,A566=A565,D566&gt;0,N(D565)&gt;0,G566&gt;N(G565)),(D566-D565)/((G566-G565)/60),"")</f>
        <v>96.8760000001639</v>
      </c>
      <c r="I566" s="22" t="str">
        <f aca="false">IFERROR(INDEX(Medidores!$B:$B,MATCH(B566,Medidores!$A:$A,0)),"")</f>
        <v>Estación celda 1</v>
      </c>
      <c r="J566" s="22" t="s">
        <v>140</v>
      </c>
    </row>
    <row r="567" customFormat="false" ht="15" hidden="false" customHeight="false" outlineLevel="0" collapsed="false">
      <c r="A567" s="21" t="n">
        <v>46304</v>
      </c>
      <c r="B567" s="22" t="s">
        <v>94</v>
      </c>
      <c r="C567" s="23" t="n">
        <v>0.4375</v>
      </c>
      <c r="D567" s="24" t="n">
        <v>331477.469</v>
      </c>
      <c r="E567" s="24" t="n">
        <v>173245.703</v>
      </c>
      <c r="F567" s="24" t="n">
        <v>375427.25</v>
      </c>
      <c r="G567" s="22" t="n">
        <f aca="false">HOUR(C567)*60+MINUTE(C567)</f>
        <v>630</v>
      </c>
      <c r="H567" s="25" t="n">
        <f aca="false">IF(AND(B567=B566,A567=A566,D567&gt;0,N(D566)&gt;0,G567&gt;N(G566)),(D567-D566)/((G567-G566)/60),"")</f>
        <v>101.623999999836</v>
      </c>
      <c r="I567" s="22" t="str">
        <f aca="false">IFERROR(INDEX(Medidores!$B:$B,MATCH(B567,Medidores!$A:$A,0)),"")</f>
        <v>Estación celda 1</v>
      </c>
      <c r="J567" s="22" t="s">
        <v>141</v>
      </c>
    </row>
    <row r="568" customFormat="false" ht="15" hidden="false" customHeight="false" outlineLevel="0" collapsed="false">
      <c r="A568" s="21" t="n">
        <v>46304</v>
      </c>
      <c r="B568" s="22" t="s">
        <v>94</v>
      </c>
      <c r="C568" s="23" t="n">
        <v>0.447916666666667</v>
      </c>
      <c r="D568" s="24" t="n">
        <v>331499.688</v>
      </c>
      <c r="E568" s="24" t="n">
        <v>173258.125</v>
      </c>
      <c r="F568" s="24" t="n">
        <v>375452.719</v>
      </c>
      <c r="G568" s="22" t="n">
        <f aca="false">HOUR(C568)*60+MINUTE(C568)</f>
        <v>645</v>
      </c>
      <c r="H568" s="25" t="n">
        <f aca="false">IF(AND(B568=B567,A568=A567,D568&gt;0,N(D567)&gt;0,G568&gt;N(G567)),(D568-D567)/((G568-G567)/60),"")</f>
        <v>88.8760000001639</v>
      </c>
      <c r="I568" s="22" t="str">
        <f aca="false">IFERROR(INDEX(Medidores!$B:$B,MATCH(B568,Medidores!$A:$A,0)),"")</f>
        <v>Estación celda 1</v>
      </c>
      <c r="J568" s="22" t="s">
        <v>142</v>
      </c>
    </row>
    <row r="569" customFormat="false" ht="15" hidden="false" customHeight="false" outlineLevel="0" collapsed="false">
      <c r="A569" s="21" t="n">
        <v>46304</v>
      </c>
      <c r="B569" s="22" t="s">
        <v>94</v>
      </c>
      <c r="C569" s="23" t="n">
        <v>0.458333333333333</v>
      </c>
      <c r="D569" s="24" t="n">
        <v>331516.375</v>
      </c>
      <c r="E569" s="24" t="n">
        <v>173269.141</v>
      </c>
      <c r="F569" s="24" t="n">
        <v>375472.75</v>
      </c>
      <c r="G569" s="22" t="n">
        <f aca="false">HOUR(C569)*60+MINUTE(C569)</f>
        <v>660</v>
      </c>
      <c r="H569" s="25" t="n">
        <f aca="false">IF(AND(B569=B568,A569=A568,D569&gt;0,N(D568)&gt;0,G569&gt;N(G568)),(D569-D568)/((G569-G568)/60),"")</f>
        <v>66.747999999905</v>
      </c>
      <c r="I569" s="22" t="str">
        <f aca="false">IFERROR(INDEX(Medidores!$B:$B,MATCH(B569,Medidores!$A:$A,0)),"")</f>
        <v>Estación celda 1</v>
      </c>
      <c r="J569" s="22" t="s">
        <v>143</v>
      </c>
    </row>
    <row r="570" customFormat="false" ht="15" hidden="false" customHeight="false" outlineLevel="0" collapsed="false">
      <c r="A570" s="21" t="n">
        <v>46304</v>
      </c>
      <c r="B570" s="22" t="s">
        <v>94</v>
      </c>
      <c r="C570" s="23" t="n">
        <v>0.46875</v>
      </c>
      <c r="D570" s="24" t="n">
        <v>331530.531</v>
      </c>
      <c r="E570" s="24" t="n">
        <v>173276.297</v>
      </c>
      <c r="F570" s="24" t="n">
        <v>375488.594</v>
      </c>
      <c r="G570" s="22" t="n">
        <f aca="false">HOUR(C570)*60+MINUTE(C570)</f>
        <v>675</v>
      </c>
      <c r="H570" s="25" t="n">
        <f aca="false">IF(AND(B570=B569,A570=A569,D570&gt;0,N(D569)&gt;0,G570&gt;N(G569)),(D570-D569)/((G570-G569)/60),"")</f>
        <v>56.6240000000689</v>
      </c>
      <c r="I570" s="22" t="str">
        <f aca="false">IFERROR(INDEX(Medidores!$B:$B,MATCH(B570,Medidores!$A:$A,0)),"")</f>
        <v>Estación celda 1</v>
      </c>
      <c r="J570" s="22" t="s">
        <v>144</v>
      </c>
    </row>
    <row r="571" customFormat="false" ht="15" hidden="false" customHeight="false" outlineLevel="0" collapsed="false">
      <c r="A571" s="21" t="n">
        <v>46304</v>
      </c>
      <c r="B571" s="22" t="s">
        <v>94</v>
      </c>
      <c r="C571" s="23" t="n">
        <v>0.479166666666667</v>
      </c>
      <c r="D571" s="24" t="n">
        <v>331550.406</v>
      </c>
      <c r="E571" s="24" t="n">
        <v>173285.141</v>
      </c>
      <c r="F571" s="24" t="n">
        <v>375510.375</v>
      </c>
      <c r="G571" s="22" t="n">
        <f aca="false">HOUR(C571)*60+MINUTE(C571)</f>
        <v>690</v>
      </c>
      <c r="H571" s="25" t="n">
        <f aca="false">IF(AND(B571=B570,A571=A570,D571&gt;0,N(D570)&gt;0,G571&gt;N(G570)),(D571-D570)/((G571-G570)/60),"")</f>
        <v>79.5</v>
      </c>
      <c r="I571" s="22" t="str">
        <f aca="false">IFERROR(INDEX(Medidores!$B:$B,MATCH(B571,Medidores!$A:$A,0)),"")</f>
        <v>Estación celda 1</v>
      </c>
      <c r="J571" s="22" t="s">
        <v>145</v>
      </c>
    </row>
    <row r="572" customFormat="false" ht="15" hidden="false" customHeight="false" outlineLevel="0" collapsed="false">
      <c r="A572" s="21" t="n">
        <v>46304</v>
      </c>
      <c r="B572" s="22" t="s">
        <v>94</v>
      </c>
      <c r="C572" s="23" t="n">
        <v>0.489583333333333</v>
      </c>
      <c r="D572" s="24" t="n">
        <v>331571.188</v>
      </c>
      <c r="E572" s="24" t="n">
        <v>173294.25</v>
      </c>
      <c r="F572" s="24" t="n">
        <v>375533.094</v>
      </c>
      <c r="G572" s="22" t="n">
        <f aca="false">HOUR(C572)*60+MINUTE(C572)</f>
        <v>705</v>
      </c>
      <c r="H572" s="25" t="n">
        <f aca="false">IF(AND(B572=B571,A572=A571,D572&gt;0,N(D571)&gt;0,G572&gt;N(G571)),(D572-D571)/((G572-G571)/60),"")</f>
        <v>83.1280000000261</v>
      </c>
      <c r="I572" s="22" t="str">
        <f aca="false">IFERROR(INDEX(Medidores!$B:$B,MATCH(B572,Medidores!$A:$A,0)),"")</f>
        <v>Estación celda 1</v>
      </c>
      <c r="J572" s="22" t="s">
        <v>146</v>
      </c>
    </row>
    <row r="573" customFormat="false" ht="15" hidden="false" customHeight="false" outlineLevel="0" collapsed="false">
      <c r="A573" s="21" t="n">
        <v>46304</v>
      </c>
      <c r="B573" s="22" t="s">
        <v>94</v>
      </c>
      <c r="C573" s="23" t="n">
        <v>0.5</v>
      </c>
      <c r="D573" s="24" t="n">
        <v>331591.469</v>
      </c>
      <c r="E573" s="24" t="n">
        <v>173303.188</v>
      </c>
      <c r="F573" s="24" t="n">
        <v>375555.219</v>
      </c>
      <c r="G573" s="22" t="n">
        <f aca="false">HOUR(C573)*60+MINUTE(C573)</f>
        <v>720</v>
      </c>
      <c r="H573" s="25" t="n">
        <f aca="false">IF(AND(B573=B572,A573=A572,D573&gt;0,N(D572)&gt;0,G573&gt;N(G572)),(D573-D572)/((G573-G572)/60),"")</f>
        <v>81.1239999998361</v>
      </c>
      <c r="I573" s="22" t="str">
        <f aca="false">IFERROR(INDEX(Medidores!$B:$B,MATCH(B573,Medidores!$A:$A,0)),"")</f>
        <v>Estación celda 1</v>
      </c>
      <c r="J573" s="22" t="s">
        <v>147</v>
      </c>
    </row>
    <row r="574" customFormat="false" ht="15" hidden="false" customHeight="false" outlineLevel="0" collapsed="false">
      <c r="A574" s="21" t="n">
        <v>46304</v>
      </c>
      <c r="B574" s="22" t="s">
        <v>94</v>
      </c>
      <c r="C574" s="23" t="n">
        <v>0.510416666666667</v>
      </c>
      <c r="D574" s="24" t="n">
        <v>331613.5</v>
      </c>
      <c r="E574" s="24" t="n">
        <v>173315.469</v>
      </c>
      <c r="F574" s="24" t="n">
        <v>375580.5</v>
      </c>
      <c r="G574" s="22" t="n">
        <f aca="false">HOUR(C574)*60+MINUTE(C574)</f>
        <v>735</v>
      </c>
      <c r="H574" s="25" t="n">
        <f aca="false">IF(AND(B574=B573,A574=A573,D574&gt;0,N(D573)&gt;0,G574&gt;N(G573)),(D574-D573)/((G574-G573)/60),"")</f>
        <v>88.1240000000689</v>
      </c>
      <c r="I574" s="22" t="str">
        <f aca="false">IFERROR(INDEX(Medidores!$B:$B,MATCH(B574,Medidores!$A:$A,0)),"")</f>
        <v>Estación celda 1</v>
      </c>
      <c r="J574" s="22" t="s">
        <v>148</v>
      </c>
    </row>
    <row r="575" customFormat="false" ht="15" hidden="false" customHeight="false" outlineLevel="0" collapsed="false">
      <c r="A575" s="21" t="n">
        <v>46304</v>
      </c>
      <c r="B575" s="22" t="s">
        <v>94</v>
      </c>
      <c r="C575" s="23" t="n">
        <v>0.520833333333333</v>
      </c>
      <c r="D575" s="24" t="n">
        <v>331635.219</v>
      </c>
      <c r="E575" s="24" t="n">
        <v>173328.281</v>
      </c>
      <c r="F575" s="24" t="n">
        <v>375605.781</v>
      </c>
      <c r="G575" s="22" t="n">
        <f aca="false">HOUR(C575)*60+MINUTE(C575)</f>
        <v>750</v>
      </c>
      <c r="H575" s="25" t="n">
        <f aca="false">IF(AND(B575=B574,A575=A574,D575&gt;0,N(D574)&gt;0,G575&gt;N(G574)),(D575-D574)/((G575-G574)/60),"")</f>
        <v>86.8759999999311</v>
      </c>
      <c r="I575" s="22" t="str">
        <f aca="false">IFERROR(INDEX(Medidores!$B:$B,MATCH(B575,Medidores!$A:$A,0)),"")</f>
        <v>Estación celda 1</v>
      </c>
      <c r="J575" s="22" t="s">
        <v>149</v>
      </c>
    </row>
    <row r="576" customFormat="false" ht="15" hidden="false" customHeight="false" outlineLevel="0" collapsed="false">
      <c r="A576" s="21" t="n">
        <v>46304</v>
      </c>
      <c r="B576" s="22" t="s">
        <v>94</v>
      </c>
      <c r="C576" s="23" t="n">
        <v>0.53125</v>
      </c>
      <c r="D576" s="24" t="n">
        <v>331658.063</v>
      </c>
      <c r="E576" s="24" t="n">
        <v>173341.609</v>
      </c>
      <c r="F576" s="24" t="n">
        <v>375632.188</v>
      </c>
      <c r="G576" s="22" t="n">
        <f aca="false">HOUR(C576)*60+MINUTE(C576)</f>
        <v>765</v>
      </c>
      <c r="H576" s="25" t="n">
        <f aca="false">IF(AND(B576=B575,A576=A575,D576&gt;0,N(D575)&gt;0,G576&gt;N(G575)),(D576-D575)/((G576-G575)/60),"")</f>
        <v>91.3760000001639</v>
      </c>
      <c r="I576" s="22" t="str">
        <f aca="false">IFERROR(INDEX(Medidores!$B:$B,MATCH(B576,Medidores!$A:$A,0)),"")</f>
        <v>Estación celda 1</v>
      </c>
      <c r="J576" s="22" t="s">
        <v>150</v>
      </c>
    </row>
    <row r="577" customFormat="false" ht="15" hidden="false" customHeight="false" outlineLevel="0" collapsed="false">
      <c r="A577" s="21" t="n">
        <v>46304</v>
      </c>
      <c r="B577" s="22" t="s">
        <v>94</v>
      </c>
      <c r="C577" s="23" t="n">
        <v>0.541666666666667</v>
      </c>
      <c r="D577" s="24" t="n">
        <v>331682.281</v>
      </c>
      <c r="E577" s="24" t="n">
        <v>173355.297</v>
      </c>
      <c r="F577" s="24" t="n">
        <v>375660.031</v>
      </c>
      <c r="G577" s="22" t="n">
        <f aca="false">HOUR(C577)*60+MINUTE(C577)</f>
        <v>780</v>
      </c>
      <c r="H577" s="25" t="n">
        <f aca="false">IF(AND(B577=B576,A577=A576,D577&gt;0,N(D576)&gt;0,G577&gt;N(G576)),(D577-D576)/((G577-G576)/60),"")</f>
        <v>96.8719999999739</v>
      </c>
      <c r="I577" s="22" t="str">
        <f aca="false">IFERROR(INDEX(Medidores!$B:$B,MATCH(B577,Medidores!$A:$A,0)),"")</f>
        <v>Estación celda 1</v>
      </c>
      <c r="J577" s="22" t="s">
        <v>151</v>
      </c>
    </row>
    <row r="578" customFormat="false" ht="15" hidden="false" customHeight="false" outlineLevel="0" collapsed="false">
      <c r="A578" s="21" t="n">
        <v>46304</v>
      </c>
      <c r="B578" s="22" t="s">
        <v>94</v>
      </c>
      <c r="C578" s="23" t="n">
        <v>0.552083333333333</v>
      </c>
      <c r="D578" s="24" t="n">
        <v>331704.188</v>
      </c>
      <c r="E578" s="24" t="n">
        <v>173367.938</v>
      </c>
      <c r="F578" s="24" t="n">
        <v>375685.375</v>
      </c>
      <c r="G578" s="22" t="n">
        <f aca="false">HOUR(C578)*60+MINUTE(C578)</f>
        <v>795</v>
      </c>
      <c r="H578" s="25" t="n">
        <f aca="false">IF(AND(B578=B577,A578=A577,D578&gt;0,N(D577)&gt;0,G578&gt;N(G577)),(D578-D577)/((G578-G577)/60),"")</f>
        <v>87.6280000000261</v>
      </c>
      <c r="I578" s="22" t="str">
        <f aca="false">IFERROR(INDEX(Medidores!$B:$B,MATCH(B578,Medidores!$A:$A,0)),"")</f>
        <v>Estación celda 1</v>
      </c>
      <c r="J578" s="22" t="s">
        <v>152</v>
      </c>
    </row>
    <row r="579" customFormat="false" ht="15" hidden="false" customHeight="false" outlineLevel="0" collapsed="false">
      <c r="A579" s="21" t="n">
        <v>46304</v>
      </c>
      <c r="B579" s="22" t="s">
        <v>94</v>
      </c>
      <c r="C579" s="23" t="n">
        <v>0.5625</v>
      </c>
      <c r="D579" s="24" t="n">
        <v>331725.969</v>
      </c>
      <c r="E579" s="24" t="n">
        <v>173380.578</v>
      </c>
      <c r="F579" s="24" t="n">
        <v>375710.563</v>
      </c>
      <c r="G579" s="22" t="n">
        <f aca="false">HOUR(C579)*60+MINUTE(C579)</f>
        <v>810</v>
      </c>
      <c r="H579" s="25" t="n">
        <f aca="false">IF(AND(B579=B578,A579=A578,D579&gt;0,N(D578)&gt;0,G579&gt;N(G578)),(D579-D578)/((G579-G578)/60),"")</f>
        <v>87.1239999998361</v>
      </c>
      <c r="I579" s="22" t="str">
        <f aca="false">IFERROR(INDEX(Medidores!$B:$B,MATCH(B579,Medidores!$A:$A,0)),"")</f>
        <v>Estación celda 1</v>
      </c>
      <c r="J579" s="22" t="s">
        <v>153</v>
      </c>
    </row>
    <row r="580" customFormat="false" ht="15" hidden="false" customHeight="false" outlineLevel="0" collapsed="false">
      <c r="A580" s="21" t="n">
        <v>46304</v>
      </c>
      <c r="B580" s="22" t="s">
        <v>94</v>
      </c>
      <c r="C580" s="23" t="n">
        <v>0.572916666666667</v>
      </c>
      <c r="D580" s="24" t="n">
        <v>331749.5</v>
      </c>
      <c r="E580" s="24" t="n">
        <v>173394.281</v>
      </c>
      <c r="F580" s="24" t="n">
        <v>375737.781</v>
      </c>
      <c r="G580" s="22" t="n">
        <f aca="false">HOUR(C580)*60+MINUTE(C580)</f>
        <v>825</v>
      </c>
      <c r="H580" s="25" t="n">
        <f aca="false">IF(AND(B580=B579,A580=A579,D580&gt;0,N(D579)&gt;0,G580&gt;N(G579)),(D580-D579)/((G580-G579)/60),"")</f>
        <v>94.1240000000689</v>
      </c>
      <c r="I580" s="22" t="str">
        <f aca="false">IFERROR(INDEX(Medidores!$B:$B,MATCH(B580,Medidores!$A:$A,0)),"")</f>
        <v>Estación celda 1</v>
      </c>
      <c r="J580" s="22" t="s">
        <v>154</v>
      </c>
    </row>
    <row r="581" customFormat="false" ht="15" hidden="false" customHeight="false" outlineLevel="0" collapsed="false">
      <c r="A581" s="21" t="n">
        <v>46304</v>
      </c>
      <c r="B581" s="22" t="s">
        <v>94</v>
      </c>
      <c r="C581" s="23" t="n">
        <v>0.583333333333333</v>
      </c>
      <c r="D581" s="24" t="n">
        <v>331773.063</v>
      </c>
      <c r="E581" s="24"/>
      <c r="F581" s="24" t="n">
        <v>375765.031</v>
      </c>
      <c r="G581" s="22" t="n">
        <f aca="false">HOUR(C581)*60+MINUTE(C581)</f>
        <v>840</v>
      </c>
      <c r="H581" s="25" t="n">
        <f aca="false">IF(AND(B581=B580,A581=A580,D581&gt;0,N(D580)&gt;0,G581&gt;N(G580)),(D581-D580)/((G581-G580)/60),"")</f>
        <v>94.252000000095</v>
      </c>
      <c r="I581" s="22" t="str">
        <f aca="false">IFERROR(INDEX(Medidores!$B:$B,MATCH(B581,Medidores!$A:$A,0)),"")</f>
        <v>Estación celda 1</v>
      </c>
      <c r="J581" s="2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0" t="s">
        <v>12</v>
      </c>
      <c r="B1" s="10" t="s">
        <v>177</v>
      </c>
      <c r="C1" s="10" t="s">
        <v>178</v>
      </c>
      <c r="D1" s="10" t="s">
        <v>179</v>
      </c>
      <c r="F1" s="2" t="s">
        <v>180</v>
      </c>
    </row>
    <row r="2" customFormat="false" ht="15" hidden="false" customHeight="false" outlineLevel="0" collapsed="false">
      <c r="A2" s="11" t="s">
        <v>65</v>
      </c>
      <c r="B2" s="26" t="s">
        <v>181</v>
      </c>
      <c r="C2" s="26" t="s">
        <v>91</v>
      </c>
      <c r="D2" s="11" t="s">
        <v>182</v>
      </c>
      <c r="F2" s="2" t="s">
        <v>183</v>
      </c>
    </row>
    <row r="3" customFormat="false" ht="15" hidden="false" customHeight="false" outlineLevel="0" collapsed="false">
      <c r="A3" s="11" t="s">
        <v>85</v>
      </c>
      <c r="B3" s="26" t="s">
        <v>184</v>
      </c>
      <c r="C3" s="26" t="s">
        <v>91</v>
      </c>
      <c r="D3" s="11" t="s">
        <v>185</v>
      </c>
    </row>
    <row r="4" customFormat="false" ht="15" hidden="false" customHeight="false" outlineLevel="0" collapsed="false">
      <c r="A4" s="11" t="s">
        <v>87</v>
      </c>
      <c r="B4" s="26" t="s">
        <v>186</v>
      </c>
      <c r="C4" s="26" t="s">
        <v>91</v>
      </c>
      <c r="D4" s="11" t="s">
        <v>182</v>
      </c>
    </row>
    <row r="5" customFormat="false" ht="15" hidden="false" customHeight="false" outlineLevel="0" collapsed="false">
      <c r="A5" s="11" t="s">
        <v>89</v>
      </c>
      <c r="B5" s="26" t="s">
        <v>187</v>
      </c>
      <c r="C5" s="26" t="s">
        <v>91</v>
      </c>
      <c r="D5" s="11" t="s">
        <v>185</v>
      </c>
    </row>
    <row r="6" customFormat="false" ht="15" hidden="false" customHeight="false" outlineLevel="0" collapsed="false">
      <c r="A6" s="11" t="s">
        <v>90</v>
      </c>
      <c r="B6" s="26" t="s">
        <v>188</v>
      </c>
      <c r="C6" s="26" t="s">
        <v>91</v>
      </c>
      <c r="D6" s="11" t="s">
        <v>185</v>
      </c>
    </row>
    <row r="7" customFormat="false" ht="15" hidden="false" customHeight="false" outlineLevel="0" collapsed="false">
      <c r="A7" s="11" t="s">
        <v>44</v>
      </c>
      <c r="B7" s="26" t="s">
        <v>189</v>
      </c>
      <c r="C7" s="26" t="s">
        <v>91</v>
      </c>
      <c r="D7" s="11" t="s">
        <v>185</v>
      </c>
    </row>
    <row r="8" customFormat="false" ht="15" hidden="false" customHeight="false" outlineLevel="0" collapsed="false">
      <c r="A8" s="11" t="s">
        <v>91</v>
      </c>
      <c r="B8" s="26" t="s">
        <v>190</v>
      </c>
      <c r="C8" s="26"/>
      <c r="D8" s="11" t="s">
        <v>185</v>
      </c>
    </row>
    <row r="9" customFormat="false" ht="15" hidden="false" customHeight="false" outlineLevel="0" collapsed="false">
      <c r="A9" s="11" t="s">
        <v>92</v>
      </c>
      <c r="B9" s="26" t="s">
        <v>191</v>
      </c>
      <c r="C9" s="26"/>
      <c r="D9" s="11" t="s">
        <v>185</v>
      </c>
    </row>
    <row r="10" customFormat="false" ht="15" hidden="false" customHeight="false" outlineLevel="0" collapsed="false">
      <c r="A10" s="11" t="s">
        <v>93</v>
      </c>
      <c r="B10" s="26" t="s">
        <v>192</v>
      </c>
      <c r="C10" s="26"/>
      <c r="D10" s="11" t="s">
        <v>185</v>
      </c>
    </row>
    <row r="11" customFormat="false" ht="15" hidden="false" customHeight="false" outlineLevel="0" collapsed="false">
      <c r="A11" s="11" t="s">
        <v>94</v>
      </c>
      <c r="B11" s="26" t="s">
        <v>5</v>
      </c>
      <c r="C11" s="26"/>
      <c r="D11" s="11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3.85" hidden="false" customHeight="false" outlineLevel="0" collapsed="false">
      <c r="A1" s="10" t="s">
        <v>193</v>
      </c>
      <c r="B1" s="10" t="s">
        <v>194</v>
      </c>
      <c r="C1" s="10" t="s">
        <v>195</v>
      </c>
      <c r="E1" s="2" t="s">
        <v>196</v>
      </c>
    </row>
    <row r="2" customFormat="false" ht="15" hidden="false" customHeight="false" outlineLevel="0" collapsed="false">
      <c r="A2" s="22" t="n">
        <v>15</v>
      </c>
      <c r="B2" s="22" t="s">
        <v>197</v>
      </c>
      <c r="C2" s="25" t="str">
        <f aca="false">IF(COUNTIFS(Datos!$B:$B,Tablero!$I$5,Datos!$A:$A,Tablero!$B$5,Datos!$G:$G,$A2,Datos!$H:$H,"&gt;=0")=0,"",SUMIFS(Datos!$H:$H,Datos!$B:$B,Tablero!$I$5,Datos!$A:$A,Tablero!$B$5,Datos!$G:$G,$A2))</f>
        <v/>
      </c>
    </row>
    <row r="3" customFormat="false" ht="15" hidden="false" customHeight="false" outlineLevel="0" collapsed="false">
      <c r="A3" s="22" t="n">
        <v>30</v>
      </c>
      <c r="B3" s="22" t="s">
        <v>198</v>
      </c>
      <c r="C3" s="25" t="str">
        <f aca="false">IF(COUNTIFS(Datos!$B:$B,Tablero!$I$5,Datos!$A:$A,Tablero!$B$5,Datos!$G:$G,$A3,Datos!$H:$H,"&gt;=0")=0,"",SUMIFS(Datos!$H:$H,Datos!$B:$B,Tablero!$I$5,Datos!$A:$A,Tablero!$B$5,Datos!$G:$G,$A3))</f>
        <v/>
      </c>
    </row>
    <row r="4" customFormat="false" ht="15" hidden="false" customHeight="false" outlineLevel="0" collapsed="false">
      <c r="A4" s="22" t="n">
        <v>45</v>
      </c>
      <c r="B4" s="22" t="s">
        <v>199</v>
      </c>
      <c r="C4" s="25" t="str">
        <f aca="false">IF(COUNTIFS(Datos!$B:$B,Tablero!$I$5,Datos!$A:$A,Tablero!$B$5,Datos!$G:$G,$A4,Datos!$H:$H,"&gt;=0")=0,"",SUMIFS(Datos!$H:$H,Datos!$B:$B,Tablero!$I$5,Datos!$A:$A,Tablero!$B$5,Datos!$G:$G,$A4))</f>
        <v/>
      </c>
    </row>
    <row r="5" customFormat="false" ht="15" hidden="false" customHeight="false" outlineLevel="0" collapsed="false">
      <c r="A5" s="22" t="n">
        <v>60</v>
      </c>
      <c r="B5" s="22" t="s">
        <v>200</v>
      </c>
      <c r="C5" s="25" t="str">
        <f aca="false">IF(COUNTIFS(Datos!$B:$B,Tablero!$I$5,Datos!$A:$A,Tablero!$B$5,Datos!$G:$G,$A5,Datos!$H:$H,"&gt;=0")=0,"",SUMIFS(Datos!$H:$H,Datos!$B:$B,Tablero!$I$5,Datos!$A:$A,Tablero!$B$5,Datos!$G:$G,$A5))</f>
        <v/>
      </c>
    </row>
    <row r="6" customFormat="false" ht="15" hidden="false" customHeight="false" outlineLevel="0" collapsed="false">
      <c r="A6" s="22" t="n">
        <v>75</v>
      </c>
      <c r="B6" s="22" t="s">
        <v>201</v>
      </c>
      <c r="C6" s="25" t="str">
        <f aca="false">IF(COUNTIFS(Datos!$B:$B,Tablero!$I$5,Datos!$A:$A,Tablero!$B$5,Datos!$G:$G,$A6,Datos!$H:$H,"&gt;=0")=0,"",SUMIFS(Datos!$H:$H,Datos!$B:$B,Tablero!$I$5,Datos!$A:$A,Tablero!$B$5,Datos!$G:$G,$A6))</f>
        <v/>
      </c>
    </row>
    <row r="7" customFormat="false" ht="15" hidden="false" customHeight="false" outlineLevel="0" collapsed="false">
      <c r="A7" s="22" t="n">
        <v>90</v>
      </c>
      <c r="B7" s="22" t="s">
        <v>202</v>
      </c>
      <c r="C7" s="25" t="str">
        <f aca="false">IF(COUNTIFS(Datos!$B:$B,Tablero!$I$5,Datos!$A:$A,Tablero!$B$5,Datos!$G:$G,$A7,Datos!$H:$H,"&gt;=0")=0,"",SUMIFS(Datos!$H:$H,Datos!$B:$B,Tablero!$I$5,Datos!$A:$A,Tablero!$B$5,Datos!$G:$G,$A7))</f>
        <v/>
      </c>
    </row>
    <row r="8" customFormat="false" ht="15" hidden="false" customHeight="false" outlineLevel="0" collapsed="false">
      <c r="A8" s="22" t="n">
        <v>105</v>
      </c>
      <c r="B8" s="22" t="s">
        <v>203</v>
      </c>
      <c r="C8" s="25" t="str">
        <f aca="false">IF(COUNTIFS(Datos!$B:$B,Tablero!$I$5,Datos!$A:$A,Tablero!$B$5,Datos!$G:$G,$A8,Datos!$H:$H,"&gt;=0")=0,"",SUMIFS(Datos!$H:$H,Datos!$B:$B,Tablero!$I$5,Datos!$A:$A,Tablero!$B$5,Datos!$G:$G,$A8))</f>
        <v/>
      </c>
    </row>
    <row r="9" customFormat="false" ht="15" hidden="false" customHeight="false" outlineLevel="0" collapsed="false">
      <c r="A9" s="22" t="n">
        <v>120</v>
      </c>
      <c r="B9" s="22" t="s">
        <v>204</v>
      </c>
      <c r="C9" s="25" t="str">
        <f aca="false">IF(COUNTIFS(Datos!$B:$B,Tablero!$I$5,Datos!$A:$A,Tablero!$B$5,Datos!$G:$G,$A9,Datos!$H:$H,"&gt;=0")=0,"",SUMIFS(Datos!$H:$H,Datos!$B:$B,Tablero!$I$5,Datos!$A:$A,Tablero!$B$5,Datos!$G:$G,$A9))</f>
        <v/>
      </c>
    </row>
    <row r="10" customFormat="false" ht="15" hidden="false" customHeight="false" outlineLevel="0" collapsed="false">
      <c r="A10" s="22" t="n">
        <v>135</v>
      </c>
      <c r="B10" s="22" t="s">
        <v>205</v>
      </c>
      <c r="C10" s="25" t="str">
        <f aca="false">IF(COUNTIFS(Datos!$B:$B,Tablero!$I$5,Datos!$A:$A,Tablero!$B$5,Datos!$G:$G,$A10,Datos!$H:$H,"&gt;=0")=0,"",SUMIFS(Datos!$H:$H,Datos!$B:$B,Tablero!$I$5,Datos!$A:$A,Tablero!$B$5,Datos!$G:$G,$A10))</f>
        <v/>
      </c>
    </row>
    <row r="11" customFormat="false" ht="15" hidden="false" customHeight="false" outlineLevel="0" collapsed="false">
      <c r="A11" s="22" t="n">
        <v>150</v>
      </c>
      <c r="B11" s="22" t="s">
        <v>206</v>
      </c>
      <c r="C11" s="25" t="str">
        <f aca="false">IF(COUNTIFS(Datos!$B:$B,Tablero!$I$5,Datos!$A:$A,Tablero!$B$5,Datos!$G:$G,$A11,Datos!$H:$H,"&gt;=0")=0,"",SUMIFS(Datos!$H:$H,Datos!$B:$B,Tablero!$I$5,Datos!$A:$A,Tablero!$B$5,Datos!$G:$G,$A11))</f>
        <v/>
      </c>
    </row>
    <row r="12" customFormat="false" ht="15" hidden="false" customHeight="false" outlineLevel="0" collapsed="false">
      <c r="A12" s="22" t="n">
        <v>165</v>
      </c>
      <c r="B12" s="22" t="s">
        <v>207</v>
      </c>
      <c r="C12" s="25" t="str">
        <f aca="false">IF(COUNTIFS(Datos!$B:$B,Tablero!$I$5,Datos!$A:$A,Tablero!$B$5,Datos!$G:$G,$A12,Datos!$H:$H,"&gt;=0")=0,"",SUMIFS(Datos!$H:$H,Datos!$B:$B,Tablero!$I$5,Datos!$A:$A,Tablero!$B$5,Datos!$G:$G,$A12))</f>
        <v/>
      </c>
    </row>
    <row r="13" customFormat="false" ht="15" hidden="false" customHeight="false" outlineLevel="0" collapsed="false">
      <c r="A13" s="22" t="n">
        <v>180</v>
      </c>
      <c r="B13" s="22" t="s">
        <v>208</v>
      </c>
      <c r="C13" s="25" t="str">
        <f aca="false">IF(COUNTIFS(Datos!$B:$B,Tablero!$I$5,Datos!$A:$A,Tablero!$B$5,Datos!$G:$G,$A13,Datos!$H:$H,"&gt;=0")=0,"",SUMIFS(Datos!$H:$H,Datos!$B:$B,Tablero!$I$5,Datos!$A:$A,Tablero!$B$5,Datos!$G:$G,$A13))</f>
        <v/>
      </c>
    </row>
    <row r="14" customFormat="false" ht="15" hidden="false" customHeight="false" outlineLevel="0" collapsed="false">
      <c r="A14" s="22" t="n">
        <v>195</v>
      </c>
      <c r="B14" s="22" t="s">
        <v>209</v>
      </c>
      <c r="C14" s="25" t="str">
        <f aca="false">IF(COUNTIFS(Datos!$B:$B,Tablero!$I$5,Datos!$A:$A,Tablero!$B$5,Datos!$G:$G,$A14,Datos!$H:$H,"&gt;=0")=0,"",SUMIFS(Datos!$H:$H,Datos!$B:$B,Tablero!$I$5,Datos!$A:$A,Tablero!$B$5,Datos!$G:$G,$A14))</f>
        <v/>
      </c>
    </row>
    <row r="15" customFormat="false" ht="15" hidden="false" customHeight="false" outlineLevel="0" collapsed="false">
      <c r="A15" s="22" t="n">
        <v>210</v>
      </c>
      <c r="B15" s="22" t="s">
        <v>210</v>
      </c>
      <c r="C15" s="25" t="str">
        <f aca="false">IF(COUNTIFS(Datos!$B:$B,Tablero!$I$5,Datos!$A:$A,Tablero!$B$5,Datos!$G:$G,$A15,Datos!$H:$H,"&gt;=0")=0,"",SUMIFS(Datos!$H:$H,Datos!$B:$B,Tablero!$I$5,Datos!$A:$A,Tablero!$B$5,Datos!$G:$G,$A15))</f>
        <v/>
      </c>
    </row>
    <row r="16" customFormat="false" ht="15" hidden="false" customHeight="false" outlineLevel="0" collapsed="false">
      <c r="A16" s="22" t="n">
        <v>225</v>
      </c>
      <c r="B16" s="22" t="s">
        <v>211</v>
      </c>
      <c r="C16" s="25" t="str">
        <f aca="false">IF(COUNTIFS(Datos!$B:$B,Tablero!$I$5,Datos!$A:$A,Tablero!$B$5,Datos!$G:$G,$A16,Datos!$H:$H,"&gt;=0")=0,"",SUMIFS(Datos!$H:$H,Datos!$B:$B,Tablero!$I$5,Datos!$A:$A,Tablero!$B$5,Datos!$G:$G,$A16))</f>
        <v/>
      </c>
    </row>
    <row r="17" customFormat="false" ht="15" hidden="false" customHeight="false" outlineLevel="0" collapsed="false">
      <c r="A17" s="22" t="n">
        <v>240</v>
      </c>
      <c r="B17" s="22" t="s">
        <v>212</v>
      </c>
      <c r="C17" s="25" t="str">
        <f aca="false">IF(COUNTIFS(Datos!$B:$B,Tablero!$I$5,Datos!$A:$A,Tablero!$B$5,Datos!$G:$G,$A17,Datos!$H:$H,"&gt;=0")=0,"",SUMIFS(Datos!$H:$H,Datos!$B:$B,Tablero!$I$5,Datos!$A:$A,Tablero!$B$5,Datos!$G:$G,$A17))</f>
        <v/>
      </c>
    </row>
    <row r="18" customFormat="false" ht="15" hidden="false" customHeight="false" outlineLevel="0" collapsed="false">
      <c r="A18" s="22" t="n">
        <v>255</v>
      </c>
      <c r="B18" s="22" t="s">
        <v>213</v>
      </c>
      <c r="C18" s="25" t="str">
        <f aca="false">IF(COUNTIFS(Datos!$B:$B,Tablero!$I$5,Datos!$A:$A,Tablero!$B$5,Datos!$G:$G,$A18,Datos!$H:$H,"&gt;=0")=0,"",SUMIFS(Datos!$H:$H,Datos!$B:$B,Tablero!$I$5,Datos!$A:$A,Tablero!$B$5,Datos!$G:$G,$A18))</f>
        <v/>
      </c>
    </row>
    <row r="19" customFormat="false" ht="15" hidden="false" customHeight="false" outlineLevel="0" collapsed="false">
      <c r="A19" s="22" t="n">
        <v>270</v>
      </c>
      <c r="B19" s="22" t="s">
        <v>214</v>
      </c>
      <c r="C19" s="25" t="str">
        <f aca="false">IF(COUNTIFS(Datos!$B:$B,Tablero!$I$5,Datos!$A:$A,Tablero!$B$5,Datos!$G:$G,$A19,Datos!$H:$H,"&gt;=0")=0,"",SUMIFS(Datos!$H:$H,Datos!$B:$B,Tablero!$I$5,Datos!$A:$A,Tablero!$B$5,Datos!$G:$G,$A19))</f>
        <v/>
      </c>
    </row>
    <row r="20" customFormat="false" ht="15" hidden="false" customHeight="false" outlineLevel="0" collapsed="false">
      <c r="A20" s="22" t="n">
        <v>285</v>
      </c>
      <c r="B20" s="22" t="s">
        <v>215</v>
      </c>
      <c r="C20" s="25" t="str">
        <f aca="false">IF(COUNTIFS(Datos!$B:$B,Tablero!$I$5,Datos!$A:$A,Tablero!$B$5,Datos!$G:$G,$A20,Datos!$H:$H,"&gt;=0")=0,"",SUMIFS(Datos!$H:$H,Datos!$B:$B,Tablero!$I$5,Datos!$A:$A,Tablero!$B$5,Datos!$G:$G,$A20))</f>
        <v/>
      </c>
    </row>
    <row r="21" customFormat="false" ht="15" hidden="false" customHeight="false" outlineLevel="0" collapsed="false">
      <c r="A21" s="22" t="n">
        <v>300</v>
      </c>
      <c r="B21" s="22" t="s">
        <v>216</v>
      </c>
      <c r="C21" s="25" t="str">
        <f aca="false">IF(COUNTIFS(Datos!$B:$B,Tablero!$I$5,Datos!$A:$A,Tablero!$B$5,Datos!$G:$G,$A21,Datos!$H:$H,"&gt;=0")=0,"",SUMIFS(Datos!$H:$H,Datos!$B:$B,Tablero!$I$5,Datos!$A:$A,Tablero!$B$5,Datos!$G:$G,$A21))</f>
        <v/>
      </c>
    </row>
    <row r="22" customFormat="false" ht="15" hidden="false" customHeight="false" outlineLevel="0" collapsed="false">
      <c r="A22" s="22" t="n">
        <v>315</v>
      </c>
      <c r="B22" s="22" t="s">
        <v>217</v>
      </c>
      <c r="C22" s="25" t="str">
        <f aca="false">IF(COUNTIFS(Datos!$B:$B,Tablero!$I$5,Datos!$A:$A,Tablero!$B$5,Datos!$G:$G,$A22,Datos!$H:$H,"&gt;=0")=0,"",SUMIFS(Datos!$H:$H,Datos!$B:$B,Tablero!$I$5,Datos!$A:$A,Tablero!$B$5,Datos!$G:$G,$A22))</f>
        <v/>
      </c>
    </row>
    <row r="23" customFormat="false" ht="15" hidden="false" customHeight="false" outlineLevel="0" collapsed="false">
      <c r="A23" s="22" t="n">
        <v>330</v>
      </c>
      <c r="B23" s="22" t="s">
        <v>218</v>
      </c>
      <c r="C23" s="25" t="str">
        <f aca="false">IF(COUNTIFS(Datos!$B:$B,Tablero!$I$5,Datos!$A:$A,Tablero!$B$5,Datos!$G:$G,$A23,Datos!$H:$H,"&gt;=0")=0,"",SUMIFS(Datos!$H:$H,Datos!$B:$B,Tablero!$I$5,Datos!$A:$A,Tablero!$B$5,Datos!$G:$G,$A23))</f>
        <v/>
      </c>
    </row>
    <row r="24" customFormat="false" ht="15" hidden="false" customHeight="false" outlineLevel="0" collapsed="false">
      <c r="A24" s="22" t="n">
        <v>345</v>
      </c>
      <c r="B24" s="22" t="s">
        <v>219</v>
      </c>
      <c r="C24" s="25" t="str">
        <f aca="false">IF(COUNTIFS(Datos!$B:$B,Tablero!$I$5,Datos!$A:$A,Tablero!$B$5,Datos!$G:$G,$A24,Datos!$H:$H,"&gt;=0")=0,"",SUMIFS(Datos!$H:$H,Datos!$B:$B,Tablero!$I$5,Datos!$A:$A,Tablero!$B$5,Datos!$G:$G,$A24))</f>
        <v/>
      </c>
    </row>
    <row r="25" customFormat="false" ht="15" hidden="false" customHeight="false" outlineLevel="0" collapsed="false">
      <c r="A25" s="22" t="n">
        <v>360</v>
      </c>
      <c r="B25" s="22" t="s">
        <v>220</v>
      </c>
      <c r="C25" s="25" t="str">
        <f aca="false">IF(COUNTIFS(Datos!$B:$B,Tablero!$I$5,Datos!$A:$A,Tablero!$B$5,Datos!$G:$G,$A25,Datos!$H:$H,"&gt;=0")=0,"",SUMIFS(Datos!$H:$H,Datos!$B:$B,Tablero!$I$5,Datos!$A:$A,Tablero!$B$5,Datos!$G:$G,$A25))</f>
        <v/>
      </c>
    </row>
    <row r="26" customFormat="false" ht="15" hidden="false" customHeight="false" outlineLevel="0" collapsed="false">
      <c r="A26" s="22" t="n">
        <v>375</v>
      </c>
      <c r="B26" s="22" t="s">
        <v>221</v>
      </c>
      <c r="C26" s="25" t="str">
        <f aca="false">IF(COUNTIFS(Datos!$B:$B,Tablero!$I$5,Datos!$A:$A,Tablero!$B$5,Datos!$G:$G,$A26,Datos!$H:$H,"&gt;=0")=0,"",SUMIFS(Datos!$H:$H,Datos!$B:$B,Tablero!$I$5,Datos!$A:$A,Tablero!$B$5,Datos!$G:$G,$A26))</f>
        <v/>
      </c>
    </row>
    <row r="27" customFormat="false" ht="15" hidden="false" customHeight="false" outlineLevel="0" collapsed="false">
      <c r="A27" s="22" t="n">
        <v>390</v>
      </c>
      <c r="B27" s="22" t="s">
        <v>222</v>
      </c>
      <c r="C27" s="25" t="str">
        <f aca="false">IF(COUNTIFS(Datos!$B:$B,Tablero!$I$5,Datos!$A:$A,Tablero!$B$5,Datos!$G:$G,$A27,Datos!$H:$H,"&gt;=0")=0,"",SUMIFS(Datos!$H:$H,Datos!$B:$B,Tablero!$I$5,Datos!$A:$A,Tablero!$B$5,Datos!$G:$G,$A27))</f>
        <v/>
      </c>
    </row>
    <row r="28" customFormat="false" ht="15" hidden="false" customHeight="false" outlineLevel="0" collapsed="false">
      <c r="A28" s="22" t="n">
        <v>405</v>
      </c>
      <c r="B28" s="22" t="s">
        <v>223</v>
      </c>
      <c r="C28" s="25" t="str">
        <f aca="false">IF(COUNTIFS(Datos!$B:$B,Tablero!$I$5,Datos!$A:$A,Tablero!$B$5,Datos!$G:$G,$A28,Datos!$H:$H,"&gt;=0")=0,"",SUMIFS(Datos!$H:$H,Datos!$B:$B,Tablero!$I$5,Datos!$A:$A,Tablero!$B$5,Datos!$G:$G,$A28))</f>
        <v/>
      </c>
    </row>
    <row r="29" customFormat="false" ht="15" hidden="false" customHeight="false" outlineLevel="0" collapsed="false">
      <c r="A29" s="22" t="n">
        <v>420</v>
      </c>
      <c r="B29" s="22" t="s">
        <v>224</v>
      </c>
      <c r="C29" s="25" t="str">
        <f aca="false">IF(COUNTIFS(Datos!$B:$B,Tablero!$I$5,Datos!$A:$A,Tablero!$B$5,Datos!$G:$G,$A29,Datos!$H:$H,"&gt;=0")=0,"",SUMIFS(Datos!$H:$H,Datos!$B:$B,Tablero!$I$5,Datos!$A:$A,Tablero!$B$5,Datos!$G:$G,$A29))</f>
        <v/>
      </c>
    </row>
    <row r="30" customFormat="false" ht="15" hidden="false" customHeight="false" outlineLevel="0" collapsed="false">
      <c r="A30" s="22" t="n">
        <v>435</v>
      </c>
      <c r="B30" s="22" t="s">
        <v>225</v>
      </c>
      <c r="C30" s="25" t="str">
        <f aca="false">IF(COUNTIFS(Datos!$B:$B,Tablero!$I$5,Datos!$A:$A,Tablero!$B$5,Datos!$G:$G,$A30,Datos!$H:$H,"&gt;=0")=0,"",SUMIFS(Datos!$H:$H,Datos!$B:$B,Tablero!$I$5,Datos!$A:$A,Tablero!$B$5,Datos!$G:$G,$A30))</f>
        <v/>
      </c>
    </row>
    <row r="31" customFormat="false" ht="15" hidden="false" customHeight="false" outlineLevel="0" collapsed="false">
      <c r="A31" s="22" t="n">
        <v>450</v>
      </c>
      <c r="B31" s="22" t="s">
        <v>226</v>
      </c>
      <c r="C31" s="25" t="str">
        <f aca="false">IF(COUNTIFS(Datos!$B:$B,Tablero!$I$5,Datos!$A:$A,Tablero!$B$5,Datos!$G:$G,$A31,Datos!$H:$H,"&gt;=0")=0,"",SUMIFS(Datos!$H:$H,Datos!$B:$B,Tablero!$I$5,Datos!$A:$A,Tablero!$B$5,Datos!$G:$G,$A31))</f>
        <v/>
      </c>
    </row>
    <row r="32" customFormat="false" ht="15" hidden="false" customHeight="false" outlineLevel="0" collapsed="false">
      <c r="A32" s="22" t="n">
        <v>465</v>
      </c>
      <c r="B32" s="22" t="s">
        <v>227</v>
      </c>
      <c r="C32" s="25" t="str">
        <f aca="false">IF(COUNTIFS(Datos!$B:$B,Tablero!$I$5,Datos!$A:$A,Tablero!$B$5,Datos!$G:$G,$A32,Datos!$H:$H,"&gt;=0")=0,"",SUMIFS(Datos!$H:$H,Datos!$B:$B,Tablero!$I$5,Datos!$A:$A,Tablero!$B$5,Datos!$G:$G,$A32))</f>
        <v/>
      </c>
    </row>
    <row r="33" customFormat="false" ht="15" hidden="false" customHeight="false" outlineLevel="0" collapsed="false">
      <c r="A33" s="22" t="n">
        <v>480</v>
      </c>
      <c r="B33" s="22" t="s">
        <v>228</v>
      </c>
      <c r="C33" s="25" t="str">
        <f aca="false">IF(COUNTIFS(Datos!$B:$B,Tablero!$I$5,Datos!$A:$A,Tablero!$B$5,Datos!$G:$G,$A33,Datos!$H:$H,"&gt;=0")=0,"",SUMIFS(Datos!$H:$H,Datos!$B:$B,Tablero!$I$5,Datos!$A:$A,Tablero!$B$5,Datos!$G:$G,$A33))</f>
        <v/>
      </c>
    </row>
    <row r="34" customFormat="false" ht="15" hidden="false" customHeight="false" outlineLevel="0" collapsed="false">
      <c r="A34" s="22" t="n">
        <v>495</v>
      </c>
      <c r="B34" s="22" t="s">
        <v>229</v>
      </c>
      <c r="C34" s="25" t="str">
        <f aca="false">IF(COUNTIFS(Datos!$B:$B,Tablero!$I$5,Datos!$A:$A,Tablero!$B$5,Datos!$G:$G,$A34,Datos!$H:$H,"&gt;=0")=0,"",SUMIFS(Datos!$H:$H,Datos!$B:$B,Tablero!$I$5,Datos!$A:$A,Tablero!$B$5,Datos!$G:$G,$A34))</f>
        <v/>
      </c>
    </row>
    <row r="35" customFormat="false" ht="15" hidden="false" customHeight="false" outlineLevel="0" collapsed="false">
      <c r="A35" s="22" t="n">
        <v>510</v>
      </c>
      <c r="B35" s="22" t="s">
        <v>230</v>
      </c>
      <c r="C35" s="25" t="str">
        <f aca="false">IF(COUNTIFS(Datos!$B:$B,Tablero!$I$5,Datos!$A:$A,Tablero!$B$5,Datos!$G:$G,$A35,Datos!$H:$H,"&gt;=0")=0,"",SUMIFS(Datos!$H:$H,Datos!$B:$B,Tablero!$I$5,Datos!$A:$A,Tablero!$B$5,Datos!$G:$G,$A35))</f>
        <v/>
      </c>
    </row>
    <row r="36" customFormat="false" ht="15" hidden="false" customHeight="false" outlineLevel="0" collapsed="false">
      <c r="A36" s="22" t="n">
        <v>525</v>
      </c>
      <c r="B36" s="22" t="s">
        <v>231</v>
      </c>
      <c r="C36" s="25" t="str">
        <f aca="false">IF(COUNTIFS(Datos!$B:$B,Tablero!$I$5,Datos!$A:$A,Tablero!$B$5,Datos!$G:$G,$A36,Datos!$H:$H,"&gt;=0")=0,"",SUMIFS(Datos!$H:$H,Datos!$B:$B,Tablero!$I$5,Datos!$A:$A,Tablero!$B$5,Datos!$G:$G,$A36))</f>
        <v/>
      </c>
    </row>
    <row r="37" customFormat="false" ht="15" hidden="false" customHeight="false" outlineLevel="0" collapsed="false">
      <c r="A37" s="22" t="n">
        <v>540</v>
      </c>
      <c r="B37" s="22" t="s">
        <v>232</v>
      </c>
      <c r="C37" s="25" t="str">
        <f aca="false">IF(COUNTIFS(Datos!$B:$B,Tablero!$I$5,Datos!$A:$A,Tablero!$B$5,Datos!$G:$G,$A37,Datos!$H:$H,"&gt;=0")=0,"",SUMIFS(Datos!$H:$H,Datos!$B:$B,Tablero!$I$5,Datos!$A:$A,Tablero!$B$5,Datos!$G:$G,$A37))</f>
        <v/>
      </c>
    </row>
    <row r="38" customFormat="false" ht="15" hidden="false" customHeight="false" outlineLevel="0" collapsed="false">
      <c r="A38" s="22" t="n">
        <v>555</v>
      </c>
      <c r="B38" s="22" t="s">
        <v>233</v>
      </c>
      <c r="C38" s="25" t="str">
        <f aca="false">IF(COUNTIFS(Datos!$B:$B,Tablero!$I$5,Datos!$A:$A,Tablero!$B$5,Datos!$G:$G,$A38,Datos!$H:$H,"&gt;=0")=0,"",SUMIFS(Datos!$H:$H,Datos!$B:$B,Tablero!$I$5,Datos!$A:$A,Tablero!$B$5,Datos!$G:$G,$A38))</f>
        <v/>
      </c>
    </row>
    <row r="39" customFormat="false" ht="15" hidden="false" customHeight="false" outlineLevel="0" collapsed="false">
      <c r="A39" s="22" t="n">
        <v>570</v>
      </c>
      <c r="B39" s="22" t="s">
        <v>234</v>
      </c>
      <c r="C39" s="25" t="n">
        <f aca="false">IF(COUNTIFS(Datos!$B:$B,Tablero!$I$5,Datos!$A:$A,Tablero!$B$5,Datos!$G:$G,$A39,Datos!$H:$H,"&gt;=0")=0,"",SUMIFS(Datos!$H:$H,Datos!$B:$B,Tablero!$I$5,Datos!$A:$A,Tablero!$B$5,Datos!$G:$G,$A39))</f>
        <v>110.876000000164</v>
      </c>
    </row>
    <row r="40" customFormat="false" ht="15" hidden="false" customHeight="false" outlineLevel="0" collapsed="false">
      <c r="A40" s="22" t="n">
        <v>585</v>
      </c>
      <c r="B40" s="22" t="s">
        <v>235</v>
      </c>
      <c r="C40" s="25" t="n">
        <f aca="false">IF(COUNTIFS(Datos!$B:$B,Tablero!$I$5,Datos!$A:$A,Tablero!$B$5,Datos!$G:$G,$A40,Datos!$H:$H,"&gt;=0")=0,"",SUMIFS(Datos!$H:$H,Datos!$B:$B,Tablero!$I$5,Datos!$A:$A,Tablero!$B$5,Datos!$G:$G,$A40))</f>
        <v>130.247999999905</v>
      </c>
    </row>
    <row r="41" customFormat="false" ht="15" hidden="false" customHeight="false" outlineLevel="0" collapsed="false">
      <c r="A41" s="22" t="n">
        <v>600</v>
      </c>
      <c r="B41" s="22" t="s">
        <v>236</v>
      </c>
      <c r="C41" s="25" t="n">
        <f aca="false">IF(COUNTIFS(Datos!$B:$B,Tablero!$I$5,Datos!$A:$A,Tablero!$B$5,Datos!$G:$G,$A41,Datos!$H:$H,"&gt;=0")=0,"",SUMIFS(Datos!$H:$H,Datos!$B:$B,Tablero!$I$5,Datos!$A:$A,Tablero!$B$5,Datos!$G:$G,$A41))</f>
        <v>98.8759999999311</v>
      </c>
    </row>
    <row r="42" customFormat="false" ht="15" hidden="false" customHeight="false" outlineLevel="0" collapsed="false">
      <c r="A42" s="22" t="n">
        <v>615</v>
      </c>
      <c r="B42" s="22" t="s">
        <v>237</v>
      </c>
      <c r="C42" s="25" t="n">
        <f aca="false">IF(COUNTIFS(Datos!$B:$B,Tablero!$I$5,Datos!$A:$A,Tablero!$B$5,Datos!$G:$G,$A42,Datos!$H:$H,"&gt;=0")=0,"",SUMIFS(Datos!$H:$H,Datos!$B:$B,Tablero!$I$5,Datos!$A:$A,Tablero!$B$5,Datos!$G:$G,$A42))</f>
        <v>96.8760000001639</v>
      </c>
    </row>
    <row r="43" customFormat="false" ht="15" hidden="false" customHeight="false" outlineLevel="0" collapsed="false">
      <c r="A43" s="22" t="n">
        <v>630</v>
      </c>
      <c r="B43" s="22" t="s">
        <v>238</v>
      </c>
      <c r="C43" s="25" t="n">
        <f aca="false">IF(COUNTIFS(Datos!$B:$B,Tablero!$I$5,Datos!$A:$A,Tablero!$B$5,Datos!$G:$G,$A43,Datos!$H:$H,"&gt;=0")=0,"",SUMIFS(Datos!$H:$H,Datos!$B:$B,Tablero!$I$5,Datos!$A:$A,Tablero!$B$5,Datos!$G:$G,$A43))</f>
        <v>101.623999999836</v>
      </c>
    </row>
    <row r="44" customFormat="false" ht="15" hidden="false" customHeight="false" outlineLevel="0" collapsed="false">
      <c r="A44" s="22" t="n">
        <v>645</v>
      </c>
      <c r="B44" s="22" t="s">
        <v>239</v>
      </c>
      <c r="C44" s="25" t="n">
        <f aca="false">IF(COUNTIFS(Datos!$B:$B,Tablero!$I$5,Datos!$A:$A,Tablero!$B$5,Datos!$G:$G,$A44,Datos!$H:$H,"&gt;=0")=0,"",SUMIFS(Datos!$H:$H,Datos!$B:$B,Tablero!$I$5,Datos!$A:$A,Tablero!$B$5,Datos!$G:$G,$A44))</f>
        <v>88.8760000001639</v>
      </c>
    </row>
    <row r="45" customFormat="false" ht="15" hidden="false" customHeight="false" outlineLevel="0" collapsed="false">
      <c r="A45" s="22" t="n">
        <v>660</v>
      </c>
      <c r="B45" s="22" t="s">
        <v>240</v>
      </c>
      <c r="C45" s="25" t="n">
        <f aca="false">IF(COUNTIFS(Datos!$B:$B,Tablero!$I$5,Datos!$A:$A,Tablero!$B$5,Datos!$G:$G,$A45,Datos!$H:$H,"&gt;=0")=0,"",SUMIFS(Datos!$H:$H,Datos!$B:$B,Tablero!$I$5,Datos!$A:$A,Tablero!$B$5,Datos!$G:$G,$A45))</f>
        <v>66.747999999905</v>
      </c>
    </row>
    <row r="46" customFormat="false" ht="15" hidden="false" customHeight="false" outlineLevel="0" collapsed="false">
      <c r="A46" s="22" t="n">
        <v>675</v>
      </c>
      <c r="B46" s="22" t="s">
        <v>241</v>
      </c>
      <c r="C46" s="25" t="n">
        <f aca="false">IF(COUNTIFS(Datos!$B:$B,Tablero!$I$5,Datos!$A:$A,Tablero!$B$5,Datos!$G:$G,$A46,Datos!$H:$H,"&gt;=0")=0,"",SUMIFS(Datos!$H:$H,Datos!$B:$B,Tablero!$I$5,Datos!$A:$A,Tablero!$B$5,Datos!$G:$G,$A46))</f>
        <v>56.6240000000689</v>
      </c>
    </row>
    <row r="47" customFormat="false" ht="15" hidden="false" customHeight="false" outlineLevel="0" collapsed="false">
      <c r="A47" s="22" t="n">
        <v>690</v>
      </c>
      <c r="B47" s="22" t="s">
        <v>242</v>
      </c>
      <c r="C47" s="25" t="n">
        <f aca="false">IF(COUNTIFS(Datos!$B:$B,Tablero!$I$5,Datos!$A:$A,Tablero!$B$5,Datos!$G:$G,$A47,Datos!$H:$H,"&gt;=0")=0,"",SUMIFS(Datos!$H:$H,Datos!$B:$B,Tablero!$I$5,Datos!$A:$A,Tablero!$B$5,Datos!$G:$G,$A47))</f>
        <v>79.5</v>
      </c>
    </row>
    <row r="48" customFormat="false" ht="15" hidden="false" customHeight="false" outlineLevel="0" collapsed="false">
      <c r="A48" s="22" t="n">
        <v>705</v>
      </c>
      <c r="B48" s="22" t="s">
        <v>243</v>
      </c>
      <c r="C48" s="25" t="n">
        <f aca="false">IF(COUNTIFS(Datos!$B:$B,Tablero!$I$5,Datos!$A:$A,Tablero!$B$5,Datos!$G:$G,$A48,Datos!$H:$H,"&gt;=0")=0,"",SUMIFS(Datos!$H:$H,Datos!$B:$B,Tablero!$I$5,Datos!$A:$A,Tablero!$B$5,Datos!$G:$G,$A48))</f>
        <v>83.1280000000261</v>
      </c>
    </row>
    <row r="49" customFormat="false" ht="15" hidden="false" customHeight="false" outlineLevel="0" collapsed="false">
      <c r="A49" s="22" t="n">
        <v>720</v>
      </c>
      <c r="B49" s="22" t="s">
        <v>244</v>
      </c>
      <c r="C49" s="25" t="n">
        <f aca="false">IF(COUNTIFS(Datos!$B:$B,Tablero!$I$5,Datos!$A:$A,Tablero!$B$5,Datos!$G:$G,$A49,Datos!$H:$H,"&gt;=0")=0,"",SUMIFS(Datos!$H:$H,Datos!$B:$B,Tablero!$I$5,Datos!$A:$A,Tablero!$B$5,Datos!$G:$G,$A49))</f>
        <v>81.1239999998361</v>
      </c>
    </row>
    <row r="50" customFormat="false" ht="15" hidden="false" customHeight="false" outlineLevel="0" collapsed="false">
      <c r="A50" s="22" t="n">
        <v>735</v>
      </c>
      <c r="B50" s="22" t="s">
        <v>245</v>
      </c>
      <c r="C50" s="25" t="n">
        <f aca="false">IF(COUNTIFS(Datos!$B:$B,Tablero!$I$5,Datos!$A:$A,Tablero!$B$5,Datos!$G:$G,$A50,Datos!$H:$H,"&gt;=0")=0,"",SUMIFS(Datos!$H:$H,Datos!$B:$B,Tablero!$I$5,Datos!$A:$A,Tablero!$B$5,Datos!$G:$G,$A50))</f>
        <v>88.1240000000689</v>
      </c>
    </row>
    <row r="51" customFormat="false" ht="15" hidden="false" customHeight="false" outlineLevel="0" collapsed="false">
      <c r="A51" s="22" t="n">
        <v>750</v>
      </c>
      <c r="B51" s="22" t="s">
        <v>246</v>
      </c>
      <c r="C51" s="25" t="n">
        <f aca="false">IF(COUNTIFS(Datos!$B:$B,Tablero!$I$5,Datos!$A:$A,Tablero!$B$5,Datos!$G:$G,$A51,Datos!$H:$H,"&gt;=0")=0,"",SUMIFS(Datos!$H:$H,Datos!$B:$B,Tablero!$I$5,Datos!$A:$A,Tablero!$B$5,Datos!$G:$G,$A51))</f>
        <v>86.8759999999311</v>
      </c>
    </row>
    <row r="52" customFormat="false" ht="15" hidden="false" customHeight="false" outlineLevel="0" collapsed="false">
      <c r="A52" s="22" t="n">
        <v>765</v>
      </c>
      <c r="B52" s="22" t="s">
        <v>247</v>
      </c>
      <c r="C52" s="25" t="n">
        <f aca="false">IF(COUNTIFS(Datos!$B:$B,Tablero!$I$5,Datos!$A:$A,Tablero!$B$5,Datos!$G:$G,$A52,Datos!$H:$H,"&gt;=0")=0,"",SUMIFS(Datos!$H:$H,Datos!$B:$B,Tablero!$I$5,Datos!$A:$A,Tablero!$B$5,Datos!$G:$G,$A52))</f>
        <v>91.3760000001639</v>
      </c>
    </row>
    <row r="53" customFormat="false" ht="15" hidden="false" customHeight="false" outlineLevel="0" collapsed="false">
      <c r="A53" s="22" t="n">
        <v>780</v>
      </c>
      <c r="B53" s="22" t="s">
        <v>248</v>
      </c>
      <c r="C53" s="25" t="n">
        <f aca="false">IF(COUNTIFS(Datos!$B:$B,Tablero!$I$5,Datos!$A:$A,Tablero!$B$5,Datos!$G:$G,$A53,Datos!$H:$H,"&gt;=0")=0,"",SUMIFS(Datos!$H:$H,Datos!$B:$B,Tablero!$I$5,Datos!$A:$A,Tablero!$B$5,Datos!$G:$G,$A53))</f>
        <v>96.8719999999739</v>
      </c>
    </row>
    <row r="54" customFormat="false" ht="15" hidden="false" customHeight="false" outlineLevel="0" collapsed="false">
      <c r="A54" s="22" t="n">
        <v>795</v>
      </c>
      <c r="B54" s="22" t="s">
        <v>249</v>
      </c>
      <c r="C54" s="25" t="n">
        <f aca="false">IF(COUNTIFS(Datos!$B:$B,Tablero!$I$5,Datos!$A:$A,Tablero!$B$5,Datos!$G:$G,$A54,Datos!$H:$H,"&gt;=0")=0,"",SUMIFS(Datos!$H:$H,Datos!$B:$B,Tablero!$I$5,Datos!$A:$A,Tablero!$B$5,Datos!$G:$G,$A54))</f>
        <v>87.6280000000261</v>
      </c>
    </row>
    <row r="55" customFormat="false" ht="15" hidden="false" customHeight="false" outlineLevel="0" collapsed="false">
      <c r="A55" s="22" t="n">
        <v>810</v>
      </c>
      <c r="B55" s="22" t="s">
        <v>250</v>
      </c>
      <c r="C55" s="25" t="n">
        <f aca="false">IF(COUNTIFS(Datos!$B:$B,Tablero!$I$5,Datos!$A:$A,Tablero!$B$5,Datos!$G:$G,$A55,Datos!$H:$H,"&gt;=0")=0,"",SUMIFS(Datos!$H:$H,Datos!$B:$B,Tablero!$I$5,Datos!$A:$A,Tablero!$B$5,Datos!$G:$G,$A55))</f>
        <v>87.1239999998361</v>
      </c>
    </row>
    <row r="56" customFormat="false" ht="15" hidden="false" customHeight="false" outlineLevel="0" collapsed="false">
      <c r="A56" s="22" t="n">
        <v>825</v>
      </c>
      <c r="B56" s="22" t="s">
        <v>251</v>
      </c>
      <c r="C56" s="25" t="n">
        <f aca="false">IF(COUNTIFS(Datos!$B:$B,Tablero!$I$5,Datos!$A:$A,Tablero!$B$5,Datos!$G:$G,$A56,Datos!$H:$H,"&gt;=0")=0,"",SUMIFS(Datos!$H:$H,Datos!$B:$B,Tablero!$I$5,Datos!$A:$A,Tablero!$B$5,Datos!$G:$G,$A56))</f>
        <v>94.1240000000689</v>
      </c>
    </row>
    <row r="57" customFormat="false" ht="15" hidden="false" customHeight="false" outlineLevel="0" collapsed="false">
      <c r="A57" s="22" t="n">
        <v>840</v>
      </c>
      <c r="B57" s="22" t="s">
        <v>252</v>
      </c>
      <c r="C57" s="25" t="n">
        <f aca="false">IF(COUNTIFS(Datos!$B:$B,Tablero!$I$5,Datos!$A:$A,Tablero!$B$5,Datos!$G:$G,$A57,Datos!$H:$H,"&gt;=0")=0,"",SUMIFS(Datos!$H:$H,Datos!$B:$B,Tablero!$I$5,Datos!$A:$A,Tablero!$B$5,Datos!$G:$G,$A57))</f>
        <v>94.252000000095</v>
      </c>
    </row>
    <row r="58" customFormat="false" ht="15" hidden="false" customHeight="false" outlineLevel="0" collapsed="false">
      <c r="A58" s="22" t="n">
        <v>855</v>
      </c>
      <c r="B58" s="22" t="s">
        <v>253</v>
      </c>
      <c r="C58" s="25" t="str">
        <f aca="false">IF(COUNTIFS(Datos!$B:$B,Tablero!$I$5,Datos!$A:$A,Tablero!$B$5,Datos!$G:$G,$A58,Datos!$H:$H,"&gt;=0")=0,"",SUMIFS(Datos!$H:$H,Datos!$B:$B,Tablero!$I$5,Datos!$A:$A,Tablero!$B$5,Datos!$G:$G,$A58))</f>
        <v/>
      </c>
    </row>
    <row r="59" customFormat="false" ht="15" hidden="false" customHeight="false" outlineLevel="0" collapsed="false">
      <c r="A59" s="22" t="n">
        <v>870</v>
      </c>
      <c r="B59" s="22" t="s">
        <v>254</v>
      </c>
      <c r="C59" s="25" t="str">
        <f aca="false">IF(COUNTIFS(Datos!$B:$B,Tablero!$I$5,Datos!$A:$A,Tablero!$B$5,Datos!$G:$G,$A59,Datos!$H:$H,"&gt;=0")=0,"",SUMIFS(Datos!$H:$H,Datos!$B:$B,Tablero!$I$5,Datos!$A:$A,Tablero!$B$5,Datos!$G:$G,$A59))</f>
        <v/>
      </c>
    </row>
    <row r="60" customFormat="false" ht="15" hidden="false" customHeight="false" outlineLevel="0" collapsed="false">
      <c r="A60" s="22" t="n">
        <v>885</v>
      </c>
      <c r="B60" s="22" t="s">
        <v>255</v>
      </c>
      <c r="C60" s="25" t="str">
        <f aca="false">IF(COUNTIFS(Datos!$B:$B,Tablero!$I$5,Datos!$A:$A,Tablero!$B$5,Datos!$G:$G,$A60,Datos!$H:$H,"&gt;=0")=0,"",SUMIFS(Datos!$H:$H,Datos!$B:$B,Tablero!$I$5,Datos!$A:$A,Tablero!$B$5,Datos!$G:$G,$A60))</f>
        <v/>
      </c>
    </row>
    <row r="61" customFormat="false" ht="15" hidden="false" customHeight="false" outlineLevel="0" collapsed="false">
      <c r="A61" s="22" t="n">
        <v>900</v>
      </c>
      <c r="B61" s="22" t="s">
        <v>256</v>
      </c>
      <c r="C61" s="25" t="str">
        <f aca="false">IF(COUNTIFS(Datos!$B:$B,Tablero!$I$5,Datos!$A:$A,Tablero!$B$5,Datos!$G:$G,$A61,Datos!$H:$H,"&gt;=0")=0,"",SUMIFS(Datos!$H:$H,Datos!$B:$B,Tablero!$I$5,Datos!$A:$A,Tablero!$B$5,Datos!$G:$G,$A61))</f>
        <v/>
      </c>
    </row>
    <row r="62" customFormat="false" ht="15" hidden="false" customHeight="false" outlineLevel="0" collapsed="false">
      <c r="A62" s="22" t="n">
        <v>915</v>
      </c>
      <c r="B62" s="22" t="s">
        <v>257</v>
      </c>
      <c r="C62" s="25" t="str">
        <f aca="false">IF(COUNTIFS(Datos!$B:$B,Tablero!$I$5,Datos!$A:$A,Tablero!$B$5,Datos!$G:$G,$A62,Datos!$H:$H,"&gt;=0")=0,"",SUMIFS(Datos!$H:$H,Datos!$B:$B,Tablero!$I$5,Datos!$A:$A,Tablero!$B$5,Datos!$G:$G,$A62))</f>
        <v/>
      </c>
    </row>
    <row r="63" customFormat="false" ht="15" hidden="false" customHeight="false" outlineLevel="0" collapsed="false">
      <c r="A63" s="22" t="n">
        <v>930</v>
      </c>
      <c r="B63" s="22" t="s">
        <v>258</v>
      </c>
      <c r="C63" s="25" t="str">
        <f aca="false">IF(COUNTIFS(Datos!$B:$B,Tablero!$I$5,Datos!$A:$A,Tablero!$B$5,Datos!$G:$G,$A63,Datos!$H:$H,"&gt;=0")=0,"",SUMIFS(Datos!$H:$H,Datos!$B:$B,Tablero!$I$5,Datos!$A:$A,Tablero!$B$5,Datos!$G:$G,$A63))</f>
        <v/>
      </c>
    </row>
    <row r="64" customFormat="false" ht="15" hidden="false" customHeight="false" outlineLevel="0" collapsed="false">
      <c r="A64" s="22" t="n">
        <v>945</v>
      </c>
      <c r="B64" s="22" t="s">
        <v>259</v>
      </c>
      <c r="C64" s="25" t="str">
        <f aca="false">IF(COUNTIFS(Datos!$B:$B,Tablero!$I$5,Datos!$A:$A,Tablero!$B$5,Datos!$G:$G,$A64,Datos!$H:$H,"&gt;=0")=0,"",SUMIFS(Datos!$H:$H,Datos!$B:$B,Tablero!$I$5,Datos!$A:$A,Tablero!$B$5,Datos!$G:$G,$A64))</f>
        <v/>
      </c>
    </row>
    <row r="65" customFormat="false" ht="15" hidden="false" customHeight="false" outlineLevel="0" collapsed="false">
      <c r="A65" s="22" t="n">
        <v>960</v>
      </c>
      <c r="B65" s="22" t="s">
        <v>260</v>
      </c>
      <c r="C65" s="25" t="str">
        <f aca="false">IF(COUNTIFS(Datos!$B:$B,Tablero!$I$5,Datos!$A:$A,Tablero!$B$5,Datos!$G:$G,$A65,Datos!$H:$H,"&gt;=0")=0,"",SUMIFS(Datos!$H:$H,Datos!$B:$B,Tablero!$I$5,Datos!$A:$A,Tablero!$B$5,Datos!$G:$G,$A65))</f>
        <v/>
      </c>
    </row>
    <row r="66" customFormat="false" ht="15" hidden="false" customHeight="false" outlineLevel="0" collapsed="false">
      <c r="A66" s="22" t="n">
        <v>975</v>
      </c>
      <c r="B66" s="22" t="s">
        <v>261</v>
      </c>
      <c r="C66" s="25" t="str">
        <f aca="false">IF(COUNTIFS(Datos!$B:$B,Tablero!$I$5,Datos!$A:$A,Tablero!$B$5,Datos!$G:$G,$A66,Datos!$H:$H,"&gt;=0")=0,"",SUMIFS(Datos!$H:$H,Datos!$B:$B,Tablero!$I$5,Datos!$A:$A,Tablero!$B$5,Datos!$G:$G,$A66))</f>
        <v/>
      </c>
    </row>
    <row r="67" customFormat="false" ht="15" hidden="false" customHeight="false" outlineLevel="0" collapsed="false">
      <c r="A67" s="22" t="n">
        <v>990</v>
      </c>
      <c r="B67" s="22" t="s">
        <v>262</v>
      </c>
      <c r="C67" s="25" t="str">
        <f aca="false">IF(COUNTIFS(Datos!$B:$B,Tablero!$I$5,Datos!$A:$A,Tablero!$B$5,Datos!$G:$G,$A67,Datos!$H:$H,"&gt;=0")=0,"",SUMIFS(Datos!$H:$H,Datos!$B:$B,Tablero!$I$5,Datos!$A:$A,Tablero!$B$5,Datos!$G:$G,$A67))</f>
        <v/>
      </c>
    </row>
    <row r="68" customFormat="false" ht="15" hidden="false" customHeight="false" outlineLevel="0" collapsed="false">
      <c r="A68" s="22" t="n">
        <v>1005</v>
      </c>
      <c r="B68" s="22" t="s">
        <v>263</v>
      </c>
      <c r="C68" s="25" t="str">
        <f aca="false">IF(COUNTIFS(Datos!$B:$B,Tablero!$I$5,Datos!$A:$A,Tablero!$B$5,Datos!$G:$G,$A68,Datos!$H:$H,"&gt;=0")=0,"",SUMIFS(Datos!$H:$H,Datos!$B:$B,Tablero!$I$5,Datos!$A:$A,Tablero!$B$5,Datos!$G:$G,$A68))</f>
        <v/>
      </c>
    </row>
    <row r="69" customFormat="false" ht="15" hidden="false" customHeight="false" outlineLevel="0" collapsed="false">
      <c r="A69" s="22" t="n">
        <v>1020</v>
      </c>
      <c r="B69" s="22" t="s">
        <v>264</v>
      </c>
      <c r="C69" s="25" t="str">
        <f aca="false">IF(COUNTIFS(Datos!$B:$B,Tablero!$I$5,Datos!$A:$A,Tablero!$B$5,Datos!$G:$G,$A69,Datos!$H:$H,"&gt;=0")=0,"",SUMIFS(Datos!$H:$H,Datos!$B:$B,Tablero!$I$5,Datos!$A:$A,Tablero!$B$5,Datos!$G:$G,$A69))</f>
        <v/>
      </c>
    </row>
    <row r="70" customFormat="false" ht="15" hidden="false" customHeight="false" outlineLevel="0" collapsed="false">
      <c r="A70" s="22" t="n">
        <v>1035</v>
      </c>
      <c r="B70" s="22" t="s">
        <v>265</v>
      </c>
      <c r="C70" s="25" t="str">
        <f aca="false">IF(COUNTIFS(Datos!$B:$B,Tablero!$I$5,Datos!$A:$A,Tablero!$B$5,Datos!$G:$G,$A70,Datos!$H:$H,"&gt;=0")=0,"",SUMIFS(Datos!$H:$H,Datos!$B:$B,Tablero!$I$5,Datos!$A:$A,Tablero!$B$5,Datos!$G:$G,$A70))</f>
        <v/>
      </c>
    </row>
    <row r="71" customFormat="false" ht="15" hidden="false" customHeight="false" outlineLevel="0" collapsed="false">
      <c r="A71" s="22" t="n">
        <v>1050</v>
      </c>
      <c r="B71" s="22" t="s">
        <v>266</v>
      </c>
      <c r="C71" s="25" t="str">
        <f aca="false">IF(COUNTIFS(Datos!$B:$B,Tablero!$I$5,Datos!$A:$A,Tablero!$B$5,Datos!$G:$G,$A71,Datos!$H:$H,"&gt;=0")=0,"",SUMIFS(Datos!$H:$H,Datos!$B:$B,Tablero!$I$5,Datos!$A:$A,Tablero!$B$5,Datos!$G:$G,$A71))</f>
        <v/>
      </c>
    </row>
    <row r="72" customFormat="false" ht="15" hidden="false" customHeight="false" outlineLevel="0" collapsed="false">
      <c r="A72" s="22" t="n">
        <v>1065</v>
      </c>
      <c r="B72" s="22" t="s">
        <v>267</v>
      </c>
      <c r="C72" s="25" t="str">
        <f aca="false">IF(COUNTIFS(Datos!$B:$B,Tablero!$I$5,Datos!$A:$A,Tablero!$B$5,Datos!$G:$G,$A72,Datos!$H:$H,"&gt;=0")=0,"",SUMIFS(Datos!$H:$H,Datos!$B:$B,Tablero!$I$5,Datos!$A:$A,Tablero!$B$5,Datos!$G:$G,$A72))</f>
        <v/>
      </c>
    </row>
    <row r="73" customFormat="false" ht="15" hidden="false" customHeight="false" outlineLevel="0" collapsed="false">
      <c r="A73" s="22" t="n">
        <v>1080</v>
      </c>
      <c r="B73" s="22" t="s">
        <v>268</v>
      </c>
      <c r="C73" s="25" t="str">
        <f aca="false">IF(COUNTIFS(Datos!$B:$B,Tablero!$I$5,Datos!$A:$A,Tablero!$B$5,Datos!$G:$G,$A73,Datos!$H:$H,"&gt;=0")=0,"",SUMIFS(Datos!$H:$H,Datos!$B:$B,Tablero!$I$5,Datos!$A:$A,Tablero!$B$5,Datos!$G:$G,$A73))</f>
        <v/>
      </c>
    </row>
    <row r="74" customFormat="false" ht="15" hidden="false" customHeight="false" outlineLevel="0" collapsed="false">
      <c r="A74" s="22" t="n">
        <v>1095</v>
      </c>
      <c r="B74" s="22" t="s">
        <v>269</v>
      </c>
      <c r="C74" s="25" t="str">
        <f aca="false">IF(COUNTIFS(Datos!$B:$B,Tablero!$I$5,Datos!$A:$A,Tablero!$B$5,Datos!$G:$G,$A74,Datos!$H:$H,"&gt;=0")=0,"",SUMIFS(Datos!$H:$H,Datos!$B:$B,Tablero!$I$5,Datos!$A:$A,Tablero!$B$5,Datos!$G:$G,$A74))</f>
        <v/>
      </c>
    </row>
    <row r="75" customFormat="false" ht="15" hidden="false" customHeight="false" outlineLevel="0" collapsed="false">
      <c r="A75" s="22" t="n">
        <v>1110</v>
      </c>
      <c r="B75" s="22" t="s">
        <v>270</v>
      </c>
      <c r="C75" s="25" t="str">
        <f aca="false">IF(COUNTIFS(Datos!$B:$B,Tablero!$I$5,Datos!$A:$A,Tablero!$B$5,Datos!$G:$G,$A75,Datos!$H:$H,"&gt;=0")=0,"",SUMIFS(Datos!$H:$H,Datos!$B:$B,Tablero!$I$5,Datos!$A:$A,Tablero!$B$5,Datos!$G:$G,$A75))</f>
        <v/>
      </c>
    </row>
    <row r="76" customFormat="false" ht="15" hidden="false" customHeight="false" outlineLevel="0" collapsed="false">
      <c r="A76" s="22" t="n">
        <v>1125</v>
      </c>
      <c r="B76" s="22" t="s">
        <v>271</v>
      </c>
      <c r="C76" s="25" t="str">
        <f aca="false">IF(COUNTIFS(Datos!$B:$B,Tablero!$I$5,Datos!$A:$A,Tablero!$B$5,Datos!$G:$G,$A76,Datos!$H:$H,"&gt;=0")=0,"",SUMIFS(Datos!$H:$H,Datos!$B:$B,Tablero!$I$5,Datos!$A:$A,Tablero!$B$5,Datos!$G:$G,$A76))</f>
        <v/>
      </c>
    </row>
    <row r="77" customFormat="false" ht="15" hidden="false" customHeight="false" outlineLevel="0" collapsed="false">
      <c r="A77" s="22" t="n">
        <v>1140</v>
      </c>
      <c r="B77" s="22" t="s">
        <v>272</v>
      </c>
      <c r="C77" s="25" t="str">
        <f aca="false">IF(COUNTIFS(Datos!$B:$B,Tablero!$I$5,Datos!$A:$A,Tablero!$B$5,Datos!$G:$G,$A77,Datos!$H:$H,"&gt;=0")=0,"",SUMIFS(Datos!$H:$H,Datos!$B:$B,Tablero!$I$5,Datos!$A:$A,Tablero!$B$5,Datos!$G:$G,$A77))</f>
        <v/>
      </c>
    </row>
    <row r="78" customFormat="false" ht="15" hidden="false" customHeight="false" outlineLevel="0" collapsed="false">
      <c r="A78" s="22" t="n">
        <v>1155</v>
      </c>
      <c r="B78" s="22" t="s">
        <v>273</v>
      </c>
      <c r="C78" s="25" t="str">
        <f aca="false">IF(COUNTIFS(Datos!$B:$B,Tablero!$I$5,Datos!$A:$A,Tablero!$B$5,Datos!$G:$G,$A78,Datos!$H:$H,"&gt;=0")=0,"",SUMIFS(Datos!$H:$H,Datos!$B:$B,Tablero!$I$5,Datos!$A:$A,Tablero!$B$5,Datos!$G:$G,$A78))</f>
        <v/>
      </c>
    </row>
    <row r="79" customFormat="false" ht="15" hidden="false" customHeight="false" outlineLevel="0" collapsed="false">
      <c r="A79" s="22" t="n">
        <v>1170</v>
      </c>
      <c r="B79" s="22" t="s">
        <v>274</v>
      </c>
      <c r="C79" s="25" t="str">
        <f aca="false">IF(COUNTIFS(Datos!$B:$B,Tablero!$I$5,Datos!$A:$A,Tablero!$B$5,Datos!$G:$G,$A79,Datos!$H:$H,"&gt;=0")=0,"",SUMIFS(Datos!$H:$H,Datos!$B:$B,Tablero!$I$5,Datos!$A:$A,Tablero!$B$5,Datos!$G:$G,$A79))</f>
        <v/>
      </c>
    </row>
    <row r="80" customFormat="false" ht="15" hidden="false" customHeight="false" outlineLevel="0" collapsed="false">
      <c r="A80" s="22" t="n">
        <v>1185</v>
      </c>
      <c r="B80" s="22" t="s">
        <v>275</v>
      </c>
      <c r="C80" s="25" t="str">
        <f aca="false">IF(COUNTIFS(Datos!$B:$B,Tablero!$I$5,Datos!$A:$A,Tablero!$B$5,Datos!$G:$G,$A80,Datos!$H:$H,"&gt;=0")=0,"",SUMIFS(Datos!$H:$H,Datos!$B:$B,Tablero!$I$5,Datos!$A:$A,Tablero!$B$5,Datos!$G:$G,$A80))</f>
        <v/>
      </c>
    </row>
    <row r="81" customFormat="false" ht="15" hidden="false" customHeight="false" outlineLevel="0" collapsed="false">
      <c r="A81" s="22" t="n">
        <v>1200</v>
      </c>
      <c r="B81" s="22" t="s">
        <v>276</v>
      </c>
      <c r="C81" s="25" t="str">
        <f aca="false">IF(COUNTIFS(Datos!$B:$B,Tablero!$I$5,Datos!$A:$A,Tablero!$B$5,Datos!$G:$G,$A81,Datos!$H:$H,"&gt;=0")=0,"",SUMIFS(Datos!$H:$H,Datos!$B:$B,Tablero!$I$5,Datos!$A:$A,Tablero!$B$5,Datos!$G:$G,$A81))</f>
        <v/>
      </c>
    </row>
    <row r="82" customFormat="false" ht="15" hidden="false" customHeight="false" outlineLevel="0" collapsed="false">
      <c r="A82" s="22" t="n">
        <v>1215</v>
      </c>
      <c r="B82" s="22" t="s">
        <v>277</v>
      </c>
      <c r="C82" s="25" t="str">
        <f aca="false">IF(COUNTIFS(Datos!$B:$B,Tablero!$I$5,Datos!$A:$A,Tablero!$B$5,Datos!$G:$G,$A82,Datos!$H:$H,"&gt;=0")=0,"",SUMIFS(Datos!$H:$H,Datos!$B:$B,Tablero!$I$5,Datos!$A:$A,Tablero!$B$5,Datos!$G:$G,$A82))</f>
        <v/>
      </c>
    </row>
    <row r="83" customFormat="false" ht="15" hidden="false" customHeight="false" outlineLevel="0" collapsed="false">
      <c r="A83" s="22" t="n">
        <v>1230</v>
      </c>
      <c r="B83" s="22" t="s">
        <v>278</v>
      </c>
      <c r="C83" s="25" t="str">
        <f aca="false">IF(COUNTIFS(Datos!$B:$B,Tablero!$I$5,Datos!$A:$A,Tablero!$B$5,Datos!$G:$G,$A83,Datos!$H:$H,"&gt;=0")=0,"",SUMIFS(Datos!$H:$H,Datos!$B:$B,Tablero!$I$5,Datos!$A:$A,Tablero!$B$5,Datos!$G:$G,$A83))</f>
        <v/>
      </c>
    </row>
    <row r="84" customFormat="false" ht="15" hidden="false" customHeight="false" outlineLevel="0" collapsed="false">
      <c r="A84" s="22" t="n">
        <v>1245</v>
      </c>
      <c r="B84" s="22" t="s">
        <v>279</v>
      </c>
      <c r="C84" s="25" t="str">
        <f aca="false">IF(COUNTIFS(Datos!$B:$B,Tablero!$I$5,Datos!$A:$A,Tablero!$B$5,Datos!$G:$G,$A84,Datos!$H:$H,"&gt;=0")=0,"",SUMIFS(Datos!$H:$H,Datos!$B:$B,Tablero!$I$5,Datos!$A:$A,Tablero!$B$5,Datos!$G:$G,$A84))</f>
        <v/>
      </c>
    </row>
    <row r="85" customFormat="false" ht="15" hidden="false" customHeight="false" outlineLevel="0" collapsed="false">
      <c r="A85" s="22" t="n">
        <v>1260</v>
      </c>
      <c r="B85" s="22" t="s">
        <v>280</v>
      </c>
      <c r="C85" s="25" t="str">
        <f aca="false">IF(COUNTIFS(Datos!$B:$B,Tablero!$I$5,Datos!$A:$A,Tablero!$B$5,Datos!$G:$G,$A85,Datos!$H:$H,"&gt;=0")=0,"",SUMIFS(Datos!$H:$H,Datos!$B:$B,Tablero!$I$5,Datos!$A:$A,Tablero!$B$5,Datos!$G:$G,$A85))</f>
        <v/>
      </c>
    </row>
    <row r="86" customFormat="false" ht="15" hidden="false" customHeight="false" outlineLevel="0" collapsed="false">
      <c r="A86" s="22" t="n">
        <v>1275</v>
      </c>
      <c r="B86" s="22" t="s">
        <v>281</v>
      </c>
      <c r="C86" s="25" t="str">
        <f aca="false">IF(COUNTIFS(Datos!$B:$B,Tablero!$I$5,Datos!$A:$A,Tablero!$B$5,Datos!$G:$G,$A86,Datos!$H:$H,"&gt;=0")=0,"",SUMIFS(Datos!$H:$H,Datos!$B:$B,Tablero!$I$5,Datos!$A:$A,Tablero!$B$5,Datos!$G:$G,$A86))</f>
        <v/>
      </c>
    </row>
    <row r="87" customFormat="false" ht="15" hidden="false" customHeight="false" outlineLevel="0" collapsed="false">
      <c r="A87" s="22" t="n">
        <v>1290</v>
      </c>
      <c r="B87" s="22" t="s">
        <v>282</v>
      </c>
      <c r="C87" s="25" t="str">
        <f aca="false">IF(COUNTIFS(Datos!$B:$B,Tablero!$I$5,Datos!$A:$A,Tablero!$B$5,Datos!$G:$G,$A87,Datos!$H:$H,"&gt;=0")=0,"",SUMIFS(Datos!$H:$H,Datos!$B:$B,Tablero!$I$5,Datos!$A:$A,Tablero!$B$5,Datos!$G:$G,$A87))</f>
        <v/>
      </c>
    </row>
    <row r="88" customFormat="false" ht="15" hidden="false" customHeight="false" outlineLevel="0" collapsed="false">
      <c r="A88" s="22" t="n">
        <v>1305</v>
      </c>
      <c r="B88" s="22" t="s">
        <v>283</v>
      </c>
      <c r="C88" s="25" t="str">
        <f aca="false">IF(COUNTIFS(Datos!$B:$B,Tablero!$I$5,Datos!$A:$A,Tablero!$B$5,Datos!$G:$G,$A88,Datos!$H:$H,"&gt;=0")=0,"",SUMIFS(Datos!$H:$H,Datos!$B:$B,Tablero!$I$5,Datos!$A:$A,Tablero!$B$5,Datos!$G:$G,$A88))</f>
        <v/>
      </c>
    </row>
    <row r="89" customFormat="false" ht="15" hidden="false" customHeight="false" outlineLevel="0" collapsed="false">
      <c r="A89" s="22" t="n">
        <v>1320</v>
      </c>
      <c r="B89" s="22" t="s">
        <v>284</v>
      </c>
      <c r="C89" s="25" t="str">
        <f aca="false">IF(COUNTIFS(Datos!$B:$B,Tablero!$I$5,Datos!$A:$A,Tablero!$B$5,Datos!$G:$G,$A89,Datos!$H:$H,"&gt;=0")=0,"",SUMIFS(Datos!$H:$H,Datos!$B:$B,Tablero!$I$5,Datos!$A:$A,Tablero!$B$5,Datos!$G:$G,$A89))</f>
        <v/>
      </c>
    </row>
    <row r="90" customFormat="false" ht="15" hidden="false" customHeight="false" outlineLevel="0" collapsed="false">
      <c r="A90" s="22" t="n">
        <v>1335</v>
      </c>
      <c r="B90" s="22" t="s">
        <v>285</v>
      </c>
      <c r="C90" s="25" t="str">
        <f aca="false">IF(COUNTIFS(Datos!$B:$B,Tablero!$I$5,Datos!$A:$A,Tablero!$B$5,Datos!$G:$G,$A90,Datos!$H:$H,"&gt;=0")=0,"",SUMIFS(Datos!$H:$H,Datos!$B:$B,Tablero!$I$5,Datos!$A:$A,Tablero!$B$5,Datos!$G:$G,$A90))</f>
        <v/>
      </c>
    </row>
    <row r="91" customFormat="false" ht="15" hidden="false" customHeight="false" outlineLevel="0" collapsed="false">
      <c r="A91" s="22" t="n">
        <v>1350</v>
      </c>
      <c r="B91" s="22" t="s">
        <v>286</v>
      </c>
      <c r="C91" s="25" t="str">
        <f aca="false">IF(COUNTIFS(Datos!$B:$B,Tablero!$I$5,Datos!$A:$A,Tablero!$B$5,Datos!$G:$G,$A91,Datos!$H:$H,"&gt;=0")=0,"",SUMIFS(Datos!$H:$H,Datos!$B:$B,Tablero!$I$5,Datos!$A:$A,Tablero!$B$5,Datos!$G:$G,$A91))</f>
        <v/>
      </c>
    </row>
    <row r="92" customFormat="false" ht="15" hidden="false" customHeight="false" outlineLevel="0" collapsed="false">
      <c r="A92" s="22" t="n">
        <v>1365</v>
      </c>
      <c r="B92" s="22" t="s">
        <v>287</v>
      </c>
      <c r="C92" s="25" t="str">
        <f aca="false">IF(COUNTIFS(Datos!$B:$B,Tablero!$I$5,Datos!$A:$A,Tablero!$B$5,Datos!$G:$G,$A92,Datos!$H:$H,"&gt;=0")=0,"",SUMIFS(Datos!$H:$H,Datos!$B:$B,Tablero!$I$5,Datos!$A:$A,Tablero!$B$5,Datos!$G:$G,$A92))</f>
        <v/>
      </c>
    </row>
    <row r="93" customFormat="false" ht="15" hidden="false" customHeight="false" outlineLevel="0" collapsed="false">
      <c r="A93" s="22" t="n">
        <v>1380</v>
      </c>
      <c r="B93" s="22" t="s">
        <v>288</v>
      </c>
      <c r="C93" s="25" t="str">
        <f aca="false">IF(COUNTIFS(Datos!$B:$B,Tablero!$I$5,Datos!$A:$A,Tablero!$B$5,Datos!$G:$G,$A93,Datos!$H:$H,"&gt;=0")=0,"",SUMIFS(Datos!$H:$H,Datos!$B:$B,Tablero!$I$5,Datos!$A:$A,Tablero!$B$5,Datos!$G:$G,$A93))</f>
        <v/>
      </c>
    </row>
    <row r="94" customFormat="false" ht="15" hidden="false" customHeight="false" outlineLevel="0" collapsed="false">
      <c r="A94" s="22" t="n">
        <v>1395</v>
      </c>
      <c r="B94" s="22" t="s">
        <v>289</v>
      </c>
      <c r="C94" s="25" t="str">
        <f aca="false">IF(COUNTIFS(Datos!$B:$B,Tablero!$I$5,Datos!$A:$A,Tablero!$B$5,Datos!$G:$G,$A94,Datos!$H:$H,"&gt;=0")=0,"",SUMIFS(Datos!$H:$H,Datos!$B:$B,Tablero!$I$5,Datos!$A:$A,Tablero!$B$5,Datos!$G:$G,$A94))</f>
        <v/>
      </c>
    </row>
    <row r="95" customFormat="false" ht="15" hidden="false" customHeight="false" outlineLevel="0" collapsed="false">
      <c r="A95" s="22" t="n">
        <v>1410</v>
      </c>
      <c r="B95" s="22" t="s">
        <v>290</v>
      </c>
      <c r="C95" s="25" t="str">
        <f aca="false">IF(COUNTIFS(Datos!$B:$B,Tablero!$I$5,Datos!$A:$A,Tablero!$B$5,Datos!$G:$G,$A95,Datos!$H:$H,"&gt;=0")=0,"",SUMIFS(Datos!$H:$H,Datos!$B:$B,Tablero!$I$5,Datos!$A:$A,Tablero!$B$5,Datos!$G:$G,$A95))</f>
        <v/>
      </c>
    </row>
    <row r="96" customFormat="false" ht="15" hidden="false" customHeight="false" outlineLevel="0" collapsed="false">
      <c r="A96" s="22" t="n">
        <v>1425</v>
      </c>
      <c r="B96" s="22" t="s">
        <v>291</v>
      </c>
      <c r="C96" s="25" t="str">
        <f aca="false">IF(COUNTIFS(Datos!$B:$B,Tablero!$I$5,Datos!$A:$A,Tablero!$B$5,Datos!$G:$G,$A96,Datos!$H:$H,"&gt;=0")=0,"",SUMIFS(Datos!$H:$H,Datos!$B:$B,Tablero!$I$5,Datos!$A:$A,Tablero!$B$5,Datos!$G:$G,$A96))</f>
        <v/>
      </c>
    </row>
    <row r="97" customFormat="false" ht="15" hidden="false" customHeight="false" outlineLevel="0" collapsed="false">
      <c r="A97" s="22" t="n">
        <v>1440</v>
      </c>
      <c r="B97" s="22" t="s">
        <v>292</v>
      </c>
      <c r="C97" s="25" t="str">
        <f aca="false">IF(COUNTIFS(Datos!$B:$B,Tablero!$I$5,Datos!$A:$A,Tablero!$B$5,Datos!$G:$G,$A97,Datos!$H:$H,"&gt;=0")=0,"",SUMIFS(Datos!$H:$H,Datos!$B:$B,Tablero!$I$5,Datos!$A:$A,Tablero!$B$5,Datos!$G:$G,$A97))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2" min="2" style="0" width="15"/>
    <col collapsed="false" customWidth="true" hidden="false" outlineLevel="0" max="15" min="13" style="0" width="13"/>
  </cols>
  <sheetData>
    <row r="1" customFormat="false" ht="16.15" hidden="false" customHeight="false" outlineLevel="0" collapsed="false">
      <c r="A1" s="27" t="s">
        <v>293</v>
      </c>
    </row>
    <row r="2" customFormat="false" ht="15" hidden="false" customHeight="false" outlineLevel="0" collapsed="false">
      <c r="A2" s="10" t="s">
        <v>39</v>
      </c>
      <c r="B2" s="10" t="s">
        <v>181</v>
      </c>
      <c r="C2" s="10" t="s">
        <v>184</v>
      </c>
      <c r="D2" s="10" t="s">
        <v>186</v>
      </c>
      <c r="E2" s="10" t="s">
        <v>187</v>
      </c>
      <c r="F2" s="10" t="s">
        <v>188</v>
      </c>
      <c r="G2" s="10" t="s">
        <v>189</v>
      </c>
      <c r="H2" s="10" t="s">
        <v>190</v>
      </c>
      <c r="I2" s="10" t="s">
        <v>191</v>
      </c>
      <c r="J2" s="10" t="s">
        <v>192</v>
      </c>
      <c r="K2" s="10" t="s">
        <v>5</v>
      </c>
      <c r="L2" s="10" t="s">
        <v>294</v>
      </c>
    </row>
    <row r="3" customFormat="false" ht="15" hidden="false" customHeight="false" outlineLevel="0" collapsed="false">
      <c r="A3" s="21" t="n">
        <v>46302</v>
      </c>
      <c r="B3" s="19" t="n">
        <f aca="false">IF(COUNTIFS(Datos!$B:$B,"192.168.50.3",Datos!$A:$A,$A3,Datos!$D:$D,"&gt;0")&lt;2,"",_xlfn.MAXIFS(Datos!$D:$D,Datos!$B:$B,"192.168.50.3",Datos!$A:$A,$A3,Datos!$D:$D,"&gt;0")-_xlfn.MINIFS(Datos!$D:$D,Datos!$B:$B,"192.168.50.3",Datos!$A:$A,$A3,Datos!$D:$D,"&gt;0"))</f>
        <v>2.55199999999968</v>
      </c>
      <c r="C3" s="19" t="n">
        <f aca="false">IF(COUNTIFS(Datos!$B:$B,"192.168.50.4",Datos!$A:$A,$A3,Datos!$D:$D,"&gt;0")&lt;2,"",_xlfn.MAXIFS(Datos!$D:$D,Datos!$B:$B,"192.168.50.4",Datos!$A:$A,$A3,Datos!$D:$D,"&gt;0")-_xlfn.MINIFS(Datos!$D:$D,Datos!$B:$B,"192.168.50.4",Datos!$A:$A,$A3,Datos!$D:$D,"&gt;0"))</f>
        <v>2.94899999999871</v>
      </c>
      <c r="D3" s="19" t="n">
        <f aca="false">IF(COUNTIFS(Datos!$B:$B,"192.168.50.5",Datos!$A:$A,$A3,Datos!$D:$D,"&gt;0")&lt;2,"",_xlfn.MAXIFS(Datos!$D:$D,Datos!$B:$B,"192.168.50.5",Datos!$A:$A,$A3,Datos!$D:$D,"&gt;0")-_xlfn.MINIFS(Datos!$D:$D,Datos!$B:$B,"192.168.50.5",Datos!$A:$A,$A3,Datos!$D:$D,"&gt;0"))</f>
        <v>14.9849999999988</v>
      </c>
      <c r="E3" s="19" t="n">
        <f aca="false">IF(COUNTIFS(Datos!$B:$B,"192.168.50.6",Datos!$A:$A,$A3,Datos!$D:$D,"&gt;0")&lt;2,"",_xlfn.MAXIFS(Datos!$D:$D,Datos!$B:$B,"192.168.50.6",Datos!$A:$A,$A3,Datos!$D:$D,"&gt;0")-_xlfn.MINIFS(Datos!$D:$D,Datos!$B:$B,"192.168.50.6",Datos!$A:$A,$A3,Datos!$D:$D,"&gt;0"))</f>
        <v>7.60999999999876</v>
      </c>
      <c r="F3" s="19" t="n">
        <f aca="false">IF(COUNTIFS(Datos!$B:$B,"192.168.50.7",Datos!$A:$A,$A3,Datos!$D:$D,"&gt;0")&lt;2,"",_xlfn.MAXIFS(Datos!$D:$D,Datos!$B:$B,"192.168.50.7",Datos!$A:$A,$A3,Datos!$D:$D,"&gt;0")-_xlfn.MINIFS(Datos!$D:$D,Datos!$B:$B,"192.168.50.7",Datos!$A:$A,$A3,Datos!$D:$D,"&gt;0"))</f>
        <v>0.559999999999491</v>
      </c>
      <c r="G3" s="19" t="n">
        <f aca="false">IF(COUNTIFS(Datos!$B:$B,"192.168.1.168",Datos!$A:$A,$A3,Datos!$D:$D,"&gt;0")&lt;2,"",_xlfn.MAXIFS(Datos!$D:$D,Datos!$B:$B,"192.168.1.168",Datos!$A:$A,$A3,Datos!$D:$D,"&gt;0")-_xlfn.MINIFS(Datos!$D:$D,Datos!$B:$B,"192.168.1.168",Datos!$A:$A,$A3,Datos!$D:$D,"&gt;0"))</f>
        <v>26.3539999999994</v>
      </c>
      <c r="H3" s="19" t="n">
        <f aca="false">IF(COUNTIFS(Datos!$B:$B,"192.168.50.8",Datos!$A:$A,$A3,Datos!$D:$D,"&gt;0")&lt;2,"",_xlfn.MAXIFS(Datos!$D:$D,Datos!$B:$B,"192.168.50.8",Datos!$A:$A,$A3,Datos!$D:$D,"&gt;0")-_xlfn.MINIFS(Datos!$D:$D,Datos!$B:$B,"192.168.50.8",Datos!$A:$A,$A3,Datos!$D:$D,"&gt;0"))</f>
        <v>13.125</v>
      </c>
      <c r="I3" s="19" t="n">
        <f aca="false">IF(COUNTIFS(Datos!$B:$B,"192.168.50.9",Datos!$A:$A,$A3,Datos!$D:$D,"&gt;0")&lt;2,"",_xlfn.MAXIFS(Datos!$D:$D,Datos!$B:$B,"192.168.50.9",Datos!$A:$A,$A3,Datos!$D:$D,"&gt;0")-_xlfn.MINIFS(Datos!$D:$D,Datos!$B:$B,"192.168.50.9",Datos!$A:$A,$A3,Datos!$D:$D,"&gt;0"))</f>
        <v>235.5</v>
      </c>
      <c r="J3" s="19" t="n">
        <f aca="false">IF(COUNTIFS(Datos!$B:$B,"192.168.50.10",Datos!$A:$A,$A3,Datos!$D:$D,"&gt;0")&lt;2,"",_xlfn.MAXIFS(Datos!$D:$D,Datos!$B:$B,"192.168.50.10",Datos!$A:$A,$A3,Datos!$D:$D,"&gt;0")-_xlfn.MINIFS(Datos!$D:$D,Datos!$B:$B,"192.168.50.10",Datos!$A:$A,$A3,Datos!$D:$D,"&gt;0"))</f>
        <v>401.967999999994</v>
      </c>
      <c r="K3" s="19" t="n">
        <f aca="false">IF(COUNTIFS(Datos!$B:$B,"192.168.50.11",Datos!$A:$A,$A3,Datos!$D:$D,"&gt;0")&lt;2,"",_xlfn.MAXIFS(Datos!$D:$D,Datos!$B:$B,"192.168.50.11",Datos!$A:$A,$A3,Datos!$D:$D,"&gt;0")-_xlfn.MINIFS(Datos!$D:$D,Datos!$B:$B,"192.168.50.11",Datos!$A:$A,$A3,Datos!$D:$D,"&gt;0"))</f>
        <v>233.25</v>
      </c>
      <c r="L3" s="28" t="n">
        <f aca="false">IF(COUNT(B3:K3)=0,"",IF(ISNUMBER(H3),0,N(B3))+IF(ISNUMBER(H3),0,N(C3))+IF(ISNUMBER(H3),0,N(D3))+IF(ISNUMBER(H3),0,N(E3))+IF(ISNUMBER(H3),0,N(F3))+IF(ISNUMBER(H3),0,N(G3))+N(H3)+N(I3)+N(J3)+N(K3))</f>
        <v>883.842999999994</v>
      </c>
    </row>
    <row r="4" customFormat="false" ht="15" hidden="false" customHeight="false" outlineLevel="0" collapsed="false">
      <c r="A4" s="21" t="n">
        <v>46303</v>
      </c>
      <c r="B4" s="19" t="n">
        <f aca="false">IF(COUNTIFS(Datos!$B:$B,"192.168.50.3",Datos!$A:$A,$A4,Datos!$D:$D,"&gt;0")&lt;2,"",_xlfn.MAXIFS(Datos!$D:$D,Datos!$B:$B,"192.168.50.3",Datos!$A:$A,$A4,Datos!$D:$D,"&gt;0")-_xlfn.MINIFS(Datos!$D:$D,Datos!$B:$B,"192.168.50.3",Datos!$A:$A,$A4,Datos!$D:$D,"&gt;0"))</f>
        <v>3.18400000000111</v>
      </c>
      <c r="C4" s="19" t="n">
        <f aca="false">IF(COUNTIFS(Datos!$B:$B,"192.168.50.4",Datos!$A:$A,$A4,Datos!$D:$D,"&gt;0")&lt;2,"",_xlfn.MAXIFS(Datos!$D:$D,Datos!$B:$B,"192.168.50.4",Datos!$A:$A,$A4,Datos!$D:$D,"&gt;0")-_xlfn.MINIFS(Datos!$D:$D,Datos!$B:$B,"192.168.50.4",Datos!$A:$A,$A4,Datos!$D:$D,"&gt;0"))</f>
        <v>5.10499999999956</v>
      </c>
      <c r="D4" s="19" t="n">
        <f aca="false">IF(COUNTIFS(Datos!$B:$B,"192.168.50.5",Datos!$A:$A,$A4,Datos!$D:$D,"&gt;0")&lt;2,"",_xlfn.MAXIFS(Datos!$D:$D,Datos!$B:$B,"192.168.50.5",Datos!$A:$A,$A4,Datos!$D:$D,"&gt;0")-_xlfn.MINIFS(Datos!$D:$D,Datos!$B:$B,"192.168.50.5",Datos!$A:$A,$A4,Datos!$D:$D,"&gt;0"))</f>
        <v>17.6990000000005</v>
      </c>
      <c r="E4" s="19" t="n">
        <f aca="false">IF(COUNTIFS(Datos!$B:$B,"192.168.50.6",Datos!$A:$A,$A4,Datos!$D:$D,"&gt;0")&lt;2,"",_xlfn.MAXIFS(Datos!$D:$D,Datos!$B:$B,"192.168.50.6",Datos!$A:$A,$A4,Datos!$D:$D,"&gt;0")-_xlfn.MINIFS(Datos!$D:$D,Datos!$B:$B,"192.168.50.6",Datos!$A:$A,$A4,Datos!$D:$D,"&gt;0"))</f>
        <v>16.2430000000004</v>
      </c>
      <c r="F4" s="19" t="n">
        <f aca="false">IF(COUNTIFS(Datos!$B:$B,"192.168.50.7",Datos!$A:$A,$A4,Datos!$D:$D,"&gt;0")&lt;2,"",_xlfn.MAXIFS(Datos!$D:$D,Datos!$B:$B,"192.168.50.7",Datos!$A:$A,$A4,Datos!$D:$D,"&gt;0")-_xlfn.MINIFS(Datos!$D:$D,Datos!$B:$B,"192.168.50.7",Datos!$A:$A,$A4,Datos!$D:$D,"&gt;0"))</f>
        <v>0.740999999999985</v>
      </c>
      <c r="G4" s="19" t="n">
        <f aca="false">IF(COUNTIFS(Datos!$B:$B,"192.168.1.168",Datos!$A:$A,$A4,Datos!$D:$D,"&gt;0")&lt;2,"",_xlfn.MAXIFS(Datos!$D:$D,Datos!$B:$B,"192.168.1.168",Datos!$A:$A,$A4,Datos!$D:$D,"&gt;0")-_xlfn.MINIFS(Datos!$D:$D,Datos!$B:$B,"192.168.1.168",Datos!$A:$A,$A4,Datos!$D:$D,"&gt;0"))</f>
        <v>29.5360000000001</v>
      </c>
      <c r="H4" s="19" t="n">
        <f aca="false">IF(COUNTIFS(Datos!$B:$B,"192.168.50.8",Datos!$A:$A,$A4,Datos!$D:$D,"&gt;0")&lt;2,"",_xlfn.MAXIFS(Datos!$D:$D,Datos!$B:$B,"192.168.50.8",Datos!$A:$A,$A4,Datos!$D:$D,"&gt;0")-_xlfn.MINIFS(Datos!$D:$D,Datos!$B:$B,"192.168.50.8",Datos!$A:$A,$A4,Datos!$D:$D,"&gt;0"))</f>
        <v>148.320999999996</v>
      </c>
      <c r="I4" s="19" t="n">
        <f aca="false">IF(COUNTIFS(Datos!$B:$B,"192.168.50.9",Datos!$A:$A,$A4,Datos!$D:$D,"&gt;0")&lt;2,"",_xlfn.MAXIFS(Datos!$D:$D,Datos!$B:$B,"192.168.50.9",Datos!$A:$A,$A4,Datos!$D:$D,"&gt;0")-_xlfn.MINIFS(Datos!$D:$D,Datos!$B:$B,"192.168.50.9",Datos!$A:$A,$A4,Datos!$D:$D,"&gt;0"))</f>
        <v>334.25</v>
      </c>
      <c r="J4" s="19" t="n">
        <f aca="false">IF(COUNTIFS(Datos!$B:$B,"192.168.50.10",Datos!$A:$A,$A4,Datos!$D:$D,"&gt;0")&lt;2,"",_xlfn.MAXIFS(Datos!$D:$D,Datos!$B:$B,"192.168.50.10",Datos!$A:$A,$A4,Datos!$D:$D,"&gt;0")-_xlfn.MINIFS(Datos!$D:$D,Datos!$B:$B,"192.168.50.10",Datos!$A:$A,$A4,Datos!$D:$D,"&gt;0"))</f>
        <v>419.625</v>
      </c>
      <c r="K4" s="19" t="n">
        <f aca="false">IF(COUNTIFS(Datos!$B:$B,"192.168.50.11",Datos!$A:$A,$A4,Datos!$D:$D,"&gt;0")&lt;2,"",_xlfn.MAXIFS(Datos!$D:$D,Datos!$B:$B,"192.168.50.11",Datos!$A:$A,$A4,Datos!$D:$D,"&gt;0")-_xlfn.MINIFS(Datos!$D:$D,Datos!$B:$B,"192.168.50.11",Datos!$A:$A,$A4,Datos!$D:$D,"&gt;0"))</f>
        <v>381.313000000024</v>
      </c>
      <c r="L4" s="28" t="n">
        <f aca="false">IF(COUNT(B4:K4)=0,"",IF(ISNUMBER(H4),0,N(B4))+IF(ISNUMBER(H4),0,N(C4))+IF(ISNUMBER(H4),0,N(D4))+IF(ISNUMBER(H4),0,N(E4))+IF(ISNUMBER(H4),0,N(F4))+IF(ISNUMBER(H4),0,N(G4))+N(H4)+N(I4)+N(J4)+N(K4))</f>
        <v>1283.50900000002</v>
      </c>
    </row>
    <row r="5" customFormat="false" ht="15" hidden="false" customHeight="false" outlineLevel="0" collapsed="false">
      <c r="A5" s="21" t="n">
        <v>46304</v>
      </c>
      <c r="B5" s="19" t="n">
        <f aca="false">IF(COUNTIFS(Datos!$B:$B,"192.168.50.3",Datos!$A:$A,$A5,Datos!$D:$D,"&gt;0")&lt;2,"",_xlfn.MAXIFS(Datos!$D:$D,Datos!$B:$B,"192.168.50.3",Datos!$A:$A,$A5,Datos!$D:$D,"&gt;0")-_xlfn.MINIFS(Datos!$D:$D,Datos!$B:$B,"192.168.50.3",Datos!$A:$A,$A5,Datos!$D:$D,"&gt;0"))</f>
        <v>2.96499999999833</v>
      </c>
      <c r="C5" s="19" t="n">
        <f aca="false">IF(COUNTIFS(Datos!$B:$B,"192.168.50.4",Datos!$A:$A,$A5,Datos!$D:$D,"&gt;0")&lt;2,"",_xlfn.MAXIFS(Datos!$D:$D,Datos!$B:$B,"192.168.50.4",Datos!$A:$A,$A5,Datos!$D:$D,"&gt;0")-_xlfn.MINIFS(Datos!$D:$D,Datos!$B:$B,"192.168.50.4",Datos!$A:$A,$A5,Datos!$D:$D,"&gt;0"))</f>
        <v>2.95799999999872</v>
      </c>
      <c r="D5" s="19" t="n">
        <f aca="false">IF(COUNTIFS(Datos!$B:$B,"192.168.50.5",Datos!$A:$A,$A5,Datos!$D:$D,"&gt;0")&lt;2,"",_xlfn.MAXIFS(Datos!$D:$D,Datos!$B:$B,"192.168.50.5",Datos!$A:$A,$A5,Datos!$D:$D,"&gt;0")-_xlfn.MINIFS(Datos!$D:$D,Datos!$B:$B,"192.168.50.5",Datos!$A:$A,$A5,Datos!$D:$D,"&gt;0"))</f>
        <v>17.4159999999993</v>
      </c>
      <c r="E5" s="19" t="n">
        <f aca="false">IF(COUNTIFS(Datos!$B:$B,"192.168.50.6",Datos!$A:$A,$A5,Datos!$D:$D,"&gt;0")&lt;2,"",_xlfn.MAXIFS(Datos!$D:$D,Datos!$B:$B,"192.168.50.6",Datos!$A:$A,$A5,Datos!$D:$D,"&gt;0")-_xlfn.MINIFS(Datos!$D:$D,Datos!$B:$B,"192.168.50.6",Datos!$A:$A,$A5,Datos!$D:$D,"&gt;0"))</f>
        <v>16.1989999999987</v>
      </c>
      <c r="F5" s="19" t="n">
        <f aca="false">IF(COUNTIFS(Datos!$B:$B,"192.168.50.7",Datos!$A:$A,$A5,Datos!$D:$D,"&gt;0")&lt;2,"",_xlfn.MAXIFS(Datos!$D:$D,Datos!$B:$B,"192.168.50.7",Datos!$A:$A,$A5,Datos!$D:$D,"&gt;0")-_xlfn.MINIFS(Datos!$D:$D,Datos!$B:$B,"192.168.50.7",Datos!$A:$A,$A5,Datos!$D:$D,"&gt;0"))</f>
        <v>0.7450000000008</v>
      </c>
      <c r="G5" s="19" t="n">
        <f aca="false">IF(COUNTIFS(Datos!$B:$B,"192.168.1.168",Datos!$A:$A,$A5,Datos!$D:$D,"&gt;0")&lt;2,"",_xlfn.MAXIFS(Datos!$D:$D,Datos!$B:$B,"192.168.1.168",Datos!$A:$A,$A5,Datos!$D:$D,"&gt;0")-_xlfn.MINIFS(Datos!$D:$D,Datos!$B:$B,"192.168.1.168",Datos!$A:$A,$A5,Datos!$D:$D,"&gt;0"))</f>
        <v>27.7580000000016</v>
      </c>
      <c r="H5" s="19" t="n">
        <f aca="false">IF(COUNTIFS(Datos!$B:$B,"192.168.50.8",Datos!$A:$A,$A5,Datos!$D:$D,"&gt;0")&lt;2,"",_xlfn.MAXIFS(Datos!$D:$D,Datos!$B:$B,"192.168.50.8",Datos!$A:$A,$A5,Datos!$D:$D,"&gt;0")-_xlfn.MINIFS(Datos!$D:$D,Datos!$B:$B,"192.168.50.8",Datos!$A:$A,$A5,Datos!$D:$D,"&gt;0"))</f>
        <v>127.945999999996</v>
      </c>
      <c r="I5" s="19" t="n">
        <f aca="false">IF(COUNTIFS(Datos!$B:$B,"192.168.50.9",Datos!$A:$A,$A5,Datos!$D:$D,"&gt;0")&lt;2,"",_xlfn.MAXIFS(Datos!$D:$D,Datos!$B:$B,"192.168.50.9",Datos!$A:$A,$A5,Datos!$D:$D,"&gt;0")-_xlfn.MINIFS(Datos!$D:$D,Datos!$B:$B,"192.168.50.9",Datos!$A:$A,$A5,Datos!$D:$D,"&gt;0"))</f>
        <v>341.218999999983</v>
      </c>
      <c r="J5" s="19" t="n">
        <f aca="false">IF(COUNTIFS(Datos!$B:$B,"192.168.50.10",Datos!$A:$A,$A5,Datos!$D:$D,"&gt;0")&lt;2,"",_xlfn.MAXIFS(Datos!$D:$D,Datos!$B:$B,"192.168.50.10",Datos!$A:$A,$A5,Datos!$D:$D,"&gt;0")-_xlfn.MINIFS(Datos!$D:$D,Datos!$B:$B,"192.168.50.10",Datos!$A:$A,$A5,Datos!$D:$D,"&gt;0"))</f>
        <v>427.342999999994</v>
      </c>
      <c r="K5" s="19" t="n">
        <f aca="false">IF(COUNTIFS(Datos!$B:$B,"192.168.50.11",Datos!$A:$A,$A5,Datos!$D:$D,"&gt;0")&lt;2,"",_xlfn.MAXIFS(Datos!$D:$D,Datos!$B:$B,"192.168.50.11",Datos!$A:$A,$A5,Datos!$D:$D,"&gt;0")-_xlfn.MINIFS(Datos!$D:$D,Datos!$B:$B,"192.168.50.11",Datos!$A:$A,$A5,Datos!$D:$D,"&gt;0"))</f>
        <v>430.219000000041</v>
      </c>
      <c r="L5" s="28" t="n">
        <f aca="false">IF(COUNT(B5:K5)=0,"",IF(ISNUMBER(H5),0,N(B5))+IF(ISNUMBER(H5),0,N(C5))+IF(ISNUMBER(H5),0,N(D5))+IF(ISNUMBER(H5),0,N(E5))+IF(ISNUMBER(H5),0,N(F5))+IF(ISNUMBER(H5),0,N(G5))+N(H5)+N(I5)+N(J5)+N(K5))</f>
        <v>1326.72700000001</v>
      </c>
    </row>
    <row r="7" customFormat="false" ht="16.15" hidden="false" customHeight="false" outlineLevel="0" collapsed="false">
      <c r="A7" s="27" t="s">
        <v>295</v>
      </c>
    </row>
    <row r="8" customFormat="false" ht="15" hidden="false" customHeight="false" outlineLevel="0" collapsed="false">
      <c r="A8" s="10" t="s">
        <v>39</v>
      </c>
      <c r="B8" s="10" t="s">
        <v>181</v>
      </c>
      <c r="C8" s="10" t="s">
        <v>184</v>
      </c>
      <c r="D8" s="10" t="s">
        <v>186</v>
      </c>
      <c r="E8" s="10" t="s">
        <v>187</v>
      </c>
      <c r="F8" s="10" t="s">
        <v>188</v>
      </c>
      <c r="G8" s="10" t="s">
        <v>189</v>
      </c>
      <c r="H8" s="10" t="s">
        <v>190</v>
      </c>
      <c r="I8" s="10" t="s">
        <v>191</v>
      </c>
      <c r="J8" s="10" t="s">
        <v>192</v>
      </c>
      <c r="K8" s="10" t="s">
        <v>5</v>
      </c>
      <c r="L8" s="10" t="s">
        <v>294</v>
      </c>
      <c r="M8" s="10" t="s">
        <v>296</v>
      </c>
      <c r="N8" s="10" t="s">
        <v>297</v>
      </c>
      <c r="O8" s="10" t="s">
        <v>298</v>
      </c>
    </row>
    <row r="9" customFormat="false" ht="15" hidden="false" customHeight="false" outlineLevel="0" collapsed="false">
      <c r="A9" s="21" t="n">
        <v>46302</v>
      </c>
      <c r="B9" s="19" t="str">
        <f aca="false">IF(OR(COUNTIFS(Datos!$B:$B,"192.168.50.3",Datos!$A:$A,$A9,Datos!$D:$D,"&gt;0",Datos!$G:$G,(HOUR(Tablero!$D$5)*60+MINUTE(Tablero!$D$5)))=0,COUNTIFS(Datos!$B:$B,"192.168.50.3",Datos!$A:$A,$A9-1,Datos!$D:$D,"&gt;0",Datos!$G:$G,(HOUR(Tablero!$D$5)*60+MINUTE(Tablero!$D$5)))=0),"",SUMIFS(Datos!$D:$D,Datos!$B:$B,"192.168.50.3",Datos!$A:$A,$A9,Datos!$D:$D,"&gt;0",Datos!$G:$G,(HOUR(Tablero!$D$5)*60+MINUTE(Tablero!$D$5)))-SUMIFS(Datos!$D:$D,Datos!$B:$B,"192.168.50.3",Datos!$A:$A,$A9-1,Datos!$D:$D,"&gt;0",Datos!$G:$G,(HOUR(Tablero!$D$5)*60+MINUTE(Tablero!$D$5))))</f>
        <v/>
      </c>
      <c r="C9" s="19" t="str">
        <f aca="false">IF(OR(COUNTIFS(Datos!$B:$B,"192.168.50.4",Datos!$A:$A,$A9,Datos!$D:$D,"&gt;0",Datos!$G:$G,(HOUR(Tablero!$D$5)*60+MINUTE(Tablero!$D$5)))=0,COUNTIFS(Datos!$B:$B,"192.168.50.4",Datos!$A:$A,$A9-1,Datos!$D:$D,"&gt;0",Datos!$G:$G,(HOUR(Tablero!$D$5)*60+MINUTE(Tablero!$D$5)))=0),"",SUMIFS(Datos!$D:$D,Datos!$B:$B,"192.168.50.4",Datos!$A:$A,$A9,Datos!$D:$D,"&gt;0",Datos!$G:$G,(HOUR(Tablero!$D$5)*60+MINUTE(Tablero!$D$5)))-SUMIFS(Datos!$D:$D,Datos!$B:$B,"192.168.50.4",Datos!$A:$A,$A9-1,Datos!$D:$D,"&gt;0",Datos!$G:$G,(HOUR(Tablero!$D$5)*60+MINUTE(Tablero!$D$5))))</f>
        <v/>
      </c>
      <c r="D9" s="19" t="str">
        <f aca="false">IF(OR(COUNTIFS(Datos!$B:$B,"192.168.50.5",Datos!$A:$A,$A9,Datos!$D:$D,"&gt;0",Datos!$G:$G,(HOUR(Tablero!$D$5)*60+MINUTE(Tablero!$D$5)))=0,COUNTIFS(Datos!$B:$B,"192.168.50.5",Datos!$A:$A,$A9-1,Datos!$D:$D,"&gt;0",Datos!$G:$G,(HOUR(Tablero!$D$5)*60+MINUTE(Tablero!$D$5)))=0),"",SUMIFS(Datos!$D:$D,Datos!$B:$B,"192.168.50.5",Datos!$A:$A,$A9,Datos!$D:$D,"&gt;0",Datos!$G:$G,(HOUR(Tablero!$D$5)*60+MINUTE(Tablero!$D$5)))-SUMIFS(Datos!$D:$D,Datos!$B:$B,"192.168.50.5",Datos!$A:$A,$A9-1,Datos!$D:$D,"&gt;0",Datos!$G:$G,(HOUR(Tablero!$D$5)*60+MINUTE(Tablero!$D$5))))</f>
        <v/>
      </c>
      <c r="E9" s="19" t="str">
        <f aca="false">IF(OR(COUNTIFS(Datos!$B:$B,"192.168.50.6",Datos!$A:$A,$A9,Datos!$D:$D,"&gt;0",Datos!$G:$G,(HOUR(Tablero!$D$5)*60+MINUTE(Tablero!$D$5)))=0,COUNTIFS(Datos!$B:$B,"192.168.50.6",Datos!$A:$A,$A9-1,Datos!$D:$D,"&gt;0",Datos!$G:$G,(HOUR(Tablero!$D$5)*60+MINUTE(Tablero!$D$5)))=0),"",SUMIFS(Datos!$D:$D,Datos!$B:$B,"192.168.50.6",Datos!$A:$A,$A9,Datos!$D:$D,"&gt;0",Datos!$G:$G,(HOUR(Tablero!$D$5)*60+MINUTE(Tablero!$D$5)))-SUMIFS(Datos!$D:$D,Datos!$B:$B,"192.168.50.6",Datos!$A:$A,$A9-1,Datos!$D:$D,"&gt;0",Datos!$G:$G,(HOUR(Tablero!$D$5)*60+MINUTE(Tablero!$D$5))))</f>
        <v/>
      </c>
      <c r="F9" s="19" t="str">
        <f aca="false">IF(OR(COUNTIFS(Datos!$B:$B,"192.168.50.7",Datos!$A:$A,$A9,Datos!$D:$D,"&gt;0",Datos!$G:$G,(HOUR(Tablero!$D$5)*60+MINUTE(Tablero!$D$5)))=0,COUNTIFS(Datos!$B:$B,"192.168.50.7",Datos!$A:$A,$A9-1,Datos!$D:$D,"&gt;0",Datos!$G:$G,(HOUR(Tablero!$D$5)*60+MINUTE(Tablero!$D$5)))=0),"",SUMIFS(Datos!$D:$D,Datos!$B:$B,"192.168.50.7",Datos!$A:$A,$A9,Datos!$D:$D,"&gt;0",Datos!$G:$G,(HOUR(Tablero!$D$5)*60+MINUTE(Tablero!$D$5)))-SUMIFS(Datos!$D:$D,Datos!$B:$B,"192.168.50.7",Datos!$A:$A,$A9-1,Datos!$D:$D,"&gt;0",Datos!$G:$G,(HOUR(Tablero!$D$5)*60+MINUTE(Tablero!$D$5))))</f>
        <v/>
      </c>
      <c r="G9" s="19" t="str">
        <f aca="false">IF(OR(COUNTIFS(Datos!$B:$B,"192.168.1.168",Datos!$A:$A,$A9,Datos!$D:$D,"&gt;0",Datos!$G:$G,(HOUR(Tablero!$D$5)*60+MINUTE(Tablero!$D$5)))=0,COUNTIFS(Datos!$B:$B,"192.168.1.168",Datos!$A:$A,$A9-1,Datos!$D:$D,"&gt;0",Datos!$G:$G,(HOUR(Tablero!$D$5)*60+MINUTE(Tablero!$D$5)))=0),"",SUMIFS(Datos!$D:$D,Datos!$B:$B,"192.168.1.168",Datos!$A:$A,$A9,Datos!$D:$D,"&gt;0",Datos!$G:$G,(HOUR(Tablero!$D$5)*60+MINUTE(Tablero!$D$5)))-SUMIFS(Datos!$D:$D,Datos!$B:$B,"192.168.1.168",Datos!$A:$A,$A9-1,Datos!$D:$D,"&gt;0",Datos!$G:$G,(HOUR(Tablero!$D$5)*60+MINUTE(Tablero!$D$5))))</f>
        <v/>
      </c>
      <c r="H9" s="19" t="str">
        <f aca="false">IF(OR(COUNTIFS(Datos!$B:$B,"192.168.50.8",Datos!$A:$A,$A9,Datos!$D:$D,"&gt;0",Datos!$G:$G,(HOUR(Tablero!$D$5)*60+MINUTE(Tablero!$D$5)))=0,COUNTIFS(Datos!$B:$B,"192.168.50.8",Datos!$A:$A,$A9-1,Datos!$D:$D,"&gt;0",Datos!$G:$G,(HOUR(Tablero!$D$5)*60+MINUTE(Tablero!$D$5)))=0),"",SUMIFS(Datos!$D:$D,Datos!$B:$B,"192.168.50.8",Datos!$A:$A,$A9,Datos!$D:$D,"&gt;0",Datos!$G:$G,(HOUR(Tablero!$D$5)*60+MINUTE(Tablero!$D$5)))-SUMIFS(Datos!$D:$D,Datos!$B:$B,"192.168.50.8",Datos!$A:$A,$A9-1,Datos!$D:$D,"&gt;0",Datos!$G:$G,(HOUR(Tablero!$D$5)*60+MINUTE(Tablero!$D$5))))</f>
        <v/>
      </c>
      <c r="I9" s="19" t="str">
        <f aca="false">IF(OR(COUNTIFS(Datos!$B:$B,"192.168.50.9",Datos!$A:$A,$A9,Datos!$D:$D,"&gt;0",Datos!$G:$G,(HOUR(Tablero!$D$5)*60+MINUTE(Tablero!$D$5)))=0,COUNTIFS(Datos!$B:$B,"192.168.50.9",Datos!$A:$A,$A9-1,Datos!$D:$D,"&gt;0",Datos!$G:$G,(HOUR(Tablero!$D$5)*60+MINUTE(Tablero!$D$5)))=0),"",SUMIFS(Datos!$D:$D,Datos!$B:$B,"192.168.50.9",Datos!$A:$A,$A9,Datos!$D:$D,"&gt;0",Datos!$G:$G,(HOUR(Tablero!$D$5)*60+MINUTE(Tablero!$D$5)))-SUMIFS(Datos!$D:$D,Datos!$B:$B,"192.168.50.9",Datos!$A:$A,$A9-1,Datos!$D:$D,"&gt;0",Datos!$G:$G,(HOUR(Tablero!$D$5)*60+MINUTE(Tablero!$D$5))))</f>
        <v/>
      </c>
      <c r="J9" s="19" t="str">
        <f aca="false">IF(OR(COUNTIFS(Datos!$B:$B,"192.168.50.10",Datos!$A:$A,$A9,Datos!$D:$D,"&gt;0",Datos!$G:$G,(HOUR(Tablero!$D$5)*60+MINUTE(Tablero!$D$5)))=0,COUNTIFS(Datos!$B:$B,"192.168.50.10",Datos!$A:$A,$A9-1,Datos!$D:$D,"&gt;0",Datos!$G:$G,(HOUR(Tablero!$D$5)*60+MINUTE(Tablero!$D$5)))=0),"",SUMIFS(Datos!$D:$D,Datos!$B:$B,"192.168.50.10",Datos!$A:$A,$A9,Datos!$D:$D,"&gt;0",Datos!$G:$G,(HOUR(Tablero!$D$5)*60+MINUTE(Tablero!$D$5)))-SUMIFS(Datos!$D:$D,Datos!$B:$B,"192.168.50.10",Datos!$A:$A,$A9-1,Datos!$D:$D,"&gt;0",Datos!$G:$G,(HOUR(Tablero!$D$5)*60+MINUTE(Tablero!$D$5))))</f>
        <v/>
      </c>
      <c r="K9" s="19" t="str">
        <f aca="false">IF(OR(COUNTIFS(Datos!$B:$B,"192.168.50.11",Datos!$A:$A,$A9,Datos!$D:$D,"&gt;0",Datos!$G:$G,(HOUR(Tablero!$D$5)*60+MINUTE(Tablero!$D$5)))=0,COUNTIFS(Datos!$B:$B,"192.168.50.11",Datos!$A:$A,$A9-1,Datos!$D:$D,"&gt;0",Datos!$G:$G,(HOUR(Tablero!$D$5)*60+MINUTE(Tablero!$D$5)))=0),"",SUMIFS(Datos!$D:$D,Datos!$B:$B,"192.168.50.11",Datos!$A:$A,$A9,Datos!$D:$D,"&gt;0",Datos!$G:$G,(HOUR(Tablero!$D$5)*60+MINUTE(Tablero!$D$5)))-SUMIFS(Datos!$D:$D,Datos!$B:$B,"192.168.50.11",Datos!$A:$A,$A9-1,Datos!$D:$D,"&gt;0",Datos!$G:$G,(HOUR(Tablero!$D$5)*60+MINUTE(Tablero!$D$5))))</f>
        <v/>
      </c>
      <c r="L9" s="28" t="str">
        <f aca="false">IF(COUNT(B9:K9)=0,"",IF(ISNUMBER(H9),0,N(B9))+IF(ISNUMBER(H9),0,N(C9))+IF(ISNUMBER(H9),0,N(D9))+IF(ISNUMBER(H9),0,N(E9))+IF(ISNUMBER(H9),0,N(F9))+IF(ISNUMBER(H9),0,N(G9))+N(H9)+N(I9)+N(J9)+N(K9))</f>
        <v/>
      </c>
      <c r="M9" s="19" t="n">
        <f aca="false">IF(OR(COUNTIFS(EMCALI!$A:$A,$A9-1)&lt;24,COUNTIFS(EMCALI!$A:$A,$A9)&lt;24),"",SUMIFS(EMCALI!$C:$C,EMCALI!$A:$A,$A9-1,EMCALI!$B:$B,"&gt;="&amp;HOUR(Tablero!$D$5))+SUMIFS(EMCALI!$C:$C,EMCALI!$A:$A,$A9,EMCALI!$B:$B,"&lt;"&amp;HOUR(Tablero!$D$5)))</f>
        <v>4307.76</v>
      </c>
      <c r="N9" s="19" t="str">
        <f aca="false">IF(OR(L9="",M9=""),"",M9-L9)</f>
        <v/>
      </c>
      <c r="O9" s="29" t="str">
        <f aca="false">IF(OR(L9="",M9=""),"",IF(M9&gt;0,(M9-L9)/M9,""))</f>
        <v/>
      </c>
    </row>
    <row r="10" customFormat="false" ht="15" hidden="false" customHeight="false" outlineLevel="0" collapsed="false">
      <c r="A10" s="21" t="n">
        <v>46303</v>
      </c>
      <c r="B10" s="19" t="n">
        <f aca="false">IF(OR(COUNTIFS(Datos!$B:$B,"192.168.50.3",Datos!$A:$A,$A10,Datos!$D:$D,"&gt;0",Datos!$G:$G,(HOUR(Tablero!$D$5)*60+MINUTE(Tablero!$D$5)))=0,COUNTIFS(Datos!$B:$B,"192.168.50.3",Datos!$A:$A,$A10-1,Datos!$D:$D,"&gt;0",Datos!$G:$G,(HOUR(Tablero!$D$5)*60+MINUTE(Tablero!$D$5)))=0),"",SUMIFS(Datos!$D:$D,Datos!$B:$B,"192.168.50.3",Datos!$A:$A,$A10,Datos!$D:$D,"&gt;0",Datos!$G:$G,(HOUR(Tablero!$D$5)*60+MINUTE(Tablero!$D$5)))-SUMIFS(Datos!$D:$D,Datos!$B:$B,"192.168.50.3",Datos!$A:$A,$A10-1,Datos!$D:$D,"&gt;0",Datos!$G:$G,(HOUR(Tablero!$D$5)*60+MINUTE(Tablero!$D$5))))</f>
        <v>12.8729999999996</v>
      </c>
      <c r="C10" s="19" t="n">
        <f aca="false">IF(OR(COUNTIFS(Datos!$B:$B,"192.168.50.4",Datos!$A:$A,$A10,Datos!$D:$D,"&gt;0",Datos!$G:$G,(HOUR(Tablero!$D$5)*60+MINUTE(Tablero!$D$5)))=0,COUNTIFS(Datos!$B:$B,"192.168.50.4",Datos!$A:$A,$A10-1,Datos!$D:$D,"&gt;0",Datos!$G:$G,(HOUR(Tablero!$D$5)*60+MINUTE(Tablero!$D$5)))=0),"",SUMIFS(Datos!$D:$D,Datos!$B:$B,"192.168.50.4",Datos!$A:$A,$A10,Datos!$D:$D,"&gt;0",Datos!$G:$G,(HOUR(Tablero!$D$5)*60+MINUTE(Tablero!$D$5)))-SUMIFS(Datos!$D:$D,Datos!$B:$B,"192.168.50.4",Datos!$A:$A,$A10-1,Datos!$D:$D,"&gt;0",Datos!$G:$G,(HOUR(Tablero!$D$5)*60+MINUTE(Tablero!$D$5))))</f>
        <v>40.7019999999993</v>
      </c>
      <c r="D10" s="19" t="n">
        <f aca="false">IF(OR(COUNTIFS(Datos!$B:$B,"192.168.50.5",Datos!$A:$A,$A10,Datos!$D:$D,"&gt;0",Datos!$G:$G,(HOUR(Tablero!$D$5)*60+MINUTE(Tablero!$D$5)))=0,COUNTIFS(Datos!$B:$B,"192.168.50.5",Datos!$A:$A,$A10-1,Datos!$D:$D,"&gt;0",Datos!$G:$G,(HOUR(Tablero!$D$5)*60+MINUTE(Tablero!$D$5)))=0),"",SUMIFS(Datos!$D:$D,Datos!$B:$B,"192.168.50.5",Datos!$A:$A,$A10,Datos!$D:$D,"&gt;0",Datos!$G:$G,(HOUR(Tablero!$D$5)*60+MINUTE(Tablero!$D$5)))-SUMIFS(Datos!$D:$D,Datos!$B:$B,"192.168.50.5",Datos!$A:$A,$A10-1,Datos!$D:$D,"&gt;0",Datos!$G:$G,(HOUR(Tablero!$D$5)*60+MINUTE(Tablero!$D$5))))</f>
        <v>39.5830000000005</v>
      </c>
      <c r="E10" s="19" t="n">
        <f aca="false">IF(OR(COUNTIFS(Datos!$B:$B,"192.168.50.6",Datos!$A:$A,$A10,Datos!$D:$D,"&gt;0",Datos!$G:$G,(HOUR(Tablero!$D$5)*60+MINUTE(Tablero!$D$5)))=0,COUNTIFS(Datos!$B:$B,"192.168.50.6",Datos!$A:$A,$A10-1,Datos!$D:$D,"&gt;0",Datos!$G:$G,(HOUR(Tablero!$D$5)*60+MINUTE(Tablero!$D$5)))=0),"",SUMIFS(Datos!$D:$D,Datos!$B:$B,"192.168.50.6",Datos!$A:$A,$A10,Datos!$D:$D,"&gt;0",Datos!$G:$G,(HOUR(Tablero!$D$5)*60+MINUTE(Tablero!$D$5)))-SUMIFS(Datos!$D:$D,Datos!$B:$B,"192.168.50.6",Datos!$A:$A,$A10-1,Datos!$D:$D,"&gt;0",Datos!$G:$G,(HOUR(Tablero!$D$5)*60+MINUTE(Tablero!$D$5))))</f>
        <v>56.4110000000001</v>
      </c>
      <c r="F10" s="19" t="n">
        <f aca="false">IF(OR(COUNTIFS(Datos!$B:$B,"192.168.50.7",Datos!$A:$A,$A10,Datos!$D:$D,"&gt;0",Datos!$G:$G,(HOUR(Tablero!$D$5)*60+MINUTE(Tablero!$D$5)))=0,COUNTIFS(Datos!$B:$B,"192.168.50.7",Datos!$A:$A,$A10-1,Datos!$D:$D,"&gt;0",Datos!$G:$G,(HOUR(Tablero!$D$5)*60+MINUTE(Tablero!$D$5)))=0),"",SUMIFS(Datos!$D:$D,Datos!$B:$B,"192.168.50.7",Datos!$A:$A,$A10,Datos!$D:$D,"&gt;0",Datos!$G:$G,(HOUR(Tablero!$D$5)*60+MINUTE(Tablero!$D$5)))-SUMIFS(Datos!$D:$D,Datos!$B:$B,"192.168.50.7",Datos!$A:$A,$A10-1,Datos!$D:$D,"&gt;0",Datos!$G:$G,(HOUR(Tablero!$D$5)*60+MINUTE(Tablero!$D$5))))</f>
        <v>30.3450000000003</v>
      </c>
      <c r="G10" s="19" t="n">
        <f aca="false">IF(OR(COUNTIFS(Datos!$B:$B,"192.168.1.168",Datos!$A:$A,$A10,Datos!$D:$D,"&gt;0",Datos!$G:$G,(HOUR(Tablero!$D$5)*60+MINUTE(Tablero!$D$5)))=0,COUNTIFS(Datos!$B:$B,"192.168.1.168",Datos!$A:$A,$A10-1,Datos!$D:$D,"&gt;0",Datos!$G:$G,(HOUR(Tablero!$D$5)*60+MINUTE(Tablero!$D$5)))=0),"",SUMIFS(Datos!$D:$D,Datos!$B:$B,"192.168.1.168",Datos!$A:$A,$A10,Datos!$D:$D,"&gt;0",Datos!$G:$G,(HOUR(Tablero!$D$5)*60+MINUTE(Tablero!$D$5)))-SUMIFS(Datos!$D:$D,Datos!$B:$B,"192.168.1.168",Datos!$A:$A,$A10-1,Datos!$D:$D,"&gt;0",Datos!$G:$G,(HOUR(Tablero!$D$5)*60+MINUTE(Tablero!$D$5))))</f>
        <v>100.804</v>
      </c>
      <c r="H10" s="19" t="str">
        <f aca="false">IF(OR(COUNTIFS(Datos!$B:$B,"192.168.50.8",Datos!$A:$A,$A10,Datos!$D:$D,"&gt;0",Datos!$G:$G,(HOUR(Tablero!$D$5)*60+MINUTE(Tablero!$D$5)))=0,COUNTIFS(Datos!$B:$B,"192.168.50.8",Datos!$A:$A,$A10-1,Datos!$D:$D,"&gt;0",Datos!$G:$G,(HOUR(Tablero!$D$5)*60+MINUTE(Tablero!$D$5)))=0),"",SUMIFS(Datos!$D:$D,Datos!$B:$B,"192.168.50.8",Datos!$A:$A,$A10,Datos!$D:$D,"&gt;0",Datos!$G:$G,(HOUR(Tablero!$D$5)*60+MINUTE(Tablero!$D$5)))-SUMIFS(Datos!$D:$D,Datos!$B:$B,"192.168.50.8",Datos!$A:$A,$A10-1,Datos!$D:$D,"&gt;0",Datos!$G:$G,(HOUR(Tablero!$D$5)*60+MINUTE(Tablero!$D$5))))</f>
        <v/>
      </c>
      <c r="I10" s="19" t="n">
        <f aca="false">IF(OR(COUNTIFS(Datos!$B:$B,"192.168.50.9",Datos!$A:$A,$A10,Datos!$D:$D,"&gt;0",Datos!$G:$G,(HOUR(Tablero!$D$5)*60+MINUTE(Tablero!$D$5)))=0,COUNTIFS(Datos!$B:$B,"192.168.50.9",Datos!$A:$A,$A10-1,Datos!$D:$D,"&gt;0",Datos!$G:$G,(HOUR(Tablero!$D$5)*60+MINUTE(Tablero!$D$5)))=0),"",SUMIFS(Datos!$D:$D,Datos!$B:$B,"192.168.50.9",Datos!$A:$A,$A10,Datos!$D:$D,"&gt;0",Datos!$G:$G,(HOUR(Tablero!$D$5)*60+MINUTE(Tablero!$D$5)))-SUMIFS(Datos!$D:$D,Datos!$B:$B,"192.168.50.9",Datos!$A:$A,$A10-1,Datos!$D:$D,"&gt;0",Datos!$G:$G,(HOUR(Tablero!$D$5)*60+MINUTE(Tablero!$D$5))))</f>
        <v>975.406000000017</v>
      </c>
      <c r="J10" s="19" t="n">
        <f aca="false">IF(OR(COUNTIFS(Datos!$B:$B,"192.168.50.10",Datos!$A:$A,$A10,Datos!$D:$D,"&gt;0",Datos!$G:$G,(HOUR(Tablero!$D$5)*60+MINUTE(Tablero!$D$5)))=0,COUNTIFS(Datos!$B:$B,"192.168.50.10",Datos!$A:$A,$A10-1,Datos!$D:$D,"&gt;0",Datos!$G:$G,(HOUR(Tablero!$D$5)*60+MINUTE(Tablero!$D$5)))=0),"",SUMIFS(Datos!$D:$D,Datos!$B:$B,"192.168.50.10",Datos!$A:$A,$A10,Datos!$D:$D,"&gt;0",Datos!$G:$G,(HOUR(Tablero!$D$5)*60+MINUTE(Tablero!$D$5)))-SUMIFS(Datos!$D:$D,Datos!$B:$B,"192.168.50.10",Datos!$A:$A,$A10-1,Datos!$D:$D,"&gt;0",Datos!$G:$G,(HOUR(Tablero!$D$5)*60+MINUTE(Tablero!$D$5))))</f>
        <v>1457.25</v>
      </c>
      <c r="K10" s="19" t="n">
        <f aca="false">IF(OR(COUNTIFS(Datos!$B:$B,"192.168.50.11",Datos!$A:$A,$A10,Datos!$D:$D,"&gt;0",Datos!$G:$G,(HOUR(Tablero!$D$5)*60+MINUTE(Tablero!$D$5)))=0,COUNTIFS(Datos!$B:$B,"192.168.50.11",Datos!$A:$A,$A10-1,Datos!$D:$D,"&gt;0",Datos!$G:$G,(HOUR(Tablero!$D$5)*60+MINUTE(Tablero!$D$5)))=0),"",SUMIFS(Datos!$D:$D,Datos!$B:$B,"192.168.50.11",Datos!$A:$A,$A10,Datos!$D:$D,"&gt;0",Datos!$G:$G,(HOUR(Tablero!$D$5)*60+MINUTE(Tablero!$D$5)))-SUMIFS(Datos!$D:$D,Datos!$B:$B,"192.168.50.11",Datos!$A:$A,$A10-1,Datos!$D:$D,"&gt;0",Datos!$G:$G,(HOUR(Tablero!$D$5)*60+MINUTE(Tablero!$D$5))))</f>
        <v>1298.34400000004</v>
      </c>
      <c r="L10" s="28" t="n">
        <f aca="false">IF(COUNT(B10:K10)=0,"",IF(ISNUMBER(H10),0,N(B10))+IF(ISNUMBER(H10),0,N(C10))+IF(ISNUMBER(H10),0,N(D10))+IF(ISNUMBER(H10),0,N(E10))+IF(ISNUMBER(H10),0,N(F10))+IF(ISNUMBER(H10),0,N(G10))+N(H10)+N(I10)+N(J10)+N(K10))</f>
        <v>4011.71800000006</v>
      </c>
      <c r="M10" s="19" t="n">
        <f aca="false">IF(OR(COUNTIFS(EMCALI!$A:$A,$A10-1)&lt;24,COUNTIFS(EMCALI!$A:$A,$A10)&lt;24),"",SUMIFS(EMCALI!$C:$C,EMCALI!$A:$A,$A10-1,EMCALI!$B:$B,"&gt;="&amp;HOUR(Tablero!$D$5))+SUMIFS(EMCALI!$C:$C,EMCALI!$A:$A,$A10,EMCALI!$B:$B,"&lt;"&amp;HOUR(Tablero!$D$5)))</f>
        <v>4322.52</v>
      </c>
      <c r="N10" s="19" t="n">
        <f aca="false">IF(OR(L10="",M10=""),"",M10-L10)</f>
        <v>310.801999999942</v>
      </c>
      <c r="O10" s="29" t="n">
        <f aca="false">IF(OR(L10="",M10=""),"",IF(M10&gt;0,(M10-L10)/M10,""))</f>
        <v>0.0719029640117206</v>
      </c>
    </row>
    <row r="11" customFormat="false" ht="15" hidden="false" customHeight="false" outlineLevel="0" collapsed="false">
      <c r="A11" s="21" t="n">
        <v>46304</v>
      </c>
      <c r="B11" s="19" t="n">
        <f aca="false">IF(OR(COUNTIFS(Datos!$B:$B,"192.168.50.3",Datos!$A:$A,$A11,Datos!$D:$D,"&gt;0",Datos!$G:$G,(HOUR(Tablero!$D$5)*60+MINUTE(Tablero!$D$5)))=0,COUNTIFS(Datos!$B:$B,"192.168.50.3",Datos!$A:$A,$A11-1,Datos!$D:$D,"&gt;0",Datos!$G:$G,(HOUR(Tablero!$D$5)*60+MINUTE(Tablero!$D$5)))=0),"",SUMIFS(Datos!$D:$D,Datos!$B:$B,"192.168.50.3",Datos!$A:$A,$A11,Datos!$D:$D,"&gt;0",Datos!$G:$G,(HOUR(Tablero!$D$5)*60+MINUTE(Tablero!$D$5)))-SUMIFS(Datos!$D:$D,Datos!$B:$B,"192.168.50.3",Datos!$A:$A,$A11-1,Datos!$D:$D,"&gt;0",Datos!$G:$G,(HOUR(Tablero!$D$5)*60+MINUTE(Tablero!$D$5))))</f>
        <v>31.3410000000004</v>
      </c>
      <c r="C11" s="19" t="n">
        <f aca="false">IF(OR(COUNTIFS(Datos!$B:$B,"192.168.50.4",Datos!$A:$A,$A11,Datos!$D:$D,"&gt;0",Datos!$G:$G,(HOUR(Tablero!$D$5)*60+MINUTE(Tablero!$D$5)))=0,COUNTIFS(Datos!$B:$B,"192.168.50.4",Datos!$A:$A,$A11-1,Datos!$D:$D,"&gt;0",Datos!$G:$G,(HOUR(Tablero!$D$5)*60+MINUTE(Tablero!$D$5)))=0),"",SUMIFS(Datos!$D:$D,Datos!$B:$B,"192.168.50.4",Datos!$A:$A,$A11,Datos!$D:$D,"&gt;0",Datos!$G:$G,(HOUR(Tablero!$D$5)*60+MINUTE(Tablero!$D$5)))-SUMIFS(Datos!$D:$D,Datos!$B:$B,"192.168.50.4",Datos!$A:$A,$A11-1,Datos!$D:$D,"&gt;0",Datos!$G:$G,(HOUR(Tablero!$D$5)*60+MINUTE(Tablero!$D$5))))</f>
        <v>40.6410000000014</v>
      </c>
      <c r="D11" s="19" t="n">
        <f aca="false">IF(OR(COUNTIFS(Datos!$B:$B,"192.168.50.5",Datos!$A:$A,$A11,Datos!$D:$D,"&gt;0",Datos!$G:$G,(HOUR(Tablero!$D$5)*60+MINUTE(Tablero!$D$5)))=0,COUNTIFS(Datos!$B:$B,"192.168.50.5",Datos!$A:$A,$A11-1,Datos!$D:$D,"&gt;0",Datos!$G:$G,(HOUR(Tablero!$D$5)*60+MINUTE(Tablero!$D$5)))=0),"",SUMIFS(Datos!$D:$D,Datos!$B:$B,"192.168.50.5",Datos!$A:$A,$A11,Datos!$D:$D,"&gt;0",Datos!$G:$G,(HOUR(Tablero!$D$5)*60+MINUTE(Tablero!$D$5)))-SUMIFS(Datos!$D:$D,Datos!$B:$B,"192.168.50.5",Datos!$A:$A,$A11-1,Datos!$D:$D,"&gt;0",Datos!$G:$G,(HOUR(Tablero!$D$5)*60+MINUTE(Tablero!$D$5))))</f>
        <v>58.982</v>
      </c>
      <c r="E11" s="19" t="n">
        <f aca="false">IF(OR(COUNTIFS(Datos!$B:$B,"192.168.50.6",Datos!$A:$A,$A11,Datos!$D:$D,"&gt;0",Datos!$G:$G,(HOUR(Tablero!$D$5)*60+MINUTE(Tablero!$D$5)))=0,COUNTIFS(Datos!$B:$B,"192.168.50.6",Datos!$A:$A,$A11-1,Datos!$D:$D,"&gt;0",Datos!$G:$G,(HOUR(Tablero!$D$5)*60+MINUTE(Tablero!$D$5)))=0),"",SUMIFS(Datos!$D:$D,Datos!$B:$B,"192.168.50.6",Datos!$A:$A,$A11,Datos!$D:$D,"&gt;0",Datos!$G:$G,(HOUR(Tablero!$D$5)*60+MINUTE(Tablero!$D$5)))-SUMIFS(Datos!$D:$D,Datos!$B:$B,"192.168.50.6",Datos!$A:$A,$A11-1,Datos!$D:$D,"&gt;0",Datos!$G:$G,(HOUR(Tablero!$D$5)*60+MINUTE(Tablero!$D$5))))</f>
        <v>57.5959999999996</v>
      </c>
      <c r="F11" s="19" t="n">
        <f aca="false">IF(OR(COUNTIFS(Datos!$B:$B,"192.168.50.7",Datos!$A:$A,$A11,Datos!$D:$D,"&gt;0",Datos!$G:$G,(HOUR(Tablero!$D$5)*60+MINUTE(Tablero!$D$5)))=0,COUNTIFS(Datos!$B:$B,"192.168.50.7",Datos!$A:$A,$A11-1,Datos!$D:$D,"&gt;0",Datos!$G:$G,(HOUR(Tablero!$D$5)*60+MINUTE(Tablero!$D$5)))=0),"",SUMIFS(Datos!$D:$D,Datos!$B:$B,"192.168.50.7",Datos!$A:$A,$A11,Datos!$D:$D,"&gt;0",Datos!$G:$G,(HOUR(Tablero!$D$5)*60+MINUTE(Tablero!$D$5)))-SUMIFS(Datos!$D:$D,Datos!$B:$B,"192.168.50.7",Datos!$A:$A,$A11-1,Datos!$D:$D,"&gt;0",Datos!$G:$G,(HOUR(Tablero!$D$5)*60+MINUTE(Tablero!$D$5))))</f>
        <v>3.76800000000003</v>
      </c>
      <c r="G11" s="19" t="n">
        <f aca="false">IF(OR(COUNTIFS(Datos!$B:$B,"192.168.1.168",Datos!$A:$A,$A11,Datos!$D:$D,"&gt;0",Datos!$G:$G,(HOUR(Tablero!$D$5)*60+MINUTE(Tablero!$D$5)))=0,COUNTIFS(Datos!$B:$B,"192.168.1.168",Datos!$A:$A,$A11-1,Datos!$D:$D,"&gt;0",Datos!$G:$G,(HOUR(Tablero!$D$5)*60+MINUTE(Tablero!$D$5)))=0),"",SUMIFS(Datos!$D:$D,Datos!$B:$B,"192.168.1.168",Datos!$A:$A,$A11,Datos!$D:$D,"&gt;0",Datos!$G:$G,(HOUR(Tablero!$D$5)*60+MINUTE(Tablero!$D$5)))-SUMIFS(Datos!$D:$D,Datos!$B:$B,"192.168.1.168",Datos!$A:$A,$A11-1,Datos!$D:$D,"&gt;0",Datos!$G:$G,(HOUR(Tablero!$D$5)*60+MINUTE(Tablero!$D$5))))</f>
        <v>104.231</v>
      </c>
      <c r="H11" s="19" t="n">
        <f aca="false">IF(OR(COUNTIFS(Datos!$B:$B,"192.168.50.8",Datos!$A:$A,$A11,Datos!$D:$D,"&gt;0",Datos!$G:$G,(HOUR(Tablero!$D$5)*60+MINUTE(Tablero!$D$5)))=0,COUNTIFS(Datos!$B:$B,"192.168.50.8",Datos!$A:$A,$A11-1,Datos!$D:$D,"&gt;0",Datos!$G:$G,(HOUR(Tablero!$D$5)*60+MINUTE(Tablero!$D$5)))=0),"",SUMIFS(Datos!$D:$D,Datos!$B:$B,"192.168.50.8",Datos!$A:$A,$A11,Datos!$D:$D,"&gt;0",Datos!$G:$G,(HOUR(Tablero!$D$5)*60+MINUTE(Tablero!$D$5)))-SUMIFS(Datos!$D:$D,Datos!$B:$B,"192.168.50.8",Datos!$A:$A,$A11-1,Datos!$D:$D,"&gt;0",Datos!$G:$G,(HOUR(Tablero!$D$5)*60+MINUTE(Tablero!$D$5))))</f>
        <v>476.008000000002</v>
      </c>
      <c r="I11" s="19" t="n">
        <f aca="false">IF(OR(COUNTIFS(Datos!$B:$B,"192.168.50.9",Datos!$A:$A,$A11,Datos!$D:$D,"&gt;0",Datos!$G:$G,(HOUR(Tablero!$D$5)*60+MINUTE(Tablero!$D$5)))=0,COUNTIFS(Datos!$B:$B,"192.168.50.9",Datos!$A:$A,$A11-1,Datos!$D:$D,"&gt;0",Datos!$G:$G,(HOUR(Tablero!$D$5)*60+MINUTE(Tablero!$D$5)))=0),"",SUMIFS(Datos!$D:$D,Datos!$B:$B,"192.168.50.9",Datos!$A:$A,$A11,Datos!$D:$D,"&gt;0",Datos!$G:$G,(HOUR(Tablero!$D$5)*60+MINUTE(Tablero!$D$5)))-SUMIFS(Datos!$D:$D,Datos!$B:$B,"192.168.50.9",Datos!$A:$A,$A11-1,Datos!$D:$D,"&gt;0",Datos!$G:$G,(HOUR(Tablero!$D$5)*60+MINUTE(Tablero!$D$5))))</f>
        <v>1117.93799999997</v>
      </c>
      <c r="J11" s="19" t="n">
        <f aca="false">IF(OR(COUNTIFS(Datos!$B:$B,"192.168.50.10",Datos!$A:$A,$A11,Datos!$D:$D,"&gt;0",Datos!$G:$G,(HOUR(Tablero!$D$5)*60+MINUTE(Tablero!$D$5)))=0,COUNTIFS(Datos!$B:$B,"192.168.50.10",Datos!$A:$A,$A11-1,Datos!$D:$D,"&gt;0",Datos!$G:$G,(HOUR(Tablero!$D$5)*60+MINUTE(Tablero!$D$5)))=0),"",SUMIFS(Datos!$D:$D,Datos!$B:$B,"192.168.50.10",Datos!$A:$A,$A11,Datos!$D:$D,"&gt;0",Datos!$G:$G,(HOUR(Tablero!$D$5)*60+MINUTE(Tablero!$D$5)))-SUMIFS(Datos!$D:$D,Datos!$B:$B,"192.168.50.10",Datos!$A:$A,$A11-1,Datos!$D:$D,"&gt;0",Datos!$G:$G,(HOUR(Tablero!$D$5)*60+MINUTE(Tablero!$D$5))))</f>
        <v>1557.125</v>
      </c>
      <c r="K11" s="19" t="n">
        <f aca="false">IF(OR(COUNTIFS(Datos!$B:$B,"192.168.50.11",Datos!$A:$A,$A11,Datos!$D:$D,"&gt;0",Datos!$G:$G,(HOUR(Tablero!$D$5)*60+MINUTE(Tablero!$D$5)))=0,COUNTIFS(Datos!$B:$B,"192.168.50.11",Datos!$A:$A,$A11-1,Datos!$D:$D,"&gt;0",Datos!$G:$G,(HOUR(Tablero!$D$5)*60+MINUTE(Tablero!$D$5)))=0),"",SUMIFS(Datos!$D:$D,Datos!$B:$B,"192.168.50.11",Datos!$A:$A,$A11,Datos!$D:$D,"&gt;0",Datos!$G:$G,(HOUR(Tablero!$D$5)*60+MINUTE(Tablero!$D$5)))-SUMIFS(Datos!$D:$D,Datos!$B:$B,"192.168.50.11",Datos!$A:$A,$A11-1,Datos!$D:$D,"&gt;0",Datos!$G:$G,(HOUR(Tablero!$D$5)*60+MINUTE(Tablero!$D$5))))</f>
        <v>1362.93699999998</v>
      </c>
      <c r="L11" s="28" t="n">
        <f aca="false">IF(COUNT(B11:K11)=0,"",IF(ISNUMBER(H11),0,N(B11))+IF(ISNUMBER(H11),0,N(C11))+IF(ISNUMBER(H11),0,N(D11))+IF(ISNUMBER(H11),0,N(E11))+IF(ISNUMBER(H11),0,N(F11))+IF(ISNUMBER(H11),0,N(G11))+N(H11)+N(I11)+N(J11)+N(K11))</f>
        <v>4514.00799999994</v>
      </c>
      <c r="M11" s="19" t="n">
        <f aca="false">IF(OR(COUNTIFS(EMCALI!$A:$A,$A11-1)&lt;24,COUNTIFS(EMCALI!$A:$A,$A11)&lt;24),"",SUMIFS(EMCALI!$C:$C,EMCALI!$A:$A,$A11-1,EMCALI!$B:$B,"&gt;="&amp;HOUR(Tablero!$D$5))+SUMIFS(EMCALI!$C:$C,EMCALI!$A:$A,$A11,EMCALI!$B:$B,"&lt;"&amp;HOUR(Tablero!$D$5)))</f>
        <v>4647.24</v>
      </c>
      <c r="N11" s="19" t="n">
        <f aca="false">IF(OR(L11="",M11=""),"",M11-L11)</f>
        <v>133.232000000056</v>
      </c>
      <c r="O11" s="29" t="n">
        <f aca="false">IF(OR(L11="",M11=""),"",IF(M11&gt;0,(M11-L11)/M11,""))</f>
        <v>0.0286690594847816</v>
      </c>
    </row>
    <row r="12" customFormat="false" ht="15" hidden="false" customHeight="false" outlineLevel="0" collapsed="false">
      <c r="A12" s="2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30" t="s">
        <v>300</v>
      </c>
    </row>
    <row r="2" customFormat="false" ht="15" hidden="false" customHeight="false" outlineLevel="0" collapsed="false">
      <c r="A2" s="2" t="s">
        <v>301</v>
      </c>
    </row>
    <row r="4" customFormat="false" ht="30" hidden="false" customHeight="true" outlineLevel="0" collapsed="false">
      <c r="A4" s="10" t="s">
        <v>302</v>
      </c>
      <c r="B4" s="10" t="s">
        <v>303</v>
      </c>
      <c r="C4" s="10" t="s">
        <v>304</v>
      </c>
      <c r="D4" s="10" t="s">
        <v>305</v>
      </c>
      <c r="E4" s="10" t="s">
        <v>306</v>
      </c>
      <c r="F4" s="10" t="s">
        <v>307</v>
      </c>
      <c r="G4" s="10" t="s">
        <v>20</v>
      </c>
      <c r="H4" s="10" t="s">
        <v>308</v>
      </c>
      <c r="I4" s="10" t="s">
        <v>309</v>
      </c>
      <c r="J4" s="10" t="s">
        <v>310</v>
      </c>
      <c r="K4" s="10" t="s">
        <v>22</v>
      </c>
      <c r="L4" s="10" t="s">
        <v>311</v>
      </c>
    </row>
    <row r="5" customFormat="false" ht="15" hidden="false" customHeight="false" outlineLevel="0" collapsed="false">
      <c r="A5" s="11" t="s">
        <v>312</v>
      </c>
      <c r="B5" s="11" t="s">
        <v>313</v>
      </c>
      <c r="C5" s="11" t="s">
        <v>314</v>
      </c>
      <c r="D5" s="11" t="s">
        <v>315</v>
      </c>
      <c r="E5" s="31" t="n">
        <f aca="false">SUMIFS(EMCALI!$C:$C,EMCALI!$G:$G,"A")</f>
        <v>109373.04</v>
      </c>
      <c r="F5" s="31" t="n">
        <f aca="false">COUNTIFS(EMCALI!$G:$G,"A",EMCALI!$C:$C,"&lt;&gt;")</f>
        <v>518</v>
      </c>
      <c r="G5" s="19" t="n">
        <f aca="false">IF(F5=0,"",E5/F5)</f>
        <v>211.144864864865</v>
      </c>
      <c r="H5" s="31" t="n">
        <f aca="false">IF(F5=0,"",G5*7)</f>
        <v>1478.01405405405</v>
      </c>
      <c r="I5" s="29" t="n">
        <f aca="false">IF(SUM($E$5:$E$9)=0,"",E5/SUM($E$5:$E$9))</f>
        <v>0.370958321818581</v>
      </c>
      <c r="J5" s="31" t="n">
        <f aca="false">SUMIFS(EMCALI!$D:$D,EMCALI!$G:$G,"A")</f>
        <v>10531.44</v>
      </c>
      <c r="K5" s="29" t="n">
        <f aca="false">IFERROR(J5/SUMIFS(EMCALI!$C:$C,EMCALI!$G:$G,"A",EMCALI!$D:$D,"&lt;&gt;"),"")</f>
        <v>0.101378091464612</v>
      </c>
      <c r="L5" s="19" t="n">
        <f aca="false">SUMIFS(EMCALI!$H:$H,EMCALI!$G:$G,"A")</f>
        <v>253.38</v>
      </c>
    </row>
    <row r="6" customFormat="false" ht="15" hidden="false" customHeight="false" outlineLevel="0" collapsed="false">
      <c r="A6" s="11" t="s">
        <v>316</v>
      </c>
      <c r="B6" s="11" t="s">
        <v>313</v>
      </c>
      <c r="C6" s="11" t="s">
        <v>317</v>
      </c>
      <c r="D6" s="11" t="s">
        <v>318</v>
      </c>
      <c r="E6" s="31" t="n">
        <f aca="false">SUMIFS(EMCALI!$C:$C,EMCALI!$G:$G,"B")</f>
        <v>95977.32</v>
      </c>
      <c r="F6" s="31" t="n">
        <f aca="false">COUNTIFS(EMCALI!$G:$G,"B",EMCALI!$C:$C,"&lt;&gt;")</f>
        <v>512</v>
      </c>
      <c r="G6" s="19" t="n">
        <f aca="false">IF(F6=0,"",E6/F6)</f>
        <v>187.455703125</v>
      </c>
      <c r="H6" s="31" t="n">
        <f aca="false">IF(F6=0,"",G6*7)</f>
        <v>1312.189921875</v>
      </c>
      <c r="I6" s="29" t="n">
        <f aca="false">IF(SUM($E$5:$E$9)=0,"",E6/SUM($E$5:$E$9))</f>
        <v>0.325524329943146</v>
      </c>
      <c r="J6" s="31" t="n">
        <f aca="false">SUMIFS(EMCALI!$D:$D,EMCALI!$G:$G,"B")</f>
        <v>10508.28</v>
      </c>
      <c r="K6" s="29" t="n">
        <f aca="false">IFERROR(J6/SUMIFS(EMCALI!$C:$C,EMCALI!$G:$G,"B",EMCALI!$D:$D,"&lt;&gt;"),"")</f>
        <v>0.115286382701974</v>
      </c>
      <c r="L6" s="19" t="n">
        <f aca="false">SUMIFS(EMCALI!$H:$H,EMCALI!$G:$G,"B")</f>
        <v>76.02</v>
      </c>
    </row>
    <row r="7" customFormat="false" ht="15" hidden="false" customHeight="false" outlineLevel="0" collapsed="false">
      <c r="A7" s="11" t="s">
        <v>319</v>
      </c>
      <c r="B7" s="11" t="s">
        <v>320</v>
      </c>
      <c r="C7" s="11" t="s">
        <v>321</v>
      </c>
      <c r="D7" s="11" t="s">
        <v>322</v>
      </c>
      <c r="E7" s="31" t="n">
        <f aca="false">SUMIFS(EMCALI!$C:$C,EMCALI!$G:$G,"C")</f>
        <v>59521.32</v>
      </c>
      <c r="F7" s="31" t="n">
        <f aca="false">COUNTIFS(EMCALI!$G:$G,"C",EMCALI!$C:$C,"&lt;&gt;")</f>
        <v>591</v>
      </c>
      <c r="G7" s="19" t="n">
        <f aca="false">IF(F7=0,"",E7/F7)</f>
        <v>100.712893401015</v>
      </c>
      <c r="H7" s="31" t="n">
        <f aca="false">IF(F7=0,"",G7*8)</f>
        <v>805.703147208122</v>
      </c>
      <c r="I7" s="29" t="n">
        <f aca="false">IF(SUM($E$5:$E$9)=0,"",E7/SUM($E$5:$E$9))</f>
        <v>0.201877254025551</v>
      </c>
      <c r="J7" s="31" t="n">
        <f aca="false">SUMIFS(EMCALI!$D:$D,EMCALI!$G:$G,"C")</f>
        <v>9629.88</v>
      </c>
      <c r="K7" s="29" t="n">
        <f aca="false">IFERROR(J7/SUMIFS(EMCALI!$C:$C,EMCALI!$G:$G,"C",EMCALI!$D:$D,"&lt;&gt;"),"")</f>
        <v>0.168664747052271</v>
      </c>
      <c r="L7" s="19" t="n">
        <f aca="false">SUMIFS(EMCALI!$H:$H,EMCALI!$G:$G,"C")</f>
        <v>32.22</v>
      </c>
    </row>
    <row r="8" customFormat="false" ht="15" hidden="false" customHeight="false" outlineLevel="0" collapsed="false">
      <c r="A8" s="11" t="s">
        <v>323</v>
      </c>
      <c r="B8" s="11" t="s">
        <v>324</v>
      </c>
      <c r="C8" s="11" t="s">
        <v>325</v>
      </c>
      <c r="D8" s="11" t="s">
        <v>326</v>
      </c>
      <c r="E8" s="31" t="n">
        <f aca="false">SUMIFS(EMCALI!$C:$C,EMCALI!$G:$G,"Entre turnos")</f>
        <v>17564.88</v>
      </c>
      <c r="F8" s="31" t="n">
        <f aca="false">COUNTIFS(EMCALI!$G:$G,"Entre turnos",EMCALI!$C:$C,"&lt;&gt;")</f>
        <v>146</v>
      </c>
      <c r="G8" s="19" t="n">
        <f aca="false">IF(F8=0,"",E8/F8)</f>
        <v>120.307397260274</v>
      </c>
      <c r="H8" s="31" t="n">
        <f aca="false">IF(F8=0,"",G8*2)</f>
        <v>240.614794520548</v>
      </c>
      <c r="I8" s="29" t="n">
        <f aca="false">IF(SUM($E$5:$E$9)=0,"",E8/SUM($E$5:$E$9))</f>
        <v>0.0595744473020477</v>
      </c>
      <c r="J8" s="31" t="n">
        <f aca="false">SUMIFS(EMCALI!$D:$D,EMCALI!$G:$G,"Entre turnos")</f>
        <v>2688.72</v>
      </c>
      <c r="K8" s="29" t="n">
        <f aca="false">IFERROR(J8/SUMIFS(EMCALI!$C:$C,EMCALI!$G:$G,"Entre turnos",EMCALI!$D:$D,"&lt;&gt;"),"")</f>
        <v>0.158949511573959</v>
      </c>
      <c r="L8" s="19" t="n">
        <f aca="false">SUMIFS(EMCALI!$H:$H,EMCALI!$G:$G,"Entre turnos")</f>
        <v>3.66</v>
      </c>
    </row>
    <row r="9" customFormat="false" ht="15" hidden="false" customHeight="false" outlineLevel="0" collapsed="false">
      <c r="A9" s="11" t="s">
        <v>327</v>
      </c>
      <c r="B9" s="11" t="s">
        <v>328</v>
      </c>
      <c r="C9" s="11" t="s">
        <v>329</v>
      </c>
      <c r="D9" s="11" t="s">
        <v>330</v>
      </c>
      <c r="E9" s="31" t="n">
        <f aca="false">SUMIFS(EMCALI!$C:$C,EMCALI!$G:$G,"Sin turno")</f>
        <v>12402.6</v>
      </c>
      <c r="F9" s="31" t="n">
        <f aca="false">COUNTIFS(EMCALI!$G:$G,"Sin turno",EMCALI!$C:$C,"&lt;&gt;")</f>
        <v>240</v>
      </c>
      <c r="G9" s="19" t="n">
        <f aca="false">IF(F9=0,"",E9/F9)</f>
        <v>51.6775</v>
      </c>
      <c r="H9" s="31" t="n">
        <f aca="false">IF(F9=0,"",G9*24)</f>
        <v>1240.26</v>
      </c>
      <c r="I9" s="29" t="n">
        <f aca="false">IF(SUM($E$5:$E$9)=0,"",E9/SUM($E$5:$E$9))</f>
        <v>0.042065646910675</v>
      </c>
      <c r="J9" s="31" t="n">
        <f aca="false">SUMIFS(EMCALI!$D:$D,EMCALI!$G:$G,"Sin turno")</f>
        <v>4915.56</v>
      </c>
      <c r="K9" s="29" t="n">
        <f aca="false">IFERROR(J9/SUMIFS(EMCALI!$C:$C,EMCALI!$G:$G,"Sin turno",EMCALI!$D:$D,"&lt;&gt;"),"")</f>
        <v>0.396333026945963</v>
      </c>
      <c r="L9" s="19" t="n">
        <f aca="false">SUMIFS(EMCALI!$H:$H,EMCALI!$G:$G,"Sin turno")</f>
        <v>348.54</v>
      </c>
    </row>
    <row r="10" customFormat="false" ht="15" hidden="false" customHeight="false" outlineLevel="0" collapsed="false">
      <c r="A10" s="32" t="s">
        <v>294</v>
      </c>
      <c r="E10" s="33" t="n">
        <f aca="false">SUM(E5:E9)</f>
        <v>294839.16</v>
      </c>
      <c r="F10" s="33" t="n">
        <f aca="false">SUM(F5:F9)</f>
        <v>2007</v>
      </c>
      <c r="J10" s="33" t="n">
        <f aca="false">SUM(J5:J9)</f>
        <v>38273.88</v>
      </c>
      <c r="L10" s="28" t="n">
        <f aca="false">SUM(L5:L9)</f>
        <v>713.82</v>
      </c>
    </row>
    <row r="11" customFormat="false" ht="15" hidden="false" customHeight="false" outlineLevel="0" collapsed="false">
      <c r="A11" s="2" t="s">
        <v>331</v>
      </c>
    </row>
    <row r="13" customFormat="false" ht="15" hidden="false" customHeight="false" outlineLevel="0" collapsed="false">
      <c r="A13" s="34" t="s">
        <v>332</v>
      </c>
    </row>
    <row r="14" customFormat="false" ht="15" hidden="false" customHeight="false" outlineLevel="0" collapsed="false">
      <c r="A14" s="10" t="s">
        <v>39</v>
      </c>
      <c r="B14" s="10" t="s">
        <v>333</v>
      </c>
      <c r="C14" s="10" t="s">
        <v>312</v>
      </c>
      <c r="D14" s="10" t="s">
        <v>316</v>
      </c>
      <c r="E14" s="10" t="s">
        <v>319</v>
      </c>
      <c r="F14" s="10" t="s">
        <v>323</v>
      </c>
      <c r="G14" s="10" t="s">
        <v>327</v>
      </c>
      <c r="H14" s="10" t="s">
        <v>334</v>
      </c>
    </row>
    <row r="15" customFormat="false" ht="15" hidden="false" customHeight="false" outlineLevel="0" collapsed="false">
      <c r="A15" s="35" t="n">
        <v>46216</v>
      </c>
      <c r="B15" s="11" t="s">
        <v>335</v>
      </c>
      <c r="C15" s="31" t="n">
        <f aca="false">SUMIFS(EMCALI!$C:$C,EMCALI!$A:$A,$A15,EMCALI!$G:$G,"A")</f>
        <v>204.24</v>
      </c>
      <c r="D15" s="31" t="n">
        <f aca="false">SUMIFS(EMCALI!$C:$C,EMCALI!$A:$A,$A15,EMCALI!$G:$G,"B")</f>
        <v>379.2</v>
      </c>
      <c r="E15" s="31" t="n">
        <f aca="false">SUMIFS(EMCALI!$C:$C,EMCALI!$A:$A,$A15,EMCALI!$G:$G,"C")</f>
        <v>650.4</v>
      </c>
      <c r="F15" s="31" t="n">
        <f aca="false">SUMIFS(EMCALI!$C:$C,EMCALI!$A:$A,$A15,EMCALI!$G:$G,"Entre turnos")</f>
        <v>120.72</v>
      </c>
      <c r="G15" s="31" t="n">
        <f aca="false">SUMIFS(EMCALI!$C:$C,EMCALI!$A:$A,$A15,EMCALI!$G:$G,"Sin turno")</f>
        <v>0</v>
      </c>
      <c r="H15" s="33" t="n">
        <f aca="false">SUM(C15:G15)</f>
        <v>1354.56</v>
      </c>
    </row>
    <row r="16" customFormat="false" ht="15" hidden="false" customHeight="false" outlineLevel="0" collapsed="false">
      <c r="A16" s="35" t="n">
        <v>46217</v>
      </c>
      <c r="B16" s="11" t="s">
        <v>336</v>
      </c>
      <c r="C16" s="31" t="n">
        <f aca="false">SUMIFS(EMCALI!$C:$C,EMCALI!$A:$A,$A16,EMCALI!$G:$G,"A")</f>
        <v>1302.12</v>
      </c>
      <c r="D16" s="31" t="n">
        <f aca="false">SUMIFS(EMCALI!$C:$C,EMCALI!$A:$A,$A16,EMCALI!$G:$G,"B")</f>
        <v>1539.48</v>
      </c>
      <c r="E16" s="31" t="n">
        <f aca="false">SUMIFS(EMCALI!$C:$C,EMCALI!$A:$A,$A16,EMCALI!$G:$G,"C")</f>
        <v>1292.88</v>
      </c>
      <c r="F16" s="31" t="n">
        <f aca="false">SUMIFS(EMCALI!$C:$C,EMCALI!$A:$A,$A16,EMCALI!$G:$G,"Entre turnos")</f>
        <v>337.2</v>
      </c>
      <c r="G16" s="31" t="n">
        <f aca="false">SUMIFS(EMCALI!$C:$C,EMCALI!$A:$A,$A16,EMCALI!$G:$G,"Sin turno")</f>
        <v>0</v>
      </c>
      <c r="H16" s="33" t="n">
        <f aca="false">SUM(C16:G16)</f>
        <v>4471.68</v>
      </c>
    </row>
    <row r="17" customFormat="false" ht="15" hidden="false" customHeight="false" outlineLevel="0" collapsed="false">
      <c r="A17" s="35" t="n">
        <v>46218</v>
      </c>
      <c r="B17" s="11" t="s">
        <v>337</v>
      </c>
      <c r="C17" s="31" t="n">
        <f aca="false">SUMIFS(EMCALI!$C:$C,EMCALI!$A:$A,$A17,EMCALI!$G:$G,"A")</f>
        <v>1144.2</v>
      </c>
      <c r="D17" s="31" t="n">
        <f aca="false">SUMIFS(EMCALI!$C:$C,EMCALI!$A:$A,$A17,EMCALI!$G:$G,"B")</f>
        <v>1565.52</v>
      </c>
      <c r="E17" s="31" t="n">
        <f aca="false">SUMIFS(EMCALI!$C:$C,EMCALI!$A:$A,$A17,EMCALI!$G:$G,"C")</f>
        <v>1183.32</v>
      </c>
      <c r="F17" s="31" t="n">
        <f aca="false">SUMIFS(EMCALI!$C:$C,EMCALI!$A:$A,$A17,EMCALI!$G:$G,"Entre turnos")</f>
        <v>344.04</v>
      </c>
      <c r="G17" s="31" t="n">
        <f aca="false">SUMIFS(EMCALI!$C:$C,EMCALI!$A:$A,$A17,EMCALI!$G:$G,"Sin turno")</f>
        <v>0</v>
      </c>
      <c r="H17" s="33" t="n">
        <f aca="false">SUM(C17:G17)</f>
        <v>4237.08</v>
      </c>
    </row>
    <row r="18" customFormat="false" ht="15" hidden="false" customHeight="false" outlineLevel="0" collapsed="false">
      <c r="A18" s="35" t="n">
        <v>46219</v>
      </c>
      <c r="B18" s="11" t="s">
        <v>338</v>
      </c>
      <c r="C18" s="31" t="n">
        <f aca="false">SUMIFS(EMCALI!$C:$C,EMCALI!$A:$A,$A18,EMCALI!$G:$G,"A")</f>
        <v>1250.76</v>
      </c>
      <c r="D18" s="31" t="n">
        <f aca="false">SUMIFS(EMCALI!$C:$C,EMCALI!$A:$A,$A18,EMCALI!$G:$G,"B")</f>
        <v>1523.28</v>
      </c>
      <c r="E18" s="31" t="n">
        <f aca="false">SUMIFS(EMCALI!$C:$C,EMCALI!$A:$A,$A18,EMCALI!$G:$G,"C")</f>
        <v>1224.12</v>
      </c>
      <c r="F18" s="31" t="n">
        <f aca="false">SUMIFS(EMCALI!$C:$C,EMCALI!$A:$A,$A18,EMCALI!$G:$G,"Entre turnos")</f>
        <v>315.12</v>
      </c>
      <c r="G18" s="31" t="n">
        <f aca="false">SUMIFS(EMCALI!$C:$C,EMCALI!$A:$A,$A18,EMCALI!$G:$G,"Sin turno")</f>
        <v>0</v>
      </c>
      <c r="H18" s="33" t="n">
        <f aca="false">SUM(C18:G18)</f>
        <v>4313.28</v>
      </c>
    </row>
    <row r="19" customFormat="false" ht="15" hidden="false" customHeight="false" outlineLevel="0" collapsed="false">
      <c r="A19" s="35" t="n">
        <v>46220</v>
      </c>
      <c r="B19" s="11" t="s">
        <v>339</v>
      </c>
      <c r="C19" s="31" t="n">
        <f aca="false">SUMIFS(EMCALI!$C:$C,EMCALI!$A:$A,$A19,EMCALI!$G:$G,"A")</f>
        <v>1248</v>
      </c>
      <c r="D19" s="31" t="n">
        <f aca="false">SUMIFS(EMCALI!$C:$C,EMCALI!$A:$A,$A19,EMCALI!$G:$G,"B")</f>
        <v>1333.92</v>
      </c>
      <c r="E19" s="31" t="n">
        <f aca="false">SUMIFS(EMCALI!$C:$C,EMCALI!$A:$A,$A19,EMCALI!$G:$G,"C")</f>
        <v>1129.32</v>
      </c>
      <c r="F19" s="31" t="n">
        <f aca="false">SUMIFS(EMCALI!$C:$C,EMCALI!$A:$A,$A19,EMCALI!$G:$G,"Entre turnos")</f>
        <v>306</v>
      </c>
      <c r="G19" s="31" t="n">
        <f aca="false">SUMIFS(EMCALI!$C:$C,EMCALI!$A:$A,$A19,EMCALI!$G:$G,"Sin turno")</f>
        <v>0</v>
      </c>
      <c r="H19" s="33" t="n">
        <f aca="false">SUM(C19:G19)</f>
        <v>4017.24</v>
      </c>
    </row>
    <row r="20" customFormat="false" ht="15" hidden="false" customHeight="false" outlineLevel="0" collapsed="false">
      <c r="A20" s="35" t="n">
        <v>46223</v>
      </c>
      <c r="B20" s="11" t="s">
        <v>335</v>
      </c>
      <c r="C20" s="31" t="n">
        <f aca="false">SUMIFS(EMCALI!$C:$C,EMCALI!$A:$A,$A20,EMCALI!$G:$G,"A")</f>
        <v>264.6</v>
      </c>
      <c r="D20" s="31" t="n">
        <f aca="false">SUMIFS(EMCALI!$C:$C,EMCALI!$A:$A,$A20,EMCALI!$G:$G,"B")</f>
        <v>569.76</v>
      </c>
      <c r="E20" s="31" t="n">
        <f aca="false">SUMIFS(EMCALI!$C:$C,EMCALI!$A:$A,$A20,EMCALI!$G:$G,"C")</f>
        <v>574.92</v>
      </c>
      <c r="F20" s="31" t="n">
        <f aca="false">SUMIFS(EMCALI!$C:$C,EMCALI!$A:$A,$A20,EMCALI!$G:$G,"Entre turnos")</f>
        <v>161.28</v>
      </c>
      <c r="G20" s="31" t="n">
        <f aca="false">SUMIFS(EMCALI!$C:$C,EMCALI!$A:$A,$A20,EMCALI!$G:$G,"Sin turno")</f>
        <v>0</v>
      </c>
      <c r="H20" s="33" t="n">
        <f aca="false">SUM(C20:G20)</f>
        <v>1570.56</v>
      </c>
    </row>
    <row r="21" customFormat="false" ht="15" hidden="false" customHeight="false" outlineLevel="0" collapsed="false">
      <c r="A21" s="35" t="n">
        <v>46224</v>
      </c>
      <c r="B21" s="11" t="s">
        <v>336</v>
      </c>
      <c r="C21" s="31" t="n">
        <f aca="false">SUMIFS(EMCALI!$C:$C,EMCALI!$A:$A,$A21,EMCALI!$G:$G,"A")</f>
        <v>1540.2</v>
      </c>
      <c r="D21" s="31" t="n">
        <f aca="false">SUMIFS(EMCALI!$C:$C,EMCALI!$A:$A,$A21,EMCALI!$G:$G,"B")</f>
        <v>1366.2</v>
      </c>
      <c r="E21" s="31" t="n">
        <f aca="false">SUMIFS(EMCALI!$C:$C,EMCALI!$A:$A,$A21,EMCALI!$G:$G,"C")</f>
        <v>1026</v>
      </c>
      <c r="F21" s="31" t="n">
        <f aca="false">SUMIFS(EMCALI!$C:$C,EMCALI!$A:$A,$A21,EMCALI!$G:$G,"Entre turnos")</f>
        <v>245.64</v>
      </c>
      <c r="G21" s="31" t="n">
        <f aca="false">SUMIFS(EMCALI!$C:$C,EMCALI!$A:$A,$A21,EMCALI!$G:$G,"Sin turno")</f>
        <v>0</v>
      </c>
      <c r="H21" s="33" t="n">
        <f aca="false">SUM(C21:G21)</f>
        <v>4178.04</v>
      </c>
    </row>
    <row r="22" customFormat="false" ht="15" hidden="false" customHeight="false" outlineLevel="0" collapsed="false">
      <c r="A22" s="35" t="n">
        <v>46225</v>
      </c>
      <c r="B22" s="11" t="s">
        <v>337</v>
      </c>
      <c r="C22" s="31" t="n">
        <f aca="false">SUMIFS(EMCALI!$C:$C,EMCALI!$A:$A,$A22,EMCALI!$G:$G,"A")</f>
        <v>1628.76</v>
      </c>
      <c r="D22" s="31" t="n">
        <f aca="false">SUMIFS(EMCALI!$C:$C,EMCALI!$A:$A,$A22,EMCALI!$G:$G,"B")</f>
        <v>1365.24</v>
      </c>
      <c r="E22" s="31" t="n">
        <f aca="false">SUMIFS(EMCALI!$C:$C,EMCALI!$A:$A,$A22,EMCALI!$G:$G,"C")</f>
        <v>1120.92</v>
      </c>
      <c r="F22" s="31" t="n">
        <f aca="false">SUMIFS(EMCALI!$C:$C,EMCALI!$A:$A,$A22,EMCALI!$G:$G,"Entre turnos")</f>
        <v>241.56</v>
      </c>
      <c r="G22" s="31" t="n">
        <f aca="false">SUMIFS(EMCALI!$C:$C,EMCALI!$A:$A,$A22,EMCALI!$G:$G,"Sin turno")</f>
        <v>0</v>
      </c>
      <c r="H22" s="33" t="n">
        <f aca="false">SUM(C22:G22)</f>
        <v>4356.48</v>
      </c>
    </row>
    <row r="23" customFormat="false" ht="15" hidden="false" customHeight="false" outlineLevel="0" collapsed="false">
      <c r="A23" s="35" t="n">
        <v>46226</v>
      </c>
      <c r="B23" s="11" t="s">
        <v>338</v>
      </c>
      <c r="C23" s="31" t="n">
        <f aca="false">SUMIFS(EMCALI!$C:$C,EMCALI!$A:$A,$A23,EMCALI!$G:$G,"A")</f>
        <v>1685.04</v>
      </c>
      <c r="D23" s="31" t="n">
        <f aca="false">SUMIFS(EMCALI!$C:$C,EMCALI!$A:$A,$A23,EMCALI!$G:$G,"B")</f>
        <v>1442.04</v>
      </c>
      <c r="E23" s="31" t="n">
        <f aca="false">SUMIFS(EMCALI!$C:$C,EMCALI!$A:$A,$A23,EMCALI!$G:$G,"C")</f>
        <v>1112.52</v>
      </c>
      <c r="F23" s="31" t="n">
        <f aca="false">SUMIFS(EMCALI!$C:$C,EMCALI!$A:$A,$A23,EMCALI!$G:$G,"Entre turnos")</f>
        <v>230.52</v>
      </c>
      <c r="G23" s="31" t="n">
        <f aca="false">SUMIFS(EMCALI!$C:$C,EMCALI!$A:$A,$A23,EMCALI!$G:$G,"Sin turno")</f>
        <v>0</v>
      </c>
      <c r="H23" s="33" t="n">
        <f aca="false">SUM(C23:G23)</f>
        <v>4470.12</v>
      </c>
    </row>
    <row r="24" customFormat="false" ht="15" hidden="false" customHeight="false" outlineLevel="0" collapsed="false">
      <c r="A24" s="35" t="n">
        <v>46227</v>
      </c>
      <c r="B24" s="11" t="s">
        <v>339</v>
      </c>
      <c r="C24" s="31" t="n">
        <f aca="false">SUMIFS(EMCALI!$C:$C,EMCALI!$A:$A,$A24,EMCALI!$G:$G,"A")</f>
        <v>1495.56</v>
      </c>
      <c r="D24" s="31" t="n">
        <f aca="false">SUMIFS(EMCALI!$C:$C,EMCALI!$A:$A,$A24,EMCALI!$G:$G,"B")</f>
        <v>1267.68</v>
      </c>
      <c r="E24" s="31" t="n">
        <f aca="false">SUMIFS(EMCALI!$C:$C,EMCALI!$A:$A,$A24,EMCALI!$G:$G,"C")</f>
        <v>1008.36</v>
      </c>
      <c r="F24" s="31" t="n">
        <f aca="false">SUMIFS(EMCALI!$C:$C,EMCALI!$A:$A,$A24,EMCALI!$G:$G,"Entre turnos")</f>
        <v>193.2</v>
      </c>
      <c r="G24" s="31" t="n">
        <f aca="false">SUMIFS(EMCALI!$C:$C,EMCALI!$A:$A,$A24,EMCALI!$G:$G,"Sin turno")</f>
        <v>0</v>
      </c>
      <c r="H24" s="33" t="n">
        <f aca="false">SUM(C24:G24)</f>
        <v>3964.8</v>
      </c>
    </row>
    <row r="25" customFormat="false" ht="15" hidden="false" customHeight="false" outlineLevel="0" collapsed="false">
      <c r="A25" s="35" t="n">
        <v>46230</v>
      </c>
      <c r="B25" s="11" t="s">
        <v>335</v>
      </c>
      <c r="C25" s="31" t="n">
        <f aca="false">SUMIFS(EMCALI!$C:$C,EMCALI!$A:$A,$A25,EMCALI!$G:$G,"A")</f>
        <v>1446.72</v>
      </c>
      <c r="D25" s="31" t="n">
        <f aca="false">SUMIFS(EMCALI!$C:$C,EMCALI!$A:$A,$A25,EMCALI!$G:$G,"B")</f>
        <v>1367.88</v>
      </c>
      <c r="E25" s="31" t="n">
        <f aca="false">SUMIFS(EMCALI!$C:$C,EMCALI!$A:$A,$A25,EMCALI!$G:$G,"C")</f>
        <v>965.52</v>
      </c>
      <c r="F25" s="31" t="n">
        <f aca="false">SUMIFS(EMCALI!$C:$C,EMCALI!$A:$A,$A25,EMCALI!$G:$G,"Entre turnos")</f>
        <v>285.36</v>
      </c>
      <c r="G25" s="31" t="n">
        <f aca="false">SUMIFS(EMCALI!$C:$C,EMCALI!$A:$A,$A25,EMCALI!$G:$G,"Sin turno")</f>
        <v>0</v>
      </c>
      <c r="H25" s="33" t="n">
        <f aca="false">SUM(C25:G25)</f>
        <v>4065.48</v>
      </c>
    </row>
    <row r="26" customFormat="false" ht="15" hidden="false" customHeight="false" outlineLevel="0" collapsed="false">
      <c r="A26" s="35" t="n">
        <v>46231</v>
      </c>
      <c r="B26" s="11" t="s">
        <v>336</v>
      </c>
      <c r="C26" s="31" t="n">
        <f aca="false">SUMIFS(EMCALI!$C:$C,EMCALI!$A:$A,$A26,EMCALI!$G:$G,"A")</f>
        <v>1326</v>
      </c>
      <c r="D26" s="31" t="n">
        <f aca="false">SUMIFS(EMCALI!$C:$C,EMCALI!$A:$A,$A26,EMCALI!$G:$G,"B")</f>
        <v>1426.56</v>
      </c>
      <c r="E26" s="31" t="n">
        <f aca="false">SUMIFS(EMCALI!$C:$C,EMCALI!$A:$A,$A26,EMCALI!$G:$G,"C")</f>
        <v>943.92</v>
      </c>
      <c r="F26" s="31" t="n">
        <f aca="false">SUMIFS(EMCALI!$C:$C,EMCALI!$A:$A,$A26,EMCALI!$G:$G,"Entre turnos")</f>
        <v>270.72</v>
      </c>
      <c r="G26" s="31" t="n">
        <f aca="false">SUMIFS(EMCALI!$C:$C,EMCALI!$A:$A,$A26,EMCALI!$G:$G,"Sin turno")</f>
        <v>0</v>
      </c>
      <c r="H26" s="33" t="n">
        <f aca="false">SUM(C26:G26)</f>
        <v>3967.2</v>
      </c>
    </row>
    <row r="27" customFormat="false" ht="15" hidden="false" customHeight="false" outlineLevel="0" collapsed="false">
      <c r="A27" s="35" t="n">
        <v>46232</v>
      </c>
      <c r="B27" s="11" t="s">
        <v>337</v>
      </c>
      <c r="C27" s="31" t="n">
        <f aca="false">SUMIFS(EMCALI!$C:$C,EMCALI!$A:$A,$A27,EMCALI!$G:$G,"A")</f>
        <v>1396.56</v>
      </c>
      <c r="D27" s="31" t="n">
        <f aca="false">SUMIFS(EMCALI!$C:$C,EMCALI!$A:$A,$A27,EMCALI!$G:$G,"B")</f>
        <v>1433.88</v>
      </c>
      <c r="E27" s="31" t="n">
        <f aca="false">SUMIFS(EMCALI!$C:$C,EMCALI!$A:$A,$A27,EMCALI!$G:$G,"C")</f>
        <v>908.88</v>
      </c>
      <c r="F27" s="31" t="n">
        <f aca="false">SUMIFS(EMCALI!$C:$C,EMCALI!$A:$A,$A27,EMCALI!$G:$G,"Entre turnos")</f>
        <v>275.04</v>
      </c>
      <c r="G27" s="31" t="n">
        <f aca="false">SUMIFS(EMCALI!$C:$C,EMCALI!$A:$A,$A27,EMCALI!$G:$G,"Sin turno")</f>
        <v>0</v>
      </c>
      <c r="H27" s="33" t="n">
        <f aca="false">SUM(C27:G27)</f>
        <v>4014.36</v>
      </c>
    </row>
    <row r="28" customFormat="false" ht="15" hidden="false" customHeight="false" outlineLevel="0" collapsed="false">
      <c r="A28" s="35" t="n">
        <v>46233</v>
      </c>
      <c r="B28" s="11" t="s">
        <v>338</v>
      </c>
      <c r="C28" s="31" t="n">
        <f aca="false">SUMIFS(EMCALI!$C:$C,EMCALI!$A:$A,$A28,EMCALI!$G:$G,"A")</f>
        <v>1326.72</v>
      </c>
      <c r="D28" s="31" t="n">
        <f aca="false">SUMIFS(EMCALI!$C:$C,EMCALI!$A:$A,$A28,EMCALI!$G:$G,"B")</f>
        <v>188.04</v>
      </c>
      <c r="E28" s="31" t="n">
        <f aca="false">SUMIFS(EMCALI!$C:$C,EMCALI!$A:$A,$A28,EMCALI!$G:$G,"C")</f>
        <v>852.36</v>
      </c>
      <c r="F28" s="31" t="n">
        <f aca="false">SUMIFS(EMCALI!$C:$C,EMCALI!$A:$A,$A28,EMCALI!$G:$G,"Entre turnos")</f>
        <v>0</v>
      </c>
      <c r="G28" s="31" t="n">
        <f aca="false">SUMIFS(EMCALI!$C:$C,EMCALI!$A:$A,$A28,EMCALI!$G:$G,"Sin turno")</f>
        <v>0</v>
      </c>
      <c r="H28" s="33" t="n">
        <f aca="false">SUM(C28:G28)</f>
        <v>2367.12</v>
      </c>
    </row>
    <row r="29" customFormat="false" ht="15" hidden="false" customHeight="false" outlineLevel="0" collapsed="false">
      <c r="A29" s="35" t="n">
        <v>46235</v>
      </c>
      <c r="B29" s="11" t="s">
        <v>340</v>
      </c>
      <c r="C29" s="31" t="n">
        <f aca="false">SUMIFS(EMCALI!$C:$C,EMCALI!$A:$A,$A29,EMCALI!$G:$G,"A")</f>
        <v>737.4</v>
      </c>
      <c r="D29" s="31" t="n">
        <f aca="false">SUMIFS(EMCALI!$C:$C,EMCALI!$A:$A,$A29,EMCALI!$G:$G,"B")</f>
        <v>979.92</v>
      </c>
      <c r="E29" s="31" t="n">
        <f aca="false">SUMIFS(EMCALI!$C:$C,EMCALI!$A:$A,$A29,EMCALI!$G:$G,"C")</f>
        <v>757.2</v>
      </c>
      <c r="F29" s="31" t="n">
        <f aca="false">SUMIFS(EMCALI!$C:$C,EMCALI!$A:$A,$A29,EMCALI!$G:$G,"Entre turnos")</f>
        <v>210.6</v>
      </c>
      <c r="G29" s="31" t="n">
        <f aca="false">SUMIFS(EMCALI!$C:$C,EMCALI!$A:$A,$A29,EMCALI!$G:$G,"Sin turno")</f>
        <v>82.08</v>
      </c>
      <c r="H29" s="33" t="n">
        <f aca="false">SUM(C29:G29)</f>
        <v>2767.2</v>
      </c>
    </row>
    <row r="30" customFormat="false" ht="15" hidden="false" customHeight="false" outlineLevel="0" collapsed="false">
      <c r="A30" s="35" t="n">
        <v>46236</v>
      </c>
      <c r="B30" s="11" t="s">
        <v>341</v>
      </c>
      <c r="C30" s="31" t="n">
        <f aca="false">SUMIFS(EMCALI!$C:$C,EMCALI!$A:$A,$A30,EMCALI!$G:$G,"A")</f>
        <v>0</v>
      </c>
      <c r="D30" s="31" t="n">
        <f aca="false">SUMIFS(EMCALI!$C:$C,EMCALI!$A:$A,$A30,EMCALI!$G:$G,"B")</f>
        <v>0</v>
      </c>
      <c r="E30" s="31" t="n">
        <f aca="false">SUMIFS(EMCALI!$C:$C,EMCALI!$A:$A,$A30,EMCALI!$G:$G,"C")</f>
        <v>93.48</v>
      </c>
      <c r="F30" s="31" t="n">
        <f aca="false">SUMIFS(EMCALI!$C:$C,EMCALI!$A:$A,$A30,EMCALI!$G:$G,"Entre turnos")</f>
        <v>0</v>
      </c>
      <c r="G30" s="31" t="n">
        <f aca="false">SUMIFS(EMCALI!$C:$C,EMCALI!$A:$A,$A30,EMCALI!$G:$G,"Sin turno")</f>
        <v>1222.92</v>
      </c>
      <c r="H30" s="33" t="n">
        <f aca="false">SUM(C30:G30)</f>
        <v>1316.4</v>
      </c>
    </row>
    <row r="31" customFormat="false" ht="15" hidden="false" customHeight="false" outlineLevel="0" collapsed="false">
      <c r="A31" s="35" t="n">
        <v>46237</v>
      </c>
      <c r="B31" s="11" t="s">
        <v>335</v>
      </c>
      <c r="C31" s="31" t="n">
        <f aca="false">SUMIFS(EMCALI!$C:$C,EMCALI!$A:$A,$A31,EMCALI!$G:$G,"A")</f>
        <v>1624.32</v>
      </c>
      <c r="D31" s="31" t="n">
        <f aca="false">SUMIFS(EMCALI!$C:$C,EMCALI!$A:$A,$A31,EMCALI!$G:$G,"B")</f>
        <v>1312.32</v>
      </c>
      <c r="E31" s="31" t="n">
        <f aca="false">SUMIFS(EMCALI!$C:$C,EMCALI!$A:$A,$A31,EMCALI!$G:$G,"C")</f>
        <v>980.52</v>
      </c>
      <c r="F31" s="31" t="n">
        <f aca="false">SUMIFS(EMCALI!$C:$C,EMCALI!$A:$A,$A31,EMCALI!$G:$G,"Entre turnos")</f>
        <v>234.6</v>
      </c>
      <c r="G31" s="31" t="n">
        <f aca="false">SUMIFS(EMCALI!$C:$C,EMCALI!$A:$A,$A31,EMCALI!$G:$G,"Sin turno")</f>
        <v>0</v>
      </c>
      <c r="H31" s="33" t="n">
        <f aca="false">SUM(C31:G31)</f>
        <v>4151.76</v>
      </c>
    </row>
    <row r="32" customFormat="false" ht="15" hidden="false" customHeight="false" outlineLevel="0" collapsed="false">
      <c r="A32" s="35" t="n">
        <v>46238</v>
      </c>
      <c r="B32" s="11" t="s">
        <v>336</v>
      </c>
      <c r="C32" s="31" t="n">
        <f aca="false">SUMIFS(EMCALI!$C:$C,EMCALI!$A:$A,$A32,EMCALI!$G:$G,"A")</f>
        <v>1398.6</v>
      </c>
      <c r="D32" s="31" t="n">
        <f aca="false">SUMIFS(EMCALI!$C:$C,EMCALI!$A:$A,$A32,EMCALI!$G:$G,"B")</f>
        <v>1429.2</v>
      </c>
      <c r="E32" s="31" t="n">
        <f aca="false">SUMIFS(EMCALI!$C:$C,EMCALI!$A:$A,$A32,EMCALI!$G:$G,"C")</f>
        <v>911.04</v>
      </c>
      <c r="F32" s="31" t="n">
        <f aca="false">SUMIFS(EMCALI!$C:$C,EMCALI!$A:$A,$A32,EMCALI!$G:$G,"Entre turnos")</f>
        <v>261.24</v>
      </c>
      <c r="G32" s="31" t="n">
        <f aca="false">SUMIFS(EMCALI!$C:$C,EMCALI!$A:$A,$A32,EMCALI!$G:$G,"Sin turno")</f>
        <v>0</v>
      </c>
      <c r="H32" s="33" t="n">
        <f aca="false">SUM(C32:G32)</f>
        <v>4000.08</v>
      </c>
    </row>
    <row r="33" customFormat="false" ht="15" hidden="false" customHeight="false" outlineLevel="0" collapsed="false">
      <c r="A33" s="35" t="n">
        <v>46239</v>
      </c>
      <c r="B33" s="11" t="s">
        <v>337</v>
      </c>
      <c r="C33" s="31" t="n">
        <f aca="false">SUMIFS(EMCALI!$C:$C,EMCALI!$A:$A,$A33,EMCALI!$G:$G,"A")</f>
        <v>1721.16</v>
      </c>
      <c r="D33" s="31" t="n">
        <f aca="false">SUMIFS(EMCALI!$C:$C,EMCALI!$A:$A,$A33,EMCALI!$G:$G,"B")</f>
        <v>1403.88</v>
      </c>
      <c r="E33" s="31" t="n">
        <f aca="false">SUMIFS(EMCALI!$C:$C,EMCALI!$A:$A,$A33,EMCALI!$G:$G,"C")</f>
        <v>967.2</v>
      </c>
      <c r="F33" s="31" t="n">
        <f aca="false">SUMIFS(EMCALI!$C:$C,EMCALI!$A:$A,$A33,EMCALI!$G:$G,"Entre turnos")</f>
        <v>257.4</v>
      </c>
      <c r="G33" s="31" t="n">
        <f aca="false">SUMIFS(EMCALI!$C:$C,EMCALI!$A:$A,$A33,EMCALI!$G:$G,"Sin turno")</f>
        <v>0</v>
      </c>
      <c r="H33" s="33" t="n">
        <f aca="false">SUM(C33:G33)</f>
        <v>4349.64</v>
      </c>
    </row>
    <row r="34" customFormat="false" ht="15" hidden="false" customHeight="false" outlineLevel="0" collapsed="false">
      <c r="A34" s="35" t="n">
        <v>46240</v>
      </c>
      <c r="B34" s="11" t="s">
        <v>338</v>
      </c>
      <c r="C34" s="31" t="n">
        <f aca="false">SUMIFS(EMCALI!$C:$C,EMCALI!$A:$A,$A34,EMCALI!$G:$G,"A")</f>
        <v>1639.92</v>
      </c>
      <c r="D34" s="31" t="n">
        <f aca="false">SUMIFS(EMCALI!$C:$C,EMCALI!$A:$A,$A34,EMCALI!$G:$G,"B")</f>
        <v>1224.84</v>
      </c>
      <c r="E34" s="31" t="n">
        <f aca="false">SUMIFS(EMCALI!$C:$C,EMCALI!$A:$A,$A34,EMCALI!$G:$G,"C")</f>
        <v>838.08</v>
      </c>
      <c r="F34" s="31" t="n">
        <f aca="false">SUMIFS(EMCALI!$C:$C,EMCALI!$A:$A,$A34,EMCALI!$G:$G,"Entre turnos")</f>
        <v>136.2</v>
      </c>
      <c r="G34" s="31" t="n">
        <f aca="false">SUMIFS(EMCALI!$C:$C,EMCALI!$A:$A,$A34,EMCALI!$G:$G,"Sin turno")</f>
        <v>0</v>
      </c>
      <c r="H34" s="33" t="n">
        <f aca="false">SUM(C34:G34)</f>
        <v>3839.04</v>
      </c>
    </row>
    <row r="35" customFormat="false" ht="15" hidden="false" customHeight="false" outlineLevel="0" collapsed="false">
      <c r="A35" s="35" t="n">
        <v>46241</v>
      </c>
      <c r="B35" s="11" t="s">
        <v>339</v>
      </c>
      <c r="C35" s="31" t="n">
        <f aca="false">SUMIFS(EMCALI!$C:$C,EMCALI!$A:$A,$A35,EMCALI!$G:$G,"A")</f>
        <v>25.92</v>
      </c>
      <c r="D35" s="31" t="n">
        <f aca="false">SUMIFS(EMCALI!$C:$C,EMCALI!$A:$A,$A35,EMCALI!$G:$G,"B")</f>
        <v>269.16</v>
      </c>
      <c r="E35" s="31" t="n">
        <f aca="false">SUMIFS(EMCALI!$C:$C,EMCALI!$A:$A,$A35,EMCALI!$G:$G,"C")</f>
        <v>375</v>
      </c>
      <c r="F35" s="31" t="n">
        <f aca="false">SUMIFS(EMCALI!$C:$C,EMCALI!$A:$A,$A35,EMCALI!$G:$G,"Entre turnos")</f>
        <v>102.96</v>
      </c>
      <c r="G35" s="31" t="n">
        <f aca="false">SUMIFS(EMCALI!$C:$C,EMCALI!$A:$A,$A35,EMCALI!$G:$G,"Sin turno")</f>
        <v>0</v>
      </c>
      <c r="H35" s="33" t="n">
        <f aca="false">SUM(C35:G35)</f>
        <v>773.04</v>
      </c>
    </row>
    <row r="36" customFormat="false" ht="15" hidden="false" customHeight="false" outlineLevel="0" collapsed="false">
      <c r="A36" s="35" t="n">
        <v>46242</v>
      </c>
      <c r="B36" s="11" t="s">
        <v>340</v>
      </c>
      <c r="C36" s="31" t="n">
        <f aca="false">SUMIFS(EMCALI!$C:$C,EMCALI!$A:$A,$A36,EMCALI!$G:$G,"A")</f>
        <v>1081.68</v>
      </c>
      <c r="D36" s="31" t="n">
        <f aca="false">SUMIFS(EMCALI!$C:$C,EMCALI!$A:$A,$A36,EMCALI!$G:$G,"B")</f>
        <v>1049.64</v>
      </c>
      <c r="E36" s="31" t="n">
        <f aca="false">SUMIFS(EMCALI!$C:$C,EMCALI!$A:$A,$A36,EMCALI!$G:$G,"C")</f>
        <v>723.12</v>
      </c>
      <c r="F36" s="31" t="n">
        <f aca="false">SUMIFS(EMCALI!$C:$C,EMCALI!$A:$A,$A36,EMCALI!$G:$G,"Entre turnos")</f>
        <v>161.16</v>
      </c>
      <c r="G36" s="31" t="n">
        <f aca="false">SUMIFS(EMCALI!$C:$C,EMCALI!$A:$A,$A36,EMCALI!$G:$G,"Sin turno")</f>
        <v>59.04</v>
      </c>
      <c r="H36" s="33" t="n">
        <f aca="false">SUM(C36:G36)</f>
        <v>3074.64</v>
      </c>
    </row>
    <row r="37" customFormat="false" ht="15" hidden="false" customHeight="false" outlineLevel="0" collapsed="false">
      <c r="A37" s="35" t="n">
        <v>46243</v>
      </c>
      <c r="B37" s="11" t="s">
        <v>341</v>
      </c>
      <c r="C37" s="31" t="n">
        <f aca="false">SUMIFS(EMCALI!$C:$C,EMCALI!$A:$A,$A37,EMCALI!$G:$G,"A")</f>
        <v>0</v>
      </c>
      <c r="D37" s="31" t="n">
        <f aca="false">SUMIFS(EMCALI!$C:$C,EMCALI!$A:$A,$A37,EMCALI!$G:$G,"B")</f>
        <v>0</v>
      </c>
      <c r="E37" s="31" t="n">
        <f aca="false">SUMIFS(EMCALI!$C:$C,EMCALI!$A:$A,$A37,EMCALI!$G:$G,"C")</f>
        <v>79.08</v>
      </c>
      <c r="F37" s="31" t="n">
        <f aca="false">SUMIFS(EMCALI!$C:$C,EMCALI!$A:$A,$A37,EMCALI!$G:$G,"Entre turnos")</f>
        <v>0</v>
      </c>
      <c r="G37" s="31" t="n">
        <f aca="false">SUMIFS(EMCALI!$C:$C,EMCALI!$A:$A,$A37,EMCALI!$G:$G,"Sin turno")</f>
        <v>790.56</v>
      </c>
      <c r="H37" s="33" t="n">
        <f aca="false">SUM(C37:G37)</f>
        <v>869.64</v>
      </c>
    </row>
    <row r="38" customFormat="false" ht="15" hidden="false" customHeight="false" outlineLevel="0" collapsed="false">
      <c r="A38" s="35" t="n">
        <v>46244</v>
      </c>
      <c r="B38" s="11" t="s">
        <v>335</v>
      </c>
      <c r="C38" s="31" t="n">
        <f aca="false">SUMIFS(EMCALI!$C:$C,EMCALI!$A:$A,$A38,EMCALI!$G:$G,"A")</f>
        <v>783.72</v>
      </c>
      <c r="D38" s="31" t="n">
        <f aca="false">SUMIFS(EMCALI!$C:$C,EMCALI!$A:$A,$A38,EMCALI!$G:$G,"B")</f>
        <v>502.32</v>
      </c>
      <c r="E38" s="31" t="n">
        <f aca="false">SUMIFS(EMCALI!$C:$C,EMCALI!$A:$A,$A38,EMCALI!$G:$G,"C")</f>
        <v>788.88</v>
      </c>
      <c r="F38" s="31" t="n">
        <f aca="false">SUMIFS(EMCALI!$C:$C,EMCALI!$A:$A,$A38,EMCALI!$G:$G,"Entre turnos")</f>
        <v>108.6</v>
      </c>
      <c r="G38" s="31" t="n">
        <f aca="false">SUMIFS(EMCALI!$C:$C,EMCALI!$A:$A,$A38,EMCALI!$G:$G,"Sin turno")</f>
        <v>0</v>
      </c>
      <c r="H38" s="33" t="n">
        <f aca="false">SUM(C38:G38)</f>
        <v>2183.52</v>
      </c>
    </row>
    <row r="39" customFormat="false" ht="15" hidden="false" customHeight="false" outlineLevel="0" collapsed="false">
      <c r="A39" s="35" t="n">
        <v>46245</v>
      </c>
      <c r="B39" s="11" t="s">
        <v>336</v>
      </c>
      <c r="C39" s="31" t="n">
        <f aca="false">SUMIFS(EMCALI!$C:$C,EMCALI!$A:$A,$A39,EMCALI!$G:$G,"A")</f>
        <v>664.44</v>
      </c>
      <c r="D39" s="31" t="n">
        <f aca="false">SUMIFS(EMCALI!$C:$C,EMCALI!$A:$A,$A39,EMCALI!$G:$G,"B")</f>
        <v>459</v>
      </c>
      <c r="E39" s="31" t="n">
        <f aca="false">SUMIFS(EMCALI!$C:$C,EMCALI!$A:$A,$A39,EMCALI!$G:$G,"C")</f>
        <v>407.88</v>
      </c>
      <c r="F39" s="31" t="n">
        <f aca="false">SUMIFS(EMCALI!$C:$C,EMCALI!$A:$A,$A39,EMCALI!$G:$G,"Entre turnos")</f>
        <v>86.04</v>
      </c>
      <c r="G39" s="31" t="n">
        <f aca="false">SUMIFS(EMCALI!$C:$C,EMCALI!$A:$A,$A39,EMCALI!$G:$G,"Sin turno")</f>
        <v>0</v>
      </c>
      <c r="H39" s="33" t="n">
        <f aca="false">SUM(C39:G39)</f>
        <v>1617.36</v>
      </c>
    </row>
    <row r="40" customFormat="false" ht="15" hidden="false" customHeight="false" outlineLevel="0" collapsed="false">
      <c r="A40" s="35" t="n">
        <v>46246</v>
      </c>
      <c r="B40" s="11" t="s">
        <v>337</v>
      </c>
      <c r="C40" s="31" t="n">
        <f aca="false">SUMIFS(EMCALI!$C:$C,EMCALI!$A:$A,$A40,EMCALI!$G:$G,"A")</f>
        <v>659.76</v>
      </c>
      <c r="D40" s="31" t="n">
        <f aca="false">SUMIFS(EMCALI!$C:$C,EMCALI!$A:$A,$A40,EMCALI!$G:$G,"B")</f>
        <v>515.88</v>
      </c>
      <c r="E40" s="31" t="n">
        <f aca="false">SUMIFS(EMCALI!$C:$C,EMCALI!$A:$A,$A40,EMCALI!$G:$G,"C")</f>
        <v>333.48</v>
      </c>
      <c r="F40" s="31" t="n">
        <f aca="false">SUMIFS(EMCALI!$C:$C,EMCALI!$A:$A,$A40,EMCALI!$G:$G,"Entre turnos")</f>
        <v>100.08</v>
      </c>
      <c r="G40" s="31" t="n">
        <f aca="false">SUMIFS(EMCALI!$C:$C,EMCALI!$A:$A,$A40,EMCALI!$G:$G,"Sin turno")</f>
        <v>0</v>
      </c>
      <c r="H40" s="33" t="n">
        <f aca="false">SUM(C40:G40)</f>
        <v>1609.2</v>
      </c>
    </row>
    <row r="41" customFormat="false" ht="15" hidden="false" customHeight="false" outlineLevel="0" collapsed="false">
      <c r="A41" s="35" t="n">
        <v>46247</v>
      </c>
      <c r="B41" s="11" t="s">
        <v>338</v>
      </c>
      <c r="C41" s="31" t="n">
        <f aca="false">SUMIFS(EMCALI!$C:$C,EMCALI!$A:$A,$A41,EMCALI!$G:$G,"A")</f>
        <v>642.6</v>
      </c>
      <c r="D41" s="31" t="n">
        <f aca="false">SUMIFS(EMCALI!$C:$C,EMCALI!$A:$A,$A41,EMCALI!$G:$G,"B")</f>
        <v>529.8</v>
      </c>
      <c r="E41" s="31" t="n">
        <f aca="false">SUMIFS(EMCALI!$C:$C,EMCALI!$A:$A,$A41,EMCALI!$G:$G,"C")</f>
        <v>350.52</v>
      </c>
      <c r="F41" s="31" t="n">
        <f aca="false">SUMIFS(EMCALI!$C:$C,EMCALI!$A:$A,$A41,EMCALI!$G:$G,"Entre turnos")</f>
        <v>98.76</v>
      </c>
      <c r="G41" s="31" t="n">
        <f aca="false">SUMIFS(EMCALI!$C:$C,EMCALI!$A:$A,$A41,EMCALI!$G:$G,"Sin turno")</f>
        <v>0</v>
      </c>
      <c r="H41" s="33" t="n">
        <f aca="false">SUM(C41:G41)</f>
        <v>1621.68</v>
      </c>
    </row>
    <row r="42" customFormat="false" ht="15" hidden="false" customHeight="false" outlineLevel="0" collapsed="false">
      <c r="A42" s="35" t="n">
        <v>46248</v>
      </c>
      <c r="B42" s="11" t="s">
        <v>339</v>
      </c>
      <c r="C42" s="31" t="n">
        <f aca="false">SUMIFS(EMCALI!$C:$C,EMCALI!$A:$A,$A42,EMCALI!$G:$G,"A")</f>
        <v>718.32</v>
      </c>
      <c r="D42" s="31" t="n">
        <f aca="false">SUMIFS(EMCALI!$C:$C,EMCALI!$A:$A,$A42,EMCALI!$G:$G,"B")</f>
        <v>573.72</v>
      </c>
      <c r="E42" s="31" t="n">
        <f aca="false">SUMIFS(EMCALI!$C:$C,EMCALI!$A:$A,$A42,EMCALI!$G:$G,"C")</f>
        <v>357.72</v>
      </c>
      <c r="F42" s="31" t="n">
        <f aca="false">SUMIFS(EMCALI!$C:$C,EMCALI!$A:$A,$A42,EMCALI!$G:$G,"Entre turnos")</f>
        <v>107.16</v>
      </c>
      <c r="G42" s="31" t="n">
        <f aca="false">SUMIFS(EMCALI!$C:$C,EMCALI!$A:$A,$A42,EMCALI!$G:$G,"Sin turno")</f>
        <v>0</v>
      </c>
      <c r="H42" s="33" t="n">
        <f aca="false">SUM(C42:G42)</f>
        <v>1756.92</v>
      </c>
    </row>
    <row r="43" customFormat="false" ht="15" hidden="false" customHeight="false" outlineLevel="0" collapsed="false">
      <c r="A43" s="35" t="n">
        <v>46249</v>
      </c>
      <c r="B43" s="11" t="s">
        <v>340</v>
      </c>
      <c r="C43" s="31" t="n">
        <f aca="false">SUMIFS(EMCALI!$C:$C,EMCALI!$A:$A,$A43,EMCALI!$G:$G,"A")</f>
        <v>644.16</v>
      </c>
      <c r="D43" s="31" t="n">
        <f aca="false">SUMIFS(EMCALI!$C:$C,EMCALI!$A:$A,$A43,EMCALI!$G:$G,"B")</f>
        <v>419.88</v>
      </c>
      <c r="E43" s="31" t="n">
        <f aca="false">SUMIFS(EMCALI!$C:$C,EMCALI!$A:$A,$A43,EMCALI!$G:$G,"C")</f>
        <v>345</v>
      </c>
      <c r="F43" s="31" t="n">
        <f aca="false">SUMIFS(EMCALI!$C:$C,EMCALI!$A:$A,$A43,EMCALI!$G:$G,"Entre turnos")</f>
        <v>87.96</v>
      </c>
      <c r="G43" s="31" t="n">
        <f aca="false">SUMIFS(EMCALI!$C:$C,EMCALI!$A:$A,$A43,EMCALI!$G:$G,"Sin turno")</f>
        <v>43.92</v>
      </c>
      <c r="H43" s="33" t="n">
        <f aca="false">SUM(C43:G43)</f>
        <v>1540.92</v>
      </c>
    </row>
    <row r="44" customFormat="false" ht="15" hidden="false" customHeight="false" outlineLevel="0" collapsed="false">
      <c r="A44" s="35" t="n">
        <v>46250</v>
      </c>
      <c r="B44" s="11" t="s">
        <v>341</v>
      </c>
      <c r="C44" s="31" t="n">
        <f aca="false">SUMIFS(EMCALI!$C:$C,EMCALI!$A:$A,$A44,EMCALI!$G:$G,"A")</f>
        <v>0</v>
      </c>
      <c r="D44" s="31" t="n">
        <f aca="false">SUMIFS(EMCALI!$C:$C,EMCALI!$A:$A,$A44,EMCALI!$G:$G,"B")</f>
        <v>0</v>
      </c>
      <c r="E44" s="31" t="n">
        <f aca="false">SUMIFS(EMCALI!$C:$C,EMCALI!$A:$A,$A44,EMCALI!$G:$G,"C")</f>
        <v>46.8</v>
      </c>
      <c r="F44" s="31" t="n">
        <f aca="false">SUMIFS(EMCALI!$C:$C,EMCALI!$A:$A,$A44,EMCALI!$G:$G,"Entre turnos")</f>
        <v>0</v>
      </c>
      <c r="G44" s="31" t="n">
        <f aca="false">SUMIFS(EMCALI!$C:$C,EMCALI!$A:$A,$A44,EMCALI!$G:$G,"Sin turno")</f>
        <v>1188.6</v>
      </c>
      <c r="H44" s="33" t="n">
        <f aca="false">SUM(C44:G44)</f>
        <v>1235.4</v>
      </c>
    </row>
    <row r="45" customFormat="false" ht="15" hidden="false" customHeight="false" outlineLevel="0" collapsed="false">
      <c r="A45" s="35" t="n">
        <v>46251</v>
      </c>
      <c r="B45" s="11" t="s">
        <v>335</v>
      </c>
      <c r="C45" s="31" t="n">
        <f aca="false">SUMIFS(EMCALI!$C:$C,EMCALI!$A:$A,$A45,EMCALI!$G:$G,"A")</f>
        <v>777.36</v>
      </c>
      <c r="D45" s="31" t="n">
        <f aca="false">SUMIFS(EMCALI!$C:$C,EMCALI!$A:$A,$A45,EMCALI!$G:$G,"B")</f>
        <v>544.8</v>
      </c>
      <c r="E45" s="31" t="n">
        <f aca="false">SUMIFS(EMCALI!$C:$C,EMCALI!$A:$A,$A45,EMCALI!$G:$G,"C")</f>
        <v>370.44</v>
      </c>
      <c r="F45" s="31" t="n">
        <f aca="false">SUMIFS(EMCALI!$C:$C,EMCALI!$A:$A,$A45,EMCALI!$G:$G,"Entre turnos")</f>
        <v>98.88</v>
      </c>
      <c r="G45" s="31" t="n">
        <f aca="false">SUMIFS(EMCALI!$C:$C,EMCALI!$A:$A,$A45,EMCALI!$G:$G,"Sin turno")</f>
        <v>0</v>
      </c>
      <c r="H45" s="33" t="n">
        <f aca="false">SUM(C45:G45)</f>
        <v>1791.48</v>
      </c>
    </row>
    <row r="46" customFormat="false" ht="15" hidden="false" customHeight="false" outlineLevel="0" collapsed="false">
      <c r="A46" s="35" t="n">
        <v>46252</v>
      </c>
      <c r="B46" s="11" t="s">
        <v>336</v>
      </c>
      <c r="C46" s="31" t="n">
        <f aca="false">SUMIFS(EMCALI!$C:$C,EMCALI!$A:$A,$A46,EMCALI!$G:$G,"A")</f>
        <v>1262.28</v>
      </c>
      <c r="D46" s="31" t="n">
        <f aca="false">SUMIFS(EMCALI!$C:$C,EMCALI!$A:$A,$A46,EMCALI!$G:$G,"B")</f>
        <v>1423.08</v>
      </c>
      <c r="E46" s="31" t="n">
        <f aca="false">SUMIFS(EMCALI!$C:$C,EMCALI!$A:$A,$A46,EMCALI!$G:$G,"C")</f>
        <v>431.88</v>
      </c>
      <c r="F46" s="31" t="n">
        <f aca="false">SUMIFS(EMCALI!$C:$C,EMCALI!$A:$A,$A46,EMCALI!$G:$G,"Entre turnos")</f>
        <v>220.56</v>
      </c>
      <c r="G46" s="31" t="n">
        <f aca="false">SUMIFS(EMCALI!$C:$C,EMCALI!$A:$A,$A46,EMCALI!$G:$G,"Sin turno")</f>
        <v>0</v>
      </c>
      <c r="H46" s="33" t="n">
        <f aca="false">SUM(C46:G46)</f>
        <v>3337.8</v>
      </c>
    </row>
    <row r="47" customFormat="false" ht="15" hidden="false" customHeight="false" outlineLevel="0" collapsed="false">
      <c r="A47" s="35" t="n">
        <v>46253</v>
      </c>
      <c r="B47" s="11" t="s">
        <v>337</v>
      </c>
      <c r="C47" s="31" t="n">
        <f aca="false">SUMIFS(EMCALI!$C:$C,EMCALI!$A:$A,$A47,EMCALI!$G:$G,"A")</f>
        <v>1732.44</v>
      </c>
      <c r="D47" s="31" t="n">
        <f aca="false">SUMIFS(EMCALI!$C:$C,EMCALI!$A:$A,$A47,EMCALI!$G:$G,"B")</f>
        <v>1505.76</v>
      </c>
      <c r="E47" s="31" t="n">
        <f aca="false">SUMIFS(EMCALI!$C:$C,EMCALI!$A:$A,$A47,EMCALI!$G:$G,"C")</f>
        <v>855.48</v>
      </c>
      <c r="F47" s="31" t="n">
        <f aca="false">SUMIFS(EMCALI!$C:$C,EMCALI!$A:$A,$A47,EMCALI!$G:$G,"Entre turnos")</f>
        <v>211.44</v>
      </c>
      <c r="G47" s="31" t="n">
        <f aca="false">SUMIFS(EMCALI!$C:$C,EMCALI!$A:$A,$A47,EMCALI!$G:$G,"Sin turno")</f>
        <v>0</v>
      </c>
      <c r="H47" s="33" t="n">
        <f aca="false">SUM(C47:G47)</f>
        <v>4305.12</v>
      </c>
    </row>
    <row r="48" customFormat="false" ht="15" hidden="false" customHeight="false" outlineLevel="0" collapsed="false">
      <c r="A48" s="35" t="n">
        <v>46254</v>
      </c>
      <c r="B48" s="11" t="s">
        <v>338</v>
      </c>
      <c r="C48" s="31" t="n">
        <f aca="false">SUMIFS(EMCALI!$C:$C,EMCALI!$A:$A,$A48,EMCALI!$G:$G,"A")</f>
        <v>1901.28</v>
      </c>
      <c r="D48" s="31" t="n">
        <f aca="false">SUMIFS(EMCALI!$C:$C,EMCALI!$A:$A,$A48,EMCALI!$G:$G,"B")</f>
        <v>1527.48</v>
      </c>
      <c r="E48" s="31" t="n">
        <f aca="false">SUMIFS(EMCALI!$C:$C,EMCALI!$A:$A,$A48,EMCALI!$G:$G,"C")</f>
        <v>810.36</v>
      </c>
      <c r="F48" s="31" t="n">
        <f aca="false">SUMIFS(EMCALI!$C:$C,EMCALI!$A:$A,$A48,EMCALI!$G:$G,"Entre turnos")</f>
        <v>209.88</v>
      </c>
      <c r="G48" s="31" t="n">
        <f aca="false">SUMIFS(EMCALI!$C:$C,EMCALI!$A:$A,$A48,EMCALI!$G:$G,"Sin turno")</f>
        <v>0</v>
      </c>
      <c r="H48" s="33" t="n">
        <f aca="false">SUM(C48:G48)</f>
        <v>4449</v>
      </c>
    </row>
    <row r="49" customFormat="false" ht="15" hidden="false" customHeight="false" outlineLevel="0" collapsed="false">
      <c r="A49" s="35" t="n">
        <v>46255</v>
      </c>
      <c r="B49" s="11" t="s">
        <v>339</v>
      </c>
      <c r="C49" s="31" t="n">
        <f aca="false">SUMIFS(EMCALI!$C:$C,EMCALI!$A:$A,$A49,EMCALI!$G:$G,"A")</f>
        <v>1853.64</v>
      </c>
      <c r="D49" s="31" t="n">
        <f aca="false">SUMIFS(EMCALI!$C:$C,EMCALI!$A:$A,$A49,EMCALI!$G:$G,"B")</f>
        <v>1520.04</v>
      </c>
      <c r="E49" s="31" t="n">
        <f aca="false">SUMIFS(EMCALI!$C:$C,EMCALI!$A:$A,$A49,EMCALI!$G:$G,"C")</f>
        <v>762.6</v>
      </c>
      <c r="F49" s="31" t="n">
        <f aca="false">SUMIFS(EMCALI!$C:$C,EMCALI!$A:$A,$A49,EMCALI!$G:$G,"Entre turnos")</f>
        <v>228.72</v>
      </c>
      <c r="G49" s="31" t="n">
        <f aca="false">SUMIFS(EMCALI!$C:$C,EMCALI!$A:$A,$A49,EMCALI!$G:$G,"Sin turno")</f>
        <v>0</v>
      </c>
      <c r="H49" s="33" t="n">
        <f aca="false">SUM(C49:G49)</f>
        <v>4365</v>
      </c>
    </row>
    <row r="50" customFormat="false" ht="15" hidden="false" customHeight="false" outlineLevel="0" collapsed="false">
      <c r="A50" s="35" t="n">
        <v>46256</v>
      </c>
      <c r="B50" s="11" t="s">
        <v>340</v>
      </c>
      <c r="C50" s="31" t="n">
        <f aca="false">SUMIFS(EMCALI!$C:$C,EMCALI!$A:$A,$A50,EMCALI!$G:$G,"A")</f>
        <v>1467.12</v>
      </c>
      <c r="D50" s="31" t="n">
        <f aca="false">SUMIFS(EMCALI!$C:$C,EMCALI!$A:$A,$A50,EMCALI!$G:$G,"B")</f>
        <v>1219.68</v>
      </c>
      <c r="E50" s="31" t="n">
        <f aca="false">SUMIFS(EMCALI!$C:$C,EMCALI!$A:$A,$A50,EMCALI!$G:$G,"C")</f>
        <v>737.76</v>
      </c>
      <c r="F50" s="31" t="n">
        <f aca="false">SUMIFS(EMCALI!$C:$C,EMCALI!$A:$A,$A50,EMCALI!$G:$G,"Entre turnos")</f>
        <v>145.44</v>
      </c>
      <c r="G50" s="31" t="n">
        <f aca="false">SUMIFS(EMCALI!$C:$C,EMCALI!$A:$A,$A50,EMCALI!$G:$G,"Sin turno")</f>
        <v>52.08</v>
      </c>
      <c r="H50" s="33" t="n">
        <f aca="false">SUM(C50:G50)</f>
        <v>3622.08</v>
      </c>
    </row>
    <row r="51" customFormat="false" ht="15" hidden="false" customHeight="false" outlineLevel="0" collapsed="false">
      <c r="A51" s="35" t="n">
        <v>46257</v>
      </c>
      <c r="B51" s="11" t="s">
        <v>341</v>
      </c>
      <c r="C51" s="31" t="n">
        <f aca="false">SUMIFS(EMCALI!$C:$C,EMCALI!$A:$A,$A51,EMCALI!$G:$G,"A")</f>
        <v>0</v>
      </c>
      <c r="D51" s="31" t="n">
        <f aca="false">SUMIFS(EMCALI!$C:$C,EMCALI!$A:$A,$A51,EMCALI!$G:$G,"B")</f>
        <v>0</v>
      </c>
      <c r="E51" s="31" t="n">
        <f aca="false">SUMIFS(EMCALI!$C:$C,EMCALI!$A:$A,$A51,EMCALI!$G:$G,"C")</f>
        <v>79.44</v>
      </c>
      <c r="F51" s="31" t="n">
        <f aca="false">SUMIFS(EMCALI!$C:$C,EMCALI!$A:$A,$A51,EMCALI!$G:$G,"Entre turnos")</f>
        <v>0</v>
      </c>
      <c r="G51" s="31" t="n">
        <f aca="false">SUMIFS(EMCALI!$C:$C,EMCALI!$A:$A,$A51,EMCALI!$G:$G,"Sin turno")</f>
        <v>1281.72</v>
      </c>
      <c r="H51" s="33" t="n">
        <f aca="false">SUM(C51:G51)</f>
        <v>1361.16</v>
      </c>
    </row>
    <row r="52" customFormat="false" ht="15" hidden="false" customHeight="false" outlineLevel="0" collapsed="false">
      <c r="A52" s="35" t="n">
        <v>46258</v>
      </c>
      <c r="B52" s="11" t="s">
        <v>335</v>
      </c>
      <c r="C52" s="31" t="n">
        <f aca="false">SUMIFS(EMCALI!$C:$C,EMCALI!$A:$A,$A52,EMCALI!$G:$G,"A")</f>
        <v>2007</v>
      </c>
      <c r="D52" s="31" t="n">
        <f aca="false">SUMIFS(EMCALI!$C:$C,EMCALI!$A:$A,$A52,EMCALI!$G:$G,"B")</f>
        <v>1656.6</v>
      </c>
      <c r="E52" s="31" t="n">
        <f aca="false">SUMIFS(EMCALI!$C:$C,EMCALI!$A:$A,$A52,EMCALI!$G:$G,"C")</f>
        <v>823.8</v>
      </c>
      <c r="F52" s="31" t="n">
        <f aca="false">SUMIFS(EMCALI!$C:$C,EMCALI!$A:$A,$A52,EMCALI!$G:$G,"Entre turnos")</f>
        <v>263.16</v>
      </c>
      <c r="G52" s="31" t="n">
        <f aca="false">SUMIFS(EMCALI!$C:$C,EMCALI!$A:$A,$A52,EMCALI!$G:$G,"Sin turno")</f>
        <v>0</v>
      </c>
      <c r="H52" s="33" t="n">
        <f aca="false">SUM(C52:G52)</f>
        <v>4750.56</v>
      </c>
    </row>
    <row r="53" customFormat="false" ht="15" hidden="false" customHeight="false" outlineLevel="0" collapsed="false">
      <c r="A53" s="35" t="n">
        <v>46259</v>
      </c>
      <c r="B53" s="11" t="s">
        <v>336</v>
      </c>
      <c r="C53" s="31" t="n">
        <f aca="false">SUMIFS(EMCALI!$C:$C,EMCALI!$A:$A,$A53,EMCALI!$G:$G,"A")</f>
        <v>2026.32</v>
      </c>
      <c r="D53" s="31" t="n">
        <f aca="false">SUMIFS(EMCALI!$C:$C,EMCALI!$A:$A,$A53,EMCALI!$G:$G,"B")</f>
        <v>1781.16</v>
      </c>
      <c r="E53" s="31" t="n">
        <f aca="false">SUMIFS(EMCALI!$C:$C,EMCALI!$A:$A,$A53,EMCALI!$G:$G,"C")</f>
        <v>894.12</v>
      </c>
      <c r="F53" s="31" t="n">
        <f aca="false">SUMIFS(EMCALI!$C:$C,EMCALI!$A:$A,$A53,EMCALI!$G:$G,"Entre turnos")</f>
        <v>261.24</v>
      </c>
      <c r="G53" s="31" t="n">
        <f aca="false">SUMIFS(EMCALI!$C:$C,EMCALI!$A:$A,$A53,EMCALI!$G:$G,"Sin turno")</f>
        <v>0</v>
      </c>
      <c r="H53" s="33" t="n">
        <f aca="false">SUM(C53:G53)</f>
        <v>4962.84</v>
      </c>
    </row>
    <row r="54" customFormat="false" ht="15" hidden="false" customHeight="false" outlineLevel="0" collapsed="false">
      <c r="A54" s="35" t="n">
        <v>46260</v>
      </c>
      <c r="B54" s="11" t="s">
        <v>337</v>
      </c>
      <c r="C54" s="31" t="n">
        <f aca="false">SUMIFS(EMCALI!$C:$C,EMCALI!$A:$A,$A54,EMCALI!$G:$G,"A")</f>
        <v>2080.44</v>
      </c>
      <c r="D54" s="31" t="n">
        <f aca="false">SUMIFS(EMCALI!$C:$C,EMCALI!$A:$A,$A54,EMCALI!$G:$G,"B")</f>
        <v>1816.8</v>
      </c>
      <c r="E54" s="31" t="n">
        <f aca="false">SUMIFS(EMCALI!$C:$C,EMCALI!$A:$A,$A54,EMCALI!$G:$G,"C")</f>
        <v>960</v>
      </c>
      <c r="F54" s="31" t="n">
        <f aca="false">SUMIFS(EMCALI!$C:$C,EMCALI!$A:$A,$A54,EMCALI!$G:$G,"Entre turnos")</f>
        <v>243.96</v>
      </c>
      <c r="G54" s="31" t="n">
        <f aca="false">SUMIFS(EMCALI!$C:$C,EMCALI!$A:$A,$A54,EMCALI!$G:$G,"Sin turno")</f>
        <v>0</v>
      </c>
      <c r="H54" s="33" t="n">
        <f aca="false">SUM(C54:G54)</f>
        <v>5101.2</v>
      </c>
    </row>
    <row r="55" customFormat="false" ht="15" hidden="false" customHeight="false" outlineLevel="0" collapsed="false">
      <c r="A55" s="35" t="n">
        <v>46261</v>
      </c>
      <c r="B55" s="11" t="s">
        <v>338</v>
      </c>
      <c r="C55" s="31" t="n">
        <f aca="false">SUMIFS(EMCALI!$C:$C,EMCALI!$A:$A,$A55,EMCALI!$G:$G,"A")</f>
        <v>1972.8</v>
      </c>
      <c r="D55" s="31" t="n">
        <f aca="false">SUMIFS(EMCALI!$C:$C,EMCALI!$A:$A,$A55,EMCALI!$G:$G,"B")</f>
        <v>1733.4</v>
      </c>
      <c r="E55" s="31" t="n">
        <f aca="false">SUMIFS(EMCALI!$C:$C,EMCALI!$A:$A,$A55,EMCALI!$G:$G,"C")</f>
        <v>914.76</v>
      </c>
      <c r="F55" s="31" t="n">
        <f aca="false">SUMIFS(EMCALI!$C:$C,EMCALI!$A:$A,$A55,EMCALI!$G:$G,"Entre turnos")</f>
        <v>239.4</v>
      </c>
      <c r="G55" s="31" t="n">
        <f aca="false">SUMIFS(EMCALI!$C:$C,EMCALI!$A:$A,$A55,EMCALI!$G:$G,"Sin turno")</f>
        <v>0</v>
      </c>
      <c r="H55" s="33" t="n">
        <f aca="false">SUM(C55:G55)</f>
        <v>4860.36</v>
      </c>
    </row>
    <row r="56" customFormat="false" ht="15" hidden="false" customHeight="false" outlineLevel="0" collapsed="false">
      <c r="A56" s="35" t="n">
        <v>46262</v>
      </c>
      <c r="B56" s="11" t="s">
        <v>339</v>
      </c>
      <c r="C56" s="31" t="n">
        <f aca="false">SUMIFS(EMCALI!$C:$C,EMCALI!$A:$A,$A56,EMCALI!$G:$G,"A")</f>
        <v>1943.52</v>
      </c>
      <c r="D56" s="31" t="n">
        <f aca="false">SUMIFS(EMCALI!$C:$C,EMCALI!$A:$A,$A56,EMCALI!$G:$G,"B")</f>
        <v>1812</v>
      </c>
      <c r="E56" s="31" t="n">
        <f aca="false">SUMIFS(EMCALI!$C:$C,EMCALI!$A:$A,$A56,EMCALI!$G:$G,"C")</f>
        <v>952.68</v>
      </c>
      <c r="F56" s="31" t="n">
        <f aca="false">SUMIFS(EMCALI!$C:$C,EMCALI!$A:$A,$A56,EMCALI!$G:$G,"Entre turnos")</f>
        <v>286.44</v>
      </c>
      <c r="G56" s="31" t="n">
        <f aca="false">SUMIFS(EMCALI!$C:$C,EMCALI!$A:$A,$A56,EMCALI!$G:$G,"Sin turno")</f>
        <v>0</v>
      </c>
      <c r="H56" s="33" t="n">
        <f aca="false">SUM(C56:G56)</f>
        <v>4994.64</v>
      </c>
    </row>
    <row r="57" customFormat="false" ht="15" hidden="false" customHeight="false" outlineLevel="0" collapsed="false">
      <c r="A57" s="35" t="n">
        <v>46263</v>
      </c>
      <c r="B57" s="11" t="s">
        <v>340</v>
      </c>
      <c r="C57" s="31" t="n">
        <f aca="false">SUMIFS(EMCALI!$C:$C,EMCALI!$A:$A,$A57,EMCALI!$G:$G,"A")</f>
        <v>1619.16</v>
      </c>
      <c r="D57" s="31" t="n">
        <f aca="false">SUMIFS(EMCALI!$C:$C,EMCALI!$A:$A,$A57,EMCALI!$G:$G,"B")</f>
        <v>1566</v>
      </c>
      <c r="E57" s="31" t="n">
        <f aca="false">SUMIFS(EMCALI!$C:$C,EMCALI!$A:$A,$A57,EMCALI!$G:$G,"C")</f>
        <v>970.92</v>
      </c>
      <c r="F57" s="31" t="n">
        <f aca="false">SUMIFS(EMCALI!$C:$C,EMCALI!$A:$A,$A57,EMCALI!$G:$G,"Entre turnos")</f>
        <v>160.08</v>
      </c>
      <c r="G57" s="31" t="n">
        <f aca="false">SUMIFS(EMCALI!$C:$C,EMCALI!$A:$A,$A57,EMCALI!$G:$G,"Sin turno")</f>
        <v>51.72</v>
      </c>
      <c r="H57" s="33" t="n">
        <f aca="false">SUM(C57:G57)</f>
        <v>4367.88</v>
      </c>
    </row>
    <row r="58" customFormat="false" ht="15" hidden="false" customHeight="false" outlineLevel="0" collapsed="false">
      <c r="A58" s="35" t="n">
        <v>46264</v>
      </c>
      <c r="B58" s="11" t="s">
        <v>341</v>
      </c>
      <c r="C58" s="31" t="n">
        <f aca="false">SUMIFS(EMCALI!$C:$C,EMCALI!$A:$A,$A58,EMCALI!$G:$G,"A")</f>
        <v>0</v>
      </c>
      <c r="D58" s="31" t="n">
        <f aca="false">SUMIFS(EMCALI!$C:$C,EMCALI!$A:$A,$A58,EMCALI!$G:$G,"B")</f>
        <v>0</v>
      </c>
      <c r="E58" s="31" t="n">
        <f aca="false">SUMIFS(EMCALI!$C:$C,EMCALI!$A:$A,$A58,EMCALI!$G:$G,"C")</f>
        <v>73.68</v>
      </c>
      <c r="F58" s="31" t="n">
        <f aca="false">SUMIFS(EMCALI!$C:$C,EMCALI!$A:$A,$A58,EMCALI!$G:$G,"Entre turnos")</f>
        <v>0</v>
      </c>
      <c r="G58" s="31" t="n">
        <f aca="false">SUMIFS(EMCALI!$C:$C,EMCALI!$A:$A,$A58,EMCALI!$G:$G,"Sin turno")</f>
        <v>1208.4</v>
      </c>
      <c r="H58" s="33" t="n">
        <f aca="false">SUM(C58:G58)</f>
        <v>1282.08</v>
      </c>
    </row>
    <row r="59" customFormat="false" ht="15" hidden="false" customHeight="false" outlineLevel="0" collapsed="false">
      <c r="A59" s="35" t="n">
        <v>46265</v>
      </c>
      <c r="B59" s="11" t="s">
        <v>335</v>
      </c>
      <c r="C59" s="31" t="n">
        <f aca="false">SUMIFS(EMCALI!$C:$C,EMCALI!$A:$A,$A59,EMCALI!$G:$G,"A")</f>
        <v>1292.16</v>
      </c>
      <c r="D59" s="31" t="n">
        <f aca="false">SUMIFS(EMCALI!$C:$C,EMCALI!$A:$A,$A59,EMCALI!$G:$G,"B")</f>
        <v>1023.72</v>
      </c>
      <c r="E59" s="31" t="n">
        <f aca="false">SUMIFS(EMCALI!$C:$C,EMCALI!$A:$A,$A59,EMCALI!$G:$G,"C")</f>
        <v>761.88</v>
      </c>
      <c r="F59" s="31" t="n">
        <f aca="false">SUMIFS(EMCALI!$C:$C,EMCALI!$A:$A,$A59,EMCALI!$G:$G,"Entre turnos")</f>
        <v>225.36</v>
      </c>
      <c r="G59" s="31" t="n">
        <f aca="false">SUMIFS(EMCALI!$C:$C,EMCALI!$A:$A,$A59,EMCALI!$G:$G,"Sin turno")</f>
        <v>0</v>
      </c>
      <c r="H59" s="33" t="n">
        <f aca="false">SUM(C59:G59)</f>
        <v>3303.12</v>
      </c>
    </row>
    <row r="60" customFormat="false" ht="15" hidden="false" customHeight="false" outlineLevel="0" collapsed="false">
      <c r="A60" s="35" t="n">
        <v>46266</v>
      </c>
      <c r="B60" s="11" t="s">
        <v>336</v>
      </c>
      <c r="C60" s="31" t="n">
        <f aca="false">SUMIFS(EMCALI!$C:$C,EMCALI!$A:$A,$A60,EMCALI!$G:$G,"A")</f>
        <v>1905.96</v>
      </c>
      <c r="D60" s="31" t="n">
        <f aca="false">SUMIFS(EMCALI!$C:$C,EMCALI!$A:$A,$A60,EMCALI!$G:$G,"B")</f>
        <v>1500.24</v>
      </c>
      <c r="E60" s="31" t="n">
        <f aca="false">SUMIFS(EMCALI!$C:$C,EMCALI!$A:$A,$A60,EMCALI!$G:$G,"C")</f>
        <v>797.16</v>
      </c>
      <c r="F60" s="31" t="n">
        <f aca="false">SUMIFS(EMCALI!$C:$C,EMCALI!$A:$A,$A60,EMCALI!$G:$G,"Entre turnos")</f>
        <v>361.32</v>
      </c>
      <c r="G60" s="31" t="n">
        <f aca="false">SUMIFS(EMCALI!$C:$C,EMCALI!$A:$A,$A60,EMCALI!$G:$G,"Sin turno")</f>
        <v>0</v>
      </c>
      <c r="H60" s="33" t="n">
        <f aca="false">SUM(C60:G60)</f>
        <v>4564.68</v>
      </c>
    </row>
    <row r="61" customFormat="false" ht="15" hidden="false" customHeight="false" outlineLevel="0" collapsed="false">
      <c r="A61" s="35" t="n">
        <v>46267</v>
      </c>
      <c r="B61" s="11" t="s">
        <v>337</v>
      </c>
      <c r="C61" s="31" t="n">
        <f aca="false">SUMIFS(EMCALI!$C:$C,EMCALI!$A:$A,$A61,EMCALI!$G:$G,"A")</f>
        <v>1809.12</v>
      </c>
      <c r="D61" s="31" t="n">
        <f aca="false">SUMIFS(EMCALI!$C:$C,EMCALI!$A:$A,$A61,EMCALI!$G:$G,"B")</f>
        <v>1527.96</v>
      </c>
      <c r="E61" s="31" t="n">
        <f aca="false">SUMIFS(EMCALI!$C:$C,EMCALI!$A:$A,$A61,EMCALI!$G:$G,"C")</f>
        <v>887.76</v>
      </c>
      <c r="F61" s="31" t="n">
        <f aca="false">SUMIFS(EMCALI!$C:$C,EMCALI!$A:$A,$A61,EMCALI!$G:$G,"Entre turnos")</f>
        <v>354.12</v>
      </c>
      <c r="G61" s="31" t="n">
        <f aca="false">SUMIFS(EMCALI!$C:$C,EMCALI!$A:$A,$A61,EMCALI!$G:$G,"Sin turno")</f>
        <v>0</v>
      </c>
      <c r="H61" s="33" t="n">
        <f aca="false">SUM(C61:G61)</f>
        <v>4578.96</v>
      </c>
    </row>
    <row r="62" customFormat="false" ht="15" hidden="false" customHeight="false" outlineLevel="0" collapsed="false">
      <c r="A62" s="35" t="n">
        <v>46268</v>
      </c>
      <c r="B62" s="11" t="s">
        <v>338</v>
      </c>
      <c r="C62" s="31" t="n">
        <f aca="false">SUMIFS(EMCALI!$C:$C,EMCALI!$A:$A,$A62,EMCALI!$G:$G,"A")</f>
        <v>1700.16</v>
      </c>
      <c r="D62" s="31" t="n">
        <f aca="false">SUMIFS(EMCALI!$C:$C,EMCALI!$A:$A,$A62,EMCALI!$G:$G,"B")</f>
        <v>1508.88</v>
      </c>
      <c r="E62" s="31" t="n">
        <f aca="false">SUMIFS(EMCALI!$C:$C,EMCALI!$A:$A,$A62,EMCALI!$G:$G,"C")</f>
        <v>862.92</v>
      </c>
      <c r="F62" s="31" t="n">
        <f aca="false">SUMIFS(EMCALI!$C:$C,EMCALI!$A:$A,$A62,EMCALI!$G:$G,"Entre turnos")</f>
        <v>369</v>
      </c>
      <c r="G62" s="31" t="n">
        <f aca="false">SUMIFS(EMCALI!$C:$C,EMCALI!$A:$A,$A62,EMCALI!$G:$G,"Sin turno")</f>
        <v>0</v>
      </c>
      <c r="H62" s="33" t="n">
        <f aca="false">SUM(C62:G62)</f>
        <v>4440.96</v>
      </c>
    </row>
    <row r="63" customFormat="false" ht="15" hidden="false" customHeight="false" outlineLevel="0" collapsed="false">
      <c r="A63" s="35" t="n">
        <v>46269</v>
      </c>
      <c r="B63" s="11" t="s">
        <v>339</v>
      </c>
      <c r="C63" s="31" t="n">
        <f aca="false">SUMIFS(EMCALI!$C:$C,EMCALI!$A:$A,$A63,EMCALI!$G:$G,"A")</f>
        <v>1837.68</v>
      </c>
      <c r="D63" s="31" t="n">
        <f aca="false">SUMIFS(EMCALI!$C:$C,EMCALI!$A:$A,$A63,EMCALI!$G:$G,"B")</f>
        <v>1640.04</v>
      </c>
      <c r="E63" s="31" t="n">
        <f aca="false">SUMIFS(EMCALI!$C:$C,EMCALI!$A:$A,$A63,EMCALI!$G:$G,"C")</f>
        <v>822</v>
      </c>
      <c r="F63" s="31" t="n">
        <f aca="false">SUMIFS(EMCALI!$C:$C,EMCALI!$A:$A,$A63,EMCALI!$G:$G,"Entre turnos")</f>
        <v>375.24</v>
      </c>
      <c r="G63" s="31" t="n">
        <f aca="false">SUMIFS(EMCALI!$C:$C,EMCALI!$A:$A,$A63,EMCALI!$G:$G,"Sin turno")</f>
        <v>0</v>
      </c>
      <c r="H63" s="33" t="n">
        <f aca="false">SUM(C63:G63)</f>
        <v>4674.96</v>
      </c>
    </row>
    <row r="64" customFormat="false" ht="15" hidden="false" customHeight="false" outlineLevel="0" collapsed="false">
      <c r="A64" s="35" t="n">
        <v>46270</v>
      </c>
      <c r="B64" s="11" t="s">
        <v>340</v>
      </c>
      <c r="C64" s="31" t="n">
        <f aca="false">SUMIFS(EMCALI!$C:$C,EMCALI!$A:$A,$A64,EMCALI!$G:$G,"A")</f>
        <v>606.12</v>
      </c>
      <c r="D64" s="31" t="n">
        <f aca="false">SUMIFS(EMCALI!$C:$C,EMCALI!$A:$A,$A64,EMCALI!$G:$G,"B")</f>
        <v>382.2</v>
      </c>
      <c r="E64" s="31" t="n">
        <f aca="false">SUMIFS(EMCALI!$C:$C,EMCALI!$A:$A,$A64,EMCALI!$G:$G,"C")</f>
        <v>292.8</v>
      </c>
      <c r="F64" s="31" t="n">
        <f aca="false">SUMIFS(EMCALI!$C:$C,EMCALI!$A:$A,$A64,EMCALI!$G:$G,"Entre turnos")</f>
        <v>83.64</v>
      </c>
      <c r="G64" s="31" t="n">
        <f aca="false">SUMIFS(EMCALI!$C:$C,EMCALI!$A:$A,$A64,EMCALI!$G:$G,"Sin turno")</f>
        <v>40.8</v>
      </c>
      <c r="H64" s="33" t="n">
        <f aca="false">SUM(C64:G64)</f>
        <v>1405.56</v>
      </c>
    </row>
    <row r="65" customFormat="false" ht="15" hidden="false" customHeight="false" outlineLevel="0" collapsed="false">
      <c r="A65" s="35" t="n">
        <v>46271</v>
      </c>
      <c r="B65" s="11" t="s">
        <v>341</v>
      </c>
      <c r="C65" s="31" t="n">
        <f aca="false">SUMIFS(EMCALI!$C:$C,EMCALI!$A:$A,$A65,EMCALI!$G:$G,"A")</f>
        <v>0</v>
      </c>
      <c r="D65" s="31" t="n">
        <f aca="false">SUMIFS(EMCALI!$C:$C,EMCALI!$A:$A,$A65,EMCALI!$G:$G,"B")</f>
        <v>0</v>
      </c>
      <c r="E65" s="31" t="n">
        <f aca="false">SUMIFS(EMCALI!$C:$C,EMCALI!$A:$A,$A65,EMCALI!$G:$G,"C")</f>
        <v>96.36</v>
      </c>
      <c r="F65" s="31" t="n">
        <f aca="false">SUMIFS(EMCALI!$C:$C,EMCALI!$A:$A,$A65,EMCALI!$G:$G,"Entre turnos")</f>
        <v>0</v>
      </c>
      <c r="G65" s="31" t="n">
        <f aca="false">SUMIFS(EMCALI!$C:$C,EMCALI!$A:$A,$A65,EMCALI!$G:$G,"Sin turno")</f>
        <v>1023.48</v>
      </c>
      <c r="H65" s="33" t="n">
        <f aca="false">SUM(C65:G65)</f>
        <v>1119.84</v>
      </c>
    </row>
    <row r="66" customFormat="false" ht="15" hidden="false" customHeight="false" outlineLevel="0" collapsed="false">
      <c r="A66" s="35" t="n">
        <v>46272</v>
      </c>
      <c r="B66" s="11" t="s">
        <v>335</v>
      </c>
      <c r="C66" s="31" t="n">
        <f aca="false">SUMIFS(EMCALI!$C:$C,EMCALI!$A:$A,$A66,EMCALI!$G:$G,"A")</f>
        <v>1668</v>
      </c>
      <c r="D66" s="31" t="n">
        <f aca="false">SUMIFS(EMCALI!$C:$C,EMCALI!$A:$A,$A66,EMCALI!$G:$G,"B")</f>
        <v>1648.8</v>
      </c>
      <c r="E66" s="31" t="n">
        <f aca="false">SUMIFS(EMCALI!$C:$C,EMCALI!$A:$A,$A66,EMCALI!$G:$G,"C")</f>
        <v>796.68</v>
      </c>
      <c r="F66" s="31" t="n">
        <f aca="false">SUMIFS(EMCALI!$C:$C,EMCALI!$A:$A,$A66,EMCALI!$G:$G,"Entre turnos")</f>
        <v>377.88</v>
      </c>
      <c r="G66" s="31" t="n">
        <f aca="false">SUMIFS(EMCALI!$C:$C,EMCALI!$A:$A,$A66,EMCALI!$G:$G,"Sin turno")</f>
        <v>0</v>
      </c>
      <c r="H66" s="33" t="n">
        <f aca="false">SUM(C66:G66)</f>
        <v>4491.36</v>
      </c>
    </row>
    <row r="67" customFormat="false" ht="15" hidden="false" customHeight="false" outlineLevel="0" collapsed="false">
      <c r="A67" s="35" t="n">
        <v>46273</v>
      </c>
      <c r="B67" s="11" t="s">
        <v>336</v>
      </c>
      <c r="C67" s="31" t="n">
        <f aca="false">SUMIFS(EMCALI!$C:$C,EMCALI!$A:$A,$A67,EMCALI!$G:$G,"A")</f>
        <v>1813.32</v>
      </c>
      <c r="D67" s="31" t="n">
        <f aca="false">SUMIFS(EMCALI!$C:$C,EMCALI!$A:$A,$A67,EMCALI!$G:$G,"B")</f>
        <v>1696.32</v>
      </c>
      <c r="E67" s="31" t="n">
        <f aca="false">SUMIFS(EMCALI!$C:$C,EMCALI!$A:$A,$A67,EMCALI!$G:$G,"C")</f>
        <v>945.6</v>
      </c>
      <c r="F67" s="31" t="n">
        <f aca="false">SUMIFS(EMCALI!$C:$C,EMCALI!$A:$A,$A67,EMCALI!$G:$G,"Entre turnos")</f>
        <v>419.64</v>
      </c>
      <c r="G67" s="31" t="n">
        <f aca="false">SUMIFS(EMCALI!$C:$C,EMCALI!$A:$A,$A67,EMCALI!$G:$G,"Sin turno")</f>
        <v>0</v>
      </c>
      <c r="H67" s="33" t="n">
        <f aca="false">SUM(C67:G67)</f>
        <v>4874.88</v>
      </c>
    </row>
    <row r="68" customFormat="false" ht="15" hidden="false" customHeight="false" outlineLevel="0" collapsed="false">
      <c r="A68" s="35" t="n">
        <v>46274</v>
      </c>
      <c r="B68" s="11" t="s">
        <v>337</v>
      </c>
      <c r="C68" s="31" t="n">
        <f aca="false">SUMIFS(EMCALI!$C:$C,EMCALI!$A:$A,$A68,EMCALI!$G:$G,"A")</f>
        <v>1720.56</v>
      </c>
      <c r="D68" s="31" t="n">
        <f aca="false">SUMIFS(EMCALI!$C:$C,EMCALI!$A:$A,$A68,EMCALI!$G:$G,"B")</f>
        <v>1684.2</v>
      </c>
      <c r="E68" s="31" t="n">
        <f aca="false">SUMIFS(EMCALI!$C:$C,EMCALI!$A:$A,$A68,EMCALI!$G:$G,"C")</f>
        <v>921.96</v>
      </c>
      <c r="F68" s="31" t="n">
        <f aca="false">SUMIFS(EMCALI!$C:$C,EMCALI!$A:$A,$A68,EMCALI!$G:$G,"Entre turnos")</f>
        <v>414</v>
      </c>
      <c r="G68" s="31" t="n">
        <f aca="false">SUMIFS(EMCALI!$C:$C,EMCALI!$A:$A,$A68,EMCALI!$G:$G,"Sin turno")</f>
        <v>0</v>
      </c>
      <c r="H68" s="33" t="n">
        <f aca="false">SUM(C68:G68)</f>
        <v>4740.72</v>
      </c>
    </row>
    <row r="69" customFormat="false" ht="15" hidden="false" customHeight="false" outlineLevel="0" collapsed="false">
      <c r="A69" s="35" t="n">
        <v>46275</v>
      </c>
      <c r="B69" s="11" t="s">
        <v>338</v>
      </c>
      <c r="C69" s="31" t="n">
        <f aca="false">SUMIFS(EMCALI!$C:$C,EMCALI!$A:$A,$A69,EMCALI!$G:$G,"A")</f>
        <v>1667.64</v>
      </c>
      <c r="D69" s="31" t="n">
        <f aca="false">SUMIFS(EMCALI!$C:$C,EMCALI!$A:$A,$A69,EMCALI!$G:$G,"B")</f>
        <v>1508.76</v>
      </c>
      <c r="E69" s="31" t="n">
        <f aca="false">SUMIFS(EMCALI!$C:$C,EMCALI!$A:$A,$A69,EMCALI!$G:$G,"C")</f>
        <v>912.12</v>
      </c>
      <c r="F69" s="31" t="n">
        <f aca="false">SUMIFS(EMCALI!$C:$C,EMCALI!$A:$A,$A69,EMCALI!$G:$G,"Entre turnos")</f>
        <v>372.72</v>
      </c>
      <c r="G69" s="31" t="n">
        <f aca="false">SUMIFS(EMCALI!$C:$C,EMCALI!$A:$A,$A69,EMCALI!$G:$G,"Sin turno")</f>
        <v>0</v>
      </c>
      <c r="H69" s="33" t="n">
        <f aca="false">SUM(C69:G69)</f>
        <v>4461.24</v>
      </c>
    </row>
    <row r="70" customFormat="false" ht="15" hidden="false" customHeight="false" outlineLevel="0" collapsed="false">
      <c r="A70" s="35" t="n">
        <v>46276</v>
      </c>
      <c r="B70" s="11" t="s">
        <v>339</v>
      </c>
      <c r="C70" s="31" t="n">
        <f aca="false">SUMIFS(EMCALI!$C:$C,EMCALI!$A:$A,$A70,EMCALI!$G:$G,"A")</f>
        <v>1704.72</v>
      </c>
      <c r="D70" s="31" t="n">
        <f aca="false">SUMIFS(EMCALI!$C:$C,EMCALI!$A:$A,$A70,EMCALI!$G:$G,"B")</f>
        <v>1554.72</v>
      </c>
      <c r="E70" s="31" t="n">
        <f aca="false">SUMIFS(EMCALI!$C:$C,EMCALI!$A:$A,$A70,EMCALI!$G:$G,"C")</f>
        <v>850.08</v>
      </c>
      <c r="F70" s="31" t="n">
        <f aca="false">SUMIFS(EMCALI!$C:$C,EMCALI!$A:$A,$A70,EMCALI!$G:$G,"Entre turnos")</f>
        <v>340.68</v>
      </c>
      <c r="G70" s="31" t="n">
        <f aca="false">SUMIFS(EMCALI!$C:$C,EMCALI!$A:$A,$A70,EMCALI!$G:$G,"Sin turno")</f>
        <v>0</v>
      </c>
      <c r="H70" s="33" t="n">
        <f aca="false">SUM(C70:G70)</f>
        <v>4450.2</v>
      </c>
    </row>
    <row r="71" customFormat="false" ht="15" hidden="false" customHeight="false" outlineLevel="0" collapsed="false">
      <c r="A71" s="35" t="n">
        <v>46277</v>
      </c>
      <c r="B71" s="11" t="s">
        <v>340</v>
      </c>
      <c r="C71" s="31" t="n">
        <f aca="false">SUMIFS(EMCALI!$C:$C,EMCALI!$A:$A,$A71,EMCALI!$G:$G,"A")</f>
        <v>547.56</v>
      </c>
      <c r="D71" s="31" t="n">
        <f aca="false">SUMIFS(EMCALI!$C:$C,EMCALI!$A:$A,$A71,EMCALI!$G:$G,"B")</f>
        <v>502.68</v>
      </c>
      <c r="E71" s="31" t="n">
        <f aca="false">SUMIFS(EMCALI!$C:$C,EMCALI!$A:$A,$A71,EMCALI!$G:$G,"C")</f>
        <v>294</v>
      </c>
      <c r="F71" s="31" t="n">
        <f aca="false">SUMIFS(EMCALI!$C:$C,EMCALI!$A:$A,$A71,EMCALI!$G:$G,"Entre turnos")</f>
        <v>118.08</v>
      </c>
      <c r="G71" s="31" t="n">
        <f aca="false">SUMIFS(EMCALI!$C:$C,EMCALI!$A:$A,$A71,EMCALI!$G:$G,"Sin turno")</f>
        <v>51.48</v>
      </c>
      <c r="H71" s="33" t="n">
        <f aca="false">SUM(C71:G71)</f>
        <v>1513.8</v>
      </c>
    </row>
    <row r="72" customFormat="false" ht="15" hidden="false" customHeight="false" outlineLevel="0" collapsed="false">
      <c r="A72" s="35" t="n">
        <v>46278</v>
      </c>
      <c r="B72" s="11" t="s">
        <v>341</v>
      </c>
      <c r="C72" s="31" t="n">
        <f aca="false">SUMIFS(EMCALI!$C:$C,EMCALI!$A:$A,$A72,EMCALI!$G:$G,"A")</f>
        <v>0</v>
      </c>
      <c r="D72" s="31" t="n">
        <f aca="false">SUMIFS(EMCALI!$C:$C,EMCALI!$A:$A,$A72,EMCALI!$G:$G,"B")</f>
        <v>0</v>
      </c>
      <c r="E72" s="31" t="n">
        <f aca="false">SUMIFS(EMCALI!$C:$C,EMCALI!$A:$A,$A72,EMCALI!$G:$G,"C")</f>
        <v>64.8</v>
      </c>
      <c r="F72" s="31" t="n">
        <f aca="false">SUMIFS(EMCALI!$C:$C,EMCALI!$A:$A,$A72,EMCALI!$G:$G,"Entre turnos")</f>
        <v>0</v>
      </c>
      <c r="G72" s="31" t="n">
        <f aca="false">SUMIFS(EMCALI!$C:$C,EMCALI!$A:$A,$A72,EMCALI!$G:$G,"Sin turno")</f>
        <v>1443.72</v>
      </c>
      <c r="H72" s="33" t="n">
        <f aca="false">SUM(C72:G72)</f>
        <v>1508.52</v>
      </c>
    </row>
    <row r="73" customFormat="false" ht="15" hidden="false" customHeight="false" outlineLevel="0" collapsed="false">
      <c r="A73" s="35" t="n">
        <v>46279</v>
      </c>
      <c r="B73" s="11" t="s">
        <v>335</v>
      </c>
      <c r="C73" s="31" t="n">
        <f aca="false">SUMIFS(EMCALI!$C:$C,EMCALI!$A:$A,$A73,EMCALI!$G:$G,"A")</f>
        <v>1947.96</v>
      </c>
      <c r="D73" s="31" t="n">
        <f aca="false">SUMIFS(EMCALI!$C:$C,EMCALI!$A:$A,$A73,EMCALI!$G:$G,"B")</f>
        <v>1544.64</v>
      </c>
      <c r="E73" s="31" t="n">
        <f aca="false">SUMIFS(EMCALI!$C:$C,EMCALI!$A:$A,$A73,EMCALI!$G:$G,"C")</f>
        <v>701.64</v>
      </c>
      <c r="F73" s="31" t="n">
        <f aca="false">SUMIFS(EMCALI!$C:$C,EMCALI!$A:$A,$A73,EMCALI!$G:$G,"Entre turnos")</f>
        <v>206.16</v>
      </c>
      <c r="G73" s="31" t="n">
        <f aca="false">SUMIFS(EMCALI!$C:$C,EMCALI!$A:$A,$A73,EMCALI!$G:$G,"Sin turno")</f>
        <v>0</v>
      </c>
      <c r="H73" s="33" t="n">
        <f aca="false">SUM(C73:G73)</f>
        <v>4400.4</v>
      </c>
    </row>
    <row r="74" customFormat="false" ht="15" hidden="false" customHeight="false" outlineLevel="0" collapsed="false">
      <c r="A74" s="35" t="n">
        <v>46280</v>
      </c>
      <c r="B74" s="11" t="s">
        <v>336</v>
      </c>
      <c r="C74" s="31" t="n">
        <f aca="false">SUMIFS(EMCALI!$C:$C,EMCALI!$A:$A,$A74,EMCALI!$G:$G,"A")</f>
        <v>2075.16</v>
      </c>
      <c r="D74" s="31" t="n">
        <f aca="false">SUMIFS(EMCALI!$C:$C,EMCALI!$A:$A,$A74,EMCALI!$G:$G,"B")</f>
        <v>1562.52</v>
      </c>
      <c r="E74" s="31" t="n">
        <f aca="false">SUMIFS(EMCALI!$C:$C,EMCALI!$A:$A,$A74,EMCALI!$G:$G,"C")</f>
        <v>757.92</v>
      </c>
      <c r="F74" s="31" t="n">
        <f aca="false">SUMIFS(EMCALI!$C:$C,EMCALI!$A:$A,$A74,EMCALI!$G:$G,"Entre turnos")</f>
        <v>218.76</v>
      </c>
      <c r="G74" s="31" t="n">
        <f aca="false">SUMIFS(EMCALI!$C:$C,EMCALI!$A:$A,$A74,EMCALI!$G:$G,"Sin turno")</f>
        <v>0</v>
      </c>
      <c r="H74" s="33" t="n">
        <f aca="false">SUM(C74:G74)</f>
        <v>4614.36</v>
      </c>
    </row>
    <row r="75" customFormat="false" ht="15" hidden="false" customHeight="false" outlineLevel="0" collapsed="false">
      <c r="A75" s="35" t="n">
        <v>46281</v>
      </c>
      <c r="B75" s="11" t="s">
        <v>337</v>
      </c>
      <c r="C75" s="31" t="n">
        <f aca="false">SUMIFS(EMCALI!$C:$C,EMCALI!$A:$A,$A75,EMCALI!$G:$G,"A")</f>
        <v>1973.88</v>
      </c>
      <c r="D75" s="31" t="n">
        <f aca="false">SUMIFS(EMCALI!$C:$C,EMCALI!$A:$A,$A75,EMCALI!$G:$G,"B")</f>
        <v>1555.68</v>
      </c>
      <c r="E75" s="31" t="n">
        <f aca="false">SUMIFS(EMCALI!$C:$C,EMCALI!$A:$A,$A75,EMCALI!$G:$G,"C")</f>
        <v>754.8</v>
      </c>
      <c r="F75" s="31" t="n">
        <f aca="false">SUMIFS(EMCALI!$C:$C,EMCALI!$A:$A,$A75,EMCALI!$G:$G,"Entre turnos")</f>
        <v>216.6</v>
      </c>
      <c r="G75" s="31" t="n">
        <f aca="false">SUMIFS(EMCALI!$C:$C,EMCALI!$A:$A,$A75,EMCALI!$G:$G,"Sin turno")</f>
        <v>0</v>
      </c>
      <c r="H75" s="33" t="n">
        <f aca="false">SUM(C75:G75)</f>
        <v>4500.96</v>
      </c>
    </row>
    <row r="76" customFormat="false" ht="15" hidden="false" customHeight="false" outlineLevel="0" collapsed="false">
      <c r="A76" s="35" t="n">
        <v>46282</v>
      </c>
      <c r="B76" s="11" t="s">
        <v>338</v>
      </c>
      <c r="C76" s="31" t="n">
        <f aca="false">SUMIFS(EMCALI!$C:$C,EMCALI!$A:$A,$A76,EMCALI!$G:$G,"A")</f>
        <v>1990.2</v>
      </c>
      <c r="D76" s="31" t="n">
        <f aca="false">SUMIFS(EMCALI!$C:$C,EMCALI!$A:$A,$A76,EMCALI!$G:$G,"B")</f>
        <v>1500.48</v>
      </c>
      <c r="E76" s="31" t="n">
        <f aca="false">SUMIFS(EMCALI!$C:$C,EMCALI!$A:$A,$A76,EMCALI!$G:$G,"C")</f>
        <v>741.72</v>
      </c>
      <c r="F76" s="31" t="n">
        <f aca="false">SUMIFS(EMCALI!$C:$C,EMCALI!$A:$A,$A76,EMCALI!$G:$G,"Entre turnos")</f>
        <v>215.64</v>
      </c>
      <c r="G76" s="31" t="n">
        <f aca="false">SUMIFS(EMCALI!$C:$C,EMCALI!$A:$A,$A76,EMCALI!$G:$G,"Sin turno")</f>
        <v>0</v>
      </c>
      <c r="H76" s="33" t="n">
        <f aca="false">SUM(C76:G76)</f>
        <v>4448.04</v>
      </c>
    </row>
    <row r="77" customFormat="false" ht="15" hidden="false" customHeight="false" outlineLevel="0" collapsed="false">
      <c r="A77" s="35" t="n">
        <v>46283</v>
      </c>
      <c r="B77" s="11" t="s">
        <v>339</v>
      </c>
      <c r="C77" s="31" t="n">
        <f aca="false">SUMIFS(EMCALI!$C:$C,EMCALI!$A:$A,$A77,EMCALI!$G:$G,"A")</f>
        <v>2005.68</v>
      </c>
      <c r="D77" s="31" t="n">
        <f aca="false">SUMIFS(EMCALI!$C:$C,EMCALI!$A:$A,$A77,EMCALI!$G:$G,"B")</f>
        <v>1474.2</v>
      </c>
      <c r="E77" s="31" t="n">
        <f aca="false">SUMIFS(EMCALI!$C:$C,EMCALI!$A:$A,$A77,EMCALI!$G:$G,"C")</f>
        <v>796.44</v>
      </c>
      <c r="F77" s="31" t="n">
        <f aca="false">SUMIFS(EMCALI!$C:$C,EMCALI!$A:$A,$A77,EMCALI!$G:$G,"Entre turnos")</f>
        <v>211.92</v>
      </c>
      <c r="G77" s="31" t="n">
        <f aca="false">SUMIFS(EMCALI!$C:$C,EMCALI!$A:$A,$A77,EMCALI!$G:$G,"Sin turno")</f>
        <v>0</v>
      </c>
      <c r="H77" s="33" t="n">
        <f aca="false">SUM(C77:G77)</f>
        <v>4488.24</v>
      </c>
    </row>
    <row r="78" customFormat="false" ht="15" hidden="false" customHeight="false" outlineLevel="0" collapsed="false">
      <c r="A78" s="35" t="n">
        <v>46284</v>
      </c>
      <c r="B78" s="11" t="s">
        <v>340</v>
      </c>
      <c r="C78" s="31" t="n">
        <f aca="false">SUMIFS(EMCALI!$C:$C,EMCALI!$A:$A,$A78,EMCALI!$G:$G,"A")</f>
        <v>1737.12</v>
      </c>
      <c r="D78" s="31" t="n">
        <f aca="false">SUMIFS(EMCALI!$C:$C,EMCALI!$A:$A,$A78,EMCALI!$G:$G,"B")</f>
        <v>1282.44</v>
      </c>
      <c r="E78" s="31" t="n">
        <f aca="false">SUMIFS(EMCALI!$C:$C,EMCALI!$A:$A,$A78,EMCALI!$G:$G,"C")</f>
        <v>664.32</v>
      </c>
      <c r="F78" s="31" t="n">
        <f aca="false">SUMIFS(EMCALI!$C:$C,EMCALI!$A:$A,$A78,EMCALI!$G:$G,"Entre turnos")</f>
        <v>146.52</v>
      </c>
      <c r="G78" s="31" t="n">
        <f aca="false">SUMIFS(EMCALI!$C:$C,EMCALI!$A:$A,$A78,EMCALI!$G:$G,"Sin turno")</f>
        <v>45.96</v>
      </c>
      <c r="H78" s="33" t="n">
        <f aca="false">SUM(C78:G78)</f>
        <v>3876.36</v>
      </c>
    </row>
    <row r="79" customFormat="false" ht="15" hidden="false" customHeight="false" outlineLevel="0" collapsed="false">
      <c r="A79" s="35" t="n">
        <v>46285</v>
      </c>
      <c r="B79" s="11" t="s">
        <v>341</v>
      </c>
      <c r="C79" s="31" t="n">
        <f aca="false">SUMIFS(EMCALI!$C:$C,EMCALI!$A:$A,$A79,EMCALI!$G:$G,"A")</f>
        <v>0</v>
      </c>
      <c r="D79" s="31" t="n">
        <f aca="false">SUMIFS(EMCALI!$C:$C,EMCALI!$A:$A,$A79,EMCALI!$G:$G,"B")</f>
        <v>0</v>
      </c>
      <c r="E79" s="31" t="n">
        <f aca="false">SUMIFS(EMCALI!$C:$C,EMCALI!$A:$A,$A79,EMCALI!$G:$G,"C")</f>
        <v>84.12</v>
      </c>
      <c r="F79" s="31" t="n">
        <f aca="false">SUMIFS(EMCALI!$C:$C,EMCALI!$A:$A,$A79,EMCALI!$G:$G,"Entre turnos")</f>
        <v>0</v>
      </c>
      <c r="G79" s="31" t="n">
        <f aca="false">SUMIFS(EMCALI!$C:$C,EMCALI!$A:$A,$A79,EMCALI!$G:$G,"Sin turno")</f>
        <v>1068.72</v>
      </c>
      <c r="H79" s="33" t="n">
        <f aca="false">SUM(C79:G79)</f>
        <v>1152.84</v>
      </c>
    </row>
    <row r="80" customFormat="false" ht="15" hidden="false" customHeight="false" outlineLevel="0" collapsed="false">
      <c r="A80" s="35" t="n">
        <v>46286</v>
      </c>
      <c r="B80" s="11" t="s">
        <v>335</v>
      </c>
      <c r="C80" s="31" t="n">
        <f aca="false">SUMIFS(EMCALI!$C:$C,EMCALI!$A:$A,$A80,EMCALI!$G:$G,"A")</f>
        <v>1996.08</v>
      </c>
      <c r="D80" s="31" t="n">
        <f aca="false">SUMIFS(EMCALI!$C:$C,EMCALI!$A:$A,$A80,EMCALI!$G:$G,"B")</f>
        <v>1726.8</v>
      </c>
      <c r="E80" s="31" t="n">
        <f aca="false">SUMIFS(EMCALI!$C:$C,EMCALI!$A:$A,$A80,EMCALI!$G:$G,"C")</f>
        <v>841.44</v>
      </c>
      <c r="F80" s="31" t="n">
        <f aca="false">SUMIFS(EMCALI!$C:$C,EMCALI!$A:$A,$A80,EMCALI!$G:$G,"Entre turnos")</f>
        <v>412.08</v>
      </c>
      <c r="G80" s="31" t="n">
        <f aca="false">SUMIFS(EMCALI!$C:$C,EMCALI!$A:$A,$A80,EMCALI!$G:$G,"Sin turno")</f>
        <v>0</v>
      </c>
      <c r="H80" s="33" t="n">
        <f aca="false">SUM(C80:G80)</f>
        <v>4976.4</v>
      </c>
    </row>
    <row r="81" customFormat="false" ht="15" hidden="false" customHeight="false" outlineLevel="0" collapsed="false">
      <c r="A81" s="35" t="n">
        <v>46287</v>
      </c>
      <c r="B81" s="11" t="s">
        <v>336</v>
      </c>
      <c r="C81" s="31" t="n">
        <f aca="false">SUMIFS(EMCALI!$C:$C,EMCALI!$A:$A,$A81,EMCALI!$G:$G,"A")</f>
        <v>1861.92</v>
      </c>
      <c r="D81" s="31" t="n">
        <f aca="false">SUMIFS(EMCALI!$C:$C,EMCALI!$A:$A,$A81,EMCALI!$G:$G,"B")</f>
        <v>1692.6</v>
      </c>
      <c r="E81" s="31" t="n">
        <f aca="false">SUMIFS(EMCALI!$C:$C,EMCALI!$A:$A,$A81,EMCALI!$G:$G,"C")</f>
        <v>850.08</v>
      </c>
      <c r="F81" s="31" t="n">
        <f aca="false">SUMIFS(EMCALI!$C:$C,EMCALI!$A:$A,$A81,EMCALI!$G:$G,"Entre turnos")</f>
        <v>407.16</v>
      </c>
      <c r="G81" s="31" t="n">
        <f aca="false">SUMIFS(EMCALI!$C:$C,EMCALI!$A:$A,$A81,EMCALI!$G:$G,"Sin turno")</f>
        <v>0</v>
      </c>
      <c r="H81" s="33" t="n">
        <f aca="false">SUM(C81:G81)</f>
        <v>4811.76</v>
      </c>
    </row>
    <row r="82" customFormat="false" ht="15" hidden="false" customHeight="false" outlineLevel="0" collapsed="false">
      <c r="A82" s="35" t="n">
        <v>46288</v>
      </c>
      <c r="B82" s="11" t="s">
        <v>337</v>
      </c>
      <c r="C82" s="31" t="n">
        <f aca="false">SUMIFS(EMCALI!$C:$C,EMCALI!$A:$A,$A82,EMCALI!$G:$G,"A")</f>
        <v>1690.32</v>
      </c>
      <c r="D82" s="31" t="n">
        <f aca="false">SUMIFS(EMCALI!$C:$C,EMCALI!$A:$A,$A82,EMCALI!$G:$G,"B")</f>
        <v>1663.92</v>
      </c>
      <c r="E82" s="31" t="n">
        <f aca="false">SUMIFS(EMCALI!$C:$C,EMCALI!$A:$A,$A82,EMCALI!$G:$G,"C")</f>
        <v>818.16</v>
      </c>
      <c r="F82" s="31" t="n">
        <f aca="false">SUMIFS(EMCALI!$C:$C,EMCALI!$A:$A,$A82,EMCALI!$G:$G,"Entre turnos")</f>
        <v>439.92</v>
      </c>
      <c r="G82" s="31" t="n">
        <f aca="false">SUMIFS(EMCALI!$C:$C,EMCALI!$A:$A,$A82,EMCALI!$G:$G,"Sin turno")</f>
        <v>0</v>
      </c>
      <c r="H82" s="33" t="n">
        <f aca="false">SUM(C82:G82)</f>
        <v>4612.32</v>
      </c>
    </row>
    <row r="83" customFormat="false" ht="15" hidden="false" customHeight="false" outlineLevel="0" collapsed="false">
      <c r="A83" s="35" t="n">
        <v>46289</v>
      </c>
      <c r="B83" s="11" t="s">
        <v>338</v>
      </c>
      <c r="C83" s="31" t="n">
        <f aca="false">SUMIFS(EMCALI!$C:$C,EMCALI!$A:$A,$A83,EMCALI!$G:$G,"A")</f>
        <v>1743.84</v>
      </c>
      <c r="D83" s="31" t="n">
        <f aca="false">SUMIFS(EMCALI!$C:$C,EMCALI!$A:$A,$A83,EMCALI!$G:$G,"B")</f>
        <v>1706.4</v>
      </c>
      <c r="E83" s="31" t="n">
        <f aca="false">SUMIFS(EMCALI!$C:$C,EMCALI!$A:$A,$A83,EMCALI!$G:$G,"C")</f>
        <v>838.8</v>
      </c>
      <c r="F83" s="31" t="n">
        <f aca="false">SUMIFS(EMCALI!$C:$C,EMCALI!$A:$A,$A83,EMCALI!$G:$G,"Entre turnos")</f>
        <v>412.8</v>
      </c>
      <c r="G83" s="31" t="n">
        <f aca="false">SUMIFS(EMCALI!$C:$C,EMCALI!$A:$A,$A83,EMCALI!$G:$G,"Sin turno")</f>
        <v>0</v>
      </c>
      <c r="H83" s="33" t="n">
        <f aca="false">SUM(C83:G83)</f>
        <v>4701.84</v>
      </c>
    </row>
    <row r="84" customFormat="false" ht="15" hidden="false" customHeight="false" outlineLevel="0" collapsed="false">
      <c r="A84" s="35" t="n">
        <v>46290</v>
      </c>
      <c r="B84" s="11" t="s">
        <v>339</v>
      </c>
      <c r="C84" s="31" t="n">
        <f aca="false">SUMIFS(EMCALI!$C:$C,EMCALI!$A:$A,$A84,EMCALI!$G:$G,"A")</f>
        <v>1576.44</v>
      </c>
      <c r="D84" s="31" t="n">
        <f aca="false">SUMIFS(EMCALI!$C:$C,EMCALI!$A:$A,$A84,EMCALI!$G:$G,"B")</f>
        <v>1570.92</v>
      </c>
      <c r="E84" s="31" t="n">
        <f aca="false">SUMIFS(EMCALI!$C:$C,EMCALI!$A:$A,$A84,EMCALI!$G:$G,"C")</f>
        <v>813.96</v>
      </c>
      <c r="F84" s="31" t="n">
        <f aca="false">SUMIFS(EMCALI!$C:$C,EMCALI!$A:$A,$A84,EMCALI!$G:$G,"Entre turnos")</f>
        <v>383.76</v>
      </c>
      <c r="G84" s="31" t="n">
        <f aca="false">SUMIFS(EMCALI!$C:$C,EMCALI!$A:$A,$A84,EMCALI!$G:$G,"Sin turno")</f>
        <v>0</v>
      </c>
      <c r="H84" s="33" t="n">
        <f aca="false">SUM(C84:G84)</f>
        <v>4345.08</v>
      </c>
    </row>
    <row r="85" customFormat="false" ht="15" hidden="false" customHeight="false" outlineLevel="0" collapsed="false">
      <c r="A85" s="35" t="n">
        <v>46291</v>
      </c>
      <c r="B85" s="11" t="s">
        <v>340</v>
      </c>
      <c r="C85" s="31" t="n">
        <f aca="false">SUMIFS(EMCALI!$C:$C,EMCALI!$A:$A,$A85,EMCALI!$G:$G,"A")</f>
        <v>668.76</v>
      </c>
      <c r="D85" s="31" t="n">
        <f aca="false">SUMIFS(EMCALI!$C:$C,EMCALI!$A:$A,$A85,EMCALI!$G:$G,"B")</f>
        <v>508.56</v>
      </c>
      <c r="E85" s="31" t="n">
        <f aca="false">SUMIFS(EMCALI!$C:$C,EMCALI!$A:$A,$A85,EMCALI!$G:$G,"C")</f>
        <v>567.24</v>
      </c>
      <c r="F85" s="31" t="n">
        <f aca="false">SUMIFS(EMCALI!$C:$C,EMCALI!$A:$A,$A85,EMCALI!$G:$G,"Entre turnos")</f>
        <v>121.2</v>
      </c>
      <c r="G85" s="31" t="n">
        <f aca="false">SUMIFS(EMCALI!$C:$C,EMCALI!$A:$A,$A85,EMCALI!$G:$G,"Sin turno")</f>
        <v>58.92</v>
      </c>
      <c r="H85" s="33" t="n">
        <f aca="false">SUM(C85:G85)</f>
        <v>1924.68</v>
      </c>
    </row>
    <row r="86" customFormat="false" ht="15" hidden="false" customHeight="false" outlineLevel="0" collapsed="false">
      <c r="A86" s="35" t="n">
        <v>46292</v>
      </c>
      <c r="B86" s="11" t="s">
        <v>341</v>
      </c>
      <c r="C86" s="31" t="n">
        <f aca="false">SUMIFS(EMCALI!$C:$C,EMCALI!$A:$A,$A86,EMCALI!$G:$G,"A")</f>
        <v>0</v>
      </c>
      <c r="D86" s="31" t="n">
        <f aca="false">SUMIFS(EMCALI!$C:$C,EMCALI!$A:$A,$A86,EMCALI!$G:$G,"B")</f>
        <v>0</v>
      </c>
      <c r="E86" s="31" t="n">
        <f aca="false">SUMIFS(EMCALI!$C:$C,EMCALI!$A:$A,$A86,EMCALI!$G:$G,"C")</f>
        <v>69</v>
      </c>
      <c r="F86" s="31" t="n">
        <f aca="false">SUMIFS(EMCALI!$C:$C,EMCALI!$A:$A,$A86,EMCALI!$G:$G,"Entre turnos")</f>
        <v>0</v>
      </c>
      <c r="G86" s="31" t="n">
        <f aca="false">SUMIFS(EMCALI!$C:$C,EMCALI!$A:$A,$A86,EMCALI!$G:$G,"Sin turno")</f>
        <v>1528.8</v>
      </c>
      <c r="H86" s="33" t="n">
        <f aca="false">SUM(C86:G86)</f>
        <v>1597.8</v>
      </c>
    </row>
    <row r="87" customFormat="false" ht="15" hidden="false" customHeight="false" outlineLevel="0" collapsed="false">
      <c r="A87" s="35" t="n">
        <v>46293</v>
      </c>
      <c r="B87" s="11" t="s">
        <v>335</v>
      </c>
      <c r="C87" s="31" t="n">
        <f aca="false">SUMIFS(EMCALI!$C:$C,EMCALI!$A:$A,$A87,EMCALI!$G:$G,"A")</f>
        <v>1977.6</v>
      </c>
      <c r="D87" s="31" t="n">
        <f aca="false">SUMIFS(EMCALI!$C:$C,EMCALI!$A:$A,$A87,EMCALI!$G:$G,"B")</f>
        <v>1518.6</v>
      </c>
      <c r="E87" s="31" t="n">
        <f aca="false">SUMIFS(EMCALI!$C:$C,EMCALI!$A:$A,$A87,EMCALI!$G:$G,"C")</f>
        <v>744.84</v>
      </c>
      <c r="F87" s="31" t="n">
        <f aca="false">SUMIFS(EMCALI!$C:$C,EMCALI!$A:$A,$A87,EMCALI!$G:$G,"Entre turnos")</f>
        <v>280.68</v>
      </c>
      <c r="G87" s="31" t="n">
        <f aca="false">SUMIFS(EMCALI!$C:$C,EMCALI!$A:$A,$A87,EMCALI!$G:$G,"Sin turno")</f>
        <v>0</v>
      </c>
      <c r="H87" s="33" t="n">
        <f aca="false">SUM(C87:G87)</f>
        <v>4521.72</v>
      </c>
    </row>
    <row r="88" customFormat="false" ht="15" hidden="false" customHeight="false" outlineLevel="0" collapsed="false">
      <c r="A88" s="35" t="n">
        <v>46294</v>
      </c>
      <c r="B88" s="11" t="s">
        <v>336</v>
      </c>
      <c r="C88" s="31" t="n">
        <f aca="false">SUMIFS(EMCALI!$C:$C,EMCALI!$A:$A,$A88,EMCALI!$G:$G,"A")</f>
        <v>1890.72</v>
      </c>
      <c r="D88" s="31" t="n">
        <f aca="false">SUMIFS(EMCALI!$C:$C,EMCALI!$A:$A,$A88,EMCALI!$G:$G,"B")</f>
        <v>1619.64</v>
      </c>
      <c r="E88" s="31" t="n">
        <f aca="false">SUMIFS(EMCALI!$C:$C,EMCALI!$A:$A,$A88,EMCALI!$G:$G,"C")</f>
        <v>832.44</v>
      </c>
      <c r="F88" s="31" t="n">
        <f aca="false">SUMIFS(EMCALI!$C:$C,EMCALI!$A:$A,$A88,EMCALI!$G:$G,"Entre turnos")</f>
        <v>247.08</v>
      </c>
      <c r="G88" s="31" t="n">
        <f aca="false">SUMIFS(EMCALI!$C:$C,EMCALI!$A:$A,$A88,EMCALI!$G:$G,"Sin turno")</f>
        <v>0</v>
      </c>
      <c r="H88" s="33" t="n">
        <f aca="false">SUM(C88:G88)</f>
        <v>4589.88</v>
      </c>
    </row>
    <row r="89" customFormat="false" ht="15" hidden="false" customHeight="false" outlineLevel="0" collapsed="false">
      <c r="A89" s="35" t="n">
        <v>46295</v>
      </c>
      <c r="B89" s="11" t="s">
        <v>337</v>
      </c>
      <c r="C89" s="31" t="n">
        <f aca="false">SUMIFS(EMCALI!$C:$C,EMCALI!$A:$A,$A89,EMCALI!$G:$G,"A")</f>
        <v>1206.72</v>
      </c>
      <c r="D89" s="31" t="n">
        <f aca="false">SUMIFS(EMCALI!$C:$C,EMCALI!$A:$A,$A89,EMCALI!$G:$G,"B")</f>
        <v>984.36</v>
      </c>
      <c r="E89" s="31" t="n">
        <f aca="false">SUMIFS(EMCALI!$C:$C,EMCALI!$A:$A,$A89,EMCALI!$G:$G,"C")</f>
        <v>751.44</v>
      </c>
      <c r="F89" s="31" t="n">
        <f aca="false">SUMIFS(EMCALI!$C:$C,EMCALI!$A:$A,$A89,EMCALI!$G:$G,"Entre turnos")</f>
        <v>181.56</v>
      </c>
      <c r="G89" s="31" t="n">
        <f aca="false">SUMIFS(EMCALI!$C:$C,EMCALI!$A:$A,$A89,EMCALI!$G:$G,"Sin turno")</f>
        <v>0</v>
      </c>
      <c r="H89" s="33" t="n">
        <f aca="false">SUM(C89:G89)</f>
        <v>3124.08</v>
      </c>
    </row>
    <row r="90" customFormat="false" ht="15" hidden="false" customHeight="false" outlineLevel="0" collapsed="false">
      <c r="A90" s="35" t="n">
        <v>46296</v>
      </c>
      <c r="B90" s="11" t="s">
        <v>338</v>
      </c>
      <c r="C90" s="31" t="n">
        <f aca="false">SUMIFS(EMCALI!$C:$C,EMCALI!$A:$A,$A90,EMCALI!$G:$G,"A")</f>
        <v>1848.36</v>
      </c>
      <c r="D90" s="31" t="n">
        <f aca="false">SUMIFS(EMCALI!$C:$C,EMCALI!$A:$A,$A90,EMCALI!$G:$G,"B")</f>
        <v>1499.76</v>
      </c>
      <c r="E90" s="31" t="n">
        <f aca="false">SUMIFS(EMCALI!$C:$C,EMCALI!$A:$A,$A90,EMCALI!$G:$G,"C")</f>
        <v>703.08</v>
      </c>
      <c r="F90" s="31" t="n">
        <f aca="false">SUMIFS(EMCALI!$C:$C,EMCALI!$A:$A,$A90,EMCALI!$G:$G,"Entre turnos")</f>
        <v>275.04</v>
      </c>
      <c r="G90" s="31" t="n">
        <f aca="false">SUMIFS(EMCALI!$C:$C,EMCALI!$A:$A,$A90,EMCALI!$G:$G,"Sin turno")</f>
        <v>0</v>
      </c>
      <c r="H90" s="33" t="n">
        <f aca="false">SUM(C90:G90)</f>
        <v>4326.24</v>
      </c>
    </row>
    <row r="91" customFormat="false" ht="15" hidden="false" customHeight="false" outlineLevel="0" collapsed="false">
      <c r="A91" s="35" t="n">
        <v>46297</v>
      </c>
      <c r="B91" s="11" t="s">
        <v>339</v>
      </c>
      <c r="C91" s="31" t="n">
        <f aca="false">SUMIFS(EMCALI!$C:$C,EMCALI!$A:$A,$A91,EMCALI!$G:$G,"A")</f>
        <v>2012.64</v>
      </c>
      <c r="D91" s="31" t="n">
        <f aca="false">SUMIFS(EMCALI!$C:$C,EMCALI!$A:$A,$A91,EMCALI!$G:$G,"B")</f>
        <v>1560.36</v>
      </c>
      <c r="E91" s="31" t="n">
        <f aca="false">SUMIFS(EMCALI!$C:$C,EMCALI!$A:$A,$A91,EMCALI!$G:$G,"C")</f>
        <v>821.04</v>
      </c>
      <c r="F91" s="31" t="n">
        <f aca="false">SUMIFS(EMCALI!$C:$C,EMCALI!$A:$A,$A91,EMCALI!$G:$G,"Entre turnos")</f>
        <v>287.76</v>
      </c>
      <c r="G91" s="31" t="n">
        <f aca="false">SUMIFS(EMCALI!$C:$C,EMCALI!$A:$A,$A91,EMCALI!$G:$G,"Sin turno")</f>
        <v>0</v>
      </c>
      <c r="H91" s="33" t="n">
        <f aca="false">SUM(C91:G91)</f>
        <v>4681.8</v>
      </c>
    </row>
    <row r="92" customFormat="false" ht="15" hidden="false" customHeight="false" outlineLevel="0" collapsed="false">
      <c r="A92" s="35" t="n">
        <v>46298</v>
      </c>
      <c r="B92" s="11" t="s">
        <v>340</v>
      </c>
      <c r="C92" s="31" t="n">
        <f aca="false">SUMIFS(EMCALI!$C:$C,EMCALI!$A:$A,$A92,EMCALI!$G:$G,"A")</f>
        <v>1503.6</v>
      </c>
      <c r="D92" s="31" t="n">
        <f aca="false">SUMIFS(EMCALI!$C:$C,EMCALI!$A:$A,$A92,EMCALI!$G:$G,"B")</f>
        <v>1191.84</v>
      </c>
      <c r="E92" s="31" t="n">
        <f aca="false">SUMIFS(EMCALI!$C:$C,EMCALI!$A:$A,$A92,EMCALI!$G:$G,"C")</f>
        <v>779.52</v>
      </c>
      <c r="F92" s="31" t="n">
        <f aca="false">SUMIFS(EMCALI!$C:$C,EMCALI!$A:$A,$A92,EMCALI!$G:$G,"Entre turnos")</f>
        <v>130.92</v>
      </c>
      <c r="G92" s="31" t="n">
        <f aca="false">SUMIFS(EMCALI!$C:$C,EMCALI!$A:$A,$A92,EMCALI!$G:$G,"Sin turno")</f>
        <v>44.52</v>
      </c>
      <c r="H92" s="33" t="n">
        <f aca="false">SUM(C92:G92)</f>
        <v>3650.4</v>
      </c>
    </row>
    <row r="93" customFormat="false" ht="15" hidden="false" customHeight="false" outlineLevel="0" collapsed="false">
      <c r="A93" s="35" t="n">
        <v>46299</v>
      </c>
      <c r="B93" s="11" t="s">
        <v>341</v>
      </c>
      <c r="C93" s="31" t="n">
        <f aca="false">SUMIFS(EMCALI!$C:$C,EMCALI!$A:$A,$A93,EMCALI!$G:$G,"A")</f>
        <v>0</v>
      </c>
      <c r="D93" s="31" t="n">
        <f aca="false">SUMIFS(EMCALI!$C:$C,EMCALI!$A:$A,$A93,EMCALI!$G:$G,"B")</f>
        <v>0</v>
      </c>
      <c r="E93" s="31" t="n">
        <f aca="false">SUMIFS(EMCALI!$C:$C,EMCALI!$A:$A,$A93,EMCALI!$G:$G,"C")</f>
        <v>65.76</v>
      </c>
      <c r="F93" s="31" t="n">
        <f aca="false">SUMIFS(EMCALI!$C:$C,EMCALI!$A:$A,$A93,EMCALI!$G:$G,"Entre turnos")</f>
        <v>0</v>
      </c>
      <c r="G93" s="31" t="n">
        <f aca="false">SUMIFS(EMCALI!$C:$C,EMCALI!$A:$A,$A93,EMCALI!$G:$G,"Sin turno")</f>
        <v>1115.16</v>
      </c>
      <c r="H93" s="33" t="n">
        <f aca="false">SUM(C93:G93)</f>
        <v>1180.92</v>
      </c>
    </row>
    <row r="94" customFormat="false" ht="15" hidden="false" customHeight="false" outlineLevel="0" collapsed="false">
      <c r="A94" s="35" t="n">
        <v>46300</v>
      </c>
      <c r="B94" s="11" t="s">
        <v>335</v>
      </c>
      <c r="C94" s="31" t="n">
        <f aca="false">SUMIFS(EMCALI!$C:$C,EMCALI!$A:$A,$A94,EMCALI!$G:$G,"A")</f>
        <v>1837.32</v>
      </c>
      <c r="D94" s="31" t="n">
        <f aca="false">SUMIFS(EMCALI!$C:$C,EMCALI!$A:$A,$A94,EMCALI!$G:$G,"B")</f>
        <v>1706.64</v>
      </c>
      <c r="E94" s="31" t="n">
        <f aca="false">SUMIFS(EMCALI!$C:$C,EMCALI!$A:$A,$A94,EMCALI!$G:$G,"C")</f>
        <v>754.92</v>
      </c>
      <c r="F94" s="31" t="n">
        <f aca="false">SUMIFS(EMCALI!$C:$C,EMCALI!$A:$A,$A94,EMCALI!$G:$G,"Entre turnos")</f>
        <v>247.44</v>
      </c>
      <c r="G94" s="31" t="n">
        <f aca="false">SUMIFS(EMCALI!$C:$C,EMCALI!$A:$A,$A94,EMCALI!$G:$G,"Sin turno")</f>
        <v>0</v>
      </c>
      <c r="H94" s="33" t="n">
        <f aca="false">SUM(C94:G94)</f>
        <v>4546.32</v>
      </c>
    </row>
    <row r="95" customFormat="false" ht="15" hidden="false" customHeight="false" outlineLevel="0" collapsed="false">
      <c r="A95" s="35" t="n">
        <v>46301</v>
      </c>
      <c r="B95" s="11" t="s">
        <v>336</v>
      </c>
      <c r="C95" s="31" t="n">
        <f aca="false">SUMIFS(EMCALI!$C:$C,EMCALI!$A:$A,$A95,EMCALI!$G:$G,"A")</f>
        <v>1820.64</v>
      </c>
      <c r="D95" s="31" t="n">
        <f aca="false">SUMIFS(EMCALI!$C:$C,EMCALI!$A:$A,$A95,EMCALI!$G:$G,"B")</f>
        <v>1555.44</v>
      </c>
      <c r="E95" s="31" t="n">
        <f aca="false">SUMIFS(EMCALI!$C:$C,EMCALI!$A:$A,$A95,EMCALI!$G:$G,"C")</f>
        <v>950.04</v>
      </c>
      <c r="F95" s="31" t="n">
        <f aca="false">SUMIFS(EMCALI!$C:$C,EMCALI!$A:$A,$A95,EMCALI!$G:$G,"Entre turnos")</f>
        <v>212.52</v>
      </c>
      <c r="G95" s="31" t="n">
        <f aca="false">SUMIFS(EMCALI!$C:$C,EMCALI!$A:$A,$A95,EMCALI!$G:$G,"Sin turno")</f>
        <v>0</v>
      </c>
      <c r="H95" s="33" t="n">
        <f aca="false">SUM(C95:G95)</f>
        <v>4538.64</v>
      </c>
    </row>
    <row r="96" customFormat="false" ht="15" hidden="false" customHeight="false" outlineLevel="0" collapsed="false">
      <c r="A96" s="35" t="n">
        <v>46302</v>
      </c>
      <c r="B96" s="11" t="s">
        <v>337</v>
      </c>
      <c r="C96" s="31" t="n">
        <f aca="false">SUMIFS(EMCALI!$C:$C,EMCALI!$A:$A,$A96,EMCALI!$G:$G,"A")</f>
        <v>1671.24</v>
      </c>
      <c r="D96" s="31" t="n">
        <f aca="false">SUMIFS(EMCALI!$C:$C,EMCALI!$A:$A,$A96,EMCALI!$G:$G,"B")</f>
        <v>1538.52</v>
      </c>
      <c r="E96" s="31" t="n">
        <f aca="false">SUMIFS(EMCALI!$C:$C,EMCALI!$A:$A,$A96,EMCALI!$G:$G,"C")</f>
        <v>825.48</v>
      </c>
      <c r="F96" s="31" t="n">
        <f aca="false">SUMIFS(EMCALI!$C:$C,EMCALI!$A:$A,$A96,EMCALI!$G:$G,"Entre turnos")</f>
        <v>208.44</v>
      </c>
      <c r="G96" s="31" t="n">
        <f aca="false">SUMIFS(EMCALI!$C:$C,EMCALI!$A:$A,$A96,EMCALI!$G:$G,"Sin turno")</f>
        <v>0</v>
      </c>
      <c r="H96" s="33" t="n">
        <f aca="false">SUM(C96:G96)</f>
        <v>4243.68</v>
      </c>
    </row>
    <row r="97" customFormat="false" ht="15" hidden="false" customHeight="false" outlineLevel="0" collapsed="false">
      <c r="A97" s="35" t="n">
        <v>46303</v>
      </c>
      <c r="B97" s="11" t="s">
        <v>338</v>
      </c>
      <c r="C97" s="31" t="n">
        <f aca="false">SUMIFS(EMCALI!$C:$C,EMCALI!$A:$A,$A97,EMCALI!$G:$G,"A")</f>
        <v>1837.2</v>
      </c>
      <c r="D97" s="31" t="n">
        <f aca="false">SUMIFS(EMCALI!$C:$C,EMCALI!$A:$A,$A97,EMCALI!$G:$G,"B")</f>
        <v>1572.6</v>
      </c>
      <c r="E97" s="31" t="n">
        <f aca="false">SUMIFS(EMCALI!$C:$C,EMCALI!$A:$A,$A97,EMCALI!$G:$G,"C")</f>
        <v>822.48</v>
      </c>
      <c r="F97" s="31" t="n">
        <f aca="false">SUMIFS(EMCALI!$C:$C,EMCALI!$A:$A,$A97,EMCALI!$G:$G,"Entre turnos")</f>
        <v>223.32</v>
      </c>
      <c r="G97" s="31" t="n">
        <f aca="false">SUMIFS(EMCALI!$C:$C,EMCALI!$A:$A,$A97,EMCALI!$G:$G,"Sin turno")</f>
        <v>0</v>
      </c>
      <c r="H97" s="33" t="n">
        <f aca="false">SUM(C97:G97)</f>
        <v>4455.6</v>
      </c>
    </row>
    <row r="98" customFormat="false" ht="15" hidden="false" customHeight="false" outlineLevel="0" collapsed="false">
      <c r="A98" s="35" t="n">
        <v>46304</v>
      </c>
      <c r="B98" s="11" t="s">
        <v>339</v>
      </c>
      <c r="C98" s="31" t="n">
        <f aca="false">SUMIFS(EMCALI!$C:$C,EMCALI!$A:$A,$A98,EMCALI!$G:$G,"A")</f>
        <v>1981.8</v>
      </c>
      <c r="D98" s="31" t="n">
        <f aca="false">SUMIFS(EMCALI!$C:$C,EMCALI!$A:$A,$A98,EMCALI!$G:$G,"B")</f>
        <v>1716.84</v>
      </c>
      <c r="E98" s="31" t="n">
        <f aca="false">SUMIFS(EMCALI!$C:$C,EMCALI!$A:$A,$A98,EMCALI!$G:$G,"C")</f>
        <v>878.16</v>
      </c>
      <c r="F98" s="31" t="n">
        <f aca="false">SUMIFS(EMCALI!$C:$C,EMCALI!$A:$A,$A98,EMCALI!$G:$G,"Entre turnos")</f>
        <v>217.56</v>
      </c>
      <c r="G98" s="31" t="n">
        <f aca="false">SUMIFS(EMCALI!$C:$C,EMCALI!$A:$A,$A98,EMCALI!$G:$G,"Sin turno")</f>
        <v>0</v>
      </c>
      <c r="H98" s="33" t="n">
        <f aca="false">SUM(C98:G98)</f>
        <v>4794.36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5" min="3" style="0" width="11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24"/>
    <col collapsed="false" customWidth="true" hidden="false" outlineLevel="0" max="27" min="27" style="0" width="9"/>
  </cols>
  <sheetData>
    <row r="1" customFormat="false" ht="17.35" hidden="false" customHeight="false" outlineLevel="0" collapsed="false">
      <c r="A1" s="30" t="s">
        <v>342</v>
      </c>
    </row>
    <row r="2" customFormat="false" ht="15" hidden="false" customHeight="false" outlineLevel="0" collapsed="false">
      <c r="A2" s="2" t="s">
        <v>343</v>
      </c>
    </row>
    <row r="3" customFormat="false" ht="15" hidden="false" customHeight="false" outlineLevel="0" collapsed="false">
      <c r="AA3" s="34" t="s">
        <v>344</v>
      </c>
    </row>
    <row r="4" customFormat="false" ht="15" hidden="false" customHeight="false" outlineLevel="0" collapsed="false">
      <c r="A4" s="3" t="s">
        <v>345</v>
      </c>
      <c r="C4" s="3" t="s">
        <v>346</v>
      </c>
      <c r="E4" s="3" t="s">
        <v>347</v>
      </c>
      <c r="G4" s="3" t="s">
        <v>348</v>
      </c>
      <c r="I4" s="3" t="s">
        <v>349</v>
      </c>
      <c r="K4" s="3" t="s">
        <v>350</v>
      </c>
      <c r="AA4" s="10" t="s">
        <v>11</v>
      </c>
      <c r="AB4" s="10" t="s">
        <v>351</v>
      </c>
      <c r="AC4" s="10" t="s">
        <v>352</v>
      </c>
      <c r="AD4" s="10" t="s">
        <v>336</v>
      </c>
      <c r="AE4" s="10" t="s">
        <v>353</v>
      </c>
      <c r="AF4" s="10" t="s">
        <v>354</v>
      </c>
      <c r="AG4" s="10" t="s">
        <v>355</v>
      </c>
      <c r="AH4" s="10" t="s">
        <v>356</v>
      </c>
      <c r="AI4" s="10" t="s">
        <v>357</v>
      </c>
    </row>
    <row r="5" customFormat="false" ht="22.05" hidden="false" customHeight="false" outlineLevel="0" collapsed="false">
      <c r="A5" s="36" t="n">
        <f aca="false">COUNT($G$13:$G$101)</f>
        <v>14</v>
      </c>
      <c r="C5" s="37" t="n">
        <f aca="false">IFERROR(SUMIFS($F$13:$F$101,$G$13:$G$101,"&gt;0")/SUMIFS($E$13:$E$101,$G$13:$G$101,"&gt;0")*1000,"")</f>
        <v>54.523010412743</v>
      </c>
      <c r="E5" s="37" t="n">
        <f aca="false">IFERROR(SUMIFS($H$13:$H$101,$I$13:$I$101,"&gt;0")/SUMIFS($C$13:$C$101,$I$13:$I$101,"&gt;0")*1000,"")</f>
        <v>29.5289379355893</v>
      </c>
      <c r="G5" s="37" t="n">
        <f aca="false">IFERROR(SUMIFS($J$13:$J$101,$K$13:$K$101,"&gt;0")/SUMIFS($D$13:$D$101,$K$13:$K$101,"&gt;0")*1000,"")</f>
        <v>46.1952412493325</v>
      </c>
      <c r="I5" s="37" t="n">
        <f aca="false">IF(COUNT($G$13:$G$101)=0,"",MIN($G$13:$G$101))</f>
        <v>38.4648246529711</v>
      </c>
      <c r="K5" s="37" t="n">
        <f aca="false">IF(COUNT($G$13:$G$101)=0,"",MAX($G$13:$G$101))</f>
        <v>110.04374481498</v>
      </c>
      <c r="AA5" s="22" t="s">
        <v>358</v>
      </c>
      <c r="AB5" s="31" t="n">
        <f aca="false">SUMIFS(DatosProd!$D:$D,DatosProd!$B:$B,"L2",DatosProd!$E:$E,1)</f>
        <v>779.317</v>
      </c>
      <c r="AC5" s="31" t="n">
        <f aca="false">SUMIFS(DatosProd!$D:$D,DatosProd!$B:$B,"L2",DatosProd!$E:$E,2)</f>
        <v>0</v>
      </c>
      <c r="AD5" s="31" t="n">
        <f aca="false">SUMIFS(DatosProd!$D:$D,DatosProd!$B:$B,"L2",DatosProd!$E:$E,3)</f>
        <v>0</v>
      </c>
      <c r="AE5" s="31" t="n">
        <f aca="false">SUMIFS(DatosProd!$D:$D,DatosProd!$B:$B,"L2",DatosProd!$E:$E,4)</f>
        <v>0</v>
      </c>
      <c r="AF5" s="31" t="n">
        <f aca="false">SUMIFS(DatosProd!$D:$D,DatosProd!$B:$B,"L2",DatosProd!$E:$E,5)</f>
        <v>0</v>
      </c>
      <c r="AG5" s="31" t="n">
        <f aca="false">SUMIFS(DatosProd!$D:$D,DatosProd!$B:$B,"L2",DatosProd!$E:$E,6)</f>
        <v>0</v>
      </c>
      <c r="AH5" s="31" t="n">
        <f aca="false">SUMIFS(DatosProd!$D:$D,DatosProd!$B:$B,"L2",DatosProd!$E:$E,7)</f>
        <v>0</v>
      </c>
      <c r="AI5" s="31" t="n">
        <f aca="false">SUMIFS(DatosProd!$D:$D,DatosProd!$B:$B,"L2",DatosProd!$E:$E,8)</f>
        <v>0</v>
      </c>
    </row>
    <row r="6" customFormat="false" ht="15" hidden="false" customHeight="false" outlineLevel="0" collapsed="false">
      <c r="AA6" s="22" t="s">
        <v>359</v>
      </c>
      <c r="AB6" s="31" t="n">
        <f aca="false">SUMIFS(DatosProd!$D:$D,DatosProd!$B:$B,"L3",DatosProd!$E:$E,1)</f>
        <v>78912.475</v>
      </c>
      <c r="AC6" s="31" t="n">
        <f aca="false">SUMIFS(DatosProd!$D:$D,DatosProd!$B:$B,"L3",DatosProd!$E:$E,2)</f>
        <v>17630.237</v>
      </c>
      <c r="AD6" s="31" t="n">
        <f aca="false">SUMIFS(DatosProd!$D:$D,DatosProd!$B:$B,"L3",DatosProd!$E:$E,3)</f>
        <v>47664.98</v>
      </c>
      <c r="AE6" s="31" t="n">
        <f aca="false">SUMIFS(DatosProd!$D:$D,DatosProd!$B:$B,"L3",DatosProd!$E:$E,4)</f>
        <v>37243.77</v>
      </c>
      <c r="AF6" s="31" t="n">
        <f aca="false">SUMIFS(DatosProd!$D:$D,DatosProd!$B:$B,"L3",DatosProd!$E:$E,5)</f>
        <v>12414.869</v>
      </c>
      <c r="AG6" s="31" t="n">
        <f aca="false">SUMIFS(DatosProd!$D:$D,DatosProd!$B:$B,"L3",DatosProd!$E:$E,6)</f>
        <v>63339.468</v>
      </c>
      <c r="AH6" s="31" t="n">
        <f aca="false">SUMIFS(DatosProd!$D:$D,DatosProd!$B:$B,"L3",DatosProd!$E:$E,7)</f>
        <v>44444.519</v>
      </c>
      <c r="AI6" s="31" t="n">
        <f aca="false">SUMIFS(DatosProd!$D:$D,DatosProd!$B:$B,"L3",DatosProd!$E:$E,8)</f>
        <v>4623.645</v>
      </c>
    </row>
    <row r="7" customFormat="false" ht="15" hidden="false" customHeight="false" outlineLevel="0" collapsed="false">
      <c r="AA7" s="22" t="s">
        <v>360</v>
      </c>
      <c r="AB7" s="31" t="n">
        <f aca="false">SUMIFS(DatosProd!$D:$D,DatosProd!$B:$B,"L7",DatosProd!$E:$E,1)</f>
        <v>0</v>
      </c>
      <c r="AC7" s="31" t="n">
        <f aca="false">SUMIFS(DatosProd!$D:$D,DatosProd!$B:$B,"L7",DatosProd!$E:$E,2)</f>
        <v>0</v>
      </c>
      <c r="AD7" s="31" t="n">
        <f aca="false">SUMIFS(DatosProd!$D:$D,DatosProd!$B:$B,"L7",DatosProd!$E:$E,3)</f>
        <v>0</v>
      </c>
      <c r="AE7" s="31" t="n">
        <f aca="false">SUMIFS(DatosProd!$D:$D,DatosProd!$B:$B,"L7",DatosProd!$E:$E,4)</f>
        <v>0</v>
      </c>
      <c r="AF7" s="31" t="n">
        <f aca="false">SUMIFS(DatosProd!$D:$D,DatosProd!$B:$B,"L7",DatosProd!$E:$E,5)</f>
        <v>0</v>
      </c>
      <c r="AG7" s="31" t="n">
        <f aca="false">SUMIFS(DatosProd!$D:$D,DatosProd!$B:$B,"L7",DatosProd!$E:$E,6)</f>
        <v>2309.562</v>
      </c>
      <c r="AH7" s="31" t="n">
        <f aca="false">SUMIFS(DatosProd!$D:$D,DatosProd!$B:$B,"L7",DatosProd!$E:$E,7)</f>
        <v>2280.589</v>
      </c>
      <c r="AI7" s="31" t="n">
        <f aca="false">SUMIFS(DatosProd!$D:$D,DatosProd!$B:$B,"L7",DatosProd!$E:$E,8)</f>
        <v>0</v>
      </c>
    </row>
    <row r="8" customFormat="false" ht="15" hidden="false" customHeight="false" outlineLevel="0" collapsed="false">
      <c r="AA8" s="22" t="s">
        <v>361</v>
      </c>
      <c r="AB8" s="31" t="n">
        <f aca="false">SUMIFS(DatosProd!$D:$D,DatosProd!$B:$B,"L10",DatosProd!$E:$E,1)</f>
        <v>194066.592</v>
      </c>
      <c r="AC8" s="31" t="n">
        <f aca="false">SUMIFS(DatosProd!$D:$D,DatosProd!$B:$B,"L10",DatosProd!$E:$E,2)</f>
        <v>519604.575</v>
      </c>
      <c r="AD8" s="31" t="n">
        <f aca="false">SUMIFS(DatosProd!$D:$D,DatosProd!$B:$B,"L10",DatosProd!$E:$E,3)</f>
        <v>328876.504</v>
      </c>
      <c r="AE8" s="31" t="n">
        <f aca="false">SUMIFS(DatosProd!$D:$D,DatosProd!$B:$B,"L10",DatosProd!$E:$E,4)</f>
        <v>405056.928</v>
      </c>
      <c r="AF8" s="31" t="n">
        <f aca="false">SUMIFS(DatosProd!$D:$D,DatosProd!$B:$B,"L10",DatosProd!$E:$E,5)</f>
        <v>351969.457</v>
      </c>
      <c r="AG8" s="31" t="n">
        <f aca="false">SUMIFS(DatosProd!$D:$D,DatosProd!$B:$B,"L10",DatosProd!$E:$E,6)</f>
        <v>513469.076</v>
      </c>
      <c r="AH8" s="31" t="n">
        <f aca="false">SUMIFS(DatosProd!$D:$D,DatosProd!$B:$B,"L10",DatosProd!$E:$E,7)</f>
        <v>417159.924</v>
      </c>
      <c r="AI8" s="31" t="n">
        <f aca="false">SUMIFS(DatosProd!$D:$D,DatosProd!$B:$B,"L10",DatosProd!$E:$E,8)</f>
        <v>52123.755</v>
      </c>
    </row>
    <row r="9" customFormat="false" ht="15" hidden="false" customHeight="false" outlineLevel="0" collapsed="false">
      <c r="AA9" s="22" t="s">
        <v>362</v>
      </c>
      <c r="AB9" s="31" t="n">
        <f aca="false">SUMIFS(DatosProd!$D:$D,DatosProd!$B:$B,"L11",DatosProd!$E:$E,1)</f>
        <v>29663.311</v>
      </c>
      <c r="AC9" s="31" t="n">
        <f aca="false">SUMIFS(DatosProd!$D:$D,DatosProd!$B:$B,"L11",DatosProd!$E:$E,2)</f>
        <v>24681.934</v>
      </c>
      <c r="AD9" s="31" t="n">
        <f aca="false">SUMIFS(DatosProd!$D:$D,DatosProd!$B:$B,"L11",DatosProd!$E:$E,3)</f>
        <v>56501.199</v>
      </c>
      <c r="AE9" s="31" t="n">
        <f aca="false">SUMIFS(DatosProd!$D:$D,DatosProd!$B:$B,"L11",DatosProd!$E:$E,4)</f>
        <v>26614.65</v>
      </c>
      <c r="AF9" s="31" t="n">
        <f aca="false">SUMIFS(DatosProd!$D:$D,DatosProd!$B:$B,"L11",DatosProd!$E:$E,5)</f>
        <v>37027.241</v>
      </c>
      <c r="AG9" s="31" t="n">
        <f aca="false">SUMIFS(DatosProd!$D:$D,DatosProd!$B:$B,"L11",DatosProd!$E:$E,6)</f>
        <v>58416.029</v>
      </c>
      <c r="AH9" s="31" t="n">
        <f aca="false">SUMIFS(DatosProd!$D:$D,DatosProd!$B:$B,"L11",DatosProd!$E:$E,7)</f>
        <v>53866.786</v>
      </c>
      <c r="AI9" s="31" t="n">
        <f aca="false">SUMIFS(DatosProd!$D:$D,DatosProd!$B:$B,"L11",DatosProd!$E:$E,8)</f>
        <v>0</v>
      </c>
    </row>
    <row r="10" customFormat="false" ht="15" hidden="false" customHeight="false" outlineLevel="0" collapsed="false">
      <c r="AA10" s="22" t="s">
        <v>186</v>
      </c>
      <c r="AB10" s="31" t="n">
        <f aca="false">SUMIFS(DatosProd!$D:$D,DatosProd!$B:$B,"L14",DatosProd!$E:$E,1)</f>
        <v>247101.116</v>
      </c>
      <c r="AC10" s="31" t="n">
        <f aca="false">SUMIFS(DatosProd!$D:$D,DatosProd!$B:$B,"L14",DatosProd!$E:$E,2)</f>
        <v>289009.597</v>
      </c>
      <c r="AD10" s="31" t="n">
        <f aca="false">SUMIFS(DatosProd!$D:$D,DatosProd!$B:$B,"L14",DatosProd!$E:$E,3)</f>
        <v>303212.315</v>
      </c>
      <c r="AE10" s="31" t="n">
        <f aca="false">SUMIFS(DatosProd!$D:$D,DatosProd!$B:$B,"L14",DatosProd!$E:$E,4)</f>
        <v>403480.553</v>
      </c>
      <c r="AF10" s="31" t="n">
        <f aca="false">SUMIFS(DatosProd!$D:$D,DatosProd!$B:$B,"L14",DatosProd!$E:$E,5)</f>
        <v>272391.659</v>
      </c>
      <c r="AG10" s="31" t="n">
        <f aca="false">SUMIFS(DatosProd!$D:$D,DatosProd!$B:$B,"L14",DatosProd!$E:$E,6)</f>
        <v>262044.577</v>
      </c>
      <c r="AH10" s="31" t="n">
        <f aca="false">SUMIFS(DatosProd!$D:$D,DatosProd!$B:$B,"L14",DatosProd!$E:$E,7)</f>
        <v>285780.562</v>
      </c>
      <c r="AI10" s="31" t="n">
        <f aca="false">SUMIFS(DatosProd!$D:$D,DatosProd!$B:$B,"L14",DatosProd!$E:$E,8)</f>
        <v>0</v>
      </c>
    </row>
    <row r="11" customFormat="false" ht="15" hidden="false" customHeight="false" outlineLevel="0" collapsed="false">
      <c r="A11" s="34" t="s">
        <v>363</v>
      </c>
      <c r="AA11" s="22" t="s">
        <v>188</v>
      </c>
      <c r="AB11" s="31" t="n">
        <f aca="false">SUMIFS(DatosProd!$D:$D,DatosProd!$B:$B,"L16",DatosProd!$E:$E,1)</f>
        <v>11470.9</v>
      </c>
      <c r="AC11" s="31" t="n">
        <f aca="false">SUMIFS(DatosProd!$D:$D,DatosProd!$B:$B,"L16",DatosProd!$E:$E,2)</f>
        <v>26352.2</v>
      </c>
      <c r="AD11" s="31" t="n">
        <f aca="false">SUMIFS(DatosProd!$D:$D,DatosProd!$B:$B,"L16",DatosProd!$E:$E,3)</f>
        <v>26068</v>
      </c>
      <c r="AE11" s="31" t="n">
        <f aca="false">SUMIFS(DatosProd!$D:$D,DatosProd!$B:$B,"L16",DatosProd!$E:$E,4)</f>
        <v>15724.1</v>
      </c>
      <c r="AF11" s="31" t="n">
        <f aca="false">SUMIFS(DatosProd!$D:$D,DatosProd!$B:$B,"L16",DatosProd!$E:$E,5)</f>
        <v>36607.9</v>
      </c>
      <c r="AG11" s="31" t="n">
        <f aca="false">SUMIFS(DatosProd!$D:$D,DatosProd!$B:$B,"L16",DatosProd!$E:$E,6)</f>
        <v>37068.5</v>
      </c>
      <c r="AH11" s="31" t="n">
        <f aca="false">SUMIFS(DatosProd!$D:$D,DatosProd!$B:$B,"L16",DatosProd!$E:$E,7)</f>
        <v>42061.6</v>
      </c>
      <c r="AI11" s="31" t="n">
        <f aca="false">SUMIFS(DatosProd!$D:$D,DatosProd!$B:$B,"L16",DatosProd!$E:$E,8)</f>
        <v>2288.3</v>
      </c>
    </row>
    <row r="12" customFormat="false" ht="30" hidden="false" customHeight="true" outlineLevel="0" collapsed="false">
      <c r="A12" s="10" t="s">
        <v>39</v>
      </c>
      <c r="B12" s="10" t="s">
        <v>333</v>
      </c>
      <c r="C12" s="10" t="s">
        <v>364</v>
      </c>
      <c r="D12" s="10" t="s">
        <v>365</v>
      </c>
      <c r="E12" s="10" t="s">
        <v>366</v>
      </c>
      <c r="F12" s="10" t="s">
        <v>367</v>
      </c>
      <c r="G12" s="10" t="s">
        <v>368</v>
      </c>
      <c r="H12" s="10" t="s">
        <v>369</v>
      </c>
      <c r="I12" s="10" t="s">
        <v>370</v>
      </c>
      <c r="J12" s="10" t="s">
        <v>371</v>
      </c>
      <c r="K12" s="10" t="s">
        <v>372</v>
      </c>
      <c r="L12" s="10" t="s">
        <v>373</v>
      </c>
      <c r="AA12" s="22" t="s">
        <v>374</v>
      </c>
      <c r="AB12" s="31" t="n">
        <f aca="false">SUMIFS(DatosProd!$D:$D,DatosProd!$B:$B,"L18",DatosProd!$E:$E,1)</f>
        <v>74689.828</v>
      </c>
      <c r="AC12" s="31" t="n">
        <f aca="false">SUMIFS(DatosProd!$D:$D,DatosProd!$B:$B,"L18",DatosProd!$E:$E,2)</f>
        <v>114658.378</v>
      </c>
      <c r="AD12" s="31" t="n">
        <f aca="false">SUMIFS(DatosProd!$D:$D,DatosProd!$B:$B,"L18",DatosProd!$E:$E,3)</f>
        <v>79124.131</v>
      </c>
      <c r="AE12" s="31" t="n">
        <f aca="false">SUMIFS(DatosProd!$D:$D,DatosProd!$B:$B,"L18",DatosProd!$E:$E,4)</f>
        <v>109314.396</v>
      </c>
      <c r="AF12" s="31" t="n">
        <f aca="false">SUMIFS(DatosProd!$D:$D,DatosProd!$B:$B,"L18",DatosProd!$E:$E,5)</f>
        <v>78000.391</v>
      </c>
      <c r="AG12" s="31" t="n">
        <f aca="false">SUMIFS(DatosProd!$D:$D,DatosProd!$B:$B,"L18",DatosProd!$E:$E,6)</f>
        <v>116182.582</v>
      </c>
      <c r="AH12" s="31" t="n">
        <f aca="false">SUMIFS(DatosProd!$D:$D,DatosProd!$B:$B,"L18",DatosProd!$E:$E,7)</f>
        <v>94989.689</v>
      </c>
      <c r="AI12" s="31" t="n">
        <f aca="false">SUMIFS(DatosProd!$D:$D,DatosProd!$B:$B,"L18",DatosProd!$E:$E,8)</f>
        <v>4229.16</v>
      </c>
    </row>
    <row r="13" customFormat="false" ht="15" hidden="false" customHeight="false" outlineLevel="0" collapsed="false">
      <c r="A13" s="35" t="n">
        <v>46216</v>
      </c>
      <c r="B13" s="11" t="s">
        <v>335</v>
      </c>
      <c r="C13" s="31" t="n">
        <f aca="false">SUMIFS(DatosProd!$D:$D,DatosProd!$A:$A,$A13,DatosProd!$C:$C,1)</f>
        <v>0</v>
      </c>
      <c r="D13" s="31" t="n">
        <f aca="false">SUMIFS(DatosProd!$D:$D,DatosProd!$A:$A,$A13,DatosProd!$C:$C,2)</f>
        <v>0</v>
      </c>
      <c r="E13" s="31" t="n">
        <f aca="false">SUMIFS(DatosProd!$D:$D,DatosProd!$A:$A,$A13)</f>
        <v>0</v>
      </c>
      <c r="F13" s="31" t="n">
        <f aca="false">IF(COUNTIFS(EMCALI!$A:$A,$A13,EMCALI!$C:$C,"&lt;&gt;")&lt;24,"",SUMIFS(EMCALI!$C:$C,EMCALI!$A:$A,$A13))</f>
        <v>1354.56</v>
      </c>
      <c r="G13" s="38" t="str">
        <f aca="false">IF(OR(F13="",E13=0),"",F13/E13*1000)</f>
        <v/>
      </c>
      <c r="H13" s="31" t="n">
        <f aca="false">IF(COUNTIFS(EMCALI!$A:$A,$A13,EMCALI!$G:$G,"A",EMCALI!$C:$C,"&lt;&gt;")&lt;7,"",SUMIFS(EMCALI!$C:$C,EMCALI!$A:$A,$A13,EMCALI!$G:$G,"A"))</f>
        <v>204.24</v>
      </c>
      <c r="I13" s="38" t="str">
        <f aca="false">IF(OR(H13="",C13&lt;5000),"",H13/C13*1000)</f>
        <v/>
      </c>
      <c r="J13" s="31" t="n">
        <f aca="false">IF(COUNTIFS(EMCALI!$A:$A,$A13,EMCALI!$G:$G,"B",EMCALI!$C:$C,"&lt;&gt;")&lt;7,"",SUMIFS(EMCALI!$C:$C,EMCALI!$A:$A,$A13,EMCALI!$G:$G,"B"))</f>
        <v>379.2</v>
      </c>
      <c r="K13" s="38" t="str">
        <f aca="false">IF(OR(J13="",D13&lt;5000),"",J13/D13*1000)</f>
        <v/>
      </c>
      <c r="L13" s="11" t="str">
        <f aca="false">IF(AND(E13=0,F13=""),"Sin datos",IF(E13=0,"Sin producción registrada",IF(F13="","EMCALI incompleto","")))</f>
        <v>Sin producción registrada</v>
      </c>
      <c r="AA13" s="22" t="s">
        <v>375</v>
      </c>
      <c r="AB13" s="31" t="n">
        <f aca="false">SUMIFS(DatosProd!$D:$D,DatosProd!$B:$B,"L19",DatosProd!$E:$E,1)</f>
        <v>342434.933</v>
      </c>
      <c r="AC13" s="31" t="n">
        <f aca="false">SUMIFS(DatosProd!$D:$D,DatosProd!$B:$B,"L19",DatosProd!$E:$E,2)</f>
        <v>457444.368</v>
      </c>
      <c r="AD13" s="31" t="n">
        <f aca="false">SUMIFS(DatosProd!$D:$D,DatosProd!$B:$B,"L19",DatosProd!$E:$E,3)</f>
        <v>363537.292</v>
      </c>
      <c r="AE13" s="31" t="n">
        <f aca="false">SUMIFS(DatosProd!$D:$D,DatosProd!$B:$B,"L19",DatosProd!$E:$E,4)</f>
        <v>506482.632</v>
      </c>
      <c r="AF13" s="31" t="n">
        <f aca="false">SUMIFS(DatosProd!$D:$D,DatosProd!$B:$B,"L19",DatosProd!$E:$E,5)</f>
        <v>293738.095</v>
      </c>
      <c r="AG13" s="31" t="n">
        <f aca="false">SUMIFS(DatosProd!$D:$D,DatosProd!$B:$B,"L19",DatosProd!$E:$E,6)</f>
        <v>312043.412</v>
      </c>
      <c r="AH13" s="31" t="n">
        <f aca="false">SUMIFS(DatosProd!$D:$D,DatosProd!$B:$B,"L19",DatosProd!$E:$E,7)</f>
        <v>426187.374</v>
      </c>
      <c r="AI13" s="31" t="n">
        <f aca="false">SUMIFS(DatosProd!$D:$D,DatosProd!$B:$B,"L19",DatosProd!$E:$E,8)</f>
        <v>27546.75</v>
      </c>
    </row>
    <row r="14" customFormat="false" ht="15" hidden="false" customHeight="false" outlineLevel="0" collapsed="false">
      <c r="A14" s="35" t="n">
        <v>46217</v>
      </c>
      <c r="B14" s="11" t="s">
        <v>336</v>
      </c>
      <c r="C14" s="31" t="n">
        <f aca="false">SUMIFS(DatosProd!$D:$D,DatosProd!$A:$A,$A14,DatosProd!$C:$C,1)</f>
        <v>37462.894</v>
      </c>
      <c r="D14" s="31" t="n">
        <f aca="false">SUMIFS(DatosProd!$D:$D,DatosProd!$A:$A,$A14,DatosProd!$C:$C,2)</f>
        <v>33188.065</v>
      </c>
      <c r="E14" s="31" t="n">
        <f aca="false">SUMIFS(DatosProd!$D:$D,DatosProd!$A:$A,$A14)</f>
        <v>70650.959</v>
      </c>
      <c r="F14" s="31" t="n">
        <f aca="false">IF(COUNTIFS(EMCALI!$A:$A,$A14,EMCALI!$C:$C,"&lt;&gt;")&lt;24,"",SUMIFS(EMCALI!$C:$C,EMCALI!$A:$A,$A14))</f>
        <v>4471.68</v>
      </c>
      <c r="G14" s="38" t="n">
        <f aca="false">IF(OR(F14="",E14=0),"",F14/E14*1000)</f>
        <v>63.2925591286029</v>
      </c>
      <c r="H14" s="31" t="n">
        <f aca="false">IF(COUNTIFS(EMCALI!$A:$A,$A14,EMCALI!$G:$G,"A",EMCALI!$C:$C,"&lt;&gt;")&lt;7,"",SUMIFS(EMCALI!$C:$C,EMCALI!$A:$A,$A14,EMCALI!$G:$G,"A"))</f>
        <v>1302.12</v>
      </c>
      <c r="I14" s="38" t="n">
        <f aca="false">IF(OR(H14="",C14&lt;5000),"",H14/C14*1000)</f>
        <v>34.7575924059684</v>
      </c>
      <c r="J14" s="31" t="n">
        <f aca="false">IF(COUNTIFS(EMCALI!$A:$A,$A14,EMCALI!$G:$G,"B",EMCALI!$C:$C,"&lt;&gt;")&lt;7,"",SUMIFS(EMCALI!$C:$C,EMCALI!$A:$A,$A14,EMCALI!$G:$G,"B"))</f>
        <v>1539.48</v>
      </c>
      <c r="K14" s="38" t="n">
        <f aca="false">IF(OR(J14="",D14&lt;5000),"",J14/D14*1000)</f>
        <v>46.3865549256939</v>
      </c>
      <c r="L14" s="11" t="str">
        <f aca="false">IF(AND(E14=0,F14=""),"Sin datos",IF(E14=0,"Sin producción registrada",IF(F14="","EMCALI incompleto","")))</f>
        <v/>
      </c>
      <c r="AA14" s="22" t="s">
        <v>187</v>
      </c>
      <c r="AB14" s="31" t="n">
        <f aca="false">SUMIFS(DatosProd!$D:$D,DatosProd!$B:$B,"L20",DatosProd!$E:$E,1)</f>
        <v>153633.352</v>
      </c>
      <c r="AC14" s="31" t="n">
        <f aca="false">SUMIFS(DatosProd!$D:$D,DatosProd!$B:$B,"L20",DatosProd!$E:$E,2)</f>
        <v>144833.629</v>
      </c>
      <c r="AD14" s="31" t="n">
        <f aca="false">SUMIFS(DatosProd!$D:$D,DatosProd!$B:$B,"L20",DatosProd!$E:$E,3)</f>
        <v>152723.015</v>
      </c>
      <c r="AE14" s="31" t="n">
        <f aca="false">SUMIFS(DatosProd!$D:$D,DatosProd!$B:$B,"L20",DatosProd!$E:$E,4)</f>
        <v>180039.806</v>
      </c>
      <c r="AF14" s="31" t="n">
        <f aca="false">SUMIFS(DatosProd!$D:$D,DatosProd!$B:$B,"L20",DatosProd!$E:$E,5)</f>
        <v>141877.491</v>
      </c>
      <c r="AG14" s="31" t="n">
        <f aca="false">SUMIFS(DatosProd!$D:$D,DatosProd!$B:$B,"L20",DatosProd!$E:$E,6)</f>
        <v>140084.584</v>
      </c>
      <c r="AH14" s="31" t="n">
        <f aca="false">SUMIFS(DatosProd!$D:$D,DatosProd!$B:$B,"L20",DatosProd!$E:$E,7)</f>
        <v>172887.466</v>
      </c>
      <c r="AI14" s="31" t="n">
        <f aca="false">SUMIFS(DatosProd!$D:$D,DatosProd!$B:$B,"L20",DatosProd!$E:$E,8)</f>
        <v>5872.141</v>
      </c>
    </row>
    <row r="15" customFormat="false" ht="15" hidden="false" customHeight="false" outlineLevel="0" collapsed="false">
      <c r="A15" s="35" t="n">
        <v>46218</v>
      </c>
      <c r="B15" s="11" t="s">
        <v>337</v>
      </c>
      <c r="C15" s="31" t="n">
        <f aca="false">SUMIFS(DatosProd!$D:$D,DatosProd!$A:$A,$A15,DatosProd!$C:$C,1)</f>
        <v>35311.316</v>
      </c>
      <c r="D15" s="31" t="n">
        <f aca="false">SUMIFS(DatosProd!$D:$D,DatosProd!$A:$A,$A15,DatosProd!$C:$C,2)</f>
        <v>38621.217</v>
      </c>
      <c r="E15" s="31" t="n">
        <f aca="false">SUMIFS(DatosProd!$D:$D,DatosProd!$A:$A,$A15)</f>
        <v>73932.533</v>
      </c>
      <c r="F15" s="31" t="n">
        <f aca="false">IF(COUNTIFS(EMCALI!$A:$A,$A15,EMCALI!$C:$C,"&lt;&gt;")&lt;24,"",SUMIFS(EMCALI!$C:$C,EMCALI!$A:$A,$A15))</f>
        <v>4237.08</v>
      </c>
      <c r="G15" s="38" t="n">
        <f aca="false">IF(OR(F15="",E15=0),"",F15/E15*1000)</f>
        <v>57.3100883747619</v>
      </c>
      <c r="H15" s="31" t="n">
        <f aca="false">IF(COUNTIFS(EMCALI!$A:$A,$A15,EMCALI!$G:$G,"A",EMCALI!$C:$C,"&lt;&gt;")&lt;7,"",SUMIFS(EMCALI!$C:$C,EMCALI!$A:$A,$A15,EMCALI!$G:$G,"A"))</f>
        <v>1144.2</v>
      </c>
      <c r="I15" s="38" t="n">
        <f aca="false">IF(OR(H15="",C15&lt;5000),"",H15/C15*1000)</f>
        <v>32.4032103476404</v>
      </c>
      <c r="J15" s="31" t="n">
        <f aca="false">IF(COUNTIFS(EMCALI!$A:$A,$A15,EMCALI!$G:$G,"B",EMCALI!$C:$C,"&lt;&gt;")&lt;7,"",SUMIFS(EMCALI!$C:$C,EMCALI!$A:$A,$A15,EMCALI!$G:$G,"B"))</f>
        <v>1565.52</v>
      </c>
      <c r="K15" s="38" t="n">
        <f aca="false">IF(OR(J15="",D15&lt;5000),"",J15/D15*1000)</f>
        <v>40.535232227405</v>
      </c>
      <c r="L15" s="11" t="str">
        <f aca="false">IF(AND(E15=0,F15=""),"Sin datos",IF(E15=0,"Sin producción registrada",IF(F15="","EMCALI incompleto","")))</f>
        <v/>
      </c>
      <c r="AA15" s="22" t="s">
        <v>189</v>
      </c>
      <c r="AB15" s="31" t="n">
        <f aca="false">SUMIFS(DatosProd!$D:$D,DatosProd!$B:$B,"L22",DatosProd!$E:$E,1)</f>
        <v>361957.812</v>
      </c>
      <c r="AC15" s="31" t="n">
        <f aca="false">SUMIFS(DatosProd!$D:$D,DatosProd!$B:$B,"L22",DatosProd!$E:$E,2)</f>
        <v>378334.797</v>
      </c>
      <c r="AD15" s="31" t="n">
        <f aca="false">SUMIFS(DatosProd!$D:$D,DatosProd!$B:$B,"L22",DatosProd!$E:$E,3)</f>
        <v>318054.12</v>
      </c>
      <c r="AE15" s="31" t="n">
        <f aca="false">SUMIFS(DatosProd!$D:$D,DatosProd!$B:$B,"L22",DatosProd!$E:$E,4)</f>
        <v>351427.167</v>
      </c>
      <c r="AF15" s="31" t="n">
        <f aca="false">SUMIFS(DatosProd!$D:$D,DatosProd!$B:$B,"L22",DatosProd!$E:$E,5)</f>
        <v>306994.156</v>
      </c>
      <c r="AG15" s="31" t="n">
        <f aca="false">SUMIFS(DatosProd!$D:$D,DatosProd!$B:$B,"L22",DatosProd!$E:$E,6)</f>
        <v>245763.551</v>
      </c>
      <c r="AH15" s="31" t="n">
        <f aca="false">SUMIFS(DatosProd!$D:$D,DatosProd!$B:$B,"L22",DatosProd!$E:$E,7)</f>
        <v>334996.548</v>
      </c>
      <c r="AI15" s="31" t="n">
        <f aca="false">SUMIFS(DatosProd!$D:$D,DatosProd!$B:$B,"L22",DatosProd!$E:$E,8)</f>
        <v>35311.141</v>
      </c>
    </row>
    <row r="16" customFormat="false" ht="15" hidden="false" customHeight="false" outlineLevel="0" collapsed="false">
      <c r="A16" s="35" t="n">
        <v>46219</v>
      </c>
      <c r="B16" s="11" t="s">
        <v>338</v>
      </c>
      <c r="C16" s="31" t="n">
        <f aca="false">SUMIFS(DatosProd!$D:$D,DatosProd!$A:$A,$A16,DatosProd!$C:$C,1)</f>
        <v>43827.215</v>
      </c>
      <c r="D16" s="31" t="n">
        <f aca="false">SUMIFS(DatosProd!$D:$D,DatosProd!$A:$A,$A16,DatosProd!$C:$C,2)</f>
        <v>57182.746</v>
      </c>
      <c r="E16" s="31" t="n">
        <f aca="false">SUMIFS(DatosProd!$D:$D,DatosProd!$A:$A,$A16)</f>
        <v>101009.961</v>
      </c>
      <c r="F16" s="31" t="n">
        <f aca="false">IF(COUNTIFS(EMCALI!$A:$A,$A16,EMCALI!$C:$C,"&lt;&gt;")&lt;24,"",SUMIFS(EMCALI!$C:$C,EMCALI!$A:$A,$A16))</f>
        <v>4313.28</v>
      </c>
      <c r="G16" s="38" t="n">
        <f aca="false">IF(OR(F16="",E16=0),"",F16/E16*1000)</f>
        <v>42.7015311885924</v>
      </c>
      <c r="H16" s="31" t="n">
        <f aca="false">IF(COUNTIFS(EMCALI!$A:$A,$A16,EMCALI!$G:$G,"A",EMCALI!$C:$C,"&lt;&gt;")&lt;7,"",SUMIFS(EMCALI!$C:$C,EMCALI!$A:$A,$A16,EMCALI!$G:$G,"A"))</f>
        <v>1250.76</v>
      </c>
      <c r="I16" s="38" t="n">
        <f aca="false">IF(OR(H16="",C16&lt;5000),"",H16/C16*1000)</f>
        <v>28.5384321134711</v>
      </c>
      <c r="J16" s="31" t="n">
        <f aca="false">IF(COUNTIFS(EMCALI!$A:$A,$A16,EMCALI!$G:$G,"B",EMCALI!$C:$C,"&lt;&gt;")&lt;7,"",SUMIFS(EMCALI!$C:$C,EMCALI!$A:$A,$A16,EMCALI!$G:$G,"B"))</f>
        <v>1523.28</v>
      </c>
      <c r="K16" s="38" t="n">
        <f aca="false">IF(OR(J16="",D16&lt;5000),"",J16/D16*1000)</f>
        <v>26.6388046492206</v>
      </c>
      <c r="L16" s="11" t="str">
        <f aca="false">IF(AND(E16=0,F16=""),"Sin datos",IF(E16=0,"Sin producción registrada",IF(F16="","EMCALI incompleto","")))</f>
        <v/>
      </c>
      <c r="AA16" s="22" t="s">
        <v>294</v>
      </c>
      <c r="AB16" s="33" t="n">
        <f aca="false">SUMIFS(DatosProd!$D:$D,DatosProd!$E:$E,1)</f>
        <v>1494709.636</v>
      </c>
      <c r="AC16" s="33" t="n">
        <f aca="false">SUMIFS(DatosProd!$D:$D,DatosProd!$E:$E,2)</f>
        <v>1972549.715</v>
      </c>
      <c r="AD16" s="33" t="n">
        <f aca="false">SUMIFS(DatosProd!$D:$D,DatosProd!$E:$E,3)</f>
        <v>1675761.556</v>
      </c>
      <c r="AE16" s="33" t="n">
        <f aca="false">SUMIFS(DatosProd!$D:$D,DatosProd!$E:$E,4)</f>
        <v>2035384.002</v>
      </c>
      <c r="AF16" s="33" t="n">
        <f aca="false">SUMIFS(DatosProd!$D:$D,DatosProd!$E:$E,5)</f>
        <v>1531021.259</v>
      </c>
      <c r="AG16" s="33" t="n">
        <f aca="false">SUMIFS(DatosProd!$D:$D,DatosProd!$E:$E,6)</f>
        <v>1750721.341</v>
      </c>
      <c r="AH16" s="33" t="n">
        <f aca="false">SUMIFS(DatosProd!$D:$D,DatosProd!$E:$E,7)</f>
        <v>1874655.057</v>
      </c>
      <c r="AI16" s="33" t="n">
        <f aca="false">SUMIFS(DatosProd!$D:$D,DatosProd!$E:$E,8)</f>
        <v>131994.892</v>
      </c>
    </row>
    <row r="17" customFormat="false" ht="15" hidden="false" customHeight="false" outlineLevel="0" collapsed="false">
      <c r="A17" s="35" t="n">
        <v>46220</v>
      </c>
      <c r="B17" s="11" t="s">
        <v>339</v>
      </c>
      <c r="C17" s="31" t="n">
        <f aca="false">SUMIFS(DatosProd!$D:$D,DatosProd!$A:$A,$A17,DatosProd!$C:$C,1)</f>
        <v>38690.939</v>
      </c>
      <c r="D17" s="31" t="n">
        <f aca="false">SUMIFS(DatosProd!$D:$D,DatosProd!$A:$A,$A17,DatosProd!$C:$C,2)</f>
        <v>32175.127</v>
      </c>
      <c r="E17" s="31" t="n">
        <f aca="false">SUMIFS(DatosProd!$D:$D,DatosProd!$A:$A,$A17)</f>
        <v>70866.066</v>
      </c>
      <c r="F17" s="31" t="n">
        <f aca="false">IF(COUNTIFS(EMCALI!$A:$A,$A17,EMCALI!$C:$C,"&lt;&gt;")&lt;24,"",SUMIFS(EMCALI!$C:$C,EMCALI!$A:$A,$A17))</f>
        <v>4017.24</v>
      </c>
      <c r="G17" s="38" t="n">
        <f aca="false">IF(OR(F17="",E17=0),"",F17/E17*1000)</f>
        <v>56.6877805803415</v>
      </c>
      <c r="H17" s="31" t="n">
        <f aca="false">IF(COUNTIFS(EMCALI!$A:$A,$A17,EMCALI!$G:$G,"A",EMCALI!$C:$C,"&lt;&gt;")&lt;7,"",SUMIFS(EMCALI!$C:$C,EMCALI!$A:$A,$A17,EMCALI!$G:$G,"A"))</f>
        <v>1248</v>
      </c>
      <c r="I17" s="38" t="n">
        <f aca="false">IF(OR(H17="",C17&lt;5000),"",H17/C17*1000)</f>
        <v>32.2556141633058</v>
      </c>
      <c r="J17" s="31" t="n">
        <f aca="false">IF(COUNTIFS(EMCALI!$A:$A,$A17,EMCALI!$G:$G,"B",EMCALI!$C:$C,"&lt;&gt;")&lt;7,"",SUMIFS(EMCALI!$C:$C,EMCALI!$A:$A,$A17,EMCALI!$G:$G,"B"))</f>
        <v>1333.92</v>
      </c>
      <c r="K17" s="38" t="n">
        <f aca="false">IF(OR(J17="",D17&lt;5000),"",J17/D17*1000)</f>
        <v>41.4581114163124</v>
      </c>
      <c r="L17" s="11" t="str">
        <f aca="false">IF(AND(E17=0,F17=""),"Sin datos",IF(E17=0,"Sin producción registrada",IF(F17="","EMCALI incompleto","")))</f>
        <v/>
      </c>
    </row>
    <row r="18" customFormat="false" ht="15" hidden="false" customHeight="false" outlineLevel="0" collapsed="false">
      <c r="A18" s="35" t="n">
        <v>46221</v>
      </c>
      <c r="B18" s="11" t="s">
        <v>340</v>
      </c>
      <c r="C18" s="31" t="n">
        <f aca="false">SUMIFS(DatosProd!$D:$D,DatosProd!$A:$A,$A18,DatosProd!$C:$C,1)</f>
        <v>37917.411</v>
      </c>
      <c r="D18" s="31" t="n">
        <f aca="false">SUMIFS(DatosProd!$D:$D,DatosProd!$A:$A,$A18,DatosProd!$C:$C,2)</f>
        <v>53778.567</v>
      </c>
      <c r="E18" s="31" t="n">
        <f aca="false">SUMIFS(DatosProd!$D:$D,DatosProd!$A:$A,$A18)</f>
        <v>91695.978</v>
      </c>
      <c r="F18" s="31" t="str">
        <f aca="false">IF(COUNTIFS(EMCALI!$A:$A,$A18,EMCALI!$C:$C,"&lt;&gt;")&lt;24,"",SUMIFS(EMCALI!$C:$C,EMCALI!$A:$A,$A18))</f>
        <v/>
      </c>
      <c r="G18" s="38" t="str">
        <f aca="false">IF(OR(F18="",E18=0),"",F18/E18*1000)</f>
        <v/>
      </c>
      <c r="H18" s="31" t="str">
        <f aca="false">IF(COUNTIFS(EMCALI!$A:$A,$A18,EMCALI!$G:$G,"A",EMCALI!$C:$C,"&lt;&gt;")&lt;7,"",SUMIFS(EMCALI!$C:$C,EMCALI!$A:$A,$A18,EMCALI!$G:$G,"A"))</f>
        <v/>
      </c>
      <c r="I18" s="38" t="str">
        <f aca="false">IF(OR(H18="",C18&lt;5000),"",H18/C18*1000)</f>
        <v/>
      </c>
      <c r="J18" s="31" t="str">
        <f aca="false">IF(COUNTIFS(EMCALI!$A:$A,$A18,EMCALI!$G:$G,"B",EMCALI!$C:$C,"&lt;&gt;")&lt;7,"",SUMIFS(EMCALI!$C:$C,EMCALI!$A:$A,$A18,EMCALI!$G:$G,"B"))</f>
        <v/>
      </c>
      <c r="K18" s="38" t="str">
        <f aca="false">IF(OR(J18="",D18&lt;5000),"",J18/D18*1000)</f>
        <v/>
      </c>
      <c r="L18" s="11" t="str">
        <f aca="false">IF(AND(E18=0,F18=""),"Sin datos",IF(E18=0,"Sin producción registrada",IF(F18="","EMCALI incompleto","")))</f>
        <v>EMCALI incompleto</v>
      </c>
    </row>
    <row r="19" customFormat="false" ht="15" hidden="false" customHeight="false" outlineLevel="0" collapsed="false">
      <c r="A19" s="35" t="n">
        <v>46222</v>
      </c>
      <c r="B19" s="11" t="s">
        <v>341</v>
      </c>
      <c r="C19" s="31" t="n">
        <f aca="false">SUMIFS(DatosProd!$D:$D,DatosProd!$A:$A,$A19,DatosProd!$C:$C,1)</f>
        <v>0</v>
      </c>
      <c r="D19" s="31" t="n">
        <f aca="false">SUMIFS(DatosProd!$D:$D,DatosProd!$A:$A,$A19,DatosProd!$C:$C,2)</f>
        <v>0</v>
      </c>
      <c r="E19" s="31" t="n">
        <f aca="false">SUMIFS(DatosProd!$D:$D,DatosProd!$A:$A,$A19)</f>
        <v>0</v>
      </c>
      <c r="F19" s="31" t="str">
        <f aca="false">IF(COUNTIFS(EMCALI!$A:$A,$A19,EMCALI!$C:$C,"&lt;&gt;")&lt;24,"",SUMIFS(EMCALI!$C:$C,EMCALI!$A:$A,$A19))</f>
        <v/>
      </c>
      <c r="G19" s="38" t="str">
        <f aca="false">IF(OR(F19="",E19=0),"",F19/E19*1000)</f>
        <v/>
      </c>
      <c r="H19" s="31" t="str">
        <f aca="false">IF(COUNTIFS(EMCALI!$A:$A,$A19,EMCALI!$G:$G,"A",EMCALI!$C:$C,"&lt;&gt;")&lt;7,"",SUMIFS(EMCALI!$C:$C,EMCALI!$A:$A,$A19,EMCALI!$G:$G,"A"))</f>
        <v/>
      </c>
      <c r="I19" s="38" t="str">
        <f aca="false">IF(OR(H19="",C19&lt;5000),"",H19/C19*1000)</f>
        <v/>
      </c>
      <c r="J19" s="31" t="str">
        <f aca="false">IF(COUNTIFS(EMCALI!$A:$A,$A19,EMCALI!$G:$G,"B",EMCALI!$C:$C,"&lt;&gt;")&lt;7,"",SUMIFS(EMCALI!$C:$C,EMCALI!$A:$A,$A19,EMCALI!$G:$G,"B"))</f>
        <v/>
      </c>
      <c r="K19" s="38" t="str">
        <f aca="false">IF(OR(J19="",D19&lt;5000),"",J19/D19*1000)</f>
        <v/>
      </c>
      <c r="L19" s="11" t="str">
        <f aca="false">IF(AND(E19=0,F19=""),"Sin datos",IF(E19=0,"Sin producción registrada",IF(F19="","EMCALI incompleto","")))</f>
        <v>Sin datos</v>
      </c>
    </row>
    <row r="20" customFormat="false" ht="15" hidden="false" customHeight="false" outlineLevel="0" collapsed="false">
      <c r="A20" s="35" t="n">
        <v>46223</v>
      </c>
      <c r="B20" s="11" t="s">
        <v>335</v>
      </c>
      <c r="C20" s="31" t="n">
        <f aca="false">SUMIFS(DatosProd!$D:$D,DatosProd!$A:$A,$A20,DatosProd!$C:$C,1)</f>
        <v>0</v>
      </c>
      <c r="D20" s="31" t="n">
        <f aca="false">SUMIFS(DatosProd!$D:$D,DatosProd!$A:$A,$A20,DatosProd!$C:$C,2)</f>
        <v>0</v>
      </c>
      <c r="E20" s="31" t="n">
        <f aca="false">SUMIFS(DatosProd!$D:$D,DatosProd!$A:$A,$A20)</f>
        <v>0</v>
      </c>
      <c r="F20" s="31" t="n">
        <f aca="false">IF(COUNTIFS(EMCALI!$A:$A,$A20,EMCALI!$C:$C,"&lt;&gt;")&lt;24,"",SUMIFS(EMCALI!$C:$C,EMCALI!$A:$A,$A20))</f>
        <v>1570.56</v>
      </c>
      <c r="G20" s="38" t="str">
        <f aca="false">IF(OR(F20="",E20=0),"",F20/E20*1000)</f>
        <v/>
      </c>
      <c r="H20" s="31" t="n">
        <f aca="false">IF(COUNTIFS(EMCALI!$A:$A,$A20,EMCALI!$G:$G,"A",EMCALI!$C:$C,"&lt;&gt;")&lt;7,"",SUMIFS(EMCALI!$C:$C,EMCALI!$A:$A,$A20,EMCALI!$G:$G,"A"))</f>
        <v>264.6</v>
      </c>
      <c r="I20" s="38" t="str">
        <f aca="false">IF(OR(H20="",C20&lt;5000),"",H20/C20*1000)</f>
        <v/>
      </c>
      <c r="J20" s="31" t="n">
        <f aca="false">IF(COUNTIFS(EMCALI!$A:$A,$A20,EMCALI!$G:$G,"B",EMCALI!$C:$C,"&lt;&gt;")&lt;7,"",SUMIFS(EMCALI!$C:$C,EMCALI!$A:$A,$A20,EMCALI!$G:$G,"B"))</f>
        <v>569.76</v>
      </c>
      <c r="K20" s="38" t="str">
        <f aca="false">IF(OR(J20="",D20&lt;5000),"",J20/D20*1000)</f>
        <v/>
      </c>
      <c r="L20" s="11" t="str">
        <f aca="false">IF(AND(E20=0,F20=""),"Sin datos",IF(E20=0,"Sin producción registrada",IF(F20="","EMCALI incompleto","")))</f>
        <v>Sin producción registrada</v>
      </c>
    </row>
    <row r="21" customFormat="false" ht="15" hidden="false" customHeight="false" outlineLevel="0" collapsed="false">
      <c r="A21" s="35" t="n">
        <v>46224</v>
      </c>
      <c r="B21" s="11" t="s">
        <v>336</v>
      </c>
      <c r="C21" s="31" t="n">
        <f aca="false">SUMIFS(DatosProd!$D:$D,DatosProd!$A:$A,$A21,DatosProd!$C:$C,1)</f>
        <v>73457.651</v>
      </c>
      <c r="D21" s="31" t="n">
        <f aca="false">SUMIFS(DatosProd!$D:$D,DatosProd!$A:$A,$A21,DatosProd!$C:$C,2)</f>
        <v>15239.884</v>
      </c>
      <c r="E21" s="31" t="n">
        <f aca="false">SUMIFS(DatosProd!$D:$D,DatosProd!$A:$A,$A21)</f>
        <v>88697.535</v>
      </c>
      <c r="F21" s="31" t="n">
        <f aca="false">IF(COUNTIFS(EMCALI!$A:$A,$A21,EMCALI!$C:$C,"&lt;&gt;")&lt;24,"",SUMIFS(EMCALI!$C:$C,EMCALI!$A:$A,$A21))</f>
        <v>4178.04</v>
      </c>
      <c r="G21" s="38" t="n">
        <f aca="false">IF(OR(F21="",E21=0),"",F21/E21*1000)</f>
        <v>47.1043530127416</v>
      </c>
      <c r="H21" s="31" t="n">
        <f aca="false">IF(COUNTIFS(EMCALI!$A:$A,$A21,EMCALI!$G:$G,"A",EMCALI!$C:$C,"&lt;&gt;")&lt;7,"",SUMIFS(EMCALI!$C:$C,EMCALI!$A:$A,$A21,EMCALI!$G:$G,"A"))</f>
        <v>1540.2</v>
      </c>
      <c r="I21" s="38" t="n">
        <f aca="false">IF(OR(H21="",C21&lt;5000),"",H21/C21*1000)</f>
        <v>20.9671828466173</v>
      </c>
      <c r="J21" s="31" t="n">
        <f aca="false">IF(COUNTIFS(EMCALI!$A:$A,$A21,EMCALI!$G:$G,"B",EMCALI!$C:$C,"&lt;&gt;")&lt;7,"",SUMIFS(EMCALI!$C:$C,EMCALI!$A:$A,$A21,EMCALI!$G:$G,"B"))</f>
        <v>1366.2</v>
      </c>
      <c r="K21" s="38" t="n">
        <f aca="false">IF(OR(J21="",D21&lt;5000),"",J21/D21*1000)</f>
        <v>89.646351638897</v>
      </c>
      <c r="L21" s="11" t="str">
        <f aca="false">IF(AND(E21=0,F21=""),"Sin datos",IF(E21=0,"Sin producción registrada",IF(F21="","EMCALI incompleto","")))</f>
        <v/>
      </c>
    </row>
    <row r="22" customFormat="false" ht="15" hidden="false" customHeight="false" outlineLevel="0" collapsed="false">
      <c r="A22" s="35" t="n">
        <v>46225</v>
      </c>
      <c r="B22" s="11" t="s">
        <v>337</v>
      </c>
      <c r="C22" s="31" t="n">
        <f aca="false">SUMIFS(DatosProd!$D:$D,DatosProd!$A:$A,$A22,DatosProd!$C:$C,1)</f>
        <v>67586.254</v>
      </c>
      <c r="D22" s="31" t="n">
        <f aca="false">SUMIFS(DatosProd!$D:$D,DatosProd!$A:$A,$A22,DatosProd!$C:$C,2)</f>
        <v>26346.784</v>
      </c>
      <c r="E22" s="31" t="n">
        <f aca="false">SUMIFS(DatosProd!$D:$D,DatosProd!$A:$A,$A22)</f>
        <v>93933.038</v>
      </c>
      <c r="F22" s="31" t="n">
        <f aca="false">IF(COUNTIFS(EMCALI!$A:$A,$A22,EMCALI!$C:$C,"&lt;&gt;")&lt;24,"",SUMIFS(EMCALI!$C:$C,EMCALI!$A:$A,$A22))</f>
        <v>4356.48</v>
      </c>
      <c r="G22" s="38" t="n">
        <f aca="false">IF(OR(F22="",E22=0),"",F22/E22*1000)</f>
        <v>46.3785702321264</v>
      </c>
      <c r="H22" s="31" t="n">
        <f aca="false">IF(COUNTIFS(EMCALI!$A:$A,$A22,EMCALI!$G:$G,"A",EMCALI!$C:$C,"&lt;&gt;")&lt;7,"",SUMIFS(EMCALI!$C:$C,EMCALI!$A:$A,$A22,EMCALI!$G:$G,"A"))</f>
        <v>1628.76</v>
      </c>
      <c r="I22" s="38" t="n">
        <f aca="false">IF(OR(H22="",C22&lt;5000),"",H22/C22*1000)</f>
        <v>24.0989832044842</v>
      </c>
      <c r="J22" s="31" t="n">
        <f aca="false">IF(COUNTIFS(EMCALI!$A:$A,$A22,EMCALI!$G:$G,"B",EMCALI!$C:$C,"&lt;&gt;")&lt;7,"",SUMIFS(EMCALI!$C:$C,EMCALI!$A:$A,$A22,EMCALI!$G:$G,"B"))</f>
        <v>1365.24</v>
      </c>
      <c r="K22" s="38" t="n">
        <f aca="false">IF(OR(J22="",D22&lt;5000),"",J22/D22*1000)</f>
        <v>51.818089069239</v>
      </c>
      <c r="L22" s="11" t="str">
        <f aca="false">IF(AND(E22=0,F22=""),"Sin datos",IF(E22=0,"Sin producción registrada",IF(F22="","EMCALI incompleto","")))</f>
        <v/>
      </c>
    </row>
    <row r="23" customFormat="false" ht="15" hidden="false" customHeight="false" outlineLevel="0" collapsed="false">
      <c r="A23" s="35" t="n">
        <v>46226</v>
      </c>
      <c r="B23" s="11" t="s">
        <v>338</v>
      </c>
      <c r="C23" s="31" t="n">
        <f aca="false">SUMIFS(DatosProd!$D:$D,DatosProd!$A:$A,$A23,DatosProd!$C:$C,1)</f>
        <v>60651.436</v>
      </c>
      <c r="D23" s="31" t="n">
        <f aca="false">SUMIFS(DatosProd!$D:$D,DatosProd!$A:$A,$A23,DatosProd!$C:$C,2)</f>
        <v>31156.366</v>
      </c>
      <c r="E23" s="31" t="n">
        <f aca="false">SUMIFS(DatosProd!$D:$D,DatosProd!$A:$A,$A23)</f>
        <v>91807.802</v>
      </c>
      <c r="F23" s="31" t="n">
        <f aca="false">IF(COUNTIFS(EMCALI!$A:$A,$A23,EMCALI!$C:$C,"&lt;&gt;")&lt;24,"",SUMIFS(EMCALI!$C:$C,EMCALI!$A:$A,$A23))</f>
        <v>4470.12</v>
      </c>
      <c r="G23" s="38" t="n">
        <f aca="false">IF(OR(F23="",E23=0),"",F23/E23*1000)</f>
        <v>48.6899795291908</v>
      </c>
      <c r="H23" s="31" t="n">
        <f aca="false">IF(COUNTIFS(EMCALI!$A:$A,$A23,EMCALI!$G:$G,"A",EMCALI!$C:$C,"&lt;&gt;")&lt;7,"",SUMIFS(EMCALI!$C:$C,EMCALI!$A:$A,$A23,EMCALI!$G:$G,"A"))</f>
        <v>1685.04</v>
      </c>
      <c r="I23" s="38" t="n">
        <f aca="false">IF(OR(H23="",C23&lt;5000),"",H23/C23*1000)</f>
        <v>27.7823595141259</v>
      </c>
      <c r="J23" s="31" t="n">
        <f aca="false">IF(COUNTIFS(EMCALI!$A:$A,$A23,EMCALI!$G:$G,"B",EMCALI!$C:$C,"&lt;&gt;")&lt;7,"",SUMIFS(EMCALI!$C:$C,EMCALI!$A:$A,$A23,EMCALI!$G:$G,"B"))</f>
        <v>1442.04</v>
      </c>
      <c r="K23" s="38" t="n">
        <f aca="false">IF(OR(J23="",D23&lt;5000),"",J23/D23*1000)</f>
        <v>46.2839600741627</v>
      </c>
      <c r="L23" s="11" t="str">
        <f aca="false">IF(AND(E23=0,F23=""),"Sin datos",IF(E23=0,"Sin producción registrada",IF(F23="","EMCALI incompleto","")))</f>
        <v/>
      </c>
    </row>
    <row r="24" customFormat="false" ht="15" hidden="false" customHeight="false" outlineLevel="0" collapsed="false">
      <c r="A24" s="35" t="n">
        <v>46227</v>
      </c>
      <c r="B24" s="11" t="s">
        <v>339</v>
      </c>
      <c r="C24" s="31" t="n">
        <f aca="false">SUMIFS(DatosProd!$D:$D,DatosProd!$A:$A,$A24,DatosProd!$C:$C,1)</f>
        <v>54850.585</v>
      </c>
      <c r="D24" s="31" t="n">
        <f aca="false">SUMIFS(DatosProd!$D:$D,DatosProd!$A:$A,$A24,DatosProd!$C:$C,2)</f>
        <v>22092.607</v>
      </c>
      <c r="E24" s="31" t="n">
        <f aca="false">SUMIFS(DatosProd!$D:$D,DatosProd!$A:$A,$A24)</f>
        <v>76943.192</v>
      </c>
      <c r="F24" s="31" t="n">
        <f aca="false">IF(COUNTIFS(EMCALI!$A:$A,$A24,EMCALI!$C:$C,"&lt;&gt;")&lt;24,"",SUMIFS(EMCALI!$C:$C,EMCALI!$A:$A,$A24))</f>
        <v>3964.8</v>
      </c>
      <c r="G24" s="38" t="n">
        <f aca="false">IF(OR(F24="",E24=0),"",F24/E24*1000)</f>
        <v>51.5289253921257</v>
      </c>
      <c r="H24" s="31" t="n">
        <f aca="false">IF(COUNTIFS(EMCALI!$A:$A,$A24,EMCALI!$G:$G,"A",EMCALI!$C:$C,"&lt;&gt;")&lt;7,"",SUMIFS(EMCALI!$C:$C,EMCALI!$A:$A,$A24,EMCALI!$G:$G,"A"))</f>
        <v>1495.56</v>
      </c>
      <c r="I24" s="38" t="n">
        <f aca="false">IF(OR(H24="",C24&lt;5000),"",H24/C24*1000)</f>
        <v>27.2660720026961</v>
      </c>
      <c r="J24" s="31" t="n">
        <f aca="false">IF(COUNTIFS(EMCALI!$A:$A,$A24,EMCALI!$G:$G,"B",EMCALI!$C:$C,"&lt;&gt;")&lt;7,"",SUMIFS(EMCALI!$C:$C,EMCALI!$A:$A,$A24,EMCALI!$G:$G,"B"))</f>
        <v>1267.68</v>
      </c>
      <c r="K24" s="38" t="n">
        <f aca="false">IF(OR(J24="",D24&lt;5000),"",J24/D24*1000)</f>
        <v>57.3802811048963</v>
      </c>
      <c r="L24" s="11" t="str">
        <f aca="false">IF(AND(E24=0,F24=""),"Sin datos",IF(E24=0,"Sin producción registrada",IF(F24="","EMCALI incompleto","")))</f>
        <v/>
      </c>
    </row>
    <row r="25" customFormat="false" ht="15" hidden="false" customHeight="false" outlineLevel="0" collapsed="false">
      <c r="A25" s="35" t="n">
        <v>46228</v>
      </c>
      <c r="B25" s="11" t="s">
        <v>340</v>
      </c>
      <c r="C25" s="31" t="n">
        <f aca="false">SUMIFS(DatosProd!$D:$D,DatosProd!$A:$A,$A25,DatosProd!$C:$C,1)</f>
        <v>56439.071</v>
      </c>
      <c r="D25" s="31" t="n">
        <f aca="false">SUMIFS(DatosProd!$D:$D,DatosProd!$A:$A,$A25,DatosProd!$C:$C,2)</f>
        <v>30448.828</v>
      </c>
      <c r="E25" s="31" t="n">
        <f aca="false">SUMIFS(DatosProd!$D:$D,DatosProd!$A:$A,$A25)</f>
        <v>86887.899</v>
      </c>
      <c r="F25" s="31" t="str">
        <f aca="false">IF(COUNTIFS(EMCALI!$A:$A,$A25,EMCALI!$C:$C,"&lt;&gt;")&lt;24,"",SUMIFS(EMCALI!$C:$C,EMCALI!$A:$A,$A25))</f>
        <v/>
      </c>
      <c r="G25" s="38" t="str">
        <f aca="false">IF(OR(F25="",E25=0),"",F25/E25*1000)</f>
        <v/>
      </c>
      <c r="H25" s="31" t="str">
        <f aca="false">IF(COUNTIFS(EMCALI!$A:$A,$A25,EMCALI!$G:$G,"A",EMCALI!$C:$C,"&lt;&gt;")&lt;7,"",SUMIFS(EMCALI!$C:$C,EMCALI!$A:$A,$A25,EMCALI!$G:$G,"A"))</f>
        <v/>
      </c>
      <c r="I25" s="38" t="str">
        <f aca="false">IF(OR(H25="",C25&lt;5000),"",H25/C25*1000)</f>
        <v/>
      </c>
      <c r="J25" s="31" t="str">
        <f aca="false">IF(COUNTIFS(EMCALI!$A:$A,$A25,EMCALI!$G:$G,"B",EMCALI!$C:$C,"&lt;&gt;")&lt;7,"",SUMIFS(EMCALI!$C:$C,EMCALI!$A:$A,$A25,EMCALI!$G:$G,"B"))</f>
        <v/>
      </c>
      <c r="K25" s="38" t="str">
        <f aca="false">IF(OR(J25="",D25&lt;5000),"",J25/D25*1000)</f>
        <v/>
      </c>
      <c r="L25" s="11" t="str">
        <f aca="false">IF(AND(E25=0,F25=""),"Sin datos",IF(E25=0,"Sin producción registrada",IF(F25="","EMCALI incompleto","")))</f>
        <v>EMCALI incompleto</v>
      </c>
    </row>
    <row r="26" customFormat="false" ht="15" hidden="false" customHeight="false" outlineLevel="0" collapsed="false">
      <c r="A26" s="35" t="n">
        <v>46229</v>
      </c>
      <c r="B26" s="11" t="s">
        <v>341</v>
      </c>
      <c r="C26" s="31" t="n">
        <f aca="false">SUMIFS(DatosProd!$D:$D,DatosProd!$A:$A,$A26,DatosProd!$C:$C,1)</f>
        <v>0</v>
      </c>
      <c r="D26" s="31" t="n">
        <f aca="false">SUMIFS(DatosProd!$D:$D,DatosProd!$A:$A,$A26,DatosProd!$C:$C,2)</f>
        <v>0</v>
      </c>
      <c r="E26" s="31" t="n">
        <f aca="false">SUMIFS(DatosProd!$D:$D,DatosProd!$A:$A,$A26)</f>
        <v>0</v>
      </c>
      <c r="F26" s="31" t="str">
        <f aca="false">IF(COUNTIFS(EMCALI!$A:$A,$A26,EMCALI!$C:$C,"&lt;&gt;")&lt;24,"",SUMIFS(EMCALI!$C:$C,EMCALI!$A:$A,$A26))</f>
        <v/>
      </c>
      <c r="G26" s="38" t="str">
        <f aca="false">IF(OR(F26="",E26=0),"",F26/E26*1000)</f>
        <v/>
      </c>
      <c r="H26" s="31" t="str">
        <f aca="false">IF(COUNTIFS(EMCALI!$A:$A,$A26,EMCALI!$G:$G,"A",EMCALI!$C:$C,"&lt;&gt;")&lt;7,"",SUMIFS(EMCALI!$C:$C,EMCALI!$A:$A,$A26,EMCALI!$G:$G,"A"))</f>
        <v/>
      </c>
      <c r="I26" s="38" t="str">
        <f aca="false">IF(OR(H26="",C26&lt;5000),"",H26/C26*1000)</f>
        <v/>
      </c>
      <c r="J26" s="31" t="str">
        <f aca="false">IF(COUNTIFS(EMCALI!$A:$A,$A26,EMCALI!$G:$G,"B",EMCALI!$C:$C,"&lt;&gt;")&lt;7,"",SUMIFS(EMCALI!$C:$C,EMCALI!$A:$A,$A26,EMCALI!$G:$G,"B"))</f>
        <v/>
      </c>
      <c r="K26" s="38" t="str">
        <f aca="false">IF(OR(J26="",D26&lt;5000),"",J26/D26*1000)</f>
        <v/>
      </c>
      <c r="L26" s="11" t="str">
        <f aca="false">IF(AND(E26=0,F26=""),"Sin datos",IF(E26=0,"Sin producción registrada",IF(F26="","EMCALI incompleto","")))</f>
        <v>Sin datos</v>
      </c>
    </row>
    <row r="27" customFormat="false" ht="15" hidden="false" customHeight="false" outlineLevel="0" collapsed="false">
      <c r="A27" s="35" t="n">
        <v>46230</v>
      </c>
      <c r="B27" s="11" t="s">
        <v>335</v>
      </c>
      <c r="C27" s="31" t="n">
        <f aca="false">SUMIFS(DatosProd!$D:$D,DatosProd!$A:$A,$A27,DatosProd!$C:$C,1)</f>
        <v>46950.948</v>
      </c>
      <c r="D27" s="31" t="n">
        <f aca="false">SUMIFS(DatosProd!$D:$D,DatosProd!$A:$A,$A27,DatosProd!$C:$C,2)</f>
        <v>31706.062</v>
      </c>
      <c r="E27" s="31" t="n">
        <f aca="false">SUMIFS(DatosProd!$D:$D,DatosProd!$A:$A,$A27)</f>
        <v>78657.01</v>
      </c>
      <c r="F27" s="31" t="n">
        <f aca="false">IF(COUNTIFS(EMCALI!$A:$A,$A27,EMCALI!$C:$C,"&lt;&gt;")&lt;24,"",SUMIFS(EMCALI!$C:$C,EMCALI!$A:$A,$A27))</f>
        <v>4065.48</v>
      </c>
      <c r="G27" s="38" t="n">
        <f aca="false">IF(OR(F27="",E27=0),"",F27/E27*1000)</f>
        <v>51.6861752054903</v>
      </c>
      <c r="H27" s="31" t="n">
        <f aca="false">IF(COUNTIFS(EMCALI!$A:$A,$A27,EMCALI!$G:$G,"A",EMCALI!$C:$C,"&lt;&gt;")&lt;7,"",SUMIFS(EMCALI!$C:$C,EMCALI!$A:$A,$A27,EMCALI!$G:$G,"A"))</f>
        <v>1446.72</v>
      </c>
      <c r="I27" s="38" t="n">
        <f aca="false">IF(OR(H27="",C27&lt;5000),"",H27/C27*1000)</f>
        <v>30.8134353325518</v>
      </c>
      <c r="J27" s="31" t="n">
        <f aca="false">IF(COUNTIFS(EMCALI!$A:$A,$A27,EMCALI!$G:$G,"B",EMCALI!$C:$C,"&lt;&gt;")&lt;7,"",SUMIFS(EMCALI!$C:$C,EMCALI!$A:$A,$A27,EMCALI!$G:$G,"B"))</f>
        <v>1367.88</v>
      </c>
      <c r="K27" s="38" t="n">
        <f aca="false">IF(OR(J27="",D27&lt;5000),"",J27/D27*1000)</f>
        <v>43.1425384836502</v>
      </c>
      <c r="L27" s="11" t="str">
        <f aca="false">IF(AND(E27=0,F27=""),"Sin datos",IF(E27=0,"Sin producción registrada",IF(F27="","EMCALI incompleto","")))</f>
        <v/>
      </c>
    </row>
    <row r="28" customFormat="false" ht="15" hidden="false" customHeight="false" outlineLevel="0" collapsed="false">
      <c r="A28" s="35" t="n">
        <v>46231</v>
      </c>
      <c r="B28" s="11" t="s">
        <v>336</v>
      </c>
      <c r="C28" s="31" t="n">
        <f aca="false">SUMIFS(DatosProd!$D:$D,DatosProd!$A:$A,$A28,DatosProd!$C:$C,1)</f>
        <v>43232.179</v>
      </c>
      <c r="D28" s="31" t="n">
        <f aca="false">SUMIFS(DatosProd!$D:$D,DatosProd!$A:$A,$A28,DatosProd!$C:$C,2)</f>
        <v>18878.369</v>
      </c>
      <c r="E28" s="31" t="n">
        <f aca="false">SUMIFS(DatosProd!$D:$D,DatosProd!$A:$A,$A28)</f>
        <v>62110.548</v>
      </c>
      <c r="F28" s="31" t="n">
        <f aca="false">IF(COUNTIFS(EMCALI!$A:$A,$A28,EMCALI!$C:$C,"&lt;&gt;")&lt;24,"",SUMIFS(EMCALI!$C:$C,EMCALI!$A:$A,$A28))</f>
        <v>3967.2</v>
      </c>
      <c r="G28" s="38" t="n">
        <f aca="false">IF(OR(F28="",E28=0),"",F28/E28*1000)</f>
        <v>63.8732087825082</v>
      </c>
      <c r="H28" s="31" t="n">
        <f aca="false">IF(COUNTIFS(EMCALI!$A:$A,$A28,EMCALI!$G:$G,"A",EMCALI!$C:$C,"&lt;&gt;")&lt;7,"",SUMIFS(EMCALI!$C:$C,EMCALI!$A:$A,$A28,EMCALI!$G:$G,"A"))</f>
        <v>1326</v>
      </c>
      <c r="I28" s="38" t="n">
        <f aca="false">IF(OR(H28="",C28&lt;5000),"",H28/C28*1000)</f>
        <v>30.6715976541455</v>
      </c>
      <c r="J28" s="31" t="n">
        <f aca="false">IF(COUNTIFS(EMCALI!$A:$A,$A28,EMCALI!$G:$G,"B",EMCALI!$C:$C,"&lt;&gt;")&lt;7,"",SUMIFS(EMCALI!$C:$C,EMCALI!$A:$A,$A28,EMCALI!$G:$G,"B"))</f>
        <v>1426.56</v>
      </c>
      <c r="K28" s="38" t="n">
        <f aca="false">IF(OR(J28="",D28&lt;5000),"",J28/D28*1000)</f>
        <v>75.5658499947745</v>
      </c>
      <c r="L28" s="11" t="str">
        <f aca="false">IF(AND(E28=0,F28=""),"Sin datos",IF(E28=0,"Sin producción registrada",IF(F28="","EMCALI incompleto","")))</f>
        <v/>
      </c>
    </row>
    <row r="29" customFormat="false" ht="15" hidden="false" customHeight="false" outlineLevel="0" collapsed="false">
      <c r="A29" s="35" t="n">
        <v>46232</v>
      </c>
      <c r="B29" s="11" t="s">
        <v>337</v>
      </c>
      <c r="C29" s="31" t="n">
        <f aca="false">SUMIFS(DatosProd!$D:$D,DatosProd!$A:$A,$A29,DatosProd!$C:$C,1)</f>
        <v>61973.034</v>
      </c>
      <c r="D29" s="31" t="n">
        <f aca="false">SUMIFS(DatosProd!$D:$D,DatosProd!$A:$A,$A29,DatosProd!$C:$C,2)</f>
        <v>42391.409</v>
      </c>
      <c r="E29" s="31" t="n">
        <f aca="false">SUMIFS(DatosProd!$D:$D,DatosProd!$A:$A,$A29)</f>
        <v>104364.443</v>
      </c>
      <c r="F29" s="31" t="n">
        <f aca="false">IF(COUNTIFS(EMCALI!$A:$A,$A29,EMCALI!$C:$C,"&lt;&gt;")&lt;24,"",SUMIFS(EMCALI!$C:$C,EMCALI!$A:$A,$A29))</f>
        <v>4014.36</v>
      </c>
      <c r="G29" s="38" t="n">
        <f aca="false">IF(OR(F29="",E29=0),"",F29/E29*1000)</f>
        <v>38.4648246529711</v>
      </c>
      <c r="H29" s="31" t="n">
        <f aca="false">IF(COUNTIFS(EMCALI!$A:$A,$A29,EMCALI!$G:$G,"A",EMCALI!$C:$C,"&lt;&gt;")&lt;7,"",SUMIFS(EMCALI!$C:$C,EMCALI!$A:$A,$A29,EMCALI!$G:$G,"A"))</f>
        <v>1396.56</v>
      </c>
      <c r="I29" s="38" t="n">
        <f aca="false">IF(OR(H29="",C29&lt;5000),"",H29/C29*1000)</f>
        <v>22.5349625451612</v>
      </c>
      <c r="J29" s="31" t="n">
        <f aca="false">IF(COUNTIFS(EMCALI!$A:$A,$A29,EMCALI!$G:$G,"B",EMCALI!$C:$C,"&lt;&gt;")&lt;7,"",SUMIFS(EMCALI!$C:$C,EMCALI!$A:$A,$A29,EMCALI!$G:$G,"B"))</f>
        <v>1433.88</v>
      </c>
      <c r="K29" s="38" t="n">
        <f aca="false">IF(OR(J29="",D29&lt;5000),"",J29/D29*1000)</f>
        <v>33.8247780346249</v>
      </c>
      <c r="L29" s="11" t="str">
        <f aca="false">IF(AND(E29=0,F29=""),"Sin datos",IF(E29=0,"Sin producción registrada",IF(F29="","EMCALI incompleto","")))</f>
        <v/>
      </c>
    </row>
    <row r="30" customFormat="false" ht="15" hidden="false" customHeight="false" outlineLevel="0" collapsed="false">
      <c r="A30" s="35" t="n">
        <v>46233</v>
      </c>
      <c r="B30" s="11" t="s">
        <v>338</v>
      </c>
      <c r="C30" s="31" t="n">
        <f aca="false">SUMIFS(DatosProd!$D:$D,DatosProd!$A:$A,$A30,DatosProd!$C:$C,1)</f>
        <v>40009.434</v>
      </c>
      <c r="D30" s="31" t="n">
        <f aca="false">SUMIFS(DatosProd!$D:$D,DatosProd!$A:$A,$A30,DatosProd!$C:$C,2)</f>
        <v>39502.722</v>
      </c>
      <c r="E30" s="31" t="n">
        <f aca="false">SUMIFS(DatosProd!$D:$D,DatosProd!$A:$A,$A30)</f>
        <v>79512.156</v>
      </c>
      <c r="F30" s="31" t="str">
        <f aca="false">IF(COUNTIFS(EMCALI!$A:$A,$A30,EMCALI!$C:$C,"&lt;&gt;")&lt;24,"",SUMIFS(EMCALI!$C:$C,EMCALI!$A:$A,$A30))</f>
        <v/>
      </c>
      <c r="G30" s="38" t="str">
        <f aca="false">IF(OR(F30="",E30=0),"",F30/E30*1000)</f>
        <v/>
      </c>
      <c r="H30" s="31" t="n">
        <f aca="false">IF(COUNTIFS(EMCALI!$A:$A,$A30,EMCALI!$G:$G,"A",EMCALI!$C:$C,"&lt;&gt;")&lt;7,"",SUMIFS(EMCALI!$C:$C,EMCALI!$A:$A,$A30,EMCALI!$G:$G,"A"))</f>
        <v>1326.72</v>
      </c>
      <c r="I30" s="38" t="n">
        <f aca="false">IF(OR(H30="",C30&lt;5000),"",H30/C30*1000)</f>
        <v>33.1601791717424</v>
      </c>
      <c r="J30" s="31" t="str">
        <f aca="false">IF(COUNTIFS(EMCALI!$A:$A,$A30,EMCALI!$G:$G,"B",EMCALI!$C:$C,"&lt;&gt;")&lt;7,"",SUMIFS(EMCALI!$C:$C,EMCALI!$A:$A,$A30,EMCALI!$G:$G,"B"))</f>
        <v/>
      </c>
      <c r="K30" s="38" t="str">
        <f aca="false">IF(OR(J30="",D30&lt;5000),"",J30/D30*1000)</f>
        <v/>
      </c>
      <c r="L30" s="11" t="str">
        <f aca="false">IF(AND(E30=0,F30=""),"Sin datos",IF(E30=0,"Sin producción registrada",IF(F30="","EMCALI incompleto","")))</f>
        <v>EMCALI incompleto</v>
      </c>
    </row>
    <row r="31" customFormat="false" ht="15" hidden="false" customHeight="false" outlineLevel="0" collapsed="false">
      <c r="A31" s="35" t="n">
        <v>46234</v>
      </c>
      <c r="B31" s="11" t="s">
        <v>339</v>
      </c>
      <c r="C31" s="31" t="n">
        <f aca="false">SUMIFS(DatosProd!$D:$D,DatosProd!$A:$A,$A31,DatosProd!$C:$C,1)</f>
        <v>0</v>
      </c>
      <c r="D31" s="31" t="n">
        <f aca="false">SUMIFS(DatosProd!$D:$D,DatosProd!$A:$A,$A31,DatosProd!$C:$C,2)</f>
        <v>0</v>
      </c>
      <c r="E31" s="31" t="n">
        <f aca="false">SUMIFS(DatosProd!$D:$D,DatosProd!$A:$A,$A31)</f>
        <v>0</v>
      </c>
      <c r="F31" s="31" t="str">
        <f aca="false">IF(COUNTIFS(EMCALI!$A:$A,$A31,EMCALI!$C:$C,"&lt;&gt;")&lt;24,"",SUMIFS(EMCALI!$C:$C,EMCALI!$A:$A,$A31))</f>
        <v/>
      </c>
      <c r="G31" s="38" t="str">
        <f aca="false">IF(OR(F31="",E31=0),"",F31/E31*1000)</f>
        <v/>
      </c>
      <c r="H31" s="31" t="str">
        <f aca="false">IF(COUNTIFS(EMCALI!$A:$A,$A31,EMCALI!$G:$G,"A",EMCALI!$C:$C,"&lt;&gt;")&lt;7,"",SUMIFS(EMCALI!$C:$C,EMCALI!$A:$A,$A31,EMCALI!$G:$G,"A"))</f>
        <v/>
      </c>
      <c r="I31" s="38" t="str">
        <f aca="false">IF(OR(H31="",C31&lt;5000),"",H31/C31*1000)</f>
        <v/>
      </c>
      <c r="J31" s="31" t="str">
        <f aca="false">IF(COUNTIFS(EMCALI!$A:$A,$A31,EMCALI!$G:$G,"B",EMCALI!$C:$C,"&lt;&gt;")&lt;7,"",SUMIFS(EMCALI!$C:$C,EMCALI!$A:$A,$A31,EMCALI!$G:$G,"B"))</f>
        <v/>
      </c>
      <c r="K31" s="38" t="str">
        <f aca="false">IF(OR(J31="",D31&lt;5000),"",J31/D31*1000)</f>
        <v/>
      </c>
      <c r="L31" s="11" t="str">
        <f aca="false">IF(AND(E31=0,F31=""),"Sin datos",IF(E31=0,"Sin producción registrada",IF(F31="","EMCALI incompleto","")))</f>
        <v>Sin datos</v>
      </c>
    </row>
    <row r="32" customFormat="false" ht="15" hidden="false" customHeight="false" outlineLevel="0" collapsed="false">
      <c r="A32" s="35" t="n">
        <v>46235</v>
      </c>
      <c r="B32" s="11" t="s">
        <v>340</v>
      </c>
      <c r="C32" s="31" t="n">
        <f aca="false">SUMIFS(DatosProd!$D:$D,DatosProd!$A:$A,$A32,DatosProd!$C:$C,1)</f>
        <v>22139.56</v>
      </c>
      <c r="D32" s="31" t="n">
        <f aca="false">SUMIFS(DatosProd!$D:$D,DatosProd!$A:$A,$A32,DatosProd!$C:$C,2)</f>
        <v>14292.516</v>
      </c>
      <c r="E32" s="31" t="n">
        <f aca="false">SUMIFS(DatosProd!$D:$D,DatosProd!$A:$A,$A32)</f>
        <v>36432.076</v>
      </c>
      <c r="F32" s="31" t="n">
        <f aca="false">IF(COUNTIFS(EMCALI!$A:$A,$A32,EMCALI!$C:$C,"&lt;&gt;")&lt;24,"",SUMIFS(EMCALI!$C:$C,EMCALI!$A:$A,$A32))</f>
        <v>2767.2</v>
      </c>
      <c r="G32" s="38" t="n">
        <f aca="false">IF(OR(F32="",E32=0),"",F32/E32*1000)</f>
        <v>75.9550457679107</v>
      </c>
      <c r="H32" s="31" t="n">
        <f aca="false">IF(COUNTIFS(EMCALI!$A:$A,$A32,EMCALI!$G:$G,"A",EMCALI!$C:$C,"&lt;&gt;")&lt;7,"",SUMIFS(EMCALI!$C:$C,EMCALI!$A:$A,$A32,EMCALI!$G:$G,"A"))</f>
        <v>737.4</v>
      </c>
      <c r="I32" s="38" t="n">
        <f aca="false">IF(OR(H32="",C32&lt;5000),"",H32/C32*1000)</f>
        <v>33.3068949879763</v>
      </c>
      <c r="J32" s="31" t="n">
        <f aca="false">IF(COUNTIFS(EMCALI!$A:$A,$A32,EMCALI!$G:$G,"B",EMCALI!$C:$C,"&lt;&gt;")&lt;7,"",SUMIFS(EMCALI!$C:$C,EMCALI!$A:$A,$A32,EMCALI!$G:$G,"B"))</f>
        <v>979.92</v>
      </c>
      <c r="K32" s="38" t="n">
        <f aca="false">IF(OR(J32="",D32&lt;5000),"",J32/D32*1000)</f>
        <v>68.561756376554</v>
      </c>
      <c r="L32" s="11" t="str">
        <f aca="false">IF(AND(E32=0,F32=""),"Sin datos",IF(E32=0,"Sin producción registrada",IF(F32="","EMCALI incompleto","")))</f>
        <v/>
      </c>
    </row>
    <row r="33" customFormat="false" ht="15" hidden="false" customHeight="false" outlineLevel="0" collapsed="false">
      <c r="A33" s="35" t="n">
        <v>46236</v>
      </c>
      <c r="B33" s="11" t="s">
        <v>341</v>
      </c>
      <c r="C33" s="31" t="n">
        <f aca="false">SUMIFS(DatosProd!$D:$D,DatosProd!$A:$A,$A33,DatosProd!$C:$C,1)</f>
        <v>0</v>
      </c>
      <c r="D33" s="31" t="n">
        <f aca="false">SUMIFS(DatosProd!$D:$D,DatosProd!$A:$A,$A33,DatosProd!$C:$C,2)</f>
        <v>0</v>
      </c>
      <c r="E33" s="31" t="n">
        <f aca="false">SUMIFS(DatosProd!$D:$D,DatosProd!$A:$A,$A33)</f>
        <v>0</v>
      </c>
      <c r="F33" s="31" t="n">
        <f aca="false">IF(COUNTIFS(EMCALI!$A:$A,$A33,EMCALI!$C:$C,"&lt;&gt;")&lt;24,"",SUMIFS(EMCALI!$C:$C,EMCALI!$A:$A,$A33))</f>
        <v>1316.4</v>
      </c>
      <c r="G33" s="38" t="str">
        <f aca="false">IF(OR(F33="",E33=0),"",F33/E33*1000)</f>
        <v/>
      </c>
      <c r="H33" s="31" t="str">
        <f aca="false">IF(COUNTIFS(EMCALI!$A:$A,$A33,EMCALI!$G:$G,"A",EMCALI!$C:$C,"&lt;&gt;")&lt;7,"",SUMIFS(EMCALI!$C:$C,EMCALI!$A:$A,$A33,EMCALI!$G:$G,"A"))</f>
        <v/>
      </c>
      <c r="I33" s="38" t="str">
        <f aca="false">IF(OR(H33="",C33&lt;5000),"",H33/C33*1000)</f>
        <v/>
      </c>
      <c r="J33" s="31" t="str">
        <f aca="false">IF(COUNTIFS(EMCALI!$A:$A,$A33,EMCALI!$G:$G,"B",EMCALI!$C:$C,"&lt;&gt;")&lt;7,"",SUMIFS(EMCALI!$C:$C,EMCALI!$A:$A,$A33,EMCALI!$G:$G,"B"))</f>
        <v/>
      </c>
      <c r="K33" s="38" t="str">
        <f aca="false">IF(OR(J33="",D33&lt;5000),"",J33/D33*1000)</f>
        <v/>
      </c>
      <c r="L33" s="11" t="str">
        <f aca="false">IF(AND(E33=0,F33=""),"Sin datos",IF(E33=0,"Sin producción registrada",IF(F33="","EMCALI incompleto","")))</f>
        <v>Sin producción registrada</v>
      </c>
    </row>
    <row r="34" customFormat="false" ht="15" hidden="false" customHeight="false" outlineLevel="0" collapsed="false">
      <c r="A34" s="35" t="n">
        <v>46237</v>
      </c>
      <c r="B34" s="11" t="s">
        <v>335</v>
      </c>
      <c r="C34" s="31" t="n">
        <f aca="false">SUMIFS(DatosProd!$D:$D,DatosProd!$A:$A,$A34,DatosProd!$C:$C,1)</f>
        <v>34480.458</v>
      </c>
      <c r="D34" s="31" t="n">
        <f aca="false">SUMIFS(DatosProd!$D:$D,DatosProd!$A:$A,$A34,DatosProd!$C:$C,2)</f>
        <v>24732.45</v>
      </c>
      <c r="E34" s="31" t="n">
        <f aca="false">SUMIFS(DatosProd!$D:$D,DatosProd!$A:$A,$A34)</f>
        <v>59212.908</v>
      </c>
      <c r="F34" s="31" t="n">
        <f aca="false">IF(COUNTIFS(EMCALI!$A:$A,$A34,EMCALI!$C:$C,"&lt;&gt;")&lt;24,"",SUMIFS(EMCALI!$C:$C,EMCALI!$A:$A,$A34))</f>
        <v>4151.76</v>
      </c>
      <c r="G34" s="38" t="n">
        <f aca="false">IF(OR(F34="",E34=0),"",F34/E34*1000)</f>
        <v>70.1157929956759</v>
      </c>
      <c r="H34" s="31" t="n">
        <f aca="false">IF(COUNTIFS(EMCALI!$A:$A,$A34,EMCALI!$G:$G,"A",EMCALI!$C:$C,"&lt;&gt;")&lt;7,"",SUMIFS(EMCALI!$C:$C,EMCALI!$A:$A,$A34,EMCALI!$G:$G,"A"))</f>
        <v>1624.32</v>
      </c>
      <c r="I34" s="38" t="n">
        <f aca="false">IF(OR(H34="",C34&lt;5000),"",H34/C34*1000)</f>
        <v>47.1084229797644</v>
      </c>
      <c r="J34" s="31" t="n">
        <f aca="false">IF(COUNTIFS(EMCALI!$A:$A,$A34,EMCALI!$G:$G,"B",EMCALI!$C:$C,"&lt;&gt;")&lt;7,"",SUMIFS(EMCALI!$C:$C,EMCALI!$A:$A,$A34,EMCALI!$G:$G,"B"))</f>
        <v>1312.32</v>
      </c>
      <c r="K34" s="38" t="n">
        <f aca="false">IF(OR(J34="",D34&lt;5000),"",J34/D34*1000)</f>
        <v>53.0606551312143</v>
      </c>
      <c r="L34" s="11" t="str">
        <f aca="false">IF(AND(E34=0,F34=""),"Sin datos",IF(E34=0,"Sin producción registrada",IF(F34="","EMCALI incompleto","")))</f>
        <v/>
      </c>
    </row>
    <row r="35" customFormat="false" ht="15" hidden="false" customHeight="false" outlineLevel="0" collapsed="false">
      <c r="A35" s="35" t="n">
        <v>46238</v>
      </c>
      <c r="B35" s="11" t="s">
        <v>336</v>
      </c>
      <c r="C35" s="31" t="n">
        <f aca="false">SUMIFS(DatosProd!$D:$D,DatosProd!$A:$A,$A35,DatosProd!$C:$C,1)</f>
        <v>35336.109</v>
      </c>
      <c r="D35" s="31" t="n">
        <f aca="false">SUMIFS(DatosProd!$D:$D,DatosProd!$A:$A,$A35,DatosProd!$C:$C,2)</f>
        <v>1013.799</v>
      </c>
      <c r="E35" s="31" t="n">
        <f aca="false">SUMIFS(DatosProd!$D:$D,DatosProd!$A:$A,$A35)</f>
        <v>36349.908</v>
      </c>
      <c r="F35" s="31" t="n">
        <f aca="false">IF(COUNTIFS(EMCALI!$A:$A,$A35,EMCALI!$C:$C,"&lt;&gt;")&lt;24,"",SUMIFS(EMCALI!$C:$C,EMCALI!$A:$A,$A35))</f>
        <v>4000.08</v>
      </c>
      <c r="G35" s="38" t="n">
        <f aca="false">IF(OR(F35="",E35=0),"",F35/E35*1000)</f>
        <v>110.04374481498</v>
      </c>
      <c r="H35" s="31" t="n">
        <f aca="false">IF(COUNTIFS(EMCALI!$A:$A,$A35,EMCALI!$G:$G,"A",EMCALI!$C:$C,"&lt;&gt;")&lt;7,"",SUMIFS(EMCALI!$C:$C,EMCALI!$A:$A,$A35,EMCALI!$G:$G,"A"))</f>
        <v>1398.6</v>
      </c>
      <c r="I35" s="38" t="n">
        <f aca="false">IF(OR(H35="",C35&lt;5000),"",H35/C35*1000)</f>
        <v>39.5799096046483</v>
      </c>
      <c r="J35" s="31" t="n">
        <f aca="false">IF(COUNTIFS(EMCALI!$A:$A,$A35,EMCALI!$G:$G,"B",EMCALI!$C:$C,"&lt;&gt;")&lt;7,"",SUMIFS(EMCALI!$C:$C,EMCALI!$A:$A,$A35,EMCALI!$G:$G,"B"))</f>
        <v>1429.2</v>
      </c>
      <c r="K35" s="38" t="str">
        <f aca="false">IF(OR(J35="",D35&lt;5000),"",J35/D35*1000)</f>
        <v/>
      </c>
      <c r="L35" s="11" t="str">
        <f aca="false">IF(AND(E35=0,F35=""),"Sin datos",IF(E35=0,"Sin producción registrada",IF(F35="","EMCALI incompleto","")))</f>
        <v/>
      </c>
    </row>
    <row r="36" customFormat="false" ht="15" hidden="false" customHeight="false" outlineLevel="0" collapsed="false">
      <c r="A36" s="35" t="n">
        <v>46239</v>
      </c>
      <c r="B36" s="11" t="s">
        <v>337</v>
      </c>
      <c r="C36" s="31" t="n">
        <f aca="false">SUMIFS(DatosProd!$D:$D,DatosProd!$A:$A,$A36,DatosProd!$C:$C,1)</f>
        <v>0</v>
      </c>
      <c r="D36" s="31" t="n">
        <f aca="false">SUMIFS(DatosProd!$D:$D,DatosProd!$A:$A,$A36,DatosProd!$C:$C,2)</f>
        <v>0</v>
      </c>
      <c r="E36" s="31" t="n">
        <f aca="false">SUMIFS(DatosProd!$D:$D,DatosProd!$A:$A,$A36)</f>
        <v>0</v>
      </c>
      <c r="F36" s="31" t="n">
        <f aca="false">IF(COUNTIFS(EMCALI!$A:$A,$A36,EMCALI!$C:$C,"&lt;&gt;")&lt;24,"",SUMIFS(EMCALI!$C:$C,EMCALI!$A:$A,$A36))</f>
        <v>4349.64</v>
      </c>
      <c r="G36" s="38" t="str">
        <f aca="false">IF(OR(F36="",E36=0),"",F36/E36*1000)</f>
        <v/>
      </c>
      <c r="H36" s="31" t="n">
        <f aca="false">IF(COUNTIFS(EMCALI!$A:$A,$A36,EMCALI!$G:$G,"A",EMCALI!$C:$C,"&lt;&gt;")&lt;7,"",SUMIFS(EMCALI!$C:$C,EMCALI!$A:$A,$A36,EMCALI!$G:$G,"A"))</f>
        <v>1721.16</v>
      </c>
      <c r="I36" s="38" t="str">
        <f aca="false">IF(OR(H36="",C36&lt;5000),"",H36/C36*1000)</f>
        <v/>
      </c>
      <c r="J36" s="31" t="n">
        <f aca="false">IF(COUNTIFS(EMCALI!$A:$A,$A36,EMCALI!$G:$G,"B",EMCALI!$C:$C,"&lt;&gt;")&lt;7,"",SUMIFS(EMCALI!$C:$C,EMCALI!$A:$A,$A36,EMCALI!$G:$G,"B"))</f>
        <v>1403.88</v>
      </c>
      <c r="K36" s="38" t="str">
        <f aca="false">IF(OR(J36="",D36&lt;5000),"",J36/D36*1000)</f>
        <v/>
      </c>
      <c r="L36" s="11" t="str">
        <f aca="false">IF(AND(E36=0,F36=""),"Sin datos",IF(E36=0,"Sin producción registrada",IF(F36="","EMCALI incompleto","")))</f>
        <v>Sin producción registrada</v>
      </c>
    </row>
    <row r="37" customFormat="false" ht="15" hidden="false" customHeight="false" outlineLevel="0" collapsed="false">
      <c r="A37" s="35" t="n">
        <v>46240</v>
      </c>
      <c r="B37" s="11" t="s">
        <v>338</v>
      </c>
      <c r="C37" s="31" t="n">
        <f aca="false">SUMIFS(DatosProd!$D:$D,DatosProd!$A:$A,$A37,DatosProd!$C:$C,1)</f>
        <v>0</v>
      </c>
      <c r="D37" s="31" t="n">
        <f aca="false">SUMIFS(DatosProd!$D:$D,DatosProd!$A:$A,$A37,DatosProd!$C:$C,2)</f>
        <v>0</v>
      </c>
      <c r="E37" s="31" t="n">
        <f aca="false">SUMIFS(DatosProd!$D:$D,DatosProd!$A:$A,$A37)</f>
        <v>0</v>
      </c>
      <c r="F37" s="31" t="n">
        <f aca="false">IF(COUNTIFS(EMCALI!$A:$A,$A37,EMCALI!$C:$C,"&lt;&gt;")&lt;24,"",SUMIFS(EMCALI!$C:$C,EMCALI!$A:$A,$A37))</f>
        <v>3839.04</v>
      </c>
      <c r="G37" s="38" t="str">
        <f aca="false">IF(OR(F37="",E37=0),"",F37/E37*1000)</f>
        <v/>
      </c>
      <c r="H37" s="31" t="n">
        <f aca="false">IF(COUNTIFS(EMCALI!$A:$A,$A37,EMCALI!$G:$G,"A",EMCALI!$C:$C,"&lt;&gt;")&lt;7,"",SUMIFS(EMCALI!$C:$C,EMCALI!$A:$A,$A37,EMCALI!$G:$G,"A"))</f>
        <v>1639.92</v>
      </c>
      <c r="I37" s="38" t="str">
        <f aca="false">IF(OR(H37="",C37&lt;5000),"",H37/C37*1000)</f>
        <v/>
      </c>
      <c r="J37" s="31" t="n">
        <f aca="false">IF(COUNTIFS(EMCALI!$A:$A,$A37,EMCALI!$G:$G,"B",EMCALI!$C:$C,"&lt;&gt;")&lt;7,"",SUMIFS(EMCALI!$C:$C,EMCALI!$A:$A,$A37,EMCALI!$G:$G,"B"))</f>
        <v>1224.84</v>
      </c>
      <c r="K37" s="38" t="str">
        <f aca="false">IF(OR(J37="",D37&lt;5000),"",J37/D37*1000)</f>
        <v/>
      </c>
      <c r="L37" s="11" t="str">
        <f aca="false">IF(AND(E37=0,F37=""),"Sin datos",IF(E37=0,"Sin producción registrada",IF(F37="","EMCALI incompleto","")))</f>
        <v>Sin producción registrada</v>
      </c>
    </row>
    <row r="38" customFormat="false" ht="15" hidden="false" customHeight="false" outlineLevel="0" collapsed="false">
      <c r="A38" s="35" t="n">
        <v>46241</v>
      </c>
      <c r="B38" s="11" t="s">
        <v>339</v>
      </c>
      <c r="C38" s="31" t="n">
        <f aca="false">SUMIFS(DatosProd!$D:$D,DatosProd!$A:$A,$A38,DatosProd!$C:$C,1)</f>
        <v>0</v>
      </c>
      <c r="D38" s="31" t="n">
        <f aca="false">SUMIFS(DatosProd!$D:$D,DatosProd!$A:$A,$A38,DatosProd!$C:$C,2)</f>
        <v>0</v>
      </c>
      <c r="E38" s="31" t="n">
        <f aca="false">SUMIFS(DatosProd!$D:$D,DatosProd!$A:$A,$A38)</f>
        <v>0</v>
      </c>
      <c r="F38" s="31" t="n">
        <f aca="false">IF(COUNTIFS(EMCALI!$A:$A,$A38,EMCALI!$C:$C,"&lt;&gt;")&lt;24,"",SUMIFS(EMCALI!$C:$C,EMCALI!$A:$A,$A38))</f>
        <v>773.04</v>
      </c>
      <c r="G38" s="38" t="str">
        <f aca="false">IF(OR(F38="",E38=0),"",F38/E38*1000)</f>
        <v/>
      </c>
      <c r="H38" s="31" t="n">
        <f aca="false">IF(COUNTIFS(EMCALI!$A:$A,$A38,EMCALI!$G:$G,"A",EMCALI!$C:$C,"&lt;&gt;")&lt;7,"",SUMIFS(EMCALI!$C:$C,EMCALI!$A:$A,$A38,EMCALI!$G:$G,"A"))</f>
        <v>25.92</v>
      </c>
      <c r="I38" s="38" t="str">
        <f aca="false">IF(OR(H38="",C38&lt;5000),"",H38/C38*1000)</f>
        <v/>
      </c>
      <c r="J38" s="31" t="n">
        <f aca="false">IF(COUNTIFS(EMCALI!$A:$A,$A38,EMCALI!$G:$G,"B",EMCALI!$C:$C,"&lt;&gt;")&lt;7,"",SUMIFS(EMCALI!$C:$C,EMCALI!$A:$A,$A38,EMCALI!$G:$G,"B"))</f>
        <v>269.16</v>
      </c>
      <c r="K38" s="38" t="str">
        <f aca="false">IF(OR(J38="",D38&lt;5000),"",J38/D38*1000)</f>
        <v/>
      </c>
      <c r="L38" s="11" t="str">
        <f aca="false">IF(AND(E38=0,F38=""),"Sin datos",IF(E38=0,"Sin producción registrada",IF(F38="","EMCALI incompleto","")))</f>
        <v>Sin producción registrada</v>
      </c>
    </row>
    <row r="39" customFormat="false" ht="15" hidden="false" customHeight="false" outlineLevel="0" collapsed="false">
      <c r="A39" s="35" t="n">
        <v>46242</v>
      </c>
      <c r="B39" s="11" t="s">
        <v>340</v>
      </c>
      <c r="C39" s="31" t="n">
        <f aca="false">SUMIFS(DatosProd!$D:$D,DatosProd!$A:$A,$A39,DatosProd!$C:$C,1)</f>
        <v>0</v>
      </c>
      <c r="D39" s="31" t="n">
        <f aca="false">SUMIFS(DatosProd!$D:$D,DatosProd!$A:$A,$A39,DatosProd!$C:$C,2)</f>
        <v>0</v>
      </c>
      <c r="E39" s="31" t="n">
        <f aca="false">SUMIFS(DatosProd!$D:$D,DatosProd!$A:$A,$A39)</f>
        <v>0</v>
      </c>
      <c r="F39" s="31" t="n">
        <f aca="false">IF(COUNTIFS(EMCALI!$A:$A,$A39,EMCALI!$C:$C,"&lt;&gt;")&lt;24,"",SUMIFS(EMCALI!$C:$C,EMCALI!$A:$A,$A39))</f>
        <v>3074.64</v>
      </c>
      <c r="G39" s="38" t="str">
        <f aca="false">IF(OR(F39="",E39=0),"",F39/E39*1000)</f>
        <v/>
      </c>
      <c r="H39" s="31" t="n">
        <f aca="false">IF(COUNTIFS(EMCALI!$A:$A,$A39,EMCALI!$G:$G,"A",EMCALI!$C:$C,"&lt;&gt;")&lt;7,"",SUMIFS(EMCALI!$C:$C,EMCALI!$A:$A,$A39,EMCALI!$G:$G,"A"))</f>
        <v>1081.68</v>
      </c>
      <c r="I39" s="38" t="str">
        <f aca="false">IF(OR(H39="",C39&lt;5000),"",H39/C39*1000)</f>
        <v/>
      </c>
      <c r="J39" s="31" t="n">
        <f aca="false">IF(COUNTIFS(EMCALI!$A:$A,$A39,EMCALI!$G:$G,"B",EMCALI!$C:$C,"&lt;&gt;")&lt;7,"",SUMIFS(EMCALI!$C:$C,EMCALI!$A:$A,$A39,EMCALI!$G:$G,"B"))</f>
        <v>1049.64</v>
      </c>
      <c r="K39" s="38" t="str">
        <f aca="false">IF(OR(J39="",D39&lt;5000),"",J39/D39*1000)</f>
        <v/>
      </c>
      <c r="L39" s="11" t="str">
        <f aca="false">IF(AND(E39=0,F39=""),"Sin datos",IF(E39=0,"Sin producción registrada",IF(F39="","EMCALI incompleto","")))</f>
        <v>Sin producción registrada</v>
      </c>
    </row>
    <row r="40" customFormat="false" ht="15" hidden="false" customHeight="false" outlineLevel="0" collapsed="false">
      <c r="A40" s="35" t="n">
        <v>46243</v>
      </c>
      <c r="B40" s="11" t="s">
        <v>341</v>
      </c>
      <c r="C40" s="31" t="n">
        <f aca="false">SUMIFS(DatosProd!$D:$D,DatosProd!$A:$A,$A40,DatosProd!$C:$C,1)</f>
        <v>0</v>
      </c>
      <c r="D40" s="31" t="n">
        <f aca="false">SUMIFS(DatosProd!$D:$D,DatosProd!$A:$A,$A40,DatosProd!$C:$C,2)</f>
        <v>0</v>
      </c>
      <c r="E40" s="31" t="n">
        <f aca="false">SUMIFS(DatosProd!$D:$D,DatosProd!$A:$A,$A40)</f>
        <v>0</v>
      </c>
      <c r="F40" s="31" t="n">
        <f aca="false">IF(COUNTIFS(EMCALI!$A:$A,$A40,EMCALI!$C:$C,"&lt;&gt;")&lt;24,"",SUMIFS(EMCALI!$C:$C,EMCALI!$A:$A,$A40))</f>
        <v>869.64</v>
      </c>
      <c r="G40" s="38" t="str">
        <f aca="false">IF(OR(F40="",E40=0),"",F40/E40*1000)</f>
        <v/>
      </c>
      <c r="H40" s="31" t="str">
        <f aca="false">IF(COUNTIFS(EMCALI!$A:$A,$A40,EMCALI!$G:$G,"A",EMCALI!$C:$C,"&lt;&gt;")&lt;7,"",SUMIFS(EMCALI!$C:$C,EMCALI!$A:$A,$A40,EMCALI!$G:$G,"A"))</f>
        <v/>
      </c>
      <c r="I40" s="38" t="str">
        <f aca="false">IF(OR(H40="",C40&lt;5000),"",H40/C40*1000)</f>
        <v/>
      </c>
      <c r="J40" s="31" t="str">
        <f aca="false">IF(COUNTIFS(EMCALI!$A:$A,$A40,EMCALI!$G:$G,"B",EMCALI!$C:$C,"&lt;&gt;")&lt;7,"",SUMIFS(EMCALI!$C:$C,EMCALI!$A:$A,$A40,EMCALI!$G:$G,"B"))</f>
        <v/>
      </c>
      <c r="K40" s="38" t="str">
        <f aca="false">IF(OR(J40="",D40&lt;5000),"",J40/D40*1000)</f>
        <v/>
      </c>
      <c r="L40" s="11" t="str">
        <f aca="false">IF(AND(E40=0,F40=""),"Sin datos",IF(E40=0,"Sin producción registrada",IF(F40="","EMCALI incompleto","")))</f>
        <v>Sin producción registrada</v>
      </c>
    </row>
    <row r="41" customFormat="false" ht="15" hidden="false" customHeight="false" outlineLevel="0" collapsed="false">
      <c r="A41" s="35" t="n">
        <v>46244</v>
      </c>
      <c r="B41" s="11" t="s">
        <v>335</v>
      </c>
      <c r="C41" s="31" t="n">
        <f aca="false">SUMIFS(DatosProd!$D:$D,DatosProd!$A:$A,$A41,DatosProd!$C:$C,1)</f>
        <v>0</v>
      </c>
      <c r="D41" s="31" t="n">
        <f aca="false">SUMIFS(DatosProd!$D:$D,DatosProd!$A:$A,$A41,DatosProd!$C:$C,2)</f>
        <v>0</v>
      </c>
      <c r="E41" s="31" t="n">
        <f aca="false">SUMIFS(DatosProd!$D:$D,DatosProd!$A:$A,$A41)</f>
        <v>0</v>
      </c>
      <c r="F41" s="31" t="n">
        <f aca="false">IF(COUNTIFS(EMCALI!$A:$A,$A41,EMCALI!$C:$C,"&lt;&gt;")&lt;24,"",SUMIFS(EMCALI!$C:$C,EMCALI!$A:$A,$A41))</f>
        <v>2183.52</v>
      </c>
      <c r="G41" s="38" t="str">
        <f aca="false">IF(OR(F41="",E41=0),"",F41/E41*1000)</f>
        <v/>
      </c>
      <c r="H41" s="31" t="n">
        <f aca="false">IF(COUNTIFS(EMCALI!$A:$A,$A41,EMCALI!$G:$G,"A",EMCALI!$C:$C,"&lt;&gt;")&lt;7,"",SUMIFS(EMCALI!$C:$C,EMCALI!$A:$A,$A41,EMCALI!$G:$G,"A"))</f>
        <v>783.72</v>
      </c>
      <c r="I41" s="38" t="str">
        <f aca="false">IF(OR(H41="",C41&lt;5000),"",H41/C41*1000)</f>
        <v/>
      </c>
      <c r="J41" s="31" t="n">
        <f aca="false">IF(COUNTIFS(EMCALI!$A:$A,$A41,EMCALI!$G:$G,"B",EMCALI!$C:$C,"&lt;&gt;")&lt;7,"",SUMIFS(EMCALI!$C:$C,EMCALI!$A:$A,$A41,EMCALI!$G:$G,"B"))</f>
        <v>502.32</v>
      </c>
      <c r="K41" s="38" t="str">
        <f aca="false">IF(OR(J41="",D41&lt;5000),"",J41/D41*1000)</f>
        <v/>
      </c>
      <c r="L41" s="11" t="str">
        <f aca="false">IF(AND(E41=0,F41=""),"Sin datos",IF(E41=0,"Sin producción registrada",IF(F41="","EMCALI incompleto","")))</f>
        <v>Sin producción registrada</v>
      </c>
    </row>
    <row r="42" customFormat="false" ht="15" hidden="false" customHeight="false" outlineLevel="0" collapsed="false">
      <c r="A42" s="35" t="n">
        <v>46245</v>
      </c>
      <c r="B42" s="11" t="s">
        <v>336</v>
      </c>
      <c r="C42" s="31" t="n">
        <f aca="false">SUMIFS(DatosProd!$D:$D,DatosProd!$A:$A,$A42,DatosProd!$C:$C,1)</f>
        <v>0</v>
      </c>
      <c r="D42" s="31" t="n">
        <f aca="false">SUMIFS(DatosProd!$D:$D,DatosProd!$A:$A,$A42,DatosProd!$C:$C,2)</f>
        <v>0</v>
      </c>
      <c r="E42" s="31" t="n">
        <f aca="false">SUMIFS(DatosProd!$D:$D,DatosProd!$A:$A,$A42)</f>
        <v>0</v>
      </c>
      <c r="F42" s="31" t="n">
        <f aca="false">IF(COUNTIFS(EMCALI!$A:$A,$A42,EMCALI!$C:$C,"&lt;&gt;")&lt;24,"",SUMIFS(EMCALI!$C:$C,EMCALI!$A:$A,$A42))</f>
        <v>1617.36</v>
      </c>
      <c r="G42" s="38" t="str">
        <f aca="false">IF(OR(F42="",E42=0),"",F42/E42*1000)</f>
        <v/>
      </c>
      <c r="H42" s="31" t="n">
        <f aca="false">IF(COUNTIFS(EMCALI!$A:$A,$A42,EMCALI!$G:$G,"A",EMCALI!$C:$C,"&lt;&gt;")&lt;7,"",SUMIFS(EMCALI!$C:$C,EMCALI!$A:$A,$A42,EMCALI!$G:$G,"A"))</f>
        <v>664.44</v>
      </c>
      <c r="I42" s="38" t="str">
        <f aca="false">IF(OR(H42="",C42&lt;5000),"",H42/C42*1000)</f>
        <v/>
      </c>
      <c r="J42" s="31" t="n">
        <f aca="false">IF(COUNTIFS(EMCALI!$A:$A,$A42,EMCALI!$G:$G,"B",EMCALI!$C:$C,"&lt;&gt;")&lt;7,"",SUMIFS(EMCALI!$C:$C,EMCALI!$A:$A,$A42,EMCALI!$G:$G,"B"))</f>
        <v>459</v>
      </c>
      <c r="K42" s="38" t="str">
        <f aca="false">IF(OR(J42="",D42&lt;5000),"",J42/D42*1000)</f>
        <v/>
      </c>
      <c r="L42" s="11" t="str">
        <f aca="false">IF(AND(E42=0,F42=""),"Sin datos",IF(E42=0,"Sin producción registrada",IF(F42="","EMCALI incompleto","")))</f>
        <v>Sin producción registrada</v>
      </c>
    </row>
    <row r="43" customFormat="false" ht="15" hidden="false" customHeight="false" outlineLevel="0" collapsed="false">
      <c r="A43" s="35" t="n">
        <v>46246</v>
      </c>
      <c r="B43" s="11" t="s">
        <v>337</v>
      </c>
      <c r="C43" s="31" t="n">
        <f aca="false">SUMIFS(DatosProd!$D:$D,DatosProd!$A:$A,$A43,DatosProd!$C:$C,1)</f>
        <v>0</v>
      </c>
      <c r="D43" s="31" t="n">
        <f aca="false">SUMIFS(DatosProd!$D:$D,DatosProd!$A:$A,$A43,DatosProd!$C:$C,2)</f>
        <v>0</v>
      </c>
      <c r="E43" s="31" t="n">
        <f aca="false">SUMIFS(DatosProd!$D:$D,DatosProd!$A:$A,$A43)</f>
        <v>0</v>
      </c>
      <c r="F43" s="31" t="n">
        <f aca="false">IF(COUNTIFS(EMCALI!$A:$A,$A43,EMCALI!$C:$C,"&lt;&gt;")&lt;24,"",SUMIFS(EMCALI!$C:$C,EMCALI!$A:$A,$A43))</f>
        <v>1609.2</v>
      </c>
      <c r="G43" s="38" t="str">
        <f aca="false">IF(OR(F43="",E43=0),"",F43/E43*1000)</f>
        <v/>
      </c>
      <c r="H43" s="31" t="n">
        <f aca="false">IF(COUNTIFS(EMCALI!$A:$A,$A43,EMCALI!$G:$G,"A",EMCALI!$C:$C,"&lt;&gt;")&lt;7,"",SUMIFS(EMCALI!$C:$C,EMCALI!$A:$A,$A43,EMCALI!$G:$G,"A"))</f>
        <v>659.76</v>
      </c>
      <c r="I43" s="38" t="str">
        <f aca="false">IF(OR(H43="",C43&lt;5000),"",H43/C43*1000)</f>
        <v/>
      </c>
      <c r="J43" s="31" t="n">
        <f aca="false">IF(COUNTIFS(EMCALI!$A:$A,$A43,EMCALI!$G:$G,"B",EMCALI!$C:$C,"&lt;&gt;")&lt;7,"",SUMIFS(EMCALI!$C:$C,EMCALI!$A:$A,$A43,EMCALI!$G:$G,"B"))</f>
        <v>515.88</v>
      </c>
      <c r="K43" s="38" t="str">
        <f aca="false">IF(OR(J43="",D43&lt;5000),"",J43/D43*1000)</f>
        <v/>
      </c>
      <c r="L43" s="11" t="str">
        <f aca="false">IF(AND(E43=0,F43=""),"Sin datos",IF(E43=0,"Sin producción registrada",IF(F43="","EMCALI incompleto","")))</f>
        <v>Sin producción registrada</v>
      </c>
    </row>
    <row r="44" customFormat="false" ht="15" hidden="false" customHeight="false" outlineLevel="0" collapsed="false">
      <c r="A44" s="35" t="n">
        <v>46247</v>
      </c>
      <c r="B44" s="11" t="s">
        <v>338</v>
      </c>
      <c r="C44" s="31" t="n">
        <f aca="false">SUMIFS(DatosProd!$D:$D,DatosProd!$A:$A,$A44,DatosProd!$C:$C,1)</f>
        <v>0</v>
      </c>
      <c r="D44" s="31" t="n">
        <f aca="false">SUMIFS(DatosProd!$D:$D,DatosProd!$A:$A,$A44,DatosProd!$C:$C,2)</f>
        <v>0</v>
      </c>
      <c r="E44" s="31" t="n">
        <f aca="false">SUMIFS(DatosProd!$D:$D,DatosProd!$A:$A,$A44)</f>
        <v>0</v>
      </c>
      <c r="F44" s="31" t="n">
        <f aca="false">IF(COUNTIFS(EMCALI!$A:$A,$A44,EMCALI!$C:$C,"&lt;&gt;")&lt;24,"",SUMIFS(EMCALI!$C:$C,EMCALI!$A:$A,$A44))</f>
        <v>1621.68</v>
      </c>
      <c r="G44" s="38" t="str">
        <f aca="false">IF(OR(F44="",E44=0),"",F44/E44*1000)</f>
        <v/>
      </c>
      <c r="H44" s="31" t="n">
        <f aca="false">IF(COUNTIFS(EMCALI!$A:$A,$A44,EMCALI!$G:$G,"A",EMCALI!$C:$C,"&lt;&gt;")&lt;7,"",SUMIFS(EMCALI!$C:$C,EMCALI!$A:$A,$A44,EMCALI!$G:$G,"A"))</f>
        <v>642.6</v>
      </c>
      <c r="I44" s="38" t="str">
        <f aca="false">IF(OR(H44="",C44&lt;5000),"",H44/C44*1000)</f>
        <v/>
      </c>
      <c r="J44" s="31" t="n">
        <f aca="false">IF(COUNTIFS(EMCALI!$A:$A,$A44,EMCALI!$G:$G,"B",EMCALI!$C:$C,"&lt;&gt;")&lt;7,"",SUMIFS(EMCALI!$C:$C,EMCALI!$A:$A,$A44,EMCALI!$G:$G,"B"))</f>
        <v>529.8</v>
      </c>
      <c r="K44" s="38" t="str">
        <f aca="false">IF(OR(J44="",D44&lt;5000),"",J44/D44*1000)</f>
        <v/>
      </c>
      <c r="L44" s="11" t="str">
        <f aca="false">IF(AND(E44=0,F44=""),"Sin datos",IF(E44=0,"Sin producción registrada",IF(F44="","EMCALI incompleto","")))</f>
        <v>Sin producción registrada</v>
      </c>
    </row>
    <row r="45" customFormat="false" ht="15" hidden="false" customHeight="false" outlineLevel="0" collapsed="false">
      <c r="A45" s="35" t="n">
        <v>46248</v>
      </c>
      <c r="B45" s="11" t="s">
        <v>339</v>
      </c>
      <c r="C45" s="31" t="n">
        <f aca="false">SUMIFS(DatosProd!$D:$D,DatosProd!$A:$A,$A45,DatosProd!$C:$C,1)</f>
        <v>0</v>
      </c>
      <c r="D45" s="31" t="n">
        <f aca="false">SUMIFS(DatosProd!$D:$D,DatosProd!$A:$A,$A45,DatosProd!$C:$C,2)</f>
        <v>0</v>
      </c>
      <c r="E45" s="31" t="n">
        <f aca="false">SUMIFS(DatosProd!$D:$D,DatosProd!$A:$A,$A45)</f>
        <v>0</v>
      </c>
      <c r="F45" s="31" t="n">
        <f aca="false">IF(COUNTIFS(EMCALI!$A:$A,$A45,EMCALI!$C:$C,"&lt;&gt;")&lt;24,"",SUMIFS(EMCALI!$C:$C,EMCALI!$A:$A,$A45))</f>
        <v>1756.92</v>
      </c>
      <c r="G45" s="38" t="str">
        <f aca="false">IF(OR(F45="",E45=0),"",F45/E45*1000)</f>
        <v/>
      </c>
      <c r="H45" s="31" t="n">
        <f aca="false">IF(COUNTIFS(EMCALI!$A:$A,$A45,EMCALI!$G:$G,"A",EMCALI!$C:$C,"&lt;&gt;")&lt;7,"",SUMIFS(EMCALI!$C:$C,EMCALI!$A:$A,$A45,EMCALI!$G:$G,"A"))</f>
        <v>718.32</v>
      </c>
      <c r="I45" s="38" t="str">
        <f aca="false">IF(OR(H45="",C45&lt;5000),"",H45/C45*1000)</f>
        <v/>
      </c>
      <c r="J45" s="31" t="n">
        <f aca="false">IF(COUNTIFS(EMCALI!$A:$A,$A45,EMCALI!$G:$G,"B",EMCALI!$C:$C,"&lt;&gt;")&lt;7,"",SUMIFS(EMCALI!$C:$C,EMCALI!$A:$A,$A45,EMCALI!$G:$G,"B"))</f>
        <v>573.72</v>
      </c>
      <c r="K45" s="38" t="str">
        <f aca="false">IF(OR(J45="",D45&lt;5000),"",J45/D45*1000)</f>
        <v/>
      </c>
      <c r="L45" s="11" t="str">
        <f aca="false">IF(AND(E45=0,F45=""),"Sin datos",IF(E45=0,"Sin producción registrada",IF(F45="","EMCALI incompleto","")))</f>
        <v>Sin producción registrada</v>
      </c>
    </row>
    <row r="46" customFormat="false" ht="15" hidden="false" customHeight="false" outlineLevel="0" collapsed="false">
      <c r="A46" s="35" t="n">
        <v>46249</v>
      </c>
      <c r="B46" s="11" t="s">
        <v>340</v>
      </c>
      <c r="C46" s="31" t="n">
        <f aca="false">SUMIFS(DatosProd!$D:$D,DatosProd!$A:$A,$A46,DatosProd!$C:$C,1)</f>
        <v>0</v>
      </c>
      <c r="D46" s="31" t="n">
        <f aca="false">SUMIFS(DatosProd!$D:$D,DatosProd!$A:$A,$A46,DatosProd!$C:$C,2)</f>
        <v>0</v>
      </c>
      <c r="E46" s="31" t="n">
        <f aca="false">SUMIFS(DatosProd!$D:$D,DatosProd!$A:$A,$A46)</f>
        <v>0</v>
      </c>
      <c r="F46" s="31" t="n">
        <f aca="false">IF(COUNTIFS(EMCALI!$A:$A,$A46,EMCALI!$C:$C,"&lt;&gt;")&lt;24,"",SUMIFS(EMCALI!$C:$C,EMCALI!$A:$A,$A46))</f>
        <v>1540.92</v>
      </c>
      <c r="G46" s="38" t="str">
        <f aca="false">IF(OR(F46="",E46=0),"",F46/E46*1000)</f>
        <v/>
      </c>
      <c r="H46" s="31" t="n">
        <f aca="false">IF(COUNTIFS(EMCALI!$A:$A,$A46,EMCALI!$G:$G,"A",EMCALI!$C:$C,"&lt;&gt;")&lt;7,"",SUMIFS(EMCALI!$C:$C,EMCALI!$A:$A,$A46,EMCALI!$G:$G,"A"))</f>
        <v>644.16</v>
      </c>
      <c r="I46" s="38" t="str">
        <f aca="false">IF(OR(H46="",C46&lt;5000),"",H46/C46*1000)</f>
        <v/>
      </c>
      <c r="J46" s="31" t="n">
        <f aca="false">IF(COUNTIFS(EMCALI!$A:$A,$A46,EMCALI!$G:$G,"B",EMCALI!$C:$C,"&lt;&gt;")&lt;7,"",SUMIFS(EMCALI!$C:$C,EMCALI!$A:$A,$A46,EMCALI!$G:$G,"B"))</f>
        <v>419.88</v>
      </c>
      <c r="K46" s="38" t="str">
        <f aca="false">IF(OR(J46="",D46&lt;5000),"",J46/D46*1000)</f>
        <v/>
      </c>
      <c r="L46" s="11" t="str">
        <f aca="false">IF(AND(E46=0,F46=""),"Sin datos",IF(E46=0,"Sin producción registrada",IF(F46="","EMCALI incompleto","")))</f>
        <v>Sin producción registrada</v>
      </c>
    </row>
    <row r="47" customFormat="false" ht="15" hidden="false" customHeight="false" outlineLevel="0" collapsed="false">
      <c r="A47" s="35" t="n">
        <v>46250</v>
      </c>
      <c r="B47" s="11" t="s">
        <v>341</v>
      </c>
      <c r="C47" s="31" t="n">
        <f aca="false">SUMIFS(DatosProd!$D:$D,DatosProd!$A:$A,$A47,DatosProd!$C:$C,1)</f>
        <v>0</v>
      </c>
      <c r="D47" s="31" t="n">
        <f aca="false">SUMIFS(DatosProd!$D:$D,DatosProd!$A:$A,$A47,DatosProd!$C:$C,2)</f>
        <v>0</v>
      </c>
      <c r="E47" s="31" t="n">
        <f aca="false">SUMIFS(DatosProd!$D:$D,DatosProd!$A:$A,$A47)</f>
        <v>0</v>
      </c>
      <c r="F47" s="31" t="n">
        <f aca="false">IF(COUNTIFS(EMCALI!$A:$A,$A47,EMCALI!$C:$C,"&lt;&gt;")&lt;24,"",SUMIFS(EMCALI!$C:$C,EMCALI!$A:$A,$A47))</f>
        <v>1235.4</v>
      </c>
      <c r="G47" s="38" t="str">
        <f aca="false">IF(OR(F47="",E47=0),"",F47/E47*1000)</f>
        <v/>
      </c>
      <c r="H47" s="31" t="str">
        <f aca="false">IF(COUNTIFS(EMCALI!$A:$A,$A47,EMCALI!$G:$G,"A",EMCALI!$C:$C,"&lt;&gt;")&lt;7,"",SUMIFS(EMCALI!$C:$C,EMCALI!$A:$A,$A47,EMCALI!$G:$G,"A"))</f>
        <v/>
      </c>
      <c r="I47" s="38" t="str">
        <f aca="false">IF(OR(H47="",C47&lt;5000),"",H47/C47*1000)</f>
        <v/>
      </c>
      <c r="J47" s="31" t="str">
        <f aca="false">IF(COUNTIFS(EMCALI!$A:$A,$A47,EMCALI!$G:$G,"B",EMCALI!$C:$C,"&lt;&gt;")&lt;7,"",SUMIFS(EMCALI!$C:$C,EMCALI!$A:$A,$A47,EMCALI!$G:$G,"B"))</f>
        <v/>
      </c>
      <c r="K47" s="38" t="str">
        <f aca="false">IF(OR(J47="",D47&lt;5000),"",J47/D47*1000)</f>
        <v/>
      </c>
      <c r="L47" s="11" t="str">
        <f aca="false">IF(AND(E47=0,F47=""),"Sin datos",IF(E47=0,"Sin producción registrada",IF(F47="","EMCALI incompleto","")))</f>
        <v>Sin producción registrada</v>
      </c>
    </row>
    <row r="48" customFormat="false" ht="15" hidden="false" customHeight="false" outlineLevel="0" collapsed="false">
      <c r="A48" s="35" t="n">
        <v>46251</v>
      </c>
      <c r="B48" s="11" t="s">
        <v>335</v>
      </c>
      <c r="C48" s="31" t="n">
        <f aca="false">SUMIFS(DatosProd!$D:$D,DatosProd!$A:$A,$A48,DatosProd!$C:$C,1)</f>
        <v>0</v>
      </c>
      <c r="D48" s="31" t="n">
        <f aca="false">SUMIFS(DatosProd!$D:$D,DatosProd!$A:$A,$A48,DatosProd!$C:$C,2)</f>
        <v>0</v>
      </c>
      <c r="E48" s="31" t="n">
        <f aca="false">SUMIFS(DatosProd!$D:$D,DatosProd!$A:$A,$A48)</f>
        <v>0</v>
      </c>
      <c r="F48" s="31" t="n">
        <f aca="false">IF(COUNTIFS(EMCALI!$A:$A,$A48,EMCALI!$C:$C,"&lt;&gt;")&lt;24,"",SUMIFS(EMCALI!$C:$C,EMCALI!$A:$A,$A48))</f>
        <v>1791.48</v>
      </c>
      <c r="G48" s="38" t="str">
        <f aca="false">IF(OR(F48="",E48=0),"",F48/E48*1000)</f>
        <v/>
      </c>
      <c r="H48" s="31" t="n">
        <f aca="false">IF(COUNTIFS(EMCALI!$A:$A,$A48,EMCALI!$G:$G,"A",EMCALI!$C:$C,"&lt;&gt;")&lt;7,"",SUMIFS(EMCALI!$C:$C,EMCALI!$A:$A,$A48,EMCALI!$G:$G,"A"))</f>
        <v>777.36</v>
      </c>
      <c r="I48" s="38" t="str">
        <f aca="false">IF(OR(H48="",C48&lt;5000),"",H48/C48*1000)</f>
        <v/>
      </c>
      <c r="J48" s="31" t="n">
        <f aca="false">IF(COUNTIFS(EMCALI!$A:$A,$A48,EMCALI!$G:$G,"B",EMCALI!$C:$C,"&lt;&gt;")&lt;7,"",SUMIFS(EMCALI!$C:$C,EMCALI!$A:$A,$A48,EMCALI!$G:$G,"B"))</f>
        <v>544.8</v>
      </c>
      <c r="K48" s="38" t="str">
        <f aca="false">IF(OR(J48="",D48&lt;5000),"",J48/D48*1000)</f>
        <v/>
      </c>
      <c r="L48" s="11" t="str">
        <f aca="false">IF(AND(E48=0,F48=""),"Sin datos",IF(E48=0,"Sin producción registrada",IF(F48="","EMCALI incompleto","")))</f>
        <v>Sin producción registrada</v>
      </c>
    </row>
    <row r="49" customFormat="false" ht="15" hidden="false" customHeight="false" outlineLevel="0" collapsed="false">
      <c r="A49" s="35" t="n">
        <v>46252</v>
      </c>
      <c r="B49" s="11" t="s">
        <v>336</v>
      </c>
      <c r="C49" s="31" t="n">
        <f aca="false">SUMIFS(DatosProd!$D:$D,DatosProd!$A:$A,$A49,DatosProd!$C:$C,1)</f>
        <v>0</v>
      </c>
      <c r="D49" s="31" t="n">
        <f aca="false">SUMIFS(DatosProd!$D:$D,DatosProd!$A:$A,$A49,DatosProd!$C:$C,2)</f>
        <v>0</v>
      </c>
      <c r="E49" s="31" t="n">
        <f aca="false">SUMIFS(DatosProd!$D:$D,DatosProd!$A:$A,$A49)</f>
        <v>0</v>
      </c>
      <c r="F49" s="31" t="n">
        <f aca="false">IF(COUNTIFS(EMCALI!$A:$A,$A49,EMCALI!$C:$C,"&lt;&gt;")&lt;24,"",SUMIFS(EMCALI!$C:$C,EMCALI!$A:$A,$A49))</f>
        <v>3337.8</v>
      </c>
      <c r="G49" s="38" t="str">
        <f aca="false">IF(OR(F49="",E49=0),"",F49/E49*1000)</f>
        <v/>
      </c>
      <c r="H49" s="31" t="n">
        <f aca="false">IF(COUNTIFS(EMCALI!$A:$A,$A49,EMCALI!$G:$G,"A",EMCALI!$C:$C,"&lt;&gt;")&lt;7,"",SUMIFS(EMCALI!$C:$C,EMCALI!$A:$A,$A49,EMCALI!$G:$G,"A"))</f>
        <v>1262.28</v>
      </c>
      <c r="I49" s="38" t="str">
        <f aca="false">IF(OR(H49="",C49&lt;5000),"",H49/C49*1000)</f>
        <v/>
      </c>
      <c r="J49" s="31" t="n">
        <f aca="false">IF(COUNTIFS(EMCALI!$A:$A,$A49,EMCALI!$G:$G,"B",EMCALI!$C:$C,"&lt;&gt;")&lt;7,"",SUMIFS(EMCALI!$C:$C,EMCALI!$A:$A,$A49,EMCALI!$G:$G,"B"))</f>
        <v>1423.08</v>
      </c>
      <c r="K49" s="38" t="str">
        <f aca="false">IF(OR(J49="",D49&lt;5000),"",J49/D49*1000)</f>
        <v/>
      </c>
      <c r="L49" s="11" t="str">
        <f aca="false">IF(AND(E49=0,F49=""),"Sin datos",IF(E49=0,"Sin producción registrada",IF(F49="","EMCALI incompleto","")))</f>
        <v>Sin producción registrada</v>
      </c>
    </row>
    <row r="50" customFormat="false" ht="15" hidden="false" customHeight="false" outlineLevel="0" collapsed="false">
      <c r="A50" s="35" t="n">
        <v>46253</v>
      </c>
      <c r="B50" s="11" t="s">
        <v>337</v>
      </c>
      <c r="C50" s="31" t="n">
        <f aca="false">SUMIFS(DatosProd!$D:$D,DatosProd!$A:$A,$A50,DatosProd!$C:$C,1)</f>
        <v>0</v>
      </c>
      <c r="D50" s="31" t="n">
        <f aca="false">SUMIFS(DatosProd!$D:$D,DatosProd!$A:$A,$A50,DatosProd!$C:$C,2)</f>
        <v>0</v>
      </c>
      <c r="E50" s="31" t="n">
        <f aca="false">SUMIFS(DatosProd!$D:$D,DatosProd!$A:$A,$A50)</f>
        <v>0</v>
      </c>
      <c r="F50" s="31" t="n">
        <f aca="false">IF(COUNTIFS(EMCALI!$A:$A,$A50,EMCALI!$C:$C,"&lt;&gt;")&lt;24,"",SUMIFS(EMCALI!$C:$C,EMCALI!$A:$A,$A50))</f>
        <v>4305.12</v>
      </c>
      <c r="G50" s="38" t="str">
        <f aca="false">IF(OR(F50="",E50=0),"",F50/E50*1000)</f>
        <v/>
      </c>
      <c r="H50" s="31" t="n">
        <f aca="false">IF(COUNTIFS(EMCALI!$A:$A,$A50,EMCALI!$G:$G,"A",EMCALI!$C:$C,"&lt;&gt;")&lt;7,"",SUMIFS(EMCALI!$C:$C,EMCALI!$A:$A,$A50,EMCALI!$G:$G,"A"))</f>
        <v>1732.44</v>
      </c>
      <c r="I50" s="38" t="str">
        <f aca="false">IF(OR(H50="",C50&lt;5000),"",H50/C50*1000)</f>
        <v/>
      </c>
      <c r="J50" s="31" t="n">
        <f aca="false">IF(COUNTIFS(EMCALI!$A:$A,$A50,EMCALI!$G:$G,"B",EMCALI!$C:$C,"&lt;&gt;")&lt;7,"",SUMIFS(EMCALI!$C:$C,EMCALI!$A:$A,$A50,EMCALI!$G:$G,"B"))</f>
        <v>1505.76</v>
      </c>
      <c r="K50" s="38" t="str">
        <f aca="false">IF(OR(J50="",D50&lt;5000),"",J50/D50*1000)</f>
        <v/>
      </c>
      <c r="L50" s="11" t="str">
        <f aca="false">IF(AND(E50=0,F50=""),"Sin datos",IF(E50=0,"Sin producción registrada",IF(F50="","EMCALI incompleto","")))</f>
        <v>Sin producción registrada</v>
      </c>
    </row>
    <row r="51" customFormat="false" ht="15" hidden="false" customHeight="false" outlineLevel="0" collapsed="false">
      <c r="A51" s="35" t="n">
        <v>46254</v>
      </c>
      <c r="B51" s="11" t="s">
        <v>338</v>
      </c>
      <c r="C51" s="31" t="n">
        <f aca="false">SUMIFS(DatosProd!$D:$D,DatosProd!$A:$A,$A51,DatosProd!$C:$C,1)</f>
        <v>0</v>
      </c>
      <c r="D51" s="31" t="n">
        <f aca="false">SUMIFS(DatosProd!$D:$D,DatosProd!$A:$A,$A51,DatosProd!$C:$C,2)</f>
        <v>0</v>
      </c>
      <c r="E51" s="31" t="n">
        <f aca="false">SUMIFS(DatosProd!$D:$D,DatosProd!$A:$A,$A51)</f>
        <v>0</v>
      </c>
      <c r="F51" s="31" t="n">
        <f aca="false">IF(COUNTIFS(EMCALI!$A:$A,$A51,EMCALI!$C:$C,"&lt;&gt;")&lt;24,"",SUMIFS(EMCALI!$C:$C,EMCALI!$A:$A,$A51))</f>
        <v>4449</v>
      </c>
      <c r="G51" s="38" t="str">
        <f aca="false">IF(OR(F51="",E51=0),"",F51/E51*1000)</f>
        <v/>
      </c>
      <c r="H51" s="31" t="n">
        <f aca="false">IF(COUNTIFS(EMCALI!$A:$A,$A51,EMCALI!$G:$G,"A",EMCALI!$C:$C,"&lt;&gt;")&lt;7,"",SUMIFS(EMCALI!$C:$C,EMCALI!$A:$A,$A51,EMCALI!$G:$G,"A"))</f>
        <v>1901.28</v>
      </c>
      <c r="I51" s="38" t="str">
        <f aca="false">IF(OR(H51="",C51&lt;5000),"",H51/C51*1000)</f>
        <v/>
      </c>
      <c r="J51" s="31" t="n">
        <f aca="false">IF(COUNTIFS(EMCALI!$A:$A,$A51,EMCALI!$G:$G,"B",EMCALI!$C:$C,"&lt;&gt;")&lt;7,"",SUMIFS(EMCALI!$C:$C,EMCALI!$A:$A,$A51,EMCALI!$G:$G,"B"))</f>
        <v>1527.48</v>
      </c>
      <c r="K51" s="38" t="str">
        <f aca="false">IF(OR(J51="",D51&lt;5000),"",J51/D51*1000)</f>
        <v/>
      </c>
      <c r="L51" s="11" t="str">
        <f aca="false">IF(AND(E51=0,F51=""),"Sin datos",IF(E51=0,"Sin producción registrada",IF(F51="","EMCALI incompleto","")))</f>
        <v>Sin producción registrada</v>
      </c>
    </row>
    <row r="52" customFormat="false" ht="15" hidden="false" customHeight="false" outlineLevel="0" collapsed="false">
      <c r="A52" s="35" t="n">
        <v>46255</v>
      </c>
      <c r="B52" s="11" t="s">
        <v>339</v>
      </c>
      <c r="C52" s="31" t="n">
        <f aca="false">SUMIFS(DatosProd!$D:$D,DatosProd!$A:$A,$A52,DatosProd!$C:$C,1)</f>
        <v>0</v>
      </c>
      <c r="D52" s="31" t="n">
        <f aca="false">SUMIFS(DatosProd!$D:$D,DatosProd!$A:$A,$A52,DatosProd!$C:$C,2)</f>
        <v>0</v>
      </c>
      <c r="E52" s="31" t="n">
        <f aca="false">SUMIFS(DatosProd!$D:$D,DatosProd!$A:$A,$A52)</f>
        <v>0</v>
      </c>
      <c r="F52" s="31" t="n">
        <f aca="false">IF(COUNTIFS(EMCALI!$A:$A,$A52,EMCALI!$C:$C,"&lt;&gt;")&lt;24,"",SUMIFS(EMCALI!$C:$C,EMCALI!$A:$A,$A52))</f>
        <v>4365</v>
      </c>
      <c r="G52" s="38" t="str">
        <f aca="false">IF(OR(F52="",E52=0),"",F52/E52*1000)</f>
        <v/>
      </c>
      <c r="H52" s="31" t="n">
        <f aca="false">IF(COUNTIFS(EMCALI!$A:$A,$A52,EMCALI!$G:$G,"A",EMCALI!$C:$C,"&lt;&gt;")&lt;7,"",SUMIFS(EMCALI!$C:$C,EMCALI!$A:$A,$A52,EMCALI!$G:$G,"A"))</f>
        <v>1853.64</v>
      </c>
      <c r="I52" s="38" t="str">
        <f aca="false">IF(OR(H52="",C52&lt;5000),"",H52/C52*1000)</f>
        <v/>
      </c>
      <c r="J52" s="31" t="n">
        <f aca="false">IF(COUNTIFS(EMCALI!$A:$A,$A52,EMCALI!$G:$G,"B",EMCALI!$C:$C,"&lt;&gt;")&lt;7,"",SUMIFS(EMCALI!$C:$C,EMCALI!$A:$A,$A52,EMCALI!$G:$G,"B"))</f>
        <v>1520.04</v>
      </c>
      <c r="K52" s="38" t="str">
        <f aca="false">IF(OR(J52="",D52&lt;5000),"",J52/D52*1000)</f>
        <v/>
      </c>
      <c r="L52" s="11" t="str">
        <f aca="false">IF(AND(E52=0,F52=""),"Sin datos",IF(E52=0,"Sin producción registrada",IF(F52="","EMCALI incompleto","")))</f>
        <v>Sin producción registrada</v>
      </c>
    </row>
    <row r="53" customFormat="false" ht="15" hidden="false" customHeight="false" outlineLevel="0" collapsed="false">
      <c r="A53" s="35" t="n">
        <v>46256</v>
      </c>
      <c r="B53" s="11" t="s">
        <v>340</v>
      </c>
      <c r="C53" s="31" t="n">
        <f aca="false">SUMIFS(DatosProd!$D:$D,DatosProd!$A:$A,$A53,DatosProd!$C:$C,1)</f>
        <v>0</v>
      </c>
      <c r="D53" s="31" t="n">
        <f aca="false">SUMIFS(DatosProd!$D:$D,DatosProd!$A:$A,$A53,DatosProd!$C:$C,2)</f>
        <v>0</v>
      </c>
      <c r="E53" s="31" t="n">
        <f aca="false">SUMIFS(DatosProd!$D:$D,DatosProd!$A:$A,$A53)</f>
        <v>0</v>
      </c>
      <c r="F53" s="31" t="n">
        <f aca="false">IF(COUNTIFS(EMCALI!$A:$A,$A53,EMCALI!$C:$C,"&lt;&gt;")&lt;24,"",SUMIFS(EMCALI!$C:$C,EMCALI!$A:$A,$A53))</f>
        <v>3622.08</v>
      </c>
      <c r="G53" s="38" t="str">
        <f aca="false">IF(OR(F53="",E53=0),"",F53/E53*1000)</f>
        <v/>
      </c>
      <c r="H53" s="31" t="n">
        <f aca="false">IF(COUNTIFS(EMCALI!$A:$A,$A53,EMCALI!$G:$G,"A",EMCALI!$C:$C,"&lt;&gt;")&lt;7,"",SUMIFS(EMCALI!$C:$C,EMCALI!$A:$A,$A53,EMCALI!$G:$G,"A"))</f>
        <v>1467.12</v>
      </c>
      <c r="I53" s="38" t="str">
        <f aca="false">IF(OR(H53="",C53&lt;5000),"",H53/C53*1000)</f>
        <v/>
      </c>
      <c r="J53" s="31" t="n">
        <f aca="false">IF(COUNTIFS(EMCALI!$A:$A,$A53,EMCALI!$G:$G,"B",EMCALI!$C:$C,"&lt;&gt;")&lt;7,"",SUMIFS(EMCALI!$C:$C,EMCALI!$A:$A,$A53,EMCALI!$G:$G,"B"))</f>
        <v>1219.68</v>
      </c>
      <c r="K53" s="38" t="str">
        <f aca="false">IF(OR(J53="",D53&lt;5000),"",J53/D53*1000)</f>
        <v/>
      </c>
      <c r="L53" s="11" t="str">
        <f aca="false">IF(AND(E53=0,F53=""),"Sin datos",IF(E53=0,"Sin producción registrada",IF(F53="","EMCALI incompleto","")))</f>
        <v>Sin producción registrada</v>
      </c>
    </row>
    <row r="54" customFormat="false" ht="15" hidden="false" customHeight="false" outlineLevel="0" collapsed="false">
      <c r="A54" s="35" t="n">
        <v>46257</v>
      </c>
      <c r="B54" s="11" t="s">
        <v>341</v>
      </c>
      <c r="C54" s="31" t="n">
        <f aca="false">SUMIFS(DatosProd!$D:$D,DatosProd!$A:$A,$A54,DatosProd!$C:$C,1)</f>
        <v>0</v>
      </c>
      <c r="D54" s="31" t="n">
        <f aca="false">SUMIFS(DatosProd!$D:$D,DatosProd!$A:$A,$A54,DatosProd!$C:$C,2)</f>
        <v>0</v>
      </c>
      <c r="E54" s="31" t="n">
        <f aca="false">SUMIFS(DatosProd!$D:$D,DatosProd!$A:$A,$A54)</f>
        <v>0</v>
      </c>
      <c r="F54" s="31" t="n">
        <f aca="false">IF(COUNTIFS(EMCALI!$A:$A,$A54,EMCALI!$C:$C,"&lt;&gt;")&lt;24,"",SUMIFS(EMCALI!$C:$C,EMCALI!$A:$A,$A54))</f>
        <v>1361.16</v>
      </c>
      <c r="G54" s="38" t="str">
        <f aca="false">IF(OR(F54="",E54=0),"",F54/E54*1000)</f>
        <v/>
      </c>
      <c r="H54" s="31" t="str">
        <f aca="false">IF(COUNTIFS(EMCALI!$A:$A,$A54,EMCALI!$G:$G,"A",EMCALI!$C:$C,"&lt;&gt;")&lt;7,"",SUMIFS(EMCALI!$C:$C,EMCALI!$A:$A,$A54,EMCALI!$G:$G,"A"))</f>
        <v/>
      </c>
      <c r="I54" s="38" t="str">
        <f aca="false">IF(OR(H54="",C54&lt;5000),"",H54/C54*1000)</f>
        <v/>
      </c>
      <c r="J54" s="31" t="str">
        <f aca="false">IF(COUNTIFS(EMCALI!$A:$A,$A54,EMCALI!$G:$G,"B",EMCALI!$C:$C,"&lt;&gt;")&lt;7,"",SUMIFS(EMCALI!$C:$C,EMCALI!$A:$A,$A54,EMCALI!$G:$G,"B"))</f>
        <v/>
      </c>
      <c r="K54" s="38" t="str">
        <f aca="false">IF(OR(J54="",D54&lt;5000),"",J54/D54*1000)</f>
        <v/>
      </c>
      <c r="L54" s="11" t="str">
        <f aca="false">IF(AND(E54=0,F54=""),"Sin datos",IF(E54=0,"Sin producción registrada",IF(F54="","EMCALI incompleto","")))</f>
        <v>Sin producción registrada</v>
      </c>
    </row>
    <row r="55" customFormat="false" ht="15" hidden="false" customHeight="false" outlineLevel="0" collapsed="false">
      <c r="A55" s="35" t="n">
        <v>46258</v>
      </c>
      <c r="B55" s="11" t="s">
        <v>335</v>
      </c>
      <c r="C55" s="31" t="n">
        <f aca="false">SUMIFS(DatosProd!$D:$D,DatosProd!$A:$A,$A55,DatosProd!$C:$C,1)</f>
        <v>0</v>
      </c>
      <c r="D55" s="31" t="n">
        <f aca="false">SUMIFS(DatosProd!$D:$D,DatosProd!$A:$A,$A55,DatosProd!$C:$C,2)</f>
        <v>0</v>
      </c>
      <c r="E55" s="31" t="n">
        <f aca="false">SUMIFS(DatosProd!$D:$D,DatosProd!$A:$A,$A55)</f>
        <v>0</v>
      </c>
      <c r="F55" s="31" t="n">
        <f aca="false">IF(COUNTIFS(EMCALI!$A:$A,$A55,EMCALI!$C:$C,"&lt;&gt;")&lt;24,"",SUMIFS(EMCALI!$C:$C,EMCALI!$A:$A,$A55))</f>
        <v>4750.56</v>
      </c>
      <c r="G55" s="38" t="str">
        <f aca="false">IF(OR(F55="",E55=0),"",F55/E55*1000)</f>
        <v/>
      </c>
      <c r="H55" s="31" t="n">
        <f aca="false">IF(COUNTIFS(EMCALI!$A:$A,$A55,EMCALI!$G:$G,"A",EMCALI!$C:$C,"&lt;&gt;")&lt;7,"",SUMIFS(EMCALI!$C:$C,EMCALI!$A:$A,$A55,EMCALI!$G:$G,"A"))</f>
        <v>2007</v>
      </c>
      <c r="I55" s="38" t="str">
        <f aca="false">IF(OR(H55="",C55&lt;5000),"",H55/C55*1000)</f>
        <v/>
      </c>
      <c r="J55" s="31" t="n">
        <f aca="false">IF(COUNTIFS(EMCALI!$A:$A,$A55,EMCALI!$G:$G,"B",EMCALI!$C:$C,"&lt;&gt;")&lt;7,"",SUMIFS(EMCALI!$C:$C,EMCALI!$A:$A,$A55,EMCALI!$G:$G,"B"))</f>
        <v>1656.6</v>
      </c>
      <c r="K55" s="38" t="str">
        <f aca="false">IF(OR(J55="",D55&lt;5000),"",J55/D55*1000)</f>
        <v/>
      </c>
      <c r="L55" s="11" t="str">
        <f aca="false">IF(AND(E55=0,F55=""),"Sin datos",IF(E55=0,"Sin producción registrada",IF(F55="","EMCALI incompleto","")))</f>
        <v>Sin producción registrada</v>
      </c>
    </row>
    <row r="56" customFormat="false" ht="15" hidden="false" customHeight="false" outlineLevel="0" collapsed="false">
      <c r="A56" s="35" t="n">
        <v>46259</v>
      </c>
      <c r="B56" s="11" t="s">
        <v>336</v>
      </c>
      <c r="C56" s="31" t="n">
        <f aca="false">SUMIFS(DatosProd!$D:$D,DatosProd!$A:$A,$A56,DatosProd!$C:$C,1)</f>
        <v>0</v>
      </c>
      <c r="D56" s="31" t="n">
        <f aca="false">SUMIFS(DatosProd!$D:$D,DatosProd!$A:$A,$A56,DatosProd!$C:$C,2)</f>
        <v>0</v>
      </c>
      <c r="E56" s="31" t="n">
        <f aca="false">SUMIFS(DatosProd!$D:$D,DatosProd!$A:$A,$A56)</f>
        <v>0</v>
      </c>
      <c r="F56" s="31" t="n">
        <f aca="false">IF(COUNTIFS(EMCALI!$A:$A,$A56,EMCALI!$C:$C,"&lt;&gt;")&lt;24,"",SUMIFS(EMCALI!$C:$C,EMCALI!$A:$A,$A56))</f>
        <v>4962.84</v>
      </c>
      <c r="G56" s="38" t="str">
        <f aca="false">IF(OR(F56="",E56=0),"",F56/E56*1000)</f>
        <v/>
      </c>
      <c r="H56" s="31" t="n">
        <f aca="false">IF(COUNTIFS(EMCALI!$A:$A,$A56,EMCALI!$G:$G,"A",EMCALI!$C:$C,"&lt;&gt;")&lt;7,"",SUMIFS(EMCALI!$C:$C,EMCALI!$A:$A,$A56,EMCALI!$G:$G,"A"))</f>
        <v>2026.32</v>
      </c>
      <c r="I56" s="38" t="str">
        <f aca="false">IF(OR(H56="",C56&lt;5000),"",H56/C56*1000)</f>
        <v/>
      </c>
      <c r="J56" s="31" t="n">
        <f aca="false">IF(COUNTIFS(EMCALI!$A:$A,$A56,EMCALI!$G:$G,"B",EMCALI!$C:$C,"&lt;&gt;")&lt;7,"",SUMIFS(EMCALI!$C:$C,EMCALI!$A:$A,$A56,EMCALI!$G:$G,"B"))</f>
        <v>1781.16</v>
      </c>
      <c r="K56" s="38" t="str">
        <f aca="false">IF(OR(J56="",D56&lt;5000),"",J56/D56*1000)</f>
        <v/>
      </c>
      <c r="L56" s="11" t="str">
        <f aca="false">IF(AND(E56=0,F56=""),"Sin datos",IF(E56=0,"Sin producción registrada",IF(F56="","EMCALI incompleto","")))</f>
        <v>Sin producción registrada</v>
      </c>
    </row>
    <row r="57" customFormat="false" ht="15" hidden="false" customHeight="false" outlineLevel="0" collapsed="false">
      <c r="A57" s="35" t="n">
        <v>46260</v>
      </c>
      <c r="B57" s="11" t="s">
        <v>337</v>
      </c>
      <c r="C57" s="31" t="n">
        <f aca="false">SUMIFS(DatosProd!$D:$D,DatosProd!$A:$A,$A57,DatosProd!$C:$C,1)</f>
        <v>0</v>
      </c>
      <c r="D57" s="31" t="n">
        <f aca="false">SUMIFS(DatosProd!$D:$D,DatosProd!$A:$A,$A57,DatosProd!$C:$C,2)</f>
        <v>0</v>
      </c>
      <c r="E57" s="31" t="n">
        <f aca="false">SUMIFS(DatosProd!$D:$D,DatosProd!$A:$A,$A57)</f>
        <v>0</v>
      </c>
      <c r="F57" s="31" t="n">
        <f aca="false">IF(COUNTIFS(EMCALI!$A:$A,$A57,EMCALI!$C:$C,"&lt;&gt;")&lt;24,"",SUMIFS(EMCALI!$C:$C,EMCALI!$A:$A,$A57))</f>
        <v>5101.2</v>
      </c>
      <c r="G57" s="38" t="str">
        <f aca="false">IF(OR(F57="",E57=0),"",F57/E57*1000)</f>
        <v/>
      </c>
      <c r="H57" s="31" t="n">
        <f aca="false">IF(COUNTIFS(EMCALI!$A:$A,$A57,EMCALI!$G:$G,"A",EMCALI!$C:$C,"&lt;&gt;")&lt;7,"",SUMIFS(EMCALI!$C:$C,EMCALI!$A:$A,$A57,EMCALI!$G:$G,"A"))</f>
        <v>2080.44</v>
      </c>
      <c r="I57" s="38" t="str">
        <f aca="false">IF(OR(H57="",C57&lt;5000),"",H57/C57*1000)</f>
        <v/>
      </c>
      <c r="J57" s="31" t="n">
        <f aca="false">IF(COUNTIFS(EMCALI!$A:$A,$A57,EMCALI!$G:$G,"B",EMCALI!$C:$C,"&lt;&gt;")&lt;7,"",SUMIFS(EMCALI!$C:$C,EMCALI!$A:$A,$A57,EMCALI!$G:$G,"B"))</f>
        <v>1816.8</v>
      </c>
      <c r="K57" s="38" t="str">
        <f aca="false">IF(OR(J57="",D57&lt;5000),"",J57/D57*1000)</f>
        <v/>
      </c>
      <c r="L57" s="11" t="str">
        <f aca="false">IF(AND(E57=0,F57=""),"Sin datos",IF(E57=0,"Sin producción registrada",IF(F57="","EMCALI incompleto","")))</f>
        <v>Sin producción registrada</v>
      </c>
    </row>
    <row r="58" customFormat="false" ht="15" hidden="false" customHeight="false" outlineLevel="0" collapsed="false">
      <c r="A58" s="35" t="n">
        <v>46261</v>
      </c>
      <c r="B58" s="11" t="s">
        <v>338</v>
      </c>
      <c r="C58" s="31" t="n">
        <f aca="false">SUMIFS(DatosProd!$D:$D,DatosProd!$A:$A,$A58,DatosProd!$C:$C,1)</f>
        <v>0</v>
      </c>
      <c r="D58" s="31" t="n">
        <f aca="false">SUMIFS(DatosProd!$D:$D,DatosProd!$A:$A,$A58,DatosProd!$C:$C,2)</f>
        <v>0</v>
      </c>
      <c r="E58" s="31" t="n">
        <f aca="false">SUMIFS(DatosProd!$D:$D,DatosProd!$A:$A,$A58)</f>
        <v>0</v>
      </c>
      <c r="F58" s="31" t="n">
        <f aca="false">IF(COUNTIFS(EMCALI!$A:$A,$A58,EMCALI!$C:$C,"&lt;&gt;")&lt;24,"",SUMIFS(EMCALI!$C:$C,EMCALI!$A:$A,$A58))</f>
        <v>4860.36</v>
      </c>
      <c r="G58" s="38" t="str">
        <f aca="false">IF(OR(F58="",E58=0),"",F58/E58*1000)</f>
        <v/>
      </c>
      <c r="H58" s="31" t="n">
        <f aca="false">IF(COUNTIFS(EMCALI!$A:$A,$A58,EMCALI!$G:$G,"A",EMCALI!$C:$C,"&lt;&gt;")&lt;7,"",SUMIFS(EMCALI!$C:$C,EMCALI!$A:$A,$A58,EMCALI!$G:$G,"A"))</f>
        <v>1972.8</v>
      </c>
      <c r="I58" s="38" t="str">
        <f aca="false">IF(OR(H58="",C58&lt;5000),"",H58/C58*1000)</f>
        <v/>
      </c>
      <c r="J58" s="31" t="n">
        <f aca="false">IF(COUNTIFS(EMCALI!$A:$A,$A58,EMCALI!$G:$G,"B",EMCALI!$C:$C,"&lt;&gt;")&lt;7,"",SUMIFS(EMCALI!$C:$C,EMCALI!$A:$A,$A58,EMCALI!$G:$G,"B"))</f>
        <v>1733.4</v>
      </c>
      <c r="K58" s="38" t="str">
        <f aca="false">IF(OR(J58="",D58&lt;5000),"",J58/D58*1000)</f>
        <v/>
      </c>
      <c r="L58" s="11" t="str">
        <f aca="false">IF(AND(E58=0,F58=""),"Sin datos",IF(E58=0,"Sin producción registrada",IF(F58="","EMCALI incompleto","")))</f>
        <v>Sin producción registrada</v>
      </c>
    </row>
    <row r="59" customFormat="false" ht="15" hidden="false" customHeight="false" outlineLevel="0" collapsed="false">
      <c r="A59" s="35" t="n">
        <v>46262</v>
      </c>
      <c r="B59" s="11" t="s">
        <v>339</v>
      </c>
      <c r="C59" s="31" t="n">
        <f aca="false">SUMIFS(DatosProd!$D:$D,DatosProd!$A:$A,$A59,DatosProd!$C:$C,1)</f>
        <v>0</v>
      </c>
      <c r="D59" s="31" t="n">
        <f aca="false">SUMIFS(DatosProd!$D:$D,DatosProd!$A:$A,$A59,DatosProd!$C:$C,2)</f>
        <v>0</v>
      </c>
      <c r="E59" s="31" t="n">
        <f aca="false">SUMIFS(DatosProd!$D:$D,DatosProd!$A:$A,$A59)</f>
        <v>0</v>
      </c>
      <c r="F59" s="31" t="n">
        <f aca="false">IF(COUNTIFS(EMCALI!$A:$A,$A59,EMCALI!$C:$C,"&lt;&gt;")&lt;24,"",SUMIFS(EMCALI!$C:$C,EMCALI!$A:$A,$A59))</f>
        <v>4994.64</v>
      </c>
      <c r="G59" s="38" t="str">
        <f aca="false">IF(OR(F59="",E59=0),"",F59/E59*1000)</f>
        <v/>
      </c>
      <c r="H59" s="31" t="n">
        <f aca="false">IF(COUNTIFS(EMCALI!$A:$A,$A59,EMCALI!$G:$G,"A",EMCALI!$C:$C,"&lt;&gt;")&lt;7,"",SUMIFS(EMCALI!$C:$C,EMCALI!$A:$A,$A59,EMCALI!$G:$G,"A"))</f>
        <v>1943.52</v>
      </c>
      <c r="I59" s="38" t="str">
        <f aca="false">IF(OR(H59="",C59&lt;5000),"",H59/C59*1000)</f>
        <v/>
      </c>
      <c r="J59" s="31" t="n">
        <f aca="false">IF(COUNTIFS(EMCALI!$A:$A,$A59,EMCALI!$G:$G,"B",EMCALI!$C:$C,"&lt;&gt;")&lt;7,"",SUMIFS(EMCALI!$C:$C,EMCALI!$A:$A,$A59,EMCALI!$G:$G,"B"))</f>
        <v>1812</v>
      </c>
      <c r="K59" s="38" t="str">
        <f aca="false">IF(OR(J59="",D59&lt;5000),"",J59/D59*1000)</f>
        <v/>
      </c>
      <c r="L59" s="11" t="str">
        <f aca="false">IF(AND(E59=0,F59=""),"Sin datos",IF(E59=0,"Sin producción registrada",IF(F59="","EMCALI incompleto","")))</f>
        <v>Sin producción registrada</v>
      </c>
    </row>
    <row r="60" customFormat="false" ht="15" hidden="false" customHeight="false" outlineLevel="0" collapsed="false">
      <c r="A60" s="35" t="n">
        <v>46263</v>
      </c>
      <c r="B60" s="11" t="s">
        <v>340</v>
      </c>
      <c r="C60" s="31" t="n">
        <f aca="false">SUMIFS(DatosProd!$D:$D,DatosProd!$A:$A,$A60,DatosProd!$C:$C,1)</f>
        <v>0</v>
      </c>
      <c r="D60" s="31" t="n">
        <f aca="false">SUMIFS(DatosProd!$D:$D,DatosProd!$A:$A,$A60,DatosProd!$C:$C,2)</f>
        <v>0</v>
      </c>
      <c r="E60" s="31" t="n">
        <f aca="false">SUMIFS(DatosProd!$D:$D,DatosProd!$A:$A,$A60)</f>
        <v>0</v>
      </c>
      <c r="F60" s="31" t="n">
        <f aca="false">IF(COUNTIFS(EMCALI!$A:$A,$A60,EMCALI!$C:$C,"&lt;&gt;")&lt;24,"",SUMIFS(EMCALI!$C:$C,EMCALI!$A:$A,$A60))</f>
        <v>4367.88</v>
      </c>
      <c r="G60" s="38" t="str">
        <f aca="false">IF(OR(F60="",E60=0),"",F60/E60*1000)</f>
        <v/>
      </c>
      <c r="H60" s="31" t="n">
        <f aca="false">IF(COUNTIFS(EMCALI!$A:$A,$A60,EMCALI!$G:$G,"A",EMCALI!$C:$C,"&lt;&gt;")&lt;7,"",SUMIFS(EMCALI!$C:$C,EMCALI!$A:$A,$A60,EMCALI!$G:$G,"A"))</f>
        <v>1619.16</v>
      </c>
      <c r="I60" s="38" t="str">
        <f aca="false">IF(OR(H60="",C60&lt;5000),"",H60/C60*1000)</f>
        <v/>
      </c>
      <c r="J60" s="31" t="n">
        <f aca="false">IF(COUNTIFS(EMCALI!$A:$A,$A60,EMCALI!$G:$G,"B",EMCALI!$C:$C,"&lt;&gt;")&lt;7,"",SUMIFS(EMCALI!$C:$C,EMCALI!$A:$A,$A60,EMCALI!$G:$G,"B"))</f>
        <v>1566</v>
      </c>
      <c r="K60" s="38" t="str">
        <f aca="false">IF(OR(J60="",D60&lt;5000),"",J60/D60*1000)</f>
        <v/>
      </c>
      <c r="L60" s="11" t="str">
        <f aca="false">IF(AND(E60=0,F60=""),"Sin datos",IF(E60=0,"Sin producción registrada",IF(F60="","EMCALI incompleto","")))</f>
        <v>Sin producción registrada</v>
      </c>
    </row>
    <row r="61" customFormat="false" ht="15" hidden="false" customHeight="false" outlineLevel="0" collapsed="false">
      <c r="A61" s="35" t="n">
        <v>46264</v>
      </c>
      <c r="B61" s="11" t="s">
        <v>341</v>
      </c>
      <c r="C61" s="31" t="n">
        <f aca="false">SUMIFS(DatosProd!$D:$D,DatosProd!$A:$A,$A61,DatosProd!$C:$C,1)</f>
        <v>0</v>
      </c>
      <c r="D61" s="31" t="n">
        <f aca="false">SUMIFS(DatosProd!$D:$D,DatosProd!$A:$A,$A61,DatosProd!$C:$C,2)</f>
        <v>0</v>
      </c>
      <c r="E61" s="31" t="n">
        <f aca="false">SUMIFS(DatosProd!$D:$D,DatosProd!$A:$A,$A61)</f>
        <v>0</v>
      </c>
      <c r="F61" s="31" t="n">
        <f aca="false">IF(COUNTIFS(EMCALI!$A:$A,$A61,EMCALI!$C:$C,"&lt;&gt;")&lt;24,"",SUMIFS(EMCALI!$C:$C,EMCALI!$A:$A,$A61))</f>
        <v>1282.08</v>
      </c>
      <c r="G61" s="38" t="str">
        <f aca="false">IF(OR(F61="",E61=0),"",F61/E61*1000)</f>
        <v/>
      </c>
      <c r="H61" s="31" t="str">
        <f aca="false">IF(COUNTIFS(EMCALI!$A:$A,$A61,EMCALI!$G:$G,"A",EMCALI!$C:$C,"&lt;&gt;")&lt;7,"",SUMIFS(EMCALI!$C:$C,EMCALI!$A:$A,$A61,EMCALI!$G:$G,"A"))</f>
        <v/>
      </c>
      <c r="I61" s="38" t="str">
        <f aca="false">IF(OR(H61="",C61&lt;5000),"",H61/C61*1000)</f>
        <v/>
      </c>
      <c r="J61" s="31" t="str">
        <f aca="false">IF(COUNTIFS(EMCALI!$A:$A,$A61,EMCALI!$G:$G,"B",EMCALI!$C:$C,"&lt;&gt;")&lt;7,"",SUMIFS(EMCALI!$C:$C,EMCALI!$A:$A,$A61,EMCALI!$G:$G,"B"))</f>
        <v/>
      </c>
      <c r="K61" s="38" t="str">
        <f aca="false">IF(OR(J61="",D61&lt;5000),"",J61/D61*1000)</f>
        <v/>
      </c>
      <c r="L61" s="11" t="str">
        <f aca="false">IF(AND(E61=0,F61=""),"Sin datos",IF(E61=0,"Sin producción registrada",IF(F61="","EMCALI incompleto","")))</f>
        <v>Sin producción registrada</v>
      </c>
    </row>
    <row r="62" customFormat="false" ht="15" hidden="false" customHeight="false" outlineLevel="0" collapsed="false">
      <c r="A62" s="35" t="n">
        <v>46265</v>
      </c>
      <c r="B62" s="11" t="s">
        <v>335</v>
      </c>
      <c r="C62" s="31" t="n">
        <f aca="false">SUMIFS(DatosProd!$D:$D,DatosProd!$A:$A,$A62,DatosProd!$C:$C,1)</f>
        <v>0</v>
      </c>
      <c r="D62" s="31" t="n">
        <f aca="false">SUMIFS(DatosProd!$D:$D,DatosProd!$A:$A,$A62,DatosProd!$C:$C,2)</f>
        <v>0</v>
      </c>
      <c r="E62" s="31" t="n">
        <f aca="false">SUMIFS(DatosProd!$D:$D,DatosProd!$A:$A,$A62)</f>
        <v>0</v>
      </c>
      <c r="F62" s="31" t="n">
        <f aca="false">IF(COUNTIFS(EMCALI!$A:$A,$A62,EMCALI!$C:$C,"&lt;&gt;")&lt;24,"",SUMIFS(EMCALI!$C:$C,EMCALI!$A:$A,$A62))</f>
        <v>3303.12</v>
      </c>
      <c r="G62" s="38" t="str">
        <f aca="false">IF(OR(F62="",E62=0),"",F62/E62*1000)</f>
        <v/>
      </c>
      <c r="H62" s="31" t="n">
        <f aca="false">IF(COUNTIFS(EMCALI!$A:$A,$A62,EMCALI!$G:$G,"A",EMCALI!$C:$C,"&lt;&gt;")&lt;7,"",SUMIFS(EMCALI!$C:$C,EMCALI!$A:$A,$A62,EMCALI!$G:$G,"A"))</f>
        <v>1292.16</v>
      </c>
      <c r="I62" s="38" t="str">
        <f aca="false">IF(OR(H62="",C62&lt;5000),"",H62/C62*1000)</f>
        <v/>
      </c>
      <c r="J62" s="31" t="n">
        <f aca="false">IF(COUNTIFS(EMCALI!$A:$A,$A62,EMCALI!$G:$G,"B",EMCALI!$C:$C,"&lt;&gt;")&lt;7,"",SUMIFS(EMCALI!$C:$C,EMCALI!$A:$A,$A62,EMCALI!$G:$G,"B"))</f>
        <v>1023.72</v>
      </c>
      <c r="K62" s="38" t="str">
        <f aca="false">IF(OR(J62="",D62&lt;5000),"",J62/D62*1000)</f>
        <v/>
      </c>
      <c r="L62" s="11" t="str">
        <f aca="false">IF(AND(E62=0,F62=""),"Sin datos",IF(E62=0,"Sin producción registrada",IF(F62="","EMCALI incompleto","")))</f>
        <v>Sin producción registrada</v>
      </c>
    </row>
    <row r="63" customFormat="false" ht="15" hidden="false" customHeight="false" outlineLevel="0" collapsed="false">
      <c r="A63" s="35" t="n">
        <v>46266</v>
      </c>
      <c r="B63" s="11" t="s">
        <v>336</v>
      </c>
      <c r="C63" s="31" t="n">
        <f aca="false">SUMIFS(DatosProd!$D:$D,DatosProd!$A:$A,$A63,DatosProd!$C:$C,1)</f>
        <v>0</v>
      </c>
      <c r="D63" s="31" t="n">
        <f aca="false">SUMIFS(DatosProd!$D:$D,DatosProd!$A:$A,$A63,DatosProd!$C:$C,2)</f>
        <v>0</v>
      </c>
      <c r="E63" s="31" t="n">
        <f aca="false">SUMIFS(DatosProd!$D:$D,DatosProd!$A:$A,$A63)</f>
        <v>0</v>
      </c>
      <c r="F63" s="31" t="n">
        <f aca="false">IF(COUNTIFS(EMCALI!$A:$A,$A63,EMCALI!$C:$C,"&lt;&gt;")&lt;24,"",SUMIFS(EMCALI!$C:$C,EMCALI!$A:$A,$A63))</f>
        <v>4564.68</v>
      </c>
      <c r="G63" s="38" t="str">
        <f aca="false">IF(OR(F63="",E63=0),"",F63/E63*1000)</f>
        <v/>
      </c>
      <c r="H63" s="31" t="n">
        <f aca="false">IF(COUNTIFS(EMCALI!$A:$A,$A63,EMCALI!$G:$G,"A",EMCALI!$C:$C,"&lt;&gt;")&lt;7,"",SUMIFS(EMCALI!$C:$C,EMCALI!$A:$A,$A63,EMCALI!$G:$G,"A"))</f>
        <v>1905.96</v>
      </c>
      <c r="I63" s="38" t="str">
        <f aca="false">IF(OR(H63="",C63&lt;5000),"",H63/C63*1000)</f>
        <v/>
      </c>
      <c r="J63" s="31" t="n">
        <f aca="false">IF(COUNTIFS(EMCALI!$A:$A,$A63,EMCALI!$G:$G,"B",EMCALI!$C:$C,"&lt;&gt;")&lt;7,"",SUMIFS(EMCALI!$C:$C,EMCALI!$A:$A,$A63,EMCALI!$G:$G,"B"))</f>
        <v>1500.24</v>
      </c>
      <c r="K63" s="38" t="str">
        <f aca="false">IF(OR(J63="",D63&lt;5000),"",J63/D63*1000)</f>
        <v/>
      </c>
      <c r="L63" s="11" t="str">
        <f aca="false">IF(AND(E63=0,F63=""),"Sin datos",IF(E63=0,"Sin producción registrada",IF(F63="","EMCALI incompleto","")))</f>
        <v>Sin producción registrada</v>
      </c>
    </row>
    <row r="64" customFormat="false" ht="15" hidden="false" customHeight="false" outlineLevel="0" collapsed="false">
      <c r="A64" s="35" t="n">
        <v>46267</v>
      </c>
      <c r="B64" s="11" t="s">
        <v>337</v>
      </c>
      <c r="C64" s="31" t="n">
        <f aca="false">SUMIFS(DatosProd!$D:$D,DatosProd!$A:$A,$A64,DatosProd!$C:$C,1)</f>
        <v>0</v>
      </c>
      <c r="D64" s="31" t="n">
        <f aca="false">SUMIFS(DatosProd!$D:$D,DatosProd!$A:$A,$A64,DatosProd!$C:$C,2)</f>
        <v>0</v>
      </c>
      <c r="E64" s="31" t="n">
        <f aca="false">SUMIFS(DatosProd!$D:$D,DatosProd!$A:$A,$A64)</f>
        <v>0</v>
      </c>
      <c r="F64" s="31" t="n">
        <f aca="false">IF(COUNTIFS(EMCALI!$A:$A,$A64,EMCALI!$C:$C,"&lt;&gt;")&lt;24,"",SUMIFS(EMCALI!$C:$C,EMCALI!$A:$A,$A64))</f>
        <v>4578.96</v>
      </c>
      <c r="G64" s="38" t="str">
        <f aca="false">IF(OR(F64="",E64=0),"",F64/E64*1000)</f>
        <v/>
      </c>
      <c r="H64" s="31" t="n">
        <f aca="false">IF(COUNTIFS(EMCALI!$A:$A,$A64,EMCALI!$G:$G,"A",EMCALI!$C:$C,"&lt;&gt;")&lt;7,"",SUMIFS(EMCALI!$C:$C,EMCALI!$A:$A,$A64,EMCALI!$G:$G,"A"))</f>
        <v>1809.12</v>
      </c>
      <c r="I64" s="38" t="str">
        <f aca="false">IF(OR(H64="",C64&lt;5000),"",H64/C64*1000)</f>
        <v/>
      </c>
      <c r="J64" s="31" t="n">
        <f aca="false">IF(COUNTIFS(EMCALI!$A:$A,$A64,EMCALI!$G:$G,"B",EMCALI!$C:$C,"&lt;&gt;")&lt;7,"",SUMIFS(EMCALI!$C:$C,EMCALI!$A:$A,$A64,EMCALI!$G:$G,"B"))</f>
        <v>1527.96</v>
      </c>
      <c r="K64" s="38" t="str">
        <f aca="false">IF(OR(J64="",D64&lt;5000),"",J64/D64*1000)</f>
        <v/>
      </c>
      <c r="L64" s="11" t="str">
        <f aca="false">IF(AND(E64=0,F64=""),"Sin datos",IF(E64=0,"Sin producción registrada",IF(F64="","EMCALI incompleto","")))</f>
        <v>Sin producción registrada</v>
      </c>
    </row>
    <row r="65" customFormat="false" ht="15" hidden="false" customHeight="false" outlineLevel="0" collapsed="false">
      <c r="A65" s="35" t="n">
        <v>46268</v>
      </c>
      <c r="B65" s="11" t="s">
        <v>338</v>
      </c>
      <c r="C65" s="31" t="n">
        <f aca="false">SUMIFS(DatosProd!$D:$D,DatosProd!$A:$A,$A65,DatosProd!$C:$C,1)</f>
        <v>0</v>
      </c>
      <c r="D65" s="31" t="n">
        <f aca="false">SUMIFS(DatosProd!$D:$D,DatosProd!$A:$A,$A65,DatosProd!$C:$C,2)</f>
        <v>0</v>
      </c>
      <c r="E65" s="31" t="n">
        <f aca="false">SUMIFS(DatosProd!$D:$D,DatosProd!$A:$A,$A65)</f>
        <v>0</v>
      </c>
      <c r="F65" s="31" t="n">
        <f aca="false">IF(COUNTIFS(EMCALI!$A:$A,$A65,EMCALI!$C:$C,"&lt;&gt;")&lt;24,"",SUMIFS(EMCALI!$C:$C,EMCALI!$A:$A,$A65))</f>
        <v>4440.96</v>
      </c>
      <c r="G65" s="38" t="str">
        <f aca="false">IF(OR(F65="",E65=0),"",F65/E65*1000)</f>
        <v/>
      </c>
      <c r="H65" s="31" t="n">
        <f aca="false">IF(COUNTIFS(EMCALI!$A:$A,$A65,EMCALI!$G:$G,"A",EMCALI!$C:$C,"&lt;&gt;")&lt;7,"",SUMIFS(EMCALI!$C:$C,EMCALI!$A:$A,$A65,EMCALI!$G:$G,"A"))</f>
        <v>1700.16</v>
      </c>
      <c r="I65" s="38" t="str">
        <f aca="false">IF(OR(H65="",C65&lt;5000),"",H65/C65*1000)</f>
        <v/>
      </c>
      <c r="J65" s="31" t="n">
        <f aca="false">IF(COUNTIFS(EMCALI!$A:$A,$A65,EMCALI!$G:$G,"B",EMCALI!$C:$C,"&lt;&gt;")&lt;7,"",SUMIFS(EMCALI!$C:$C,EMCALI!$A:$A,$A65,EMCALI!$G:$G,"B"))</f>
        <v>1508.88</v>
      </c>
      <c r="K65" s="38" t="str">
        <f aca="false">IF(OR(J65="",D65&lt;5000),"",J65/D65*1000)</f>
        <v/>
      </c>
      <c r="L65" s="11" t="str">
        <f aca="false">IF(AND(E65=0,F65=""),"Sin datos",IF(E65=0,"Sin producción registrada",IF(F65="","EMCALI incompleto","")))</f>
        <v>Sin producción registrada</v>
      </c>
    </row>
    <row r="66" customFormat="false" ht="15" hidden="false" customHeight="false" outlineLevel="0" collapsed="false">
      <c r="A66" s="35" t="n">
        <v>46269</v>
      </c>
      <c r="B66" s="11" t="s">
        <v>339</v>
      </c>
      <c r="C66" s="31" t="n">
        <f aca="false">SUMIFS(DatosProd!$D:$D,DatosProd!$A:$A,$A66,DatosProd!$C:$C,1)</f>
        <v>0</v>
      </c>
      <c r="D66" s="31" t="n">
        <f aca="false">SUMIFS(DatosProd!$D:$D,DatosProd!$A:$A,$A66,DatosProd!$C:$C,2)</f>
        <v>0</v>
      </c>
      <c r="E66" s="31" t="n">
        <f aca="false">SUMIFS(DatosProd!$D:$D,DatosProd!$A:$A,$A66)</f>
        <v>0</v>
      </c>
      <c r="F66" s="31" t="n">
        <f aca="false">IF(COUNTIFS(EMCALI!$A:$A,$A66,EMCALI!$C:$C,"&lt;&gt;")&lt;24,"",SUMIFS(EMCALI!$C:$C,EMCALI!$A:$A,$A66))</f>
        <v>4674.96</v>
      </c>
      <c r="G66" s="38" t="str">
        <f aca="false">IF(OR(F66="",E66=0),"",F66/E66*1000)</f>
        <v/>
      </c>
      <c r="H66" s="31" t="n">
        <f aca="false">IF(COUNTIFS(EMCALI!$A:$A,$A66,EMCALI!$G:$G,"A",EMCALI!$C:$C,"&lt;&gt;")&lt;7,"",SUMIFS(EMCALI!$C:$C,EMCALI!$A:$A,$A66,EMCALI!$G:$G,"A"))</f>
        <v>1837.68</v>
      </c>
      <c r="I66" s="38" t="str">
        <f aca="false">IF(OR(H66="",C66&lt;5000),"",H66/C66*1000)</f>
        <v/>
      </c>
      <c r="J66" s="31" t="n">
        <f aca="false">IF(COUNTIFS(EMCALI!$A:$A,$A66,EMCALI!$G:$G,"B",EMCALI!$C:$C,"&lt;&gt;")&lt;7,"",SUMIFS(EMCALI!$C:$C,EMCALI!$A:$A,$A66,EMCALI!$G:$G,"B"))</f>
        <v>1640.04</v>
      </c>
      <c r="K66" s="38" t="str">
        <f aca="false">IF(OR(J66="",D66&lt;5000),"",J66/D66*1000)</f>
        <v/>
      </c>
      <c r="L66" s="11" t="str">
        <f aca="false">IF(AND(E66=0,F66=""),"Sin datos",IF(E66=0,"Sin producción registrada",IF(F66="","EMCALI incompleto","")))</f>
        <v>Sin producción registrada</v>
      </c>
    </row>
    <row r="67" customFormat="false" ht="15" hidden="false" customHeight="false" outlineLevel="0" collapsed="false">
      <c r="A67" s="35" t="n">
        <v>46270</v>
      </c>
      <c r="B67" s="11" t="s">
        <v>340</v>
      </c>
      <c r="C67" s="31" t="n">
        <f aca="false">SUMIFS(DatosProd!$D:$D,DatosProd!$A:$A,$A67,DatosProd!$C:$C,1)</f>
        <v>0</v>
      </c>
      <c r="D67" s="31" t="n">
        <f aca="false">SUMIFS(DatosProd!$D:$D,DatosProd!$A:$A,$A67,DatosProd!$C:$C,2)</f>
        <v>0</v>
      </c>
      <c r="E67" s="31" t="n">
        <f aca="false">SUMIFS(DatosProd!$D:$D,DatosProd!$A:$A,$A67)</f>
        <v>0</v>
      </c>
      <c r="F67" s="31" t="n">
        <f aca="false">IF(COUNTIFS(EMCALI!$A:$A,$A67,EMCALI!$C:$C,"&lt;&gt;")&lt;24,"",SUMIFS(EMCALI!$C:$C,EMCALI!$A:$A,$A67))</f>
        <v>1405.56</v>
      </c>
      <c r="G67" s="38" t="str">
        <f aca="false">IF(OR(F67="",E67=0),"",F67/E67*1000)</f>
        <v/>
      </c>
      <c r="H67" s="31" t="n">
        <f aca="false">IF(COUNTIFS(EMCALI!$A:$A,$A67,EMCALI!$G:$G,"A",EMCALI!$C:$C,"&lt;&gt;")&lt;7,"",SUMIFS(EMCALI!$C:$C,EMCALI!$A:$A,$A67,EMCALI!$G:$G,"A"))</f>
        <v>606.12</v>
      </c>
      <c r="I67" s="38" t="str">
        <f aca="false">IF(OR(H67="",C67&lt;5000),"",H67/C67*1000)</f>
        <v/>
      </c>
      <c r="J67" s="31" t="n">
        <f aca="false">IF(COUNTIFS(EMCALI!$A:$A,$A67,EMCALI!$G:$G,"B",EMCALI!$C:$C,"&lt;&gt;")&lt;7,"",SUMIFS(EMCALI!$C:$C,EMCALI!$A:$A,$A67,EMCALI!$G:$G,"B"))</f>
        <v>382.2</v>
      </c>
      <c r="K67" s="38" t="str">
        <f aca="false">IF(OR(J67="",D67&lt;5000),"",J67/D67*1000)</f>
        <v/>
      </c>
      <c r="L67" s="11" t="str">
        <f aca="false">IF(AND(E67=0,F67=""),"Sin datos",IF(E67=0,"Sin producción registrada",IF(F67="","EMCALI incompleto","")))</f>
        <v>Sin producción registrada</v>
      </c>
    </row>
    <row r="68" customFormat="false" ht="15" hidden="false" customHeight="false" outlineLevel="0" collapsed="false">
      <c r="A68" s="35" t="n">
        <v>46271</v>
      </c>
      <c r="B68" s="11" t="s">
        <v>341</v>
      </c>
      <c r="C68" s="31" t="n">
        <f aca="false">SUMIFS(DatosProd!$D:$D,DatosProd!$A:$A,$A68,DatosProd!$C:$C,1)</f>
        <v>0</v>
      </c>
      <c r="D68" s="31" t="n">
        <f aca="false">SUMIFS(DatosProd!$D:$D,DatosProd!$A:$A,$A68,DatosProd!$C:$C,2)</f>
        <v>0</v>
      </c>
      <c r="E68" s="31" t="n">
        <f aca="false">SUMIFS(DatosProd!$D:$D,DatosProd!$A:$A,$A68)</f>
        <v>0</v>
      </c>
      <c r="F68" s="31" t="n">
        <f aca="false">IF(COUNTIFS(EMCALI!$A:$A,$A68,EMCALI!$C:$C,"&lt;&gt;")&lt;24,"",SUMIFS(EMCALI!$C:$C,EMCALI!$A:$A,$A68))</f>
        <v>1119.84</v>
      </c>
      <c r="G68" s="38" t="str">
        <f aca="false">IF(OR(F68="",E68=0),"",F68/E68*1000)</f>
        <v/>
      </c>
      <c r="H68" s="31" t="str">
        <f aca="false">IF(COUNTIFS(EMCALI!$A:$A,$A68,EMCALI!$G:$G,"A",EMCALI!$C:$C,"&lt;&gt;")&lt;7,"",SUMIFS(EMCALI!$C:$C,EMCALI!$A:$A,$A68,EMCALI!$G:$G,"A"))</f>
        <v/>
      </c>
      <c r="I68" s="38" t="str">
        <f aca="false">IF(OR(H68="",C68&lt;5000),"",H68/C68*1000)</f>
        <v/>
      </c>
      <c r="J68" s="31" t="str">
        <f aca="false">IF(COUNTIFS(EMCALI!$A:$A,$A68,EMCALI!$G:$G,"B",EMCALI!$C:$C,"&lt;&gt;")&lt;7,"",SUMIFS(EMCALI!$C:$C,EMCALI!$A:$A,$A68,EMCALI!$G:$G,"B"))</f>
        <v/>
      </c>
      <c r="K68" s="38" t="str">
        <f aca="false">IF(OR(J68="",D68&lt;5000),"",J68/D68*1000)</f>
        <v/>
      </c>
      <c r="L68" s="11" t="str">
        <f aca="false">IF(AND(E68=0,F68=""),"Sin datos",IF(E68=0,"Sin producción registrada",IF(F68="","EMCALI incompleto","")))</f>
        <v>Sin producción registrada</v>
      </c>
    </row>
    <row r="69" customFormat="false" ht="15" hidden="false" customHeight="false" outlineLevel="0" collapsed="false">
      <c r="A69" s="35" t="n">
        <v>46272</v>
      </c>
      <c r="B69" s="11" t="s">
        <v>335</v>
      </c>
      <c r="C69" s="31" t="n">
        <f aca="false">SUMIFS(DatosProd!$D:$D,DatosProd!$A:$A,$A69,DatosProd!$C:$C,1)</f>
        <v>0</v>
      </c>
      <c r="D69" s="31" t="n">
        <f aca="false">SUMIFS(DatosProd!$D:$D,DatosProd!$A:$A,$A69,DatosProd!$C:$C,2)</f>
        <v>0</v>
      </c>
      <c r="E69" s="31" t="n">
        <f aca="false">SUMIFS(DatosProd!$D:$D,DatosProd!$A:$A,$A69)</f>
        <v>0</v>
      </c>
      <c r="F69" s="31" t="n">
        <f aca="false">IF(COUNTIFS(EMCALI!$A:$A,$A69,EMCALI!$C:$C,"&lt;&gt;")&lt;24,"",SUMIFS(EMCALI!$C:$C,EMCALI!$A:$A,$A69))</f>
        <v>4491.36</v>
      </c>
      <c r="G69" s="38" t="str">
        <f aca="false">IF(OR(F69="",E69=0),"",F69/E69*1000)</f>
        <v/>
      </c>
      <c r="H69" s="31" t="n">
        <f aca="false">IF(COUNTIFS(EMCALI!$A:$A,$A69,EMCALI!$G:$G,"A",EMCALI!$C:$C,"&lt;&gt;")&lt;7,"",SUMIFS(EMCALI!$C:$C,EMCALI!$A:$A,$A69,EMCALI!$G:$G,"A"))</f>
        <v>1668</v>
      </c>
      <c r="I69" s="38" t="str">
        <f aca="false">IF(OR(H69="",C69&lt;5000),"",H69/C69*1000)</f>
        <v/>
      </c>
      <c r="J69" s="31" t="n">
        <f aca="false">IF(COUNTIFS(EMCALI!$A:$A,$A69,EMCALI!$G:$G,"B",EMCALI!$C:$C,"&lt;&gt;")&lt;7,"",SUMIFS(EMCALI!$C:$C,EMCALI!$A:$A,$A69,EMCALI!$G:$G,"B"))</f>
        <v>1648.8</v>
      </c>
      <c r="K69" s="38" t="str">
        <f aca="false">IF(OR(J69="",D69&lt;5000),"",J69/D69*1000)</f>
        <v/>
      </c>
      <c r="L69" s="11" t="str">
        <f aca="false">IF(AND(E69=0,F69=""),"Sin datos",IF(E69=0,"Sin producción registrada",IF(F69="","EMCALI incompleto","")))</f>
        <v>Sin producción registrada</v>
      </c>
    </row>
    <row r="70" customFormat="false" ht="15" hidden="false" customHeight="false" outlineLevel="0" collapsed="false">
      <c r="A70" s="35" t="n">
        <v>46273</v>
      </c>
      <c r="B70" s="11" t="s">
        <v>336</v>
      </c>
      <c r="C70" s="31" t="n">
        <f aca="false">SUMIFS(DatosProd!$D:$D,DatosProd!$A:$A,$A70,DatosProd!$C:$C,1)</f>
        <v>0</v>
      </c>
      <c r="D70" s="31" t="n">
        <f aca="false">SUMIFS(DatosProd!$D:$D,DatosProd!$A:$A,$A70,DatosProd!$C:$C,2)</f>
        <v>0</v>
      </c>
      <c r="E70" s="31" t="n">
        <f aca="false">SUMIFS(DatosProd!$D:$D,DatosProd!$A:$A,$A70)</f>
        <v>0</v>
      </c>
      <c r="F70" s="31" t="n">
        <f aca="false">IF(COUNTIFS(EMCALI!$A:$A,$A70,EMCALI!$C:$C,"&lt;&gt;")&lt;24,"",SUMIFS(EMCALI!$C:$C,EMCALI!$A:$A,$A70))</f>
        <v>4874.88</v>
      </c>
      <c r="G70" s="38" t="str">
        <f aca="false">IF(OR(F70="",E70=0),"",F70/E70*1000)</f>
        <v/>
      </c>
      <c r="H70" s="31" t="n">
        <f aca="false">IF(COUNTIFS(EMCALI!$A:$A,$A70,EMCALI!$G:$G,"A",EMCALI!$C:$C,"&lt;&gt;")&lt;7,"",SUMIFS(EMCALI!$C:$C,EMCALI!$A:$A,$A70,EMCALI!$G:$G,"A"))</f>
        <v>1813.32</v>
      </c>
      <c r="I70" s="38" t="str">
        <f aca="false">IF(OR(H70="",C70&lt;5000),"",H70/C70*1000)</f>
        <v/>
      </c>
      <c r="J70" s="31" t="n">
        <f aca="false">IF(COUNTIFS(EMCALI!$A:$A,$A70,EMCALI!$G:$G,"B",EMCALI!$C:$C,"&lt;&gt;")&lt;7,"",SUMIFS(EMCALI!$C:$C,EMCALI!$A:$A,$A70,EMCALI!$G:$G,"B"))</f>
        <v>1696.32</v>
      </c>
      <c r="K70" s="38" t="str">
        <f aca="false">IF(OR(J70="",D70&lt;5000),"",J70/D70*1000)</f>
        <v/>
      </c>
      <c r="L70" s="11" t="str">
        <f aca="false">IF(AND(E70=0,F70=""),"Sin datos",IF(E70=0,"Sin producción registrada",IF(F70="","EMCALI incompleto","")))</f>
        <v>Sin producción registrada</v>
      </c>
    </row>
    <row r="71" customFormat="false" ht="15" hidden="false" customHeight="false" outlineLevel="0" collapsed="false">
      <c r="A71" s="35" t="n">
        <v>46274</v>
      </c>
      <c r="B71" s="11" t="s">
        <v>337</v>
      </c>
      <c r="C71" s="31" t="n">
        <f aca="false">SUMIFS(DatosProd!$D:$D,DatosProd!$A:$A,$A71,DatosProd!$C:$C,1)</f>
        <v>0</v>
      </c>
      <c r="D71" s="31" t="n">
        <f aca="false">SUMIFS(DatosProd!$D:$D,DatosProd!$A:$A,$A71,DatosProd!$C:$C,2)</f>
        <v>0</v>
      </c>
      <c r="E71" s="31" t="n">
        <f aca="false">SUMIFS(DatosProd!$D:$D,DatosProd!$A:$A,$A71)</f>
        <v>0</v>
      </c>
      <c r="F71" s="31" t="n">
        <f aca="false">IF(COUNTIFS(EMCALI!$A:$A,$A71,EMCALI!$C:$C,"&lt;&gt;")&lt;24,"",SUMIFS(EMCALI!$C:$C,EMCALI!$A:$A,$A71))</f>
        <v>4740.72</v>
      </c>
      <c r="G71" s="38" t="str">
        <f aca="false">IF(OR(F71="",E71=0),"",F71/E71*1000)</f>
        <v/>
      </c>
      <c r="H71" s="31" t="n">
        <f aca="false">IF(COUNTIFS(EMCALI!$A:$A,$A71,EMCALI!$G:$G,"A",EMCALI!$C:$C,"&lt;&gt;")&lt;7,"",SUMIFS(EMCALI!$C:$C,EMCALI!$A:$A,$A71,EMCALI!$G:$G,"A"))</f>
        <v>1720.56</v>
      </c>
      <c r="I71" s="38" t="str">
        <f aca="false">IF(OR(H71="",C71&lt;5000),"",H71/C71*1000)</f>
        <v/>
      </c>
      <c r="J71" s="31" t="n">
        <f aca="false">IF(COUNTIFS(EMCALI!$A:$A,$A71,EMCALI!$G:$G,"B",EMCALI!$C:$C,"&lt;&gt;")&lt;7,"",SUMIFS(EMCALI!$C:$C,EMCALI!$A:$A,$A71,EMCALI!$G:$G,"B"))</f>
        <v>1684.2</v>
      </c>
      <c r="K71" s="38" t="str">
        <f aca="false">IF(OR(J71="",D71&lt;5000),"",J71/D71*1000)</f>
        <v/>
      </c>
      <c r="L71" s="11" t="str">
        <f aca="false">IF(AND(E71=0,F71=""),"Sin datos",IF(E71=0,"Sin producción registrada",IF(F71="","EMCALI incompleto","")))</f>
        <v>Sin producción registrada</v>
      </c>
    </row>
    <row r="72" customFormat="false" ht="15" hidden="false" customHeight="false" outlineLevel="0" collapsed="false">
      <c r="A72" s="35" t="n">
        <v>46275</v>
      </c>
      <c r="B72" s="11" t="s">
        <v>338</v>
      </c>
      <c r="C72" s="31" t="n">
        <f aca="false">SUMIFS(DatosProd!$D:$D,DatosProd!$A:$A,$A72,DatosProd!$C:$C,1)</f>
        <v>0</v>
      </c>
      <c r="D72" s="31" t="n">
        <f aca="false">SUMIFS(DatosProd!$D:$D,DatosProd!$A:$A,$A72,DatosProd!$C:$C,2)</f>
        <v>0</v>
      </c>
      <c r="E72" s="31" t="n">
        <f aca="false">SUMIFS(DatosProd!$D:$D,DatosProd!$A:$A,$A72)</f>
        <v>0</v>
      </c>
      <c r="F72" s="31" t="n">
        <f aca="false">IF(COUNTIFS(EMCALI!$A:$A,$A72,EMCALI!$C:$C,"&lt;&gt;")&lt;24,"",SUMIFS(EMCALI!$C:$C,EMCALI!$A:$A,$A72))</f>
        <v>4461.24</v>
      </c>
      <c r="G72" s="38" t="str">
        <f aca="false">IF(OR(F72="",E72=0),"",F72/E72*1000)</f>
        <v/>
      </c>
      <c r="H72" s="31" t="n">
        <f aca="false">IF(COUNTIFS(EMCALI!$A:$A,$A72,EMCALI!$G:$G,"A",EMCALI!$C:$C,"&lt;&gt;")&lt;7,"",SUMIFS(EMCALI!$C:$C,EMCALI!$A:$A,$A72,EMCALI!$G:$G,"A"))</f>
        <v>1667.64</v>
      </c>
      <c r="I72" s="38" t="str">
        <f aca="false">IF(OR(H72="",C72&lt;5000),"",H72/C72*1000)</f>
        <v/>
      </c>
      <c r="J72" s="31" t="n">
        <f aca="false">IF(COUNTIFS(EMCALI!$A:$A,$A72,EMCALI!$G:$G,"B",EMCALI!$C:$C,"&lt;&gt;")&lt;7,"",SUMIFS(EMCALI!$C:$C,EMCALI!$A:$A,$A72,EMCALI!$G:$G,"B"))</f>
        <v>1508.76</v>
      </c>
      <c r="K72" s="38" t="str">
        <f aca="false">IF(OR(J72="",D72&lt;5000),"",J72/D72*1000)</f>
        <v/>
      </c>
      <c r="L72" s="11" t="str">
        <f aca="false">IF(AND(E72=0,F72=""),"Sin datos",IF(E72=0,"Sin producción registrada",IF(F72="","EMCALI incompleto","")))</f>
        <v>Sin producción registrada</v>
      </c>
    </row>
    <row r="73" customFormat="false" ht="15" hidden="false" customHeight="false" outlineLevel="0" collapsed="false">
      <c r="A73" s="35" t="n">
        <v>46276</v>
      </c>
      <c r="B73" s="11" t="s">
        <v>339</v>
      </c>
      <c r="C73" s="31" t="n">
        <f aca="false">SUMIFS(DatosProd!$D:$D,DatosProd!$A:$A,$A73,DatosProd!$C:$C,1)</f>
        <v>0</v>
      </c>
      <c r="D73" s="31" t="n">
        <f aca="false">SUMIFS(DatosProd!$D:$D,DatosProd!$A:$A,$A73,DatosProd!$C:$C,2)</f>
        <v>0</v>
      </c>
      <c r="E73" s="31" t="n">
        <f aca="false">SUMIFS(DatosProd!$D:$D,DatosProd!$A:$A,$A73)</f>
        <v>0</v>
      </c>
      <c r="F73" s="31" t="n">
        <f aca="false">IF(COUNTIFS(EMCALI!$A:$A,$A73,EMCALI!$C:$C,"&lt;&gt;")&lt;24,"",SUMIFS(EMCALI!$C:$C,EMCALI!$A:$A,$A73))</f>
        <v>4450.2</v>
      </c>
      <c r="G73" s="38" t="str">
        <f aca="false">IF(OR(F73="",E73=0),"",F73/E73*1000)</f>
        <v/>
      </c>
      <c r="H73" s="31" t="n">
        <f aca="false">IF(COUNTIFS(EMCALI!$A:$A,$A73,EMCALI!$G:$G,"A",EMCALI!$C:$C,"&lt;&gt;")&lt;7,"",SUMIFS(EMCALI!$C:$C,EMCALI!$A:$A,$A73,EMCALI!$G:$G,"A"))</f>
        <v>1704.72</v>
      </c>
      <c r="I73" s="38" t="str">
        <f aca="false">IF(OR(H73="",C73&lt;5000),"",H73/C73*1000)</f>
        <v/>
      </c>
      <c r="J73" s="31" t="n">
        <f aca="false">IF(COUNTIFS(EMCALI!$A:$A,$A73,EMCALI!$G:$G,"B",EMCALI!$C:$C,"&lt;&gt;")&lt;7,"",SUMIFS(EMCALI!$C:$C,EMCALI!$A:$A,$A73,EMCALI!$G:$G,"B"))</f>
        <v>1554.72</v>
      </c>
      <c r="K73" s="38" t="str">
        <f aca="false">IF(OR(J73="",D73&lt;5000),"",J73/D73*1000)</f>
        <v/>
      </c>
      <c r="L73" s="11" t="str">
        <f aca="false">IF(AND(E73=0,F73=""),"Sin datos",IF(E73=0,"Sin producción registrada",IF(F73="","EMCALI incompleto","")))</f>
        <v>Sin producción registrada</v>
      </c>
    </row>
    <row r="74" customFormat="false" ht="15" hidden="false" customHeight="false" outlineLevel="0" collapsed="false">
      <c r="A74" s="35" t="n">
        <v>46277</v>
      </c>
      <c r="B74" s="11" t="s">
        <v>340</v>
      </c>
      <c r="C74" s="31" t="n">
        <f aca="false">SUMIFS(DatosProd!$D:$D,DatosProd!$A:$A,$A74,DatosProd!$C:$C,1)</f>
        <v>0</v>
      </c>
      <c r="D74" s="31" t="n">
        <f aca="false">SUMIFS(DatosProd!$D:$D,DatosProd!$A:$A,$A74,DatosProd!$C:$C,2)</f>
        <v>0</v>
      </c>
      <c r="E74" s="31" t="n">
        <f aca="false">SUMIFS(DatosProd!$D:$D,DatosProd!$A:$A,$A74)</f>
        <v>0</v>
      </c>
      <c r="F74" s="31" t="n">
        <f aca="false">IF(COUNTIFS(EMCALI!$A:$A,$A74,EMCALI!$C:$C,"&lt;&gt;")&lt;24,"",SUMIFS(EMCALI!$C:$C,EMCALI!$A:$A,$A74))</f>
        <v>1513.8</v>
      </c>
      <c r="G74" s="38" t="str">
        <f aca="false">IF(OR(F74="",E74=0),"",F74/E74*1000)</f>
        <v/>
      </c>
      <c r="H74" s="31" t="n">
        <f aca="false">IF(COUNTIFS(EMCALI!$A:$A,$A74,EMCALI!$G:$G,"A",EMCALI!$C:$C,"&lt;&gt;")&lt;7,"",SUMIFS(EMCALI!$C:$C,EMCALI!$A:$A,$A74,EMCALI!$G:$G,"A"))</f>
        <v>547.56</v>
      </c>
      <c r="I74" s="38" t="str">
        <f aca="false">IF(OR(H74="",C74&lt;5000),"",H74/C74*1000)</f>
        <v/>
      </c>
      <c r="J74" s="31" t="n">
        <f aca="false">IF(COUNTIFS(EMCALI!$A:$A,$A74,EMCALI!$G:$G,"B",EMCALI!$C:$C,"&lt;&gt;")&lt;7,"",SUMIFS(EMCALI!$C:$C,EMCALI!$A:$A,$A74,EMCALI!$G:$G,"B"))</f>
        <v>502.68</v>
      </c>
      <c r="K74" s="38" t="str">
        <f aca="false">IF(OR(J74="",D74&lt;5000),"",J74/D74*1000)</f>
        <v/>
      </c>
      <c r="L74" s="11" t="str">
        <f aca="false">IF(AND(E74=0,F74=""),"Sin datos",IF(E74=0,"Sin producción registrada",IF(F74="","EMCALI incompleto","")))</f>
        <v>Sin producción registrada</v>
      </c>
    </row>
    <row r="75" customFormat="false" ht="15" hidden="false" customHeight="false" outlineLevel="0" collapsed="false">
      <c r="A75" s="35" t="n">
        <v>46278</v>
      </c>
      <c r="B75" s="11" t="s">
        <v>341</v>
      </c>
      <c r="C75" s="31" t="n">
        <f aca="false">SUMIFS(DatosProd!$D:$D,DatosProd!$A:$A,$A75,DatosProd!$C:$C,1)</f>
        <v>0</v>
      </c>
      <c r="D75" s="31" t="n">
        <f aca="false">SUMIFS(DatosProd!$D:$D,DatosProd!$A:$A,$A75,DatosProd!$C:$C,2)</f>
        <v>0</v>
      </c>
      <c r="E75" s="31" t="n">
        <f aca="false">SUMIFS(DatosProd!$D:$D,DatosProd!$A:$A,$A75)</f>
        <v>0</v>
      </c>
      <c r="F75" s="31" t="n">
        <f aca="false">IF(COUNTIFS(EMCALI!$A:$A,$A75,EMCALI!$C:$C,"&lt;&gt;")&lt;24,"",SUMIFS(EMCALI!$C:$C,EMCALI!$A:$A,$A75))</f>
        <v>1508.52</v>
      </c>
      <c r="G75" s="38" t="str">
        <f aca="false">IF(OR(F75="",E75=0),"",F75/E75*1000)</f>
        <v/>
      </c>
      <c r="H75" s="31" t="str">
        <f aca="false">IF(COUNTIFS(EMCALI!$A:$A,$A75,EMCALI!$G:$G,"A",EMCALI!$C:$C,"&lt;&gt;")&lt;7,"",SUMIFS(EMCALI!$C:$C,EMCALI!$A:$A,$A75,EMCALI!$G:$G,"A"))</f>
        <v/>
      </c>
      <c r="I75" s="38" t="str">
        <f aca="false">IF(OR(H75="",C75&lt;5000),"",H75/C75*1000)</f>
        <v/>
      </c>
      <c r="J75" s="31" t="str">
        <f aca="false">IF(COUNTIFS(EMCALI!$A:$A,$A75,EMCALI!$G:$G,"B",EMCALI!$C:$C,"&lt;&gt;")&lt;7,"",SUMIFS(EMCALI!$C:$C,EMCALI!$A:$A,$A75,EMCALI!$G:$G,"B"))</f>
        <v/>
      </c>
      <c r="K75" s="38" t="str">
        <f aca="false">IF(OR(J75="",D75&lt;5000),"",J75/D75*1000)</f>
        <v/>
      </c>
      <c r="L75" s="11" t="str">
        <f aca="false">IF(AND(E75=0,F75=""),"Sin datos",IF(E75=0,"Sin producción registrada",IF(F75="","EMCALI incompleto","")))</f>
        <v>Sin producción registrada</v>
      </c>
    </row>
    <row r="76" customFormat="false" ht="15" hidden="false" customHeight="false" outlineLevel="0" collapsed="false">
      <c r="A76" s="35" t="n">
        <v>46279</v>
      </c>
      <c r="B76" s="11" t="s">
        <v>335</v>
      </c>
      <c r="C76" s="31" t="n">
        <f aca="false">SUMIFS(DatosProd!$D:$D,DatosProd!$A:$A,$A76,DatosProd!$C:$C,1)</f>
        <v>0</v>
      </c>
      <c r="D76" s="31" t="n">
        <f aca="false">SUMIFS(DatosProd!$D:$D,DatosProd!$A:$A,$A76,DatosProd!$C:$C,2)</f>
        <v>0</v>
      </c>
      <c r="E76" s="31" t="n">
        <f aca="false">SUMIFS(DatosProd!$D:$D,DatosProd!$A:$A,$A76)</f>
        <v>0</v>
      </c>
      <c r="F76" s="31" t="n">
        <f aca="false">IF(COUNTIFS(EMCALI!$A:$A,$A76,EMCALI!$C:$C,"&lt;&gt;")&lt;24,"",SUMIFS(EMCALI!$C:$C,EMCALI!$A:$A,$A76))</f>
        <v>4400.4</v>
      </c>
      <c r="G76" s="38" t="str">
        <f aca="false">IF(OR(F76="",E76=0),"",F76/E76*1000)</f>
        <v/>
      </c>
      <c r="H76" s="31" t="n">
        <f aca="false">IF(COUNTIFS(EMCALI!$A:$A,$A76,EMCALI!$G:$G,"A",EMCALI!$C:$C,"&lt;&gt;")&lt;7,"",SUMIFS(EMCALI!$C:$C,EMCALI!$A:$A,$A76,EMCALI!$G:$G,"A"))</f>
        <v>1947.96</v>
      </c>
      <c r="I76" s="38" t="str">
        <f aca="false">IF(OR(H76="",C76&lt;5000),"",H76/C76*1000)</f>
        <v/>
      </c>
      <c r="J76" s="31" t="n">
        <f aca="false">IF(COUNTIFS(EMCALI!$A:$A,$A76,EMCALI!$G:$G,"B",EMCALI!$C:$C,"&lt;&gt;")&lt;7,"",SUMIFS(EMCALI!$C:$C,EMCALI!$A:$A,$A76,EMCALI!$G:$G,"B"))</f>
        <v>1544.64</v>
      </c>
      <c r="K76" s="38" t="str">
        <f aca="false">IF(OR(J76="",D76&lt;5000),"",J76/D76*1000)</f>
        <v/>
      </c>
      <c r="L76" s="11" t="str">
        <f aca="false">IF(AND(E76=0,F76=""),"Sin datos",IF(E76=0,"Sin producción registrada",IF(F76="","EMCALI incompleto","")))</f>
        <v>Sin producción registrada</v>
      </c>
    </row>
    <row r="77" customFormat="false" ht="15" hidden="false" customHeight="false" outlineLevel="0" collapsed="false">
      <c r="A77" s="35" t="n">
        <v>46280</v>
      </c>
      <c r="B77" s="11" t="s">
        <v>336</v>
      </c>
      <c r="C77" s="31" t="n">
        <f aca="false">SUMIFS(DatosProd!$D:$D,DatosProd!$A:$A,$A77,DatosProd!$C:$C,1)</f>
        <v>0</v>
      </c>
      <c r="D77" s="31" t="n">
        <f aca="false">SUMIFS(DatosProd!$D:$D,DatosProd!$A:$A,$A77,DatosProd!$C:$C,2)</f>
        <v>0</v>
      </c>
      <c r="E77" s="31" t="n">
        <f aca="false">SUMIFS(DatosProd!$D:$D,DatosProd!$A:$A,$A77)</f>
        <v>0</v>
      </c>
      <c r="F77" s="31" t="n">
        <f aca="false">IF(COUNTIFS(EMCALI!$A:$A,$A77,EMCALI!$C:$C,"&lt;&gt;")&lt;24,"",SUMIFS(EMCALI!$C:$C,EMCALI!$A:$A,$A77))</f>
        <v>4614.36</v>
      </c>
      <c r="G77" s="38" t="str">
        <f aca="false">IF(OR(F77="",E77=0),"",F77/E77*1000)</f>
        <v/>
      </c>
      <c r="H77" s="31" t="n">
        <f aca="false">IF(COUNTIFS(EMCALI!$A:$A,$A77,EMCALI!$G:$G,"A",EMCALI!$C:$C,"&lt;&gt;")&lt;7,"",SUMIFS(EMCALI!$C:$C,EMCALI!$A:$A,$A77,EMCALI!$G:$G,"A"))</f>
        <v>2075.16</v>
      </c>
      <c r="I77" s="38" t="str">
        <f aca="false">IF(OR(H77="",C77&lt;5000),"",H77/C77*1000)</f>
        <v/>
      </c>
      <c r="J77" s="31" t="n">
        <f aca="false">IF(COUNTIFS(EMCALI!$A:$A,$A77,EMCALI!$G:$G,"B",EMCALI!$C:$C,"&lt;&gt;")&lt;7,"",SUMIFS(EMCALI!$C:$C,EMCALI!$A:$A,$A77,EMCALI!$G:$G,"B"))</f>
        <v>1562.52</v>
      </c>
      <c r="K77" s="38" t="str">
        <f aca="false">IF(OR(J77="",D77&lt;5000),"",J77/D77*1000)</f>
        <v/>
      </c>
      <c r="L77" s="11" t="str">
        <f aca="false">IF(AND(E77=0,F77=""),"Sin datos",IF(E77=0,"Sin producción registrada",IF(F77="","EMCALI incompleto","")))</f>
        <v>Sin producción registrada</v>
      </c>
    </row>
    <row r="78" customFormat="false" ht="15" hidden="false" customHeight="false" outlineLevel="0" collapsed="false">
      <c r="A78" s="35" t="n">
        <v>46281</v>
      </c>
      <c r="B78" s="11" t="s">
        <v>337</v>
      </c>
      <c r="C78" s="31" t="n">
        <f aca="false">SUMIFS(DatosProd!$D:$D,DatosProd!$A:$A,$A78,DatosProd!$C:$C,1)</f>
        <v>0</v>
      </c>
      <c r="D78" s="31" t="n">
        <f aca="false">SUMIFS(DatosProd!$D:$D,DatosProd!$A:$A,$A78,DatosProd!$C:$C,2)</f>
        <v>0</v>
      </c>
      <c r="E78" s="31" t="n">
        <f aca="false">SUMIFS(DatosProd!$D:$D,DatosProd!$A:$A,$A78)</f>
        <v>0</v>
      </c>
      <c r="F78" s="31" t="n">
        <f aca="false">IF(COUNTIFS(EMCALI!$A:$A,$A78,EMCALI!$C:$C,"&lt;&gt;")&lt;24,"",SUMIFS(EMCALI!$C:$C,EMCALI!$A:$A,$A78))</f>
        <v>4500.96</v>
      </c>
      <c r="G78" s="38" t="str">
        <f aca="false">IF(OR(F78="",E78=0),"",F78/E78*1000)</f>
        <v/>
      </c>
      <c r="H78" s="31" t="n">
        <f aca="false">IF(COUNTIFS(EMCALI!$A:$A,$A78,EMCALI!$G:$G,"A",EMCALI!$C:$C,"&lt;&gt;")&lt;7,"",SUMIFS(EMCALI!$C:$C,EMCALI!$A:$A,$A78,EMCALI!$G:$G,"A"))</f>
        <v>1973.88</v>
      </c>
      <c r="I78" s="38" t="str">
        <f aca="false">IF(OR(H78="",C78&lt;5000),"",H78/C78*1000)</f>
        <v/>
      </c>
      <c r="J78" s="31" t="n">
        <f aca="false">IF(COUNTIFS(EMCALI!$A:$A,$A78,EMCALI!$G:$G,"B",EMCALI!$C:$C,"&lt;&gt;")&lt;7,"",SUMIFS(EMCALI!$C:$C,EMCALI!$A:$A,$A78,EMCALI!$G:$G,"B"))</f>
        <v>1555.68</v>
      </c>
      <c r="K78" s="38" t="str">
        <f aca="false">IF(OR(J78="",D78&lt;5000),"",J78/D78*1000)</f>
        <v/>
      </c>
      <c r="L78" s="11" t="str">
        <f aca="false">IF(AND(E78=0,F78=""),"Sin datos",IF(E78=0,"Sin producción registrada",IF(F78="","EMCALI incompleto","")))</f>
        <v>Sin producción registrada</v>
      </c>
    </row>
    <row r="79" customFormat="false" ht="15" hidden="false" customHeight="false" outlineLevel="0" collapsed="false">
      <c r="A79" s="35" t="n">
        <v>46282</v>
      </c>
      <c r="B79" s="11" t="s">
        <v>338</v>
      </c>
      <c r="C79" s="31" t="n">
        <f aca="false">SUMIFS(DatosProd!$D:$D,DatosProd!$A:$A,$A79,DatosProd!$C:$C,1)</f>
        <v>0</v>
      </c>
      <c r="D79" s="31" t="n">
        <f aca="false">SUMIFS(DatosProd!$D:$D,DatosProd!$A:$A,$A79,DatosProd!$C:$C,2)</f>
        <v>0</v>
      </c>
      <c r="E79" s="31" t="n">
        <f aca="false">SUMIFS(DatosProd!$D:$D,DatosProd!$A:$A,$A79)</f>
        <v>0</v>
      </c>
      <c r="F79" s="31" t="n">
        <f aca="false">IF(COUNTIFS(EMCALI!$A:$A,$A79,EMCALI!$C:$C,"&lt;&gt;")&lt;24,"",SUMIFS(EMCALI!$C:$C,EMCALI!$A:$A,$A79))</f>
        <v>4448.04</v>
      </c>
      <c r="G79" s="38" t="str">
        <f aca="false">IF(OR(F79="",E79=0),"",F79/E79*1000)</f>
        <v/>
      </c>
      <c r="H79" s="31" t="n">
        <f aca="false">IF(COUNTIFS(EMCALI!$A:$A,$A79,EMCALI!$G:$G,"A",EMCALI!$C:$C,"&lt;&gt;")&lt;7,"",SUMIFS(EMCALI!$C:$C,EMCALI!$A:$A,$A79,EMCALI!$G:$G,"A"))</f>
        <v>1990.2</v>
      </c>
      <c r="I79" s="38" t="str">
        <f aca="false">IF(OR(H79="",C79&lt;5000),"",H79/C79*1000)</f>
        <v/>
      </c>
      <c r="J79" s="31" t="n">
        <f aca="false">IF(COUNTIFS(EMCALI!$A:$A,$A79,EMCALI!$G:$G,"B",EMCALI!$C:$C,"&lt;&gt;")&lt;7,"",SUMIFS(EMCALI!$C:$C,EMCALI!$A:$A,$A79,EMCALI!$G:$G,"B"))</f>
        <v>1500.48</v>
      </c>
      <c r="K79" s="38" t="str">
        <f aca="false">IF(OR(J79="",D79&lt;5000),"",J79/D79*1000)</f>
        <v/>
      </c>
      <c r="L79" s="11" t="str">
        <f aca="false">IF(AND(E79=0,F79=""),"Sin datos",IF(E79=0,"Sin producción registrada",IF(F79="","EMCALI incompleto","")))</f>
        <v>Sin producción registrada</v>
      </c>
    </row>
    <row r="80" customFormat="false" ht="15" hidden="false" customHeight="false" outlineLevel="0" collapsed="false">
      <c r="A80" s="35" t="n">
        <v>46283</v>
      </c>
      <c r="B80" s="11" t="s">
        <v>339</v>
      </c>
      <c r="C80" s="31" t="n">
        <f aca="false">SUMIFS(DatosProd!$D:$D,DatosProd!$A:$A,$A80,DatosProd!$C:$C,1)</f>
        <v>0</v>
      </c>
      <c r="D80" s="31" t="n">
        <f aca="false">SUMIFS(DatosProd!$D:$D,DatosProd!$A:$A,$A80,DatosProd!$C:$C,2)</f>
        <v>0</v>
      </c>
      <c r="E80" s="31" t="n">
        <f aca="false">SUMIFS(DatosProd!$D:$D,DatosProd!$A:$A,$A80)</f>
        <v>0</v>
      </c>
      <c r="F80" s="31" t="n">
        <f aca="false">IF(COUNTIFS(EMCALI!$A:$A,$A80,EMCALI!$C:$C,"&lt;&gt;")&lt;24,"",SUMIFS(EMCALI!$C:$C,EMCALI!$A:$A,$A80))</f>
        <v>4488.24</v>
      </c>
      <c r="G80" s="38" t="str">
        <f aca="false">IF(OR(F80="",E80=0),"",F80/E80*1000)</f>
        <v/>
      </c>
      <c r="H80" s="31" t="n">
        <f aca="false">IF(COUNTIFS(EMCALI!$A:$A,$A80,EMCALI!$G:$G,"A",EMCALI!$C:$C,"&lt;&gt;")&lt;7,"",SUMIFS(EMCALI!$C:$C,EMCALI!$A:$A,$A80,EMCALI!$G:$G,"A"))</f>
        <v>2005.68</v>
      </c>
      <c r="I80" s="38" t="str">
        <f aca="false">IF(OR(H80="",C80&lt;5000),"",H80/C80*1000)</f>
        <v/>
      </c>
      <c r="J80" s="31" t="n">
        <f aca="false">IF(COUNTIFS(EMCALI!$A:$A,$A80,EMCALI!$G:$G,"B",EMCALI!$C:$C,"&lt;&gt;")&lt;7,"",SUMIFS(EMCALI!$C:$C,EMCALI!$A:$A,$A80,EMCALI!$G:$G,"B"))</f>
        <v>1474.2</v>
      </c>
      <c r="K80" s="38" t="str">
        <f aca="false">IF(OR(J80="",D80&lt;5000),"",J80/D80*1000)</f>
        <v/>
      </c>
      <c r="L80" s="11" t="str">
        <f aca="false">IF(AND(E80=0,F80=""),"Sin datos",IF(E80=0,"Sin producción registrada",IF(F80="","EMCALI incompleto","")))</f>
        <v>Sin producción registrada</v>
      </c>
    </row>
    <row r="81" customFormat="false" ht="15" hidden="false" customHeight="false" outlineLevel="0" collapsed="false">
      <c r="A81" s="35" t="n">
        <v>46284</v>
      </c>
      <c r="B81" s="11" t="s">
        <v>340</v>
      </c>
      <c r="C81" s="31" t="n">
        <f aca="false">SUMIFS(DatosProd!$D:$D,DatosProd!$A:$A,$A81,DatosProd!$C:$C,1)</f>
        <v>0</v>
      </c>
      <c r="D81" s="31" t="n">
        <f aca="false">SUMIFS(DatosProd!$D:$D,DatosProd!$A:$A,$A81,DatosProd!$C:$C,2)</f>
        <v>0</v>
      </c>
      <c r="E81" s="31" t="n">
        <f aca="false">SUMIFS(DatosProd!$D:$D,DatosProd!$A:$A,$A81)</f>
        <v>0</v>
      </c>
      <c r="F81" s="31" t="n">
        <f aca="false">IF(COUNTIFS(EMCALI!$A:$A,$A81,EMCALI!$C:$C,"&lt;&gt;")&lt;24,"",SUMIFS(EMCALI!$C:$C,EMCALI!$A:$A,$A81))</f>
        <v>3876.36</v>
      </c>
      <c r="G81" s="38" t="str">
        <f aca="false">IF(OR(F81="",E81=0),"",F81/E81*1000)</f>
        <v/>
      </c>
      <c r="H81" s="31" t="n">
        <f aca="false">IF(COUNTIFS(EMCALI!$A:$A,$A81,EMCALI!$G:$G,"A",EMCALI!$C:$C,"&lt;&gt;")&lt;7,"",SUMIFS(EMCALI!$C:$C,EMCALI!$A:$A,$A81,EMCALI!$G:$G,"A"))</f>
        <v>1737.12</v>
      </c>
      <c r="I81" s="38" t="str">
        <f aca="false">IF(OR(H81="",C81&lt;5000),"",H81/C81*1000)</f>
        <v/>
      </c>
      <c r="J81" s="31" t="n">
        <f aca="false">IF(COUNTIFS(EMCALI!$A:$A,$A81,EMCALI!$G:$G,"B",EMCALI!$C:$C,"&lt;&gt;")&lt;7,"",SUMIFS(EMCALI!$C:$C,EMCALI!$A:$A,$A81,EMCALI!$G:$G,"B"))</f>
        <v>1282.44</v>
      </c>
      <c r="K81" s="38" t="str">
        <f aca="false">IF(OR(J81="",D81&lt;5000),"",J81/D81*1000)</f>
        <v/>
      </c>
      <c r="L81" s="11" t="str">
        <f aca="false">IF(AND(E81=0,F81=""),"Sin datos",IF(E81=0,"Sin producción registrada",IF(F81="","EMCALI incompleto","")))</f>
        <v>Sin producción registrada</v>
      </c>
    </row>
    <row r="82" customFormat="false" ht="15" hidden="false" customHeight="false" outlineLevel="0" collapsed="false">
      <c r="A82" s="35" t="n">
        <v>46285</v>
      </c>
      <c r="B82" s="11" t="s">
        <v>341</v>
      </c>
      <c r="C82" s="31" t="n">
        <f aca="false">SUMIFS(DatosProd!$D:$D,DatosProd!$A:$A,$A82,DatosProd!$C:$C,1)</f>
        <v>0</v>
      </c>
      <c r="D82" s="31" t="n">
        <f aca="false">SUMIFS(DatosProd!$D:$D,DatosProd!$A:$A,$A82,DatosProd!$C:$C,2)</f>
        <v>0</v>
      </c>
      <c r="E82" s="31" t="n">
        <f aca="false">SUMIFS(DatosProd!$D:$D,DatosProd!$A:$A,$A82)</f>
        <v>0</v>
      </c>
      <c r="F82" s="31" t="n">
        <f aca="false">IF(COUNTIFS(EMCALI!$A:$A,$A82,EMCALI!$C:$C,"&lt;&gt;")&lt;24,"",SUMIFS(EMCALI!$C:$C,EMCALI!$A:$A,$A82))</f>
        <v>1152.84</v>
      </c>
      <c r="G82" s="38" t="str">
        <f aca="false">IF(OR(F82="",E82=0),"",F82/E82*1000)</f>
        <v/>
      </c>
      <c r="H82" s="31" t="str">
        <f aca="false">IF(COUNTIFS(EMCALI!$A:$A,$A82,EMCALI!$G:$G,"A",EMCALI!$C:$C,"&lt;&gt;")&lt;7,"",SUMIFS(EMCALI!$C:$C,EMCALI!$A:$A,$A82,EMCALI!$G:$G,"A"))</f>
        <v/>
      </c>
      <c r="I82" s="38" t="str">
        <f aca="false">IF(OR(H82="",C82&lt;5000),"",H82/C82*1000)</f>
        <v/>
      </c>
      <c r="J82" s="31" t="str">
        <f aca="false">IF(COUNTIFS(EMCALI!$A:$A,$A82,EMCALI!$G:$G,"B",EMCALI!$C:$C,"&lt;&gt;")&lt;7,"",SUMIFS(EMCALI!$C:$C,EMCALI!$A:$A,$A82,EMCALI!$G:$G,"B"))</f>
        <v/>
      </c>
      <c r="K82" s="38" t="str">
        <f aca="false">IF(OR(J82="",D82&lt;5000),"",J82/D82*1000)</f>
        <v/>
      </c>
      <c r="L82" s="11" t="str">
        <f aca="false">IF(AND(E82=0,F82=""),"Sin datos",IF(E82=0,"Sin producción registrada",IF(F82="","EMCALI incompleto","")))</f>
        <v>Sin producción registrada</v>
      </c>
    </row>
    <row r="83" customFormat="false" ht="15" hidden="false" customHeight="false" outlineLevel="0" collapsed="false">
      <c r="A83" s="35" t="n">
        <v>46286</v>
      </c>
      <c r="B83" s="11" t="s">
        <v>335</v>
      </c>
      <c r="C83" s="31" t="n">
        <f aca="false">SUMIFS(DatosProd!$D:$D,DatosProd!$A:$A,$A83,DatosProd!$C:$C,1)</f>
        <v>0</v>
      </c>
      <c r="D83" s="31" t="n">
        <f aca="false">SUMIFS(DatosProd!$D:$D,DatosProd!$A:$A,$A83,DatosProd!$C:$C,2)</f>
        <v>0</v>
      </c>
      <c r="E83" s="31" t="n">
        <f aca="false">SUMIFS(DatosProd!$D:$D,DatosProd!$A:$A,$A83)</f>
        <v>0</v>
      </c>
      <c r="F83" s="31" t="n">
        <f aca="false">IF(COUNTIFS(EMCALI!$A:$A,$A83,EMCALI!$C:$C,"&lt;&gt;")&lt;24,"",SUMIFS(EMCALI!$C:$C,EMCALI!$A:$A,$A83))</f>
        <v>4976.4</v>
      </c>
      <c r="G83" s="38" t="str">
        <f aca="false">IF(OR(F83="",E83=0),"",F83/E83*1000)</f>
        <v/>
      </c>
      <c r="H83" s="31" t="n">
        <f aca="false">IF(COUNTIFS(EMCALI!$A:$A,$A83,EMCALI!$G:$G,"A",EMCALI!$C:$C,"&lt;&gt;")&lt;7,"",SUMIFS(EMCALI!$C:$C,EMCALI!$A:$A,$A83,EMCALI!$G:$G,"A"))</f>
        <v>1996.08</v>
      </c>
      <c r="I83" s="38" t="str">
        <f aca="false">IF(OR(H83="",C83&lt;5000),"",H83/C83*1000)</f>
        <v/>
      </c>
      <c r="J83" s="31" t="n">
        <f aca="false">IF(COUNTIFS(EMCALI!$A:$A,$A83,EMCALI!$G:$G,"B",EMCALI!$C:$C,"&lt;&gt;")&lt;7,"",SUMIFS(EMCALI!$C:$C,EMCALI!$A:$A,$A83,EMCALI!$G:$G,"B"))</f>
        <v>1726.8</v>
      </c>
      <c r="K83" s="38" t="str">
        <f aca="false">IF(OR(J83="",D83&lt;5000),"",J83/D83*1000)</f>
        <v/>
      </c>
      <c r="L83" s="11" t="str">
        <f aca="false">IF(AND(E83=0,F83=""),"Sin datos",IF(E83=0,"Sin producción registrada",IF(F83="","EMCALI incompleto","")))</f>
        <v>Sin producción registrada</v>
      </c>
    </row>
    <row r="84" customFormat="false" ht="15" hidden="false" customHeight="false" outlineLevel="0" collapsed="false">
      <c r="A84" s="35" t="n">
        <v>46287</v>
      </c>
      <c r="B84" s="11" t="s">
        <v>336</v>
      </c>
      <c r="C84" s="31" t="n">
        <f aca="false">SUMIFS(DatosProd!$D:$D,DatosProd!$A:$A,$A84,DatosProd!$C:$C,1)</f>
        <v>0</v>
      </c>
      <c r="D84" s="31" t="n">
        <f aca="false">SUMIFS(DatosProd!$D:$D,DatosProd!$A:$A,$A84,DatosProd!$C:$C,2)</f>
        <v>0</v>
      </c>
      <c r="E84" s="31" t="n">
        <f aca="false">SUMIFS(DatosProd!$D:$D,DatosProd!$A:$A,$A84)</f>
        <v>0</v>
      </c>
      <c r="F84" s="31" t="n">
        <f aca="false">IF(COUNTIFS(EMCALI!$A:$A,$A84,EMCALI!$C:$C,"&lt;&gt;")&lt;24,"",SUMIFS(EMCALI!$C:$C,EMCALI!$A:$A,$A84))</f>
        <v>4811.76</v>
      </c>
      <c r="G84" s="38" t="str">
        <f aca="false">IF(OR(F84="",E84=0),"",F84/E84*1000)</f>
        <v/>
      </c>
      <c r="H84" s="31" t="n">
        <f aca="false">IF(COUNTIFS(EMCALI!$A:$A,$A84,EMCALI!$G:$G,"A",EMCALI!$C:$C,"&lt;&gt;")&lt;7,"",SUMIFS(EMCALI!$C:$C,EMCALI!$A:$A,$A84,EMCALI!$G:$G,"A"))</f>
        <v>1861.92</v>
      </c>
      <c r="I84" s="38" t="str">
        <f aca="false">IF(OR(H84="",C84&lt;5000),"",H84/C84*1000)</f>
        <v/>
      </c>
      <c r="J84" s="31" t="n">
        <f aca="false">IF(COUNTIFS(EMCALI!$A:$A,$A84,EMCALI!$G:$G,"B",EMCALI!$C:$C,"&lt;&gt;")&lt;7,"",SUMIFS(EMCALI!$C:$C,EMCALI!$A:$A,$A84,EMCALI!$G:$G,"B"))</f>
        <v>1692.6</v>
      </c>
      <c r="K84" s="38" t="str">
        <f aca="false">IF(OR(J84="",D84&lt;5000),"",J84/D84*1000)</f>
        <v/>
      </c>
      <c r="L84" s="11" t="str">
        <f aca="false">IF(AND(E84=0,F84=""),"Sin datos",IF(E84=0,"Sin producción registrada",IF(F84="","EMCALI incompleto","")))</f>
        <v>Sin producción registrada</v>
      </c>
    </row>
    <row r="85" customFormat="false" ht="15" hidden="false" customHeight="false" outlineLevel="0" collapsed="false">
      <c r="A85" s="35" t="n">
        <v>46288</v>
      </c>
      <c r="B85" s="11" t="s">
        <v>337</v>
      </c>
      <c r="C85" s="31" t="n">
        <f aca="false">SUMIFS(DatosProd!$D:$D,DatosProd!$A:$A,$A85,DatosProd!$C:$C,1)</f>
        <v>0</v>
      </c>
      <c r="D85" s="31" t="n">
        <f aca="false">SUMIFS(DatosProd!$D:$D,DatosProd!$A:$A,$A85,DatosProd!$C:$C,2)</f>
        <v>0</v>
      </c>
      <c r="E85" s="31" t="n">
        <f aca="false">SUMIFS(DatosProd!$D:$D,DatosProd!$A:$A,$A85)</f>
        <v>0</v>
      </c>
      <c r="F85" s="31" t="n">
        <f aca="false">IF(COUNTIFS(EMCALI!$A:$A,$A85,EMCALI!$C:$C,"&lt;&gt;")&lt;24,"",SUMIFS(EMCALI!$C:$C,EMCALI!$A:$A,$A85))</f>
        <v>4612.32</v>
      </c>
      <c r="G85" s="38" t="str">
        <f aca="false">IF(OR(F85="",E85=0),"",F85/E85*1000)</f>
        <v/>
      </c>
      <c r="H85" s="31" t="n">
        <f aca="false">IF(COUNTIFS(EMCALI!$A:$A,$A85,EMCALI!$G:$G,"A",EMCALI!$C:$C,"&lt;&gt;")&lt;7,"",SUMIFS(EMCALI!$C:$C,EMCALI!$A:$A,$A85,EMCALI!$G:$G,"A"))</f>
        <v>1690.32</v>
      </c>
      <c r="I85" s="38" t="str">
        <f aca="false">IF(OR(H85="",C85&lt;5000),"",H85/C85*1000)</f>
        <v/>
      </c>
      <c r="J85" s="31" t="n">
        <f aca="false">IF(COUNTIFS(EMCALI!$A:$A,$A85,EMCALI!$G:$G,"B",EMCALI!$C:$C,"&lt;&gt;")&lt;7,"",SUMIFS(EMCALI!$C:$C,EMCALI!$A:$A,$A85,EMCALI!$G:$G,"B"))</f>
        <v>1663.92</v>
      </c>
      <c r="K85" s="38" t="str">
        <f aca="false">IF(OR(J85="",D85&lt;5000),"",J85/D85*1000)</f>
        <v/>
      </c>
      <c r="L85" s="11" t="str">
        <f aca="false">IF(AND(E85=0,F85=""),"Sin datos",IF(E85=0,"Sin producción registrada",IF(F85="","EMCALI incompleto","")))</f>
        <v>Sin producción registrada</v>
      </c>
    </row>
    <row r="86" customFormat="false" ht="15" hidden="false" customHeight="false" outlineLevel="0" collapsed="false">
      <c r="A86" s="35" t="n">
        <v>46289</v>
      </c>
      <c r="B86" s="11" t="s">
        <v>338</v>
      </c>
      <c r="C86" s="31" t="n">
        <f aca="false">SUMIFS(DatosProd!$D:$D,DatosProd!$A:$A,$A86,DatosProd!$C:$C,1)</f>
        <v>0</v>
      </c>
      <c r="D86" s="31" t="n">
        <f aca="false">SUMIFS(DatosProd!$D:$D,DatosProd!$A:$A,$A86,DatosProd!$C:$C,2)</f>
        <v>0</v>
      </c>
      <c r="E86" s="31" t="n">
        <f aca="false">SUMIFS(DatosProd!$D:$D,DatosProd!$A:$A,$A86)</f>
        <v>0</v>
      </c>
      <c r="F86" s="31" t="n">
        <f aca="false">IF(COUNTIFS(EMCALI!$A:$A,$A86,EMCALI!$C:$C,"&lt;&gt;")&lt;24,"",SUMIFS(EMCALI!$C:$C,EMCALI!$A:$A,$A86))</f>
        <v>4701.84</v>
      </c>
      <c r="G86" s="38" t="str">
        <f aca="false">IF(OR(F86="",E86=0),"",F86/E86*1000)</f>
        <v/>
      </c>
      <c r="H86" s="31" t="n">
        <f aca="false">IF(COUNTIFS(EMCALI!$A:$A,$A86,EMCALI!$G:$G,"A",EMCALI!$C:$C,"&lt;&gt;")&lt;7,"",SUMIFS(EMCALI!$C:$C,EMCALI!$A:$A,$A86,EMCALI!$G:$G,"A"))</f>
        <v>1743.84</v>
      </c>
      <c r="I86" s="38" t="str">
        <f aca="false">IF(OR(H86="",C86&lt;5000),"",H86/C86*1000)</f>
        <v/>
      </c>
      <c r="J86" s="31" t="n">
        <f aca="false">IF(COUNTIFS(EMCALI!$A:$A,$A86,EMCALI!$G:$G,"B",EMCALI!$C:$C,"&lt;&gt;")&lt;7,"",SUMIFS(EMCALI!$C:$C,EMCALI!$A:$A,$A86,EMCALI!$G:$G,"B"))</f>
        <v>1706.4</v>
      </c>
      <c r="K86" s="38" t="str">
        <f aca="false">IF(OR(J86="",D86&lt;5000),"",J86/D86*1000)</f>
        <v/>
      </c>
      <c r="L86" s="11" t="str">
        <f aca="false">IF(AND(E86=0,F86=""),"Sin datos",IF(E86=0,"Sin producción registrada",IF(F86="","EMCALI incompleto","")))</f>
        <v>Sin producción registrada</v>
      </c>
    </row>
    <row r="87" customFormat="false" ht="15" hidden="false" customHeight="false" outlineLevel="0" collapsed="false">
      <c r="A87" s="35" t="n">
        <v>46290</v>
      </c>
      <c r="B87" s="11" t="s">
        <v>339</v>
      </c>
      <c r="C87" s="31" t="n">
        <f aca="false">SUMIFS(DatosProd!$D:$D,DatosProd!$A:$A,$A87,DatosProd!$C:$C,1)</f>
        <v>0</v>
      </c>
      <c r="D87" s="31" t="n">
        <f aca="false">SUMIFS(DatosProd!$D:$D,DatosProd!$A:$A,$A87,DatosProd!$C:$C,2)</f>
        <v>0</v>
      </c>
      <c r="E87" s="31" t="n">
        <f aca="false">SUMIFS(DatosProd!$D:$D,DatosProd!$A:$A,$A87)</f>
        <v>0</v>
      </c>
      <c r="F87" s="31" t="n">
        <f aca="false">IF(COUNTIFS(EMCALI!$A:$A,$A87,EMCALI!$C:$C,"&lt;&gt;")&lt;24,"",SUMIFS(EMCALI!$C:$C,EMCALI!$A:$A,$A87))</f>
        <v>4345.08</v>
      </c>
      <c r="G87" s="38" t="str">
        <f aca="false">IF(OR(F87="",E87=0),"",F87/E87*1000)</f>
        <v/>
      </c>
      <c r="H87" s="31" t="n">
        <f aca="false">IF(COUNTIFS(EMCALI!$A:$A,$A87,EMCALI!$G:$G,"A",EMCALI!$C:$C,"&lt;&gt;")&lt;7,"",SUMIFS(EMCALI!$C:$C,EMCALI!$A:$A,$A87,EMCALI!$G:$G,"A"))</f>
        <v>1576.44</v>
      </c>
      <c r="I87" s="38" t="str">
        <f aca="false">IF(OR(H87="",C87&lt;5000),"",H87/C87*1000)</f>
        <v/>
      </c>
      <c r="J87" s="31" t="n">
        <f aca="false">IF(COUNTIFS(EMCALI!$A:$A,$A87,EMCALI!$G:$G,"B",EMCALI!$C:$C,"&lt;&gt;")&lt;7,"",SUMIFS(EMCALI!$C:$C,EMCALI!$A:$A,$A87,EMCALI!$G:$G,"B"))</f>
        <v>1570.92</v>
      </c>
      <c r="K87" s="38" t="str">
        <f aca="false">IF(OR(J87="",D87&lt;5000),"",J87/D87*1000)</f>
        <v/>
      </c>
      <c r="L87" s="11" t="str">
        <f aca="false">IF(AND(E87=0,F87=""),"Sin datos",IF(E87=0,"Sin producción registrada",IF(F87="","EMCALI incompleto","")))</f>
        <v>Sin producción registrada</v>
      </c>
    </row>
    <row r="88" customFormat="false" ht="15" hidden="false" customHeight="false" outlineLevel="0" collapsed="false">
      <c r="A88" s="35" t="n">
        <v>46291</v>
      </c>
      <c r="B88" s="11" t="s">
        <v>340</v>
      </c>
      <c r="C88" s="31" t="n">
        <f aca="false">SUMIFS(DatosProd!$D:$D,DatosProd!$A:$A,$A88,DatosProd!$C:$C,1)</f>
        <v>0</v>
      </c>
      <c r="D88" s="31" t="n">
        <f aca="false">SUMIFS(DatosProd!$D:$D,DatosProd!$A:$A,$A88,DatosProd!$C:$C,2)</f>
        <v>0</v>
      </c>
      <c r="E88" s="31" t="n">
        <f aca="false">SUMIFS(DatosProd!$D:$D,DatosProd!$A:$A,$A88)</f>
        <v>0</v>
      </c>
      <c r="F88" s="31" t="n">
        <f aca="false">IF(COUNTIFS(EMCALI!$A:$A,$A88,EMCALI!$C:$C,"&lt;&gt;")&lt;24,"",SUMIFS(EMCALI!$C:$C,EMCALI!$A:$A,$A88))</f>
        <v>1924.68</v>
      </c>
      <c r="G88" s="38" t="str">
        <f aca="false">IF(OR(F88="",E88=0),"",F88/E88*1000)</f>
        <v/>
      </c>
      <c r="H88" s="31" t="n">
        <f aca="false">IF(COUNTIFS(EMCALI!$A:$A,$A88,EMCALI!$G:$G,"A",EMCALI!$C:$C,"&lt;&gt;")&lt;7,"",SUMIFS(EMCALI!$C:$C,EMCALI!$A:$A,$A88,EMCALI!$G:$G,"A"))</f>
        <v>668.76</v>
      </c>
      <c r="I88" s="38" t="str">
        <f aca="false">IF(OR(H88="",C88&lt;5000),"",H88/C88*1000)</f>
        <v/>
      </c>
      <c r="J88" s="31" t="n">
        <f aca="false">IF(COUNTIFS(EMCALI!$A:$A,$A88,EMCALI!$G:$G,"B",EMCALI!$C:$C,"&lt;&gt;")&lt;7,"",SUMIFS(EMCALI!$C:$C,EMCALI!$A:$A,$A88,EMCALI!$G:$G,"B"))</f>
        <v>508.56</v>
      </c>
      <c r="K88" s="38" t="str">
        <f aca="false">IF(OR(J88="",D88&lt;5000),"",J88/D88*1000)</f>
        <v/>
      </c>
      <c r="L88" s="11" t="str">
        <f aca="false">IF(AND(E88=0,F88=""),"Sin datos",IF(E88=0,"Sin producción registrada",IF(F88="","EMCALI incompleto","")))</f>
        <v>Sin producción registrada</v>
      </c>
    </row>
    <row r="89" customFormat="false" ht="15" hidden="false" customHeight="false" outlineLevel="0" collapsed="false">
      <c r="A89" s="35" t="n">
        <v>46292</v>
      </c>
      <c r="B89" s="11" t="s">
        <v>341</v>
      </c>
      <c r="C89" s="31" t="n">
        <f aca="false">SUMIFS(DatosProd!$D:$D,DatosProd!$A:$A,$A89,DatosProd!$C:$C,1)</f>
        <v>0</v>
      </c>
      <c r="D89" s="31" t="n">
        <f aca="false">SUMIFS(DatosProd!$D:$D,DatosProd!$A:$A,$A89,DatosProd!$C:$C,2)</f>
        <v>0</v>
      </c>
      <c r="E89" s="31" t="n">
        <f aca="false">SUMIFS(DatosProd!$D:$D,DatosProd!$A:$A,$A89)</f>
        <v>0</v>
      </c>
      <c r="F89" s="31" t="n">
        <f aca="false">IF(COUNTIFS(EMCALI!$A:$A,$A89,EMCALI!$C:$C,"&lt;&gt;")&lt;24,"",SUMIFS(EMCALI!$C:$C,EMCALI!$A:$A,$A89))</f>
        <v>1597.8</v>
      </c>
      <c r="G89" s="38" t="str">
        <f aca="false">IF(OR(F89="",E89=0),"",F89/E89*1000)</f>
        <v/>
      </c>
      <c r="H89" s="31" t="str">
        <f aca="false">IF(COUNTIFS(EMCALI!$A:$A,$A89,EMCALI!$G:$G,"A",EMCALI!$C:$C,"&lt;&gt;")&lt;7,"",SUMIFS(EMCALI!$C:$C,EMCALI!$A:$A,$A89,EMCALI!$G:$G,"A"))</f>
        <v/>
      </c>
      <c r="I89" s="38" t="str">
        <f aca="false">IF(OR(H89="",C89&lt;5000),"",H89/C89*1000)</f>
        <v/>
      </c>
      <c r="J89" s="31" t="str">
        <f aca="false">IF(COUNTIFS(EMCALI!$A:$A,$A89,EMCALI!$G:$G,"B",EMCALI!$C:$C,"&lt;&gt;")&lt;7,"",SUMIFS(EMCALI!$C:$C,EMCALI!$A:$A,$A89,EMCALI!$G:$G,"B"))</f>
        <v/>
      </c>
      <c r="K89" s="38" t="str">
        <f aca="false">IF(OR(J89="",D89&lt;5000),"",J89/D89*1000)</f>
        <v/>
      </c>
      <c r="L89" s="11" t="str">
        <f aca="false">IF(AND(E89=0,F89=""),"Sin datos",IF(E89=0,"Sin producción registrada",IF(F89="","EMCALI incompleto","")))</f>
        <v>Sin producción registrada</v>
      </c>
    </row>
    <row r="90" customFormat="false" ht="15" hidden="false" customHeight="false" outlineLevel="0" collapsed="false">
      <c r="A90" s="35" t="n">
        <v>46293</v>
      </c>
      <c r="B90" s="11" t="s">
        <v>335</v>
      </c>
      <c r="C90" s="31" t="n">
        <f aca="false">SUMIFS(DatosProd!$D:$D,DatosProd!$A:$A,$A90,DatosProd!$C:$C,1)</f>
        <v>0</v>
      </c>
      <c r="D90" s="31" t="n">
        <f aca="false">SUMIFS(DatosProd!$D:$D,DatosProd!$A:$A,$A90,DatosProd!$C:$C,2)</f>
        <v>0</v>
      </c>
      <c r="E90" s="31" t="n">
        <f aca="false">SUMIFS(DatosProd!$D:$D,DatosProd!$A:$A,$A90)</f>
        <v>0</v>
      </c>
      <c r="F90" s="31" t="n">
        <f aca="false">IF(COUNTIFS(EMCALI!$A:$A,$A90,EMCALI!$C:$C,"&lt;&gt;")&lt;24,"",SUMIFS(EMCALI!$C:$C,EMCALI!$A:$A,$A90))</f>
        <v>4521.72</v>
      </c>
      <c r="G90" s="38" t="str">
        <f aca="false">IF(OR(F90="",E90=0),"",F90/E90*1000)</f>
        <v/>
      </c>
      <c r="H90" s="31" t="n">
        <f aca="false">IF(COUNTIFS(EMCALI!$A:$A,$A90,EMCALI!$G:$G,"A",EMCALI!$C:$C,"&lt;&gt;")&lt;7,"",SUMIFS(EMCALI!$C:$C,EMCALI!$A:$A,$A90,EMCALI!$G:$G,"A"))</f>
        <v>1977.6</v>
      </c>
      <c r="I90" s="38" t="str">
        <f aca="false">IF(OR(H90="",C90&lt;5000),"",H90/C90*1000)</f>
        <v/>
      </c>
      <c r="J90" s="31" t="n">
        <f aca="false">IF(COUNTIFS(EMCALI!$A:$A,$A90,EMCALI!$G:$G,"B",EMCALI!$C:$C,"&lt;&gt;")&lt;7,"",SUMIFS(EMCALI!$C:$C,EMCALI!$A:$A,$A90,EMCALI!$G:$G,"B"))</f>
        <v>1518.6</v>
      </c>
      <c r="K90" s="38" t="str">
        <f aca="false">IF(OR(J90="",D90&lt;5000),"",J90/D90*1000)</f>
        <v/>
      </c>
      <c r="L90" s="11" t="str">
        <f aca="false">IF(AND(E90=0,F90=""),"Sin datos",IF(E90=0,"Sin producción registrada",IF(F90="","EMCALI incompleto","")))</f>
        <v>Sin producción registrada</v>
      </c>
    </row>
    <row r="91" customFormat="false" ht="15" hidden="false" customHeight="false" outlineLevel="0" collapsed="false">
      <c r="A91" s="35" t="n">
        <v>46294</v>
      </c>
      <c r="B91" s="11" t="s">
        <v>336</v>
      </c>
      <c r="C91" s="31" t="n">
        <f aca="false">SUMIFS(DatosProd!$D:$D,DatosProd!$A:$A,$A91,DatosProd!$C:$C,1)</f>
        <v>0</v>
      </c>
      <c r="D91" s="31" t="n">
        <f aca="false">SUMIFS(DatosProd!$D:$D,DatosProd!$A:$A,$A91,DatosProd!$C:$C,2)</f>
        <v>0</v>
      </c>
      <c r="E91" s="31" t="n">
        <f aca="false">SUMIFS(DatosProd!$D:$D,DatosProd!$A:$A,$A91)</f>
        <v>0</v>
      </c>
      <c r="F91" s="31" t="n">
        <f aca="false">IF(COUNTIFS(EMCALI!$A:$A,$A91,EMCALI!$C:$C,"&lt;&gt;")&lt;24,"",SUMIFS(EMCALI!$C:$C,EMCALI!$A:$A,$A91))</f>
        <v>4589.88</v>
      </c>
      <c r="G91" s="38" t="str">
        <f aca="false">IF(OR(F91="",E91=0),"",F91/E91*1000)</f>
        <v/>
      </c>
      <c r="H91" s="31" t="n">
        <f aca="false">IF(COUNTIFS(EMCALI!$A:$A,$A91,EMCALI!$G:$G,"A",EMCALI!$C:$C,"&lt;&gt;")&lt;7,"",SUMIFS(EMCALI!$C:$C,EMCALI!$A:$A,$A91,EMCALI!$G:$G,"A"))</f>
        <v>1890.72</v>
      </c>
      <c r="I91" s="38" t="str">
        <f aca="false">IF(OR(H91="",C91&lt;5000),"",H91/C91*1000)</f>
        <v/>
      </c>
      <c r="J91" s="31" t="n">
        <f aca="false">IF(COUNTIFS(EMCALI!$A:$A,$A91,EMCALI!$G:$G,"B",EMCALI!$C:$C,"&lt;&gt;")&lt;7,"",SUMIFS(EMCALI!$C:$C,EMCALI!$A:$A,$A91,EMCALI!$G:$G,"B"))</f>
        <v>1619.64</v>
      </c>
      <c r="K91" s="38" t="str">
        <f aca="false">IF(OR(J91="",D91&lt;5000),"",J91/D91*1000)</f>
        <v/>
      </c>
      <c r="L91" s="11" t="str">
        <f aca="false">IF(AND(E91=0,F91=""),"Sin datos",IF(E91=0,"Sin producción registrada",IF(F91="","EMCALI incompleto","")))</f>
        <v>Sin producción registrada</v>
      </c>
    </row>
    <row r="92" customFormat="false" ht="15" hidden="false" customHeight="false" outlineLevel="0" collapsed="false">
      <c r="A92" s="35" t="n">
        <v>46295</v>
      </c>
      <c r="B92" s="11" t="s">
        <v>337</v>
      </c>
      <c r="C92" s="31" t="n">
        <f aca="false">SUMIFS(DatosProd!$D:$D,DatosProd!$A:$A,$A92,DatosProd!$C:$C,1)</f>
        <v>0</v>
      </c>
      <c r="D92" s="31" t="n">
        <f aca="false">SUMIFS(DatosProd!$D:$D,DatosProd!$A:$A,$A92,DatosProd!$C:$C,2)</f>
        <v>0</v>
      </c>
      <c r="E92" s="31" t="n">
        <f aca="false">SUMIFS(DatosProd!$D:$D,DatosProd!$A:$A,$A92)</f>
        <v>0</v>
      </c>
      <c r="F92" s="31" t="n">
        <f aca="false">IF(COUNTIFS(EMCALI!$A:$A,$A92,EMCALI!$C:$C,"&lt;&gt;")&lt;24,"",SUMIFS(EMCALI!$C:$C,EMCALI!$A:$A,$A92))</f>
        <v>3124.08</v>
      </c>
      <c r="G92" s="38" t="str">
        <f aca="false">IF(OR(F92="",E92=0),"",F92/E92*1000)</f>
        <v/>
      </c>
      <c r="H92" s="31" t="n">
        <f aca="false">IF(COUNTIFS(EMCALI!$A:$A,$A92,EMCALI!$G:$G,"A",EMCALI!$C:$C,"&lt;&gt;")&lt;7,"",SUMIFS(EMCALI!$C:$C,EMCALI!$A:$A,$A92,EMCALI!$G:$G,"A"))</f>
        <v>1206.72</v>
      </c>
      <c r="I92" s="38" t="str">
        <f aca="false">IF(OR(H92="",C92&lt;5000),"",H92/C92*1000)</f>
        <v/>
      </c>
      <c r="J92" s="31" t="n">
        <f aca="false">IF(COUNTIFS(EMCALI!$A:$A,$A92,EMCALI!$G:$G,"B",EMCALI!$C:$C,"&lt;&gt;")&lt;7,"",SUMIFS(EMCALI!$C:$C,EMCALI!$A:$A,$A92,EMCALI!$G:$G,"B"))</f>
        <v>984.36</v>
      </c>
      <c r="K92" s="38" t="str">
        <f aca="false">IF(OR(J92="",D92&lt;5000),"",J92/D92*1000)</f>
        <v/>
      </c>
      <c r="L92" s="11" t="str">
        <f aca="false">IF(AND(E92=0,F92=""),"Sin datos",IF(E92=0,"Sin producción registrada",IF(F92="","EMCALI incompleto","")))</f>
        <v>Sin producción registrada</v>
      </c>
    </row>
    <row r="93" customFormat="false" ht="15" hidden="false" customHeight="false" outlineLevel="0" collapsed="false">
      <c r="A93" s="35" t="n">
        <v>46296</v>
      </c>
      <c r="B93" s="11" t="s">
        <v>338</v>
      </c>
      <c r="C93" s="31" t="n">
        <f aca="false">SUMIFS(DatosProd!$D:$D,DatosProd!$A:$A,$A93,DatosProd!$C:$C,1)</f>
        <v>0</v>
      </c>
      <c r="D93" s="31" t="n">
        <f aca="false">SUMIFS(DatosProd!$D:$D,DatosProd!$A:$A,$A93,DatosProd!$C:$C,2)</f>
        <v>0</v>
      </c>
      <c r="E93" s="31" t="n">
        <f aca="false">SUMIFS(DatosProd!$D:$D,DatosProd!$A:$A,$A93)</f>
        <v>0</v>
      </c>
      <c r="F93" s="31" t="n">
        <f aca="false">IF(COUNTIFS(EMCALI!$A:$A,$A93,EMCALI!$C:$C,"&lt;&gt;")&lt;24,"",SUMIFS(EMCALI!$C:$C,EMCALI!$A:$A,$A93))</f>
        <v>4326.24</v>
      </c>
      <c r="G93" s="38" t="str">
        <f aca="false">IF(OR(F93="",E93=0),"",F93/E93*1000)</f>
        <v/>
      </c>
      <c r="H93" s="31" t="n">
        <f aca="false">IF(COUNTIFS(EMCALI!$A:$A,$A93,EMCALI!$G:$G,"A",EMCALI!$C:$C,"&lt;&gt;")&lt;7,"",SUMIFS(EMCALI!$C:$C,EMCALI!$A:$A,$A93,EMCALI!$G:$G,"A"))</f>
        <v>1848.36</v>
      </c>
      <c r="I93" s="38" t="str">
        <f aca="false">IF(OR(H93="",C93&lt;5000),"",H93/C93*1000)</f>
        <v/>
      </c>
      <c r="J93" s="31" t="n">
        <f aca="false">IF(COUNTIFS(EMCALI!$A:$A,$A93,EMCALI!$G:$G,"B",EMCALI!$C:$C,"&lt;&gt;")&lt;7,"",SUMIFS(EMCALI!$C:$C,EMCALI!$A:$A,$A93,EMCALI!$G:$G,"B"))</f>
        <v>1499.76</v>
      </c>
      <c r="K93" s="38" t="str">
        <f aca="false">IF(OR(J93="",D93&lt;5000),"",J93/D93*1000)</f>
        <v/>
      </c>
      <c r="L93" s="11" t="str">
        <f aca="false">IF(AND(E93=0,F93=""),"Sin datos",IF(E93=0,"Sin producción registrada",IF(F93="","EMCALI incompleto","")))</f>
        <v>Sin producción registrada</v>
      </c>
    </row>
    <row r="94" customFormat="false" ht="15" hidden="false" customHeight="false" outlineLevel="0" collapsed="false">
      <c r="A94" s="35" t="n">
        <v>46297</v>
      </c>
      <c r="B94" s="11" t="s">
        <v>339</v>
      </c>
      <c r="C94" s="31" t="n">
        <f aca="false">SUMIFS(DatosProd!$D:$D,DatosProd!$A:$A,$A94,DatosProd!$C:$C,1)</f>
        <v>0</v>
      </c>
      <c r="D94" s="31" t="n">
        <f aca="false">SUMIFS(DatosProd!$D:$D,DatosProd!$A:$A,$A94,DatosProd!$C:$C,2)</f>
        <v>0</v>
      </c>
      <c r="E94" s="31" t="n">
        <f aca="false">SUMIFS(DatosProd!$D:$D,DatosProd!$A:$A,$A94)</f>
        <v>0</v>
      </c>
      <c r="F94" s="31" t="n">
        <f aca="false">IF(COUNTIFS(EMCALI!$A:$A,$A94,EMCALI!$C:$C,"&lt;&gt;")&lt;24,"",SUMIFS(EMCALI!$C:$C,EMCALI!$A:$A,$A94))</f>
        <v>4681.8</v>
      </c>
      <c r="G94" s="38" t="str">
        <f aca="false">IF(OR(F94="",E94=0),"",F94/E94*1000)</f>
        <v/>
      </c>
      <c r="H94" s="31" t="n">
        <f aca="false">IF(COUNTIFS(EMCALI!$A:$A,$A94,EMCALI!$G:$G,"A",EMCALI!$C:$C,"&lt;&gt;")&lt;7,"",SUMIFS(EMCALI!$C:$C,EMCALI!$A:$A,$A94,EMCALI!$G:$G,"A"))</f>
        <v>2012.64</v>
      </c>
      <c r="I94" s="38" t="str">
        <f aca="false">IF(OR(H94="",C94&lt;5000),"",H94/C94*1000)</f>
        <v/>
      </c>
      <c r="J94" s="31" t="n">
        <f aca="false">IF(COUNTIFS(EMCALI!$A:$A,$A94,EMCALI!$G:$G,"B",EMCALI!$C:$C,"&lt;&gt;")&lt;7,"",SUMIFS(EMCALI!$C:$C,EMCALI!$A:$A,$A94,EMCALI!$G:$G,"B"))</f>
        <v>1560.36</v>
      </c>
      <c r="K94" s="38" t="str">
        <f aca="false">IF(OR(J94="",D94&lt;5000),"",J94/D94*1000)</f>
        <v/>
      </c>
      <c r="L94" s="11" t="str">
        <f aca="false">IF(AND(E94=0,F94=""),"Sin datos",IF(E94=0,"Sin producción registrada",IF(F94="","EMCALI incompleto","")))</f>
        <v>Sin producción registrada</v>
      </c>
    </row>
    <row r="95" customFormat="false" ht="15" hidden="false" customHeight="false" outlineLevel="0" collapsed="false">
      <c r="A95" s="35" t="n">
        <v>46298</v>
      </c>
      <c r="B95" s="11" t="s">
        <v>340</v>
      </c>
      <c r="C95" s="31" t="n">
        <f aca="false">SUMIFS(DatosProd!$D:$D,DatosProd!$A:$A,$A95,DatosProd!$C:$C,1)</f>
        <v>0</v>
      </c>
      <c r="D95" s="31" t="n">
        <f aca="false">SUMIFS(DatosProd!$D:$D,DatosProd!$A:$A,$A95,DatosProd!$C:$C,2)</f>
        <v>0</v>
      </c>
      <c r="E95" s="31" t="n">
        <f aca="false">SUMIFS(DatosProd!$D:$D,DatosProd!$A:$A,$A95)</f>
        <v>0</v>
      </c>
      <c r="F95" s="31" t="n">
        <f aca="false">IF(COUNTIFS(EMCALI!$A:$A,$A95,EMCALI!$C:$C,"&lt;&gt;")&lt;24,"",SUMIFS(EMCALI!$C:$C,EMCALI!$A:$A,$A95))</f>
        <v>3650.4</v>
      </c>
      <c r="G95" s="38" t="str">
        <f aca="false">IF(OR(F95="",E95=0),"",F95/E95*1000)</f>
        <v/>
      </c>
      <c r="H95" s="31" t="n">
        <f aca="false">IF(COUNTIFS(EMCALI!$A:$A,$A95,EMCALI!$G:$G,"A",EMCALI!$C:$C,"&lt;&gt;")&lt;7,"",SUMIFS(EMCALI!$C:$C,EMCALI!$A:$A,$A95,EMCALI!$G:$G,"A"))</f>
        <v>1503.6</v>
      </c>
      <c r="I95" s="38" t="str">
        <f aca="false">IF(OR(H95="",C95&lt;5000),"",H95/C95*1000)</f>
        <v/>
      </c>
      <c r="J95" s="31" t="n">
        <f aca="false">IF(COUNTIFS(EMCALI!$A:$A,$A95,EMCALI!$G:$G,"B",EMCALI!$C:$C,"&lt;&gt;")&lt;7,"",SUMIFS(EMCALI!$C:$C,EMCALI!$A:$A,$A95,EMCALI!$G:$G,"B"))</f>
        <v>1191.84</v>
      </c>
      <c r="K95" s="38" t="str">
        <f aca="false">IF(OR(J95="",D95&lt;5000),"",J95/D95*1000)</f>
        <v/>
      </c>
      <c r="L95" s="11" t="str">
        <f aca="false">IF(AND(E95=0,F95=""),"Sin datos",IF(E95=0,"Sin producción registrada",IF(F95="","EMCALI incompleto","")))</f>
        <v>Sin producción registrada</v>
      </c>
    </row>
    <row r="96" customFormat="false" ht="15" hidden="false" customHeight="false" outlineLevel="0" collapsed="false">
      <c r="A96" s="35" t="n">
        <v>46299</v>
      </c>
      <c r="B96" s="11" t="s">
        <v>341</v>
      </c>
      <c r="C96" s="31" t="n">
        <f aca="false">SUMIFS(DatosProd!$D:$D,DatosProd!$A:$A,$A96,DatosProd!$C:$C,1)</f>
        <v>0</v>
      </c>
      <c r="D96" s="31" t="n">
        <f aca="false">SUMIFS(DatosProd!$D:$D,DatosProd!$A:$A,$A96,DatosProd!$C:$C,2)</f>
        <v>0</v>
      </c>
      <c r="E96" s="31" t="n">
        <f aca="false">SUMIFS(DatosProd!$D:$D,DatosProd!$A:$A,$A96)</f>
        <v>0</v>
      </c>
      <c r="F96" s="31" t="n">
        <f aca="false">IF(COUNTIFS(EMCALI!$A:$A,$A96,EMCALI!$C:$C,"&lt;&gt;")&lt;24,"",SUMIFS(EMCALI!$C:$C,EMCALI!$A:$A,$A96))</f>
        <v>1180.92</v>
      </c>
      <c r="G96" s="38" t="str">
        <f aca="false">IF(OR(F96="",E96=0),"",F96/E96*1000)</f>
        <v/>
      </c>
      <c r="H96" s="31" t="str">
        <f aca="false">IF(COUNTIFS(EMCALI!$A:$A,$A96,EMCALI!$G:$G,"A",EMCALI!$C:$C,"&lt;&gt;")&lt;7,"",SUMIFS(EMCALI!$C:$C,EMCALI!$A:$A,$A96,EMCALI!$G:$G,"A"))</f>
        <v/>
      </c>
      <c r="I96" s="38" t="str">
        <f aca="false">IF(OR(H96="",C96&lt;5000),"",H96/C96*1000)</f>
        <v/>
      </c>
      <c r="J96" s="31" t="str">
        <f aca="false">IF(COUNTIFS(EMCALI!$A:$A,$A96,EMCALI!$G:$G,"B",EMCALI!$C:$C,"&lt;&gt;")&lt;7,"",SUMIFS(EMCALI!$C:$C,EMCALI!$A:$A,$A96,EMCALI!$G:$G,"B"))</f>
        <v/>
      </c>
      <c r="K96" s="38" t="str">
        <f aca="false">IF(OR(J96="",D96&lt;5000),"",J96/D96*1000)</f>
        <v/>
      </c>
      <c r="L96" s="11" t="str">
        <f aca="false">IF(AND(E96=0,F96=""),"Sin datos",IF(E96=0,"Sin producción registrada",IF(F96="","EMCALI incompleto","")))</f>
        <v>Sin producción registrada</v>
      </c>
    </row>
    <row r="97" customFormat="false" ht="15" hidden="false" customHeight="false" outlineLevel="0" collapsed="false">
      <c r="A97" s="35" t="n">
        <v>46300</v>
      </c>
      <c r="B97" s="11" t="s">
        <v>335</v>
      </c>
      <c r="C97" s="31" t="n">
        <f aca="false">SUMIFS(DatosProd!$D:$D,DatosProd!$A:$A,$A97,DatosProd!$C:$C,1)</f>
        <v>0</v>
      </c>
      <c r="D97" s="31" t="n">
        <f aca="false">SUMIFS(DatosProd!$D:$D,DatosProd!$A:$A,$A97,DatosProd!$C:$C,2)</f>
        <v>0</v>
      </c>
      <c r="E97" s="31" t="n">
        <f aca="false">SUMIFS(DatosProd!$D:$D,DatosProd!$A:$A,$A97)</f>
        <v>0</v>
      </c>
      <c r="F97" s="31" t="n">
        <f aca="false">IF(COUNTIFS(EMCALI!$A:$A,$A97,EMCALI!$C:$C,"&lt;&gt;")&lt;24,"",SUMIFS(EMCALI!$C:$C,EMCALI!$A:$A,$A97))</f>
        <v>4546.32</v>
      </c>
      <c r="G97" s="38" t="str">
        <f aca="false">IF(OR(F97="",E97=0),"",F97/E97*1000)</f>
        <v/>
      </c>
      <c r="H97" s="31" t="n">
        <f aca="false">IF(COUNTIFS(EMCALI!$A:$A,$A97,EMCALI!$G:$G,"A",EMCALI!$C:$C,"&lt;&gt;")&lt;7,"",SUMIFS(EMCALI!$C:$C,EMCALI!$A:$A,$A97,EMCALI!$G:$G,"A"))</f>
        <v>1837.32</v>
      </c>
      <c r="I97" s="38" t="str">
        <f aca="false">IF(OR(H97="",C97&lt;5000),"",H97/C97*1000)</f>
        <v/>
      </c>
      <c r="J97" s="31" t="n">
        <f aca="false">IF(COUNTIFS(EMCALI!$A:$A,$A97,EMCALI!$G:$G,"B",EMCALI!$C:$C,"&lt;&gt;")&lt;7,"",SUMIFS(EMCALI!$C:$C,EMCALI!$A:$A,$A97,EMCALI!$G:$G,"B"))</f>
        <v>1706.64</v>
      </c>
      <c r="K97" s="38" t="str">
        <f aca="false">IF(OR(J97="",D97&lt;5000),"",J97/D97*1000)</f>
        <v/>
      </c>
      <c r="L97" s="11" t="str">
        <f aca="false">IF(AND(E97=0,F97=""),"Sin datos",IF(E97=0,"Sin producción registrada",IF(F97="","EMCALI incompleto","")))</f>
        <v>Sin producción registrada</v>
      </c>
    </row>
    <row r="98" customFormat="false" ht="15" hidden="false" customHeight="false" outlineLevel="0" collapsed="false">
      <c r="A98" s="35" t="n">
        <v>46301</v>
      </c>
      <c r="B98" s="11" t="s">
        <v>336</v>
      </c>
      <c r="C98" s="31" t="n">
        <f aca="false">SUMIFS(DatosProd!$D:$D,DatosProd!$A:$A,$A98,DatosProd!$C:$C,1)</f>
        <v>0</v>
      </c>
      <c r="D98" s="31" t="n">
        <f aca="false">SUMIFS(DatosProd!$D:$D,DatosProd!$A:$A,$A98,DatosProd!$C:$C,2)</f>
        <v>0</v>
      </c>
      <c r="E98" s="31" t="n">
        <f aca="false">SUMIFS(DatosProd!$D:$D,DatosProd!$A:$A,$A98)</f>
        <v>0</v>
      </c>
      <c r="F98" s="31" t="n">
        <f aca="false">IF(COUNTIFS(EMCALI!$A:$A,$A98,EMCALI!$C:$C,"&lt;&gt;")&lt;24,"",SUMIFS(EMCALI!$C:$C,EMCALI!$A:$A,$A98))</f>
        <v>4538.64</v>
      </c>
      <c r="G98" s="38" t="str">
        <f aca="false">IF(OR(F98="",E98=0),"",F98/E98*1000)</f>
        <v/>
      </c>
      <c r="H98" s="31" t="n">
        <f aca="false">IF(COUNTIFS(EMCALI!$A:$A,$A98,EMCALI!$G:$G,"A",EMCALI!$C:$C,"&lt;&gt;")&lt;7,"",SUMIFS(EMCALI!$C:$C,EMCALI!$A:$A,$A98,EMCALI!$G:$G,"A"))</f>
        <v>1820.64</v>
      </c>
      <c r="I98" s="38" t="str">
        <f aca="false">IF(OR(H98="",C98&lt;5000),"",H98/C98*1000)</f>
        <v/>
      </c>
      <c r="J98" s="31" t="n">
        <f aca="false">IF(COUNTIFS(EMCALI!$A:$A,$A98,EMCALI!$G:$G,"B",EMCALI!$C:$C,"&lt;&gt;")&lt;7,"",SUMIFS(EMCALI!$C:$C,EMCALI!$A:$A,$A98,EMCALI!$G:$G,"B"))</f>
        <v>1555.44</v>
      </c>
      <c r="K98" s="38" t="str">
        <f aca="false">IF(OR(J98="",D98&lt;5000),"",J98/D98*1000)</f>
        <v/>
      </c>
      <c r="L98" s="11" t="str">
        <f aca="false">IF(AND(E98=0,F98=""),"Sin datos",IF(E98=0,"Sin producción registrada",IF(F98="","EMCALI incompleto","")))</f>
        <v>Sin producción registrada</v>
      </c>
    </row>
    <row r="99" customFormat="false" ht="15" hidden="false" customHeight="false" outlineLevel="0" collapsed="false">
      <c r="A99" s="35" t="n">
        <v>46302</v>
      </c>
      <c r="B99" s="11" t="s">
        <v>337</v>
      </c>
      <c r="C99" s="31" t="n">
        <f aca="false">SUMIFS(DatosProd!$D:$D,DatosProd!$A:$A,$A99,DatosProd!$C:$C,1)</f>
        <v>0</v>
      </c>
      <c r="D99" s="31" t="n">
        <f aca="false">SUMIFS(DatosProd!$D:$D,DatosProd!$A:$A,$A99,DatosProd!$C:$C,2)</f>
        <v>0</v>
      </c>
      <c r="E99" s="31" t="n">
        <f aca="false">SUMIFS(DatosProd!$D:$D,DatosProd!$A:$A,$A99)</f>
        <v>0</v>
      </c>
      <c r="F99" s="31" t="n">
        <f aca="false">IF(COUNTIFS(EMCALI!$A:$A,$A99,EMCALI!$C:$C,"&lt;&gt;")&lt;24,"",SUMIFS(EMCALI!$C:$C,EMCALI!$A:$A,$A99))</f>
        <v>4243.68</v>
      </c>
      <c r="G99" s="38" t="str">
        <f aca="false">IF(OR(F99="",E99=0),"",F99/E99*1000)</f>
        <v/>
      </c>
      <c r="H99" s="31" t="n">
        <f aca="false">IF(COUNTIFS(EMCALI!$A:$A,$A99,EMCALI!$G:$G,"A",EMCALI!$C:$C,"&lt;&gt;")&lt;7,"",SUMIFS(EMCALI!$C:$C,EMCALI!$A:$A,$A99,EMCALI!$G:$G,"A"))</f>
        <v>1671.24</v>
      </c>
      <c r="I99" s="38" t="str">
        <f aca="false">IF(OR(H99="",C99&lt;5000),"",H99/C99*1000)</f>
        <v/>
      </c>
      <c r="J99" s="31" t="n">
        <f aca="false">IF(COUNTIFS(EMCALI!$A:$A,$A99,EMCALI!$G:$G,"B",EMCALI!$C:$C,"&lt;&gt;")&lt;7,"",SUMIFS(EMCALI!$C:$C,EMCALI!$A:$A,$A99,EMCALI!$G:$G,"B"))</f>
        <v>1538.52</v>
      </c>
      <c r="K99" s="38" t="str">
        <f aca="false">IF(OR(J99="",D99&lt;5000),"",J99/D99*1000)</f>
        <v/>
      </c>
      <c r="L99" s="11" t="str">
        <f aca="false">IF(AND(E99=0,F99=""),"Sin datos",IF(E99=0,"Sin producción registrada",IF(F99="","EMCALI incompleto","")))</f>
        <v>Sin producción registrada</v>
      </c>
    </row>
    <row r="100" customFormat="false" ht="15" hidden="false" customHeight="false" outlineLevel="0" collapsed="false">
      <c r="A100" s="35" t="n">
        <v>46303</v>
      </c>
      <c r="B100" s="11" t="s">
        <v>338</v>
      </c>
      <c r="C100" s="31" t="n">
        <f aca="false">SUMIFS(DatosProd!$D:$D,DatosProd!$A:$A,$A100,DatosProd!$C:$C,1)</f>
        <v>0</v>
      </c>
      <c r="D100" s="31" t="n">
        <f aca="false">SUMIFS(DatosProd!$D:$D,DatosProd!$A:$A,$A100,DatosProd!$C:$C,2)</f>
        <v>0</v>
      </c>
      <c r="E100" s="31" t="n">
        <f aca="false">SUMIFS(DatosProd!$D:$D,DatosProd!$A:$A,$A100)</f>
        <v>0</v>
      </c>
      <c r="F100" s="31" t="n">
        <f aca="false">IF(COUNTIFS(EMCALI!$A:$A,$A100,EMCALI!$C:$C,"&lt;&gt;")&lt;24,"",SUMIFS(EMCALI!$C:$C,EMCALI!$A:$A,$A100))</f>
        <v>4455.6</v>
      </c>
      <c r="G100" s="38" t="str">
        <f aca="false">IF(OR(F100="",E100=0),"",F100/E100*1000)</f>
        <v/>
      </c>
      <c r="H100" s="31" t="n">
        <f aca="false">IF(COUNTIFS(EMCALI!$A:$A,$A100,EMCALI!$G:$G,"A",EMCALI!$C:$C,"&lt;&gt;")&lt;7,"",SUMIFS(EMCALI!$C:$C,EMCALI!$A:$A,$A100,EMCALI!$G:$G,"A"))</f>
        <v>1837.2</v>
      </c>
      <c r="I100" s="38" t="str">
        <f aca="false">IF(OR(H100="",C100&lt;5000),"",H100/C100*1000)</f>
        <v/>
      </c>
      <c r="J100" s="31" t="n">
        <f aca="false">IF(COUNTIFS(EMCALI!$A:$A,$A100,EMCALI!$G:$G,"B",EMCALI!$C:$C,"&lt;&gt;")&lt;7,"",SUMIFS(EMCALI!$C:$C,EMCALI!$A:$A,$A100,EMCALI!$G:$G,"B"))</f>
        <v>1572.6</v>
      </c>
      <c r="K100" s="38" t="str">
        <f aca="false">IF(OR(J100="",D100&lt;5000),"",J100/D100*1000)</f>
        <v/>
      </c>
      <c r="L100" s="11" t="str">
        <f aca="false">IF(AND(E100=0,F100=""),"Sin datos",IF(E100=0,"Sin producción registrada",IF(F100="","EMCALI incompleto","")))</f>
        <v>Sin producción registrada</v>
      </c>
    </row>
    <row r="101" customFormat="false" ht="15" hidden="false" customHeight="false" outlineLevel="0" collapsed="false">
      <c r="A101" s="35" t="n">
        <v>46304</v>
      </c>
      <c r="B101" s="11" t="s">
        <v>339</v>
      </c>
      <c r="C101" s="31" t="n">
        <f aca="false">SUMIFS(DatosProd!$D:$D,DatosProd!$A:$A,$A101,DatosProd!$C:$C,1)</f>
        <v>0</v>
      </c>
      <c r="D101" s="31" t="n">
        <f aca="false">SUMIFS(DatosProd!$D:$D,DatosProd!$A:$A,$A101,DatosProd!$C:$C,2)</f>
        <v>0</v>
      </c>
      <c r="E101" s="31" t="n">
        <f aca="false">SUMIFS(DatosProd!$D:$D,DatosProd!$A:$A,$A101)</f>
        <v>0</v>
      </c>
      <c r="F101" s="31" t="n">
        <f aca="false">IF(COUNTIFS(EMCALI!$A:$A,$A101,EMCALI!$C:$C,"&lt;&gt;")&lt;24,"",SUMIFS(EMCALI!$C:$C,EMCALI!$A:$A,$A101))</f>
        <v>4794.36</v>
      </c>
      <c r="G101" s="38" t="str">
        <f aca="false">IF(OR(F101="",E101=0),"",F101/E101*1000)</f>
        <v/>
      </c>
      <c r="H101" s="31" t="n">
        <f aca="false">IF(COUNTIFS(EMCALI!$A:$A,$A101,EMCALI!$G:$G,"A",EMCALI!$C:$C,"&lt;&gt;")&lt;7,"",SUMIFS(EMCALI!$C:$C,EMCALI!$A:$A,$A101,EMCALI!$G:$G,"A"))</f>
        <v>1981.8</v>
      </c>
      <c r="I101" s="38" t="str">
        <f aca="false">IF(OR(H101="",C101&lt;5000),"",H101/C101*1000)</f>
        <v/>
      </c>
      <c r="J101" s="31" t="n">
        <f aca="false">IF(COUNTIFS(EMCALI!$A:$A,$A101,EMCALI!$G:$G,"B",EMCALI!$C:$C,"&lt;&gt;")&lt;7,"",SUMIFS(EMCALI!$C:$C,EMCALI!$A:$A,$A101,EMCALI!$G:$G,"B"))</f>
        <v>1716.84</v>
      </c>
      <c r="K101" s="38" t="str">
        <f aca="false">IF(OR(J101="",D101&lt;5000),"",J101/D101*1000)</f>
        <v/>
      </c>
      <c r="L101" s="11" t="str">
        <f aca="false">IF(AND(E101=0,F101=""),"Sin datos",IF(E101=0,"Sin producción registrada",IF(F101="","EMCALI incompleto","")))</f>
        <v>Sin producción registrada</v>
      </c>
    </row>
    <row r="102" customFormat="false" ht="15" hidden="false" customHeight="false" outlineLevel="0" collapsed="false">
      <c r="A102" s="2" t="s">
        <v>376</v>
      </c>
    </row>
  </sheetData>
  <conditionalFormatting sqref="G13:G101">
    <cfRule type="expression" priority="2" aboveAverage="0" equalAverage="0" bottom="0" percent="0" rank="0" text="" dxfId="2">
      <formula>AND(ISNUMBER(G13),G13&gt;$C$5*1.25)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30" t="s">
        <v>377</v>
      </c>
    </row>
    <row r="2" customFormat="false" ht="15" hidden="false" customHeight="false" outlineLevel="0" collapsed="false">
      <c r="A2" s="2" t="s">
        <v>378</v>
      </c>
    </row>
    <row r="4" customFormat="false" ht="15" hidden="false" customHeight="false" outlineLevel="0" collapsed="false">
      <c r="A4" s="10" t="s">
        <v>379</v>
      </c>
      <c r="B4" s="10" t="s">
        <v>186</v>
      </c>
      <c r="C4" s="10" t="s">
        <v>188</v>
      </c>
      <c r="D4" s="10" t="s">
        <v>375</v>
      </c>
      <c r="E4" s="10" t="s">
        <v>187</v>
      </c>
      <c r="F4" s="10" t="s">
        <v>380</v>
      </c>
      <c r="G4" s="10" t="s">
        <v>189</v>
      </c>
      <c r="H4" s="10" t="s">
        <v>181</v>
      </c>
      <c r="I4" s="10" t="s">
        <v>381</v>
      </c>
    </row>
    <row r="5" customFormat="false" ht="15" hidden="false" customHeight="false" outlineLevel="0" collapsed="false">
      <c r="A5" s="21" t="n">
        <v>46216</v>
      </c>
      <c r="B5" s="19" t="n">
        <f aca="false">IF(COUNTIFS(DatosInformes!$B:$B,"192.168.50.5",DatosInformes!$A:$A,"&gt;="&amp;$A5,DatosInformes!$A:$A,"&lt;"&amp;($A5+7))&lt;2,"",(_xlfn.MAXIFS(DatosInformes!$D:$D,DatosInformes!$B:$B,"192.168.50.5",DatosInformes!$A:$A,"&gt;="&amp;$A5,DatosInformes!$A:$A,"&lt;"&amp;($A5+7))-_xlfn.MINIFS(DatosInformes!$D:$D,DatosInformes!$B:$B,"192.168.50.5",DatosInformes!$A:$A,"&gt;="&amp;$A5,DatosInformes!$A:$A,"&lt;"&amp;($A5+7)))/(_xlfn.MAXIFS(DatosInformes!$A:$A,DatosInformes!$B:$B,"192.168.50.5",DatosInformes!$A:$A,"&gt;="&amp;$A5,DatosInformes!$A:$A,"&lt;"&amp;($A5+7))-_xlfn.MINIFS(DatosInformes!$A:$A,DatosInformes!$B:$B,"192.168.50.5",DatosInformes!$A:$A,"&gt;="&amp;$A5,DatosInformes!$A:$A,"&lt;"&amp;($A5+7))))</f>
        <v>47.7333333333333</v>
      </c>
      <c r="C5" s="19" t="n">
        <f aca="false">IF(COUNTIFS(DatosInformes!$B:$B,"192.168.50.7",DatosInformes!$A:$A,"&gt;="&amp;$A5,DatosInformes!$A:$A,"&lt;"&amp;($A5+7))&lt;2,"",(_xlfn.MAXIFS(DatosInformes!$D:$D,DatosInformes!$B:$B,"192.168.50.7",DatosInformes!$A:$A,"&gt;="&amp;$A5,DatosInformes!$A:$A,"&lt;"&amp;($A5+7))-_xlfn.MINIFS(DatosInformes!$D:$D,DatosInformes!$B:$B,"192.168.50.7",DatosInformes!$A:$A,"&gt;="&amp;$A5,DatosInformes!$A:$A,"&lt;"&amp;($A5+7)))/(_xlfn.MAXIFS(DatosInformes!$A:$A,DatosInformes!$B:$B,"192.168.50.7",DatosInformes!$A:$A,"&gt;="&amp;$A5,DatosInformes!$A:$A,"&lt;"&amp;($A5+7))-_xlfn.MINIFS(DatosInformes!$A:$A,DatosInformes!$B:$B,"192.168.50.7",DatosInformes!$A:$A,"&gt;="&amp;$A5,DatosInformes!$A:$A,"&lt;"&amp;($A5+7))))</f>
        <v>3.33333333333333</v>
      </c>
      <c r="D5" s="19" t="n">
        <f aca="false">IF(COUNTIFS(DatosInformes!$B:$B,"L19",DatosInformes!$A:$A,"&gt;="&amp;$A5,DatosInformes!$A:$A,"&lt;"&amp;($A5+7))&lt;2,"",(_xlfn.MAXIFS(DatosInformes!$D:$D,DatosInformes!$B:$B,"L19",DatosInformes!$A:$A,"&gt;="&amp;$A5,DatosInformes!$A:$A,"&lt;"&amp;($A5+7))-_xlfn.MINIFS(DatosInformes!$D:$D,DatosInformes!$B:$B,"L19",DatosInformes!$A:$A,"&gt;="&amp;$A5,DatosInformes!$A:$A,"&lt;"&amp;($A5+7)))/(_xlfn.MAXIFS(DatosInformes!$A:$A,DatosInformes!$B:$B,"L19",DatosInformes!$A:$A,"&gt;="&amp;$A5,DatosInformes!$A:$A,"&lt;"&amp;($A5+7))-_xlfn.MINIFS(DatosInformes!$A:$A,DatosInformes!$B:$B,"L19",DatosInformes!$A:$A,"&gt;="&amp;$A5,DatosInformes!$A:$A,"&lt;"&amp;($A5+7))))</f>
        <v>64.6666666666667</v>
      </c>
      <c r="E5" s="19" t="str">
        <f aca="false">IF(COUNTIFS(DatosInformes!$B:$B,"192.168.50.6",DatosInformes!$A:$A,"&gt;="&amp;$A5,DatosInformes!$A:$A,"&lt;"&amp;($A5+7))&lt;2,"",(_xlfn.MAXIFS(DatosInformes!$D:$D,DatosInformes!$B:$B,"192.168.50.6",DatosInformes!$A:$A,"&gt;="&amp;$A5,DatosInformes!$A:$A,"&lt;"&amp;($A5+7))-_xlfn.MINIFS(DatosInformes!$D:$D,DatosInformes!$B:$B,"192.168.50.6",DatosInformes!$A:$A,"&gt;="&amp;$A5,DatosInformes!$A:$A,"&lt;"&amp;($A5+7)))/(_xlfn.MAXIFS(DatosInformes!$A:$A,DatosInformes!$B:$B,"192.168.50.6",DatosInformes!$A:$A,"&gt;="&amp;$A5,DatosInformes!$A:$A,"&lt;"&amp;($A5+7))-_xlfn.MINIFS(DatosInformes!$A:$A,DatosInformes!$B:$B,"192.168.50.6",DatosInformes!$A:$A,"&gt;="&amp;$A5,DatosInformes!$A:$A,"&lt;"&amp;($A5+7))))</f>
        <v/>
      </c>
      <c r="F5" s="19" t="n">
        <f aca="false">IF(COUNTIFS(DatosInformes!$B:$B,"192.168.50.4",DatosInformes!$A:$A,"&gt;="&amp;$A5,DatosInformes!$A:$A,"&lt;"&amp;($A5+7))&lt;2,"",(_xlfn.MAXIFS(DatosInformes!$D:$D,DatosInformes!$B:$B,"192.168.50.4",DatosInformes!$A:$A,"&gt;="&amp;$A5,DatosInformes!$A:$A,"&lt;"&amp;($A5+7))-_xlfn.MINIFS(DatosInformes!$D:$D,DatosInformes!$B:$B,"192.168.50.4",DatosInformes!$A:$A,"&gt;="&amp;$A5,DatosInformes!$A:$A,"&lt;"&amp;($A5+7)))/(_xlfn.MAXIFS(DatosInformes!$A:$A,DatosInformes!$B:$B,"192.168.50.4",DatosInformes!$A:$A,"&gt;="&amp;$A5,DatosInformes!$A:$A,"&lt;"&amp;($A5+7))-_xlfn.MINIFS(DatosInformes!$A:$A,DatosInformes!$B:$B,"192.168.50.4",DatosInformes!$A:$A,"&gt;="&amp;$A5,DatosInformes!$A:$A,"&lt;"&amp;($A5+7))))</f>
        <v>48.4666666666668</v>
      </c>
      <c r="G5" s="19" t="n">
        <f aca="false">IF(COUNTIFS(DatosInformes!$B:$B,"192.168.1.168",DatosInformes!$A:$A,"&gt;="&amp;$A5,DatosInformes!$A:$A,"&lt;"&amp;($A5+7))&lt;2,"",(_xlfn.MAXIFS(DatosInformes!$D:$D,DatosInformes!$B:$B,"192.168.1.168",DatosInformes!$A:$A,"&gt;="&amp;$A5,DatosInformes!$A:$A,"&lt;"&amp;($A5+7))-_xlfn.MINIFS(DatosInformes!$D:$D,DatosInformes!$B:$B,"192.168.1.168",DatosInformes!$A:$A,"&gt;="&amp;$A5,DatosInformes!$A:$A,"&lt;"&amp;($A5+7)))/(_xlfn.MAXIFS(DatosInformes!$A:$A,DatosInformes!$B:$B,"192.168.1.168",DatosInformes!$A:$A,"&gt;="&amp;$A5,DatosInformes!$A:$A,"&lt;"&amp;($A5+7))-_xlfn.MINIFS(DatosInformes!$A:$A,DatosInformes!$B:$B,"192.168.1.168",DatosInformes!$A:$A,"&gt;="&amp;$A5,DatosInformes!$A:$A,"&lt;"&amp;($A5+7))))</f>
        <v>108</v>
      </c>
      <c r="H5" s="19" t="n">
        <f aca="false">IF(COUNTIFS(DatosInformes!$B:$B,"192.168.50.3",DatosInformes!$A:$A,"&gt;="&amp;$A5,DatosInformes!$A:$A,"&lt;"&amp;($A5+7))&lt;2,"",(_xlfn.MAXIFS(DatosInformes!$D:$D,DatosInformes!$B:$B,"192.168.50.3",DatosInformes!$A:$A,"&gt;="&amp;$A5,DatosInformes!$A:$A,"&lt;"&amp;($A5+7))-_xlfn.MINIFS(DatosInformes!$D:$D,DatosInformes!$B:$B,"192.168.50.3",DatosInformes!$A:$A,"&gt;="&amp;$A5,DatosInformes!$A:$A,"&lt;"&amp;($A5+7)))/(_xlfn.MAXIFS(DatosInformes!$A:$A,DatosInformes!$B:$B,"192.168.50.3",DatosInformes!$A:$A,"&gt;="&amp;$A5,DatosInformes!$A:$A,"&lt;"&amp;($A5+7))-_xlfn.MINIFS(DatosInformes!$A:$A,DatosInformes!$B:$B,"192.168.50.3",DatosInformes!$A:$A,"&gt;="&amp;$A5,DatosInformes!$A:$A,"&lt;"&amp;($A5+7))))</f>
        <v>44.1333333333332</v>
      </c>
      <c r="I5" s="28" t="n">
        <f aca="false">IF(COUNT(B5:H5)=0,"",SUM(B5:H5))</f>
        <v>316.333333333333</v>
      </c>
    </row>
    <row r="6" customFormat="false" ht="15" hidden="false" customHeight="false" outlineLevel="0" collapsed="false">
      <c r="A6" s="21" t="n">
        <v>46223</v>
      </c>
      <c r="B6" s="19" t="n">
        <f aca="false">IF(COUNTIFS(DatosInformes!$B:$B,"192.168.50.5",DatosInformes!$A:$A,"&gt;="&amp;$A6,DatosInformes!$A:$A,"&lt;"&amp;($A6+7))&lt;2,"",(_xlfn.MAXIFS(DatosInformes!$D:$D,DatosInformes!$B:$B,"192.168.50.5",DatosInformes!$A:$A,"&gt;="&amp;$A6,DatosInformes!$A:$A,"&lt;"&amp;($A6+7))-_xlfn.MINIFS(DatosInformes!$D:$D,DatosInformes!$B:$B,"192.168.50.5",DatosInformes!$A:$A,"&gt;="&amp;$A6,DatosInformes!$A:$A,"&lt;"&amp;($A6+7)))/(_xlfn.MAXIFS(DatosInformes!$A:$A,DatosInformes!$B:$B,"192.168.50.5",DatosInformes!$A:$A,"&gt;="&amp;$A6,DatosInformes!$A:$A,"&lt;"&amp;($A6+7))-_xlfn.MINIFS(DatosInformes!$A:$A,DatosInformes!$B:$B,"192.168.50.5",DatosInformes!$A:$A,"&gt;="&amp;$A6,DatosInformes!$A:$A,"&lt;"&amp;($A6+7))))</f>
        <v>59.0666666666669</v>
      </c>
      <c r="C6" s="19" t="n">
        <f aca="false">IF(COUNTIFS(DatosInformes!$B:$B,"192.168.50.7",DatosInformes!$A:$A,"&gt;="&amp;$A6,DatosInformes!$A:$A,"&lt;"&amp;($A6+7))&lt;2,"",(_xlfn.MAXIFS(DatosInformes!$D:$D,DatosInformes!$B:$B,"192.168.50.7",DatosInformes!$A:$A,"&gt;="&amp;$A6,DatosInformes!$A:$A,"&lt;"&amp;($A6+7))-_xlfn.MINIFS(DatosInformes!$D:$D,DatosInformes!$B:$B,"192.168.50.7",DatosInformes!$A:$A,"&gt;="&amp;$A6,DatosInformes!$A:$A,"&lt;"&amp;($A6+7)))/(_xlfn.MAXIFS(DatosInformes!$A:$A,DatosInformes!$B:$B,"192.168.50.7",DatosInformes!$A:$A,"&gt;="&amp;$A6,DatosInformes!$A:$A,"&lt;"&amp;($A6+7))-_xlfn.MINIFS(DatosInformes!$A:$A,DatosInformes!$B:$B,"192.168.50.7",DatosInformes!$A:$A,"&gt;="&amp;$A6,DatosInformes!$A:$A,"&lt;"&amp;($A6+7))))</f>
        <v>30.1333333333332</v>
      </c>
      <c r="D6" s="19" t="n">
        <f aca="false">IF(COUNTIFS(DatosInformes!$B:$B,"L19",DatosInformes!$A:$A,"&gt;="&amp;$A6,DatosInformes!$A:$A,"&lt;"&amp;($A6+7))&lt;2,"",(_xlfn.MAXIFS(DatosInformes!$D:$D,DatosInformes!$B:$B,"L19",DatosInformes!$A:$A,"&gt;="&amp;$A6,DatosInformes!$A:$A,"&lt;"&amp;($A6+7))-_xlfn.MINIFS(DatosInformes!$D:$D,DatosInformes!$B:$B,"L19",DatosInformes!$A:$A,"&gt;="&amp;$A6,DatosInformes!$A:$A,"&lt;"&amp;($A6+7)))/(_xlfn.MAXIFS(DatosInformes!$A:$A,DatosInformes!$B:$B,"L19",DatosInformes!$A:$A,"&gt;="&amp;$A6,DatosInformes!$A:$A,"&lt;"&amp;($A6+7))-_xlfn.MINIFS(DatosInformes!$A:$A,DatosInformes!$B:$B,"L19",DatosInformes!$A:$A,"&gt;="&amp;$A6,DatosInformes!$A:$A,"&lt;"&amp;($A6+7))))</f>
        <v>56.6666666666667</v>
      </c>
      <c r="E6" s="19" t="str">
        <f aca="false">IF(COUNTIFS(DatosInformes!$B:$B,"192.168.50.6",DatosInformes!$A:$A,"&gt;="&amp;$A6,DatosInformes!$A:$A,"&lt;"&amp;($A6+7))&lt;2,"",(_xlfn.MAXIFS(DatosInformes!$D:$D,DatosInformes!$B:$B,"192.168.50.6",DatosInformes!$A:$A,"&gt;="&amp;$A6,DatosInformes!$A:$A,"&lt;"&amp;($A6+7))-_xlfn.MINIFS(DatosInformes!$D:$D,DatosInformes!$B:$B,"192.168.50.6",DatosInformes!$A:$A,"&gt;="&amp;$A6,DatosInformes!$A:$A,"&lt;"&amp;($A6+7)))/(_xlfn.MAXIFS(DatosInformes!$A:$A,DatosInformes!$B:$B,"192.168.50.6",DatosInformes!$A:$A,"&gt;="&amp;$A6,DatosInformes!$A:$A,"&lt;"&amp;($A6+7))-_xlfn.MINIFS(DatosInformes!$A:$A,DatosInformes!$B:$B,"192.168.50.6",DatosInformes!$A:$A,"&gt;="&amp;$A6,DatosInformes!$A:$A,"&lt;"&amp;($A6+7))))</f>
        <v/>
      </c>
      <c r="F6" s="19" t="n">
        <f aca="false">IF(COUNTIFS(DatosInformes!$B:$B,"192.168.50.4",DatosInformes!$A:$A,"&gt;="&amp;$A6,DatosInformes!$A:$A,"&lt;"&amp;($A6+7))&lt;2,"",(_xlfn.MAXIFS(DatosInformes!$D:$D,DatosInformes!$B:$B,"192.168.50.4",DatosInformes!$A:$A,"&gt;="&amp;$A6,DatosInformes!$A:$A,"&lt;"&amp;($A6+7))-_xlfn.MINIFS(DatosInformes!$D:$D,DatosInformes!$B:$B,"192.168.50.4",DatosInformes!$A:$A,"&gt;="&amp;$A6,DatosInformes!$A:$A,"&lt;"&amp;($A6+7)))/(_xlfn.MAXIFS(DatosInformes!$A:$A,DatosInformes!$B:$B,"192.168.50.4",DatosInformes!$A:$A,"&gt;="&amp;$A6,DatosInformes!$A:$A,"&lt;"&amp;($A6+7))-_xlfn.MINIFS(DatosInformes!$A:$A,DatosInformes!$B:$B,"192.168.50.4",DatosInformes!$A:$A,"&gt;="&amp;$A6,DatosInformes!$A:$A,"&lt;"&amp;($A6+7))))</f>
        <v>25.9666666666665</v>
      </c>
      <c r="G6" s="19" t="n">
        <f aca="false">IF(COUNTIFS(DatosInformes!$B:$B,"192.168.1.168",DatosInformes!$A:$A,"&gt;="&amp;$A6,DatosInformes!$A:$A,"&lt;"&amp;($A6+7))&lt;2,"",(_xlfn.MAXIFS(DatosInformes!$D:$D,DatosInformes!$B:$B,"192.168.1.168",DatosInformes!$A:$A,"&gt;="&amp;$A6,DatosInformes!$A:$A,"&lt;"&amp;($A6+7))-_xlfn.MINIFS(DatosInformes!$D:$D,DatosInformes!$B:$B,"192.168.1.168",DatosInformes!$A:$A,"&gt;="&amp;$A6,DatosInformes!$A:$A,"&lt;"&amp;($A6+7)))/(_xlfn.MAXIFS(DatosInformes!$A:$A,DatosInformes!$B:$B,"192.168.1.168",DatosInformes!$A:$A,"&gt;="&amp;$A6,DatosInformes!$A:$A,"&lt;"&amp;($A6+7))-_xlfn.MINIFS(DatosInformes!$A:$A,DatosInformes!$B:$B,"192.168.1.168",DatosInformes!$A:$A,"&gt;="&amp;$A6,DatosInformes!$A:$A,"&lt;"&amp;($A6+7))))</f>
        <v>97</v>
      </c>
      <c r="H6" s="19" t="n">
        <f aca="false">IF(COUNTIFS(DatosInformes!$B:$B,"192.168.50.3",DatosInformes!$A:$A,"&gt;="&amp;$A6,DatosInformes!$A:$A,"&lt;"&amp;($A6+7))&lt;2,"",(_xlfn.MAXIFS(DatosInformes!$D:$D,DatosInformes!$B:$B,"192.168.50.3",DatosInformes!$A:$A,"&gt;="&amp;$A6,DatosInformes!$A:$A,"&lt;"&amp;($A6+7))-_xlfn.MINIFS(DatosInformes!$D:$D,DatosInformes!$B:$B,"192.168.50.3",DatosInformes!$A:$A,"&gt;="&amp;$A6,DatosInformes!$A:$A,"&lt;"&amp;($A6+7)))/(_xlfn.MAXIFS(DatosInformes!$A:$A,DatosInformes!$B:$B,"192.168.50.3",DatosInformes!$A:$A,"&gt;="&amp;$A6,DatosInformes!$A:$A,"&lt;"&amp;($A6+7))-_xlfn.MINIFS(DatosInformes!$A:$A,DatosInformes!$B:$B,"192.168.50.3",DatosInformes!$A:$A,"&gt;="&amp;$A6,DatosInformes!$A:$A,"&lt;"&amp;($A6+7))))</f>
        <v>45.5333333333332</v>
      </c>
      <c r="I6" s="28" t="n">
        <f aca="false">IF(COUNT(B6:H6)=0,"",SUM(B6:H6))</f>
        <v>314.366666666666</v>
      </c>
    </row>
    <row r="7" customFormat="false" ht="15" hidden="false" customHeight="false" outlineLevel="0" collapsed="false">
      <c r="A7" s="21" t="n">
        <v>46230</v>
      </c>
      <c r="B7" s="19" t="n">
        <f aca="false">IF(COUNTIFS(DatosInformes!$B:$B,"192.168.50.5",DatosInformes!$A:$A,"&gt;="&amp;$A7,DatosInformes!$A:$A,"&lt;"&amp;($A7+7))&lt;2,"",(_xlfn.MAXIFS(DatosInformes!$D:$D,DatosInformes!$B:$B,"192.168.50.5",DatosInformes!$A:$A,"&gt;="&amp;$A7,DatosInformes!$A:$A,"&lt;"&amp;($A7+7))-_xlfn.MINIFS(DatosInformes!$D:$D,DatosInformes!$B:$B,"192.168.50.5",DatosInformes!$A:$A,"&gt;="&amp;$A7,DatosInformes!$A:$A,"&lt;"&amp;($A7+7)))/(_xlfn.MAXIFS(DatosInformes!$A:$A,DatosInformes!$B:$B,"192.168.50.5",DatosInformes!$A:$A,"&gt;="&amp;$A7,DatosInformes!$A:$A,"&lt;"&amp;($A7+7))-_xlfn.MINIFS(DatosInformes!$A:$A,DatosInformes!$B:$B,"192.168.50.5",DatosInformes!$A:$A,"&gt;="&amp;$A7,DatosInformes!$A:$A,"&lt;"&amp;($A7+7))))</f>
        <v>35.4499999999998</v>
      </c>
      <c r="C7" s="19" t="n">
        <f aca="false">IF(COUNTIFS(DatosInformes!$B:$B,"192.168.50.7",DatosInformes!$A:$A,"&gt;="&amp;$A7,DatosInformes!$A:$A,"&lt;"&amp;($A7+7))&lt;2,"",(_xlfn.MAXIFS(DatosInformes!$D:$D,DatosInformes!$B:$B,"192.168.50.7",DatosInformes!$A:$A,"&gt;="&amp;$A7,DatosInformes!$A:$A,"&lt;"&amp;($A7+7))-_xlfn.MINIFS(DatosInformes!$D:$D,DatosInformes!$B:$B,"192.168.50.7",DatosInformes!$A:$A,"&gt;="&amp;$A7,DatosInformes!$A:$A,"&lt;"&amp;($A7+7)))/(_xlfn.MAXIFS(DatosInformes!$A:$A,DatosInformes!$B:$B,"192.168.50.7",DatosInformes!$A:$A,"&gt;="&amp;$A7,DatosInformes!$A:$A,"&lt;"&amp;($A7+7))-_xlfn.MINIFS(DatosInformes!$A:$A,DatosInformes!$B:$B,"192.168.50.7",DatosInformes!$A:$A,"&gt;="&amp;$A7,DatosInformes!$A:$A,"&lt;"&amp;($A7+7))))</f>
        <v>5.86666666666649</v>
      </c>
      <c r="D7" s="19" t="n">
        <f aca="false">IF(COUNTIFS(DatosInformes!$B:$B,"L19",DatosInformes!$A:$A,"&gt;="&amp;$A7,DatosInformes!$A:$A,"&lt;"&amp;($A7+7))&lt;2,"",(_xlfn.MAXIFS(DatosInformes!$D:$D,DatosInformes!$B:$B,"L19",DatosInformes!$A:$A,"&gt;="&amp;$A7,DatosInformes!$A:$A,"&lt;"&amp;($A7+7))-_xlfn.MINIFS(DatosInformes!$D:$D,DatosInformes!$B:$B,"L19",DatosInformes!$A:$A,"&gt;="&amp;$A7,DatosInformes!$A:$A,"&lt;"&amp;($A7+7)))/(_xlfn.MAXIFS(DatosInformes!$A:$A,DatosInformes!$B:$B,"L19",DatosInformes!$A:$A,"&gt;="&amp;$A7,DatosInformes!$A:$A,"&lt;"&amp;($A7+7))-_xlfn.MINIFS(DatosInformes!$A:$A,DatosInformes!$B:$B,"L19",DatosInformes!$A:$A,"&gt;="&amp;$A7,DatosInformes!$A:$A,"&lt;"&amp;($A7+7))))</f>
        <v>55.25</v>
      </c>
      <c r="E7" s="19" t="str">
        <f aca="false">IF(COUNTIFS(DatosInformes!$B:$B,"192.168.50.6",DatosInformes!$A:$A,"&gt;="&amp;$A7,DatosInformes!$A:$A,"&lt;"&amp;($A7+7))&lt;2,"",(_xlfn.MAXIFS(DatosInformes!$D:$D,DatosInformes!$B:$B,"192.168.50.6",DatosInformes!$A:$A,"&gt;="&amp;$A7,DatosInformes!$A:$A,"&lt;"&amp;($A7+7))-_xlfn.MINIFS(DatosInformes!$D:$D,DatosInformes!$B:$B,"192.168.50.6",DatosInformes!$A:$A,"&gt;="&amp;$A7,DatosInformes!$A:$A,"&lt;"&amp;($A7+7)))/(_xlfn.MAXIFS(DatosInformes!$A:$A,DatosInformes!$B:$B,"192.168.50.6",DatosInformes!$A:$A,"&gt;="&amp;$A7,DatosInformes!$A:$A,"&lt;"&amp;($A7+7))-_xlfn.MINIFS(DatosInformes!$A:$A,DatosInformes!$B:$B,"192.168.50.6",DatosInformes!$A:$A,"&gt;="&amp;$A7,DatosInformes!$A:$A,"&lt;"&amp;($A7+7))))</f>
        <v/>
      </c>
      <c r="F7" s="19" t="n">
        <f aca="false">IF(COUNTIFS(DatosInformes!$B:$B,"192.168.50.4",DatosInformes!$A:$A,"&gt;="&amp;$A7,DatosInformes!$A:$A,"&lt;"&amp;($A7+7))&lt;2,"",(_xlfn.MAXIFS(DatosInformes!$D:$D,DatosInformes!$B:$B,"192.168.50.4",DatosInformes!$A:$A,"&gt;="&amp;$A7,DatosInformes!$A:$A,"&lt;"&amp;($A7+7))-_xlfn.MINIFS(DatosInformes!$D:$D,DatosInformes!$B:$B,"192.168.50.4",DatosInformes!$A:$A,"&gt;="&amp;$A7,DatosInformes!$A:$A,"&lt;"&amp;($A7+7)))/(_xlfn.MAXIFS(DatosInformes!$A:$A,DatosInformes!$B:$B,"192.168.50.4",DatosInformes!$A:$A,"&gt;="&amp;$A7,DatosInformes!$A:$A,"&lt;"&amp;($A7+7))-_xlfn.MINIFS(DatosInformes!$A:$A,DatosInformes!$B:$B,"192.168.50.4",DatosInformes!$A:$A,"&gt;="&amp;$A7,DatosInformes!$A:$A,"&lt;"&amp;($A7+7))))</f>
        <v>16.5099999999999</v>
      </c>
      <c r="G7" s="19" t="n">
        <f aca="false">IF(COUNTIFS(DatosInformes!$B:$B,"192.168.1.168",DatosInformes!$A:$A,"&gt;="&amp;$A7,DatosInformes!$A:$A,"&lt;"&amp;($A7+7))&lt;2,"",(_xlfn.MAXIFS(DatosInformes!$D:$D,DatosInformes!$B:$B,"192.168.1.168",DatosInformes!$A:$A,"&gt;="&amp;$A7,DatosInformes!$A:$A,"&lt;"&amp;($A7+7))-_xlfn.MINIFS(DatosInformes!$D:$D,DatosInformes!$B:$B,"192.168.1.168",DatosInformes!$A:$A,"&gt;="&amp;$A7,DatosInformes!$A:$A,"&lt;"&amp;($A7+7)))/(_xlfn.MAXIFS(DatosInformes!$A:$A,DatosInformes!$B:$B,"192.168.1.168",DatosInformes!$A:$A,"&gt;="&amp;$A7,DatosInformes!$A:$A,"&lt;"&amp;($A7+7))-_xlfn.MINIFS(DatosInformes!$A:$A,DatosInformes!$B:$B,"192.168.1.168",DatosInformes!$A:$A,"&gt;="&amp;$A7,DatosInformes!$A:$A,"&lt;"&amp;($A7+7))))</f>
        <v>66</v>
      </c>
      <c r="H7" s="19" t="n">
        <f aca="false">IF(COUNTIFS(DatosInformes!$B:$B,"192.168.50.3",DatosInformes!$A:$A,"&gt;="&amp;$A7,DatosInformes!$A:$A,"&lt;"&amp;($A7+7))&lt;2,"",(_xlfn.MAXIFS(DatosInformes!$D:$D,DatosInformes!$B:$B,"192.168.50.3",DatosInformes!$A:$A,"&gt;="&amp;$A7,DatosInformes!$A:$A,"&lt;"&amp;($A7+7))-_xlfn.MINIFS(DatosInformes!$D:$D,DatosInformes!$B:$B,"192.168.50.3",DatosInformes!$A:$A,"&gt;="&amp;$A7,DatosInformes!$A:$A,"&lt;"&amp;($A7+7)))/(_xlfn.MAXIFS(DatosInformes!$A:$A,DatosInformes!$B:$B,"192.168.50.3",DatosInformes!$A:$A,"&gt;="&amp;$A7,DatosInformes!$A:$A,"&lt;"&amp;($A7+7))-_xlfn.MINIFS(DatosInformes!$A:$A,DatosInformes!$B:$B,"192.168.50.3",DatosInformes!$A:$A,"&gt;="&amp;$A7,DatosInformes!$A:$A,"&lt;"&amp;($A7+7))))</f>
        <v>71.7666666666664</v>
      </c>
      <c r="I7" s="28" t="n">
        <f aca="false">IF(COUNT(B7:H7)=0,"",SUM(B7:H7))</f>
        <v>250.843333333333</v>
      </c>
    </row>
    <row r="8" customFormat="false" ht="15" hidden="false" customHeight="false" outlineLevel="0" collapsed="false">
      <c r="A8" s="21" t="n">
        <v>46237</v>
      </c>
      <c r="B8" s="19" t="n">
        <f aca="false">IF(COUNTIFS(DatosInformes!$B:$B,"192.168.50.5",DatosInformes!$A:$A,"&gt;="&amp;$A8,DatosInformes!$A:$A,"&lt;"&amp;($A8+7))&lt;2,"",(_xlfn.MAXIFS(DatosInformes!$D:$D,DatosInformes!$B:$B,"192.168.50.5",DatosInformes!$A:$A,"&gt;="&amp;$A8,DatosInformes!$A:$A,"&lt;"&amp;($A8+7))-_xlfn.MINIFS(DatosInformes!$D:$D,DatosInformes!$B:$B,"192.168.50.5",DatosInformes!$A:$A,"&gt;="&amp;$A8,DatosInformes!$A:$A,"&lt;"&amp;($A8+7)))/(_xlfn.MAXIFS(DatosInformes!$A:$A,DatosInformes!$B:$B,"192.168.50.5",DatosInformes!$A:$A,"&gt;="&amp;$A8,DatosInformes!$A:$A,"&lt;"&amp;($A8+7))-_xlfn.MINIFS(DatosInformes!$A:$A,DatosInformes!$B:$B,"192.168.50.5",DatosInformes!$A:$A,"&gt;="&amp;$A8,DatosInformes!$A:$A,"&lt;"&amp;($A8+7))))</f>
        <v>3.33333333333333</v>
      </c>
      <c r="C8" s="19" t="n">
        <f aca="false">IF(COUNTIFS(DatosInformes!$B:$B,"192.168.50.7",DatosInformes!$A:$A,"&gt;="&amp;$A8,DatosInformes!$A:$A,"&lt;"&amp;($A8+7))&lt;2,"",(_xlfn.MAXIFS(DatosInformes!$D:$D,DatosInformes!$B:$B,"192.168.50.7",DatosInformes!$A:$A,"&gt;="&amp;$A8,DatosInformes!$A:$A,"&lt;"&amp;($A8+7))-_xlfn.MINIFS(DatosInformes!$D:$D,DatosInformes!$B:$B,"192.168.50.7",DatosInformes!$A:$A,"&gt;="&amp;$A8,DatosInformes!$A:$A,"&lt;"&amp;($A8+7)))/(_xlfn.MAXIFS(DatosInformes!$A:$A,DatosInformes!$B:$B,"192.168.50.7",DatosInformes!$A:$A,"&gt;="&amp;$A8,DatosInformes!$A:$A,"&lt;"&amp;($A8+7))-_xlfn.MINIFS(DatosInformes!$A:$A,DatosInformes!$B:$B,"192.168.50.7",DatosInformes!$A:$A,"&gt;="&amp;$A8,DatosInformes!$A:$A,"&lt;"&amp;($A8+7))))</f>
        <v>32</v>
      </c>
      <c r="D8" s="19" t="n">
        <f aca="false">IF(COUNTIFS(DatosInformes!$B:$B,"L19",DatosInformes!$A:$A,"&gt;="&amp;$A8,DatosInformes!$A:$A,"&lt;"&amp;($A8+7))&lt;2,"",(_xlfn.MAXIFS(DatosInformes!$D:$D,DatosInformes!$B:$B,"L19",DatosInformes!$A:$A,"&gt;="&amp;$A8,DatosInformes!$A:$A,"&lt;"&amp;($A8+7))-_xlfn.MINIFS(DatosInformes!$D:$D,DatosInformes!$B:$B,"L19",DatosInformes!$A:$A,"&gt;="&amp;$A8,DatosInformes!$A:$A,"&lt;"&amp;($A8+7)))/(_xlfn.MAXIFS(DatosInformes!$A:$A,DatosInformes!$B:$B,"L19",DatosInformes!$A:$A,"&gt;="&amp;$A8,DatosInformes!$A:$A,"&lt;"&amp;($A8+7))-_xlfn.MINIFS(DatosInformes!$A:$A,DatosInformes!$B:$B,"L19",DatosInformes!$A:$A,"&gt;="&amp;$A8,DatosInformes!$A:$A,"&lt;"&amp;($A8+7))))</f>
        <v>82.6666666666667</v>
      </c>
      <c r="E8" s="19" t="str">
        <f aca="false">IF(COUNTIFS(DatosInformes!$B:$B,"192.168.50.6",DatosInformes!$A:$A,"&gt;="&amp;$A8,DatosInformes!$A:$A,"&lt;"&amp;($A8+7))&lt;2,"",(_xlfn.MAXIFS(DatosInformes!$D:$D,DatosInformes!$B:$B,"192.168.50.6",DatosInformes!$A:$A,"&gt;="&amp;$A8,DatosInformes!$A:$A,"&lt;"&amp;($A8+7))-_xlfn.MINIFS(DatosInformes!$D:$D,DatosInformes!$B:$B,"192.168.50.6",DatosInformes!$A:$A,"&gt;="&amp;$A8,DatosInformes!$A:$A,"&lt;"&amp;($A8+7)))/(_xlfn.MAXIFS(DatosInformes!$A:$A,DatosInformes!$B:$B,"192.168.50.6",DatosInformes!$A:$A,"&gt;="&amp;$A8,DatosInformes!$A:$A,"&lt;"&amp;($A8+7))-_xlfn.MINIFS(DatosInformes!$A:$A,DatosInformes!$B:$B,"192.168.50.6",DatosInformes!$A:$A,"&gt;="&amp;$A8,DatosInformes!$A:$A,"&lt;"&amp;($A8+7))))</f>
        <v/>
      </c>
      <c r="F8" s="19" t="n">
        <f aca="false">IF(COUNTIFS(DatosInformes!$B:$B,"192.168.50.4",DatosInformes!$A:$A,"&gt;="&amp;$A8,DatosInformes!$A:$A,"&lt;"&amp;($A8+7))&lt;2,"",(_xlfn.MAXIFS(DatosInformes!$D:$D,DatosInformes!$B:$B,"192.168.50.4",DatosInformes!$A:$A,"&gt;="&amp;$A8,DatosInformes!$A:$A,"&lt;"&amp;($A8+7))-_xlfn.MINIFS(DatosInformes!$D:$D,DatosInformes!$B:$B,"192.168.50.4",DatosInformes!$A:$A,"&gt;="&amp;$A8,DatosInformes!$A:$A,"&lt;"&amp;($A8+7)))/(_xlfn.MAXIFS(DatosInformes!$A:$A,DatosInformes!$B:$B,"192.168.50.4",DatosInformes!$A:$A,"&gt;="&amp;$A8,DatosInformes!$A:$A,"&lt;"&amp;($A8+7))-_xlfn.MINIFS(DatosInformes!$A:$A,DatosInformes!$B:$B,"192.168.50.4",DatosInformes!$A:$A,"&gt;="&amp;$A8,DatosInformes!$A:$A,"&lt;"&amp;($A8+7))))</f>
        <v>30.6000000000001</v>
      </c>
      <c r="G8" s="19" t="n">
        <f aca="false">IF(COUNTIFS(DatosInformes!$B:$B,"192.168.1.168",DatosInformes!$A:$A,"&gt;="&amp;$A8,DatosInformes!$A:$A,"&lt;"&amp;($A8+7))&lt;2,"",(_xlfn.MAXIFS(DatosInformes!$D:$D,DatosInformes!$B:$B,"192.168.1.168",DatosInformes!$A:$A,"&gt;="&amp;$A8,DatosInformes!$A:$A,"&lt;"&amp;($A8+7))-_xlfn.MINIFS(DatosInformes!$D:$D,DatosInformes!$B:$B,"192.168.1.168",DatosInformes!$A:$A,"&gt;="&amp;$A8,DatosInformes!$A:$A,"&lt;"&amp;($A8+7)))/(_xlfn.MAXIFS(DatosInformes!$A:$A,DatosInformes!$B:$B,"192.168.1.168",DatosInformes!$A:$A,"&gt;="&amp;$A8,DatosInformes!$A:$A,"&lt;"&amp;($A8+7))-_xlfn.MINIFS(DatosInformes!$A:$A,DatosInformes!$B:$B,"192.168.1.168",DatosInformes!$A:$A,"&gt;="&amp;$A8,DatosInformes!$A:$A,"&lt;"&amp;($A8+7))))</f>
        <v>140</v>
      </c>
      <c r="H8" s="19" t="n">
        <f aca="false">IF(COUNTIFS(DatosInformes!$B:$B,"192.168.50.3",DatosInformes!$A:$A,"&gt;="&amp;$A8,DatosInformes!$A:$A,"&lt;"&amp;($A8+7))&lt;2,"",(_xlfn.MAXIFS(DatosInformes!$D:$D,DatosInformes!$B:$B,"192.168.50.3",DatosInformes!$A:$A,"&gt;="&amp;$A8,DatosInformes!$A:$A,"&lt;"&amp;($A8+7))-_xlfn.MINIFS(DatosInformes!$D:$D,DatosInformes!$B:$B,"192.168.50.3",DatosInformes!$A:$A,"&gt;="&amp;$A8,DatosInformes!$A:$A,"&lt;"&amp;($A8+7)))/(_xlfn.MAXIFS(DatosInformes!$A:$A,DatosInformes!$B:$B,"192.168.50.3",DatosInformes!$A:$A,"&gt;="&amp;$A8,DatosInformes!$A:$A,"&lt;"&amp;($A8+7))-_xlfn.MINIFS(DatosInformes!$A:$A,DatosInformes!$B:$B,"192.168.50.3",DatosInformes!$A:$A,"&gt;="&amp;$A8,DatosInformes!$A:$A,"&lt;"&amp;($A8+7))))</f>
        <v>57.3999999999999</v>
      </c>
      <c r="I8" s="28" t="n">
        <f aca="false">IF(COUNT(B8:H8)=0,"",SUM(B8:H8))</f>
        <v>346</v>
      </c>
    </row>
    <row r="9" customFormat="false" ht="15" hidden="false" customHeight="false" outlineLevel="0" collapsed="false">
      <c r="A9" s="21" t="n">
        <v>46244</v>
      </c>
      <c r="B9" s="19" t="str">
        <f aca="false">IF(COUNTIFS(DatosInformes!$B:$B,"192.168.50.5",DatosInformes!$A:$A,"&gt;="&amp;$A9,DatosInformes!$A:$A,"&lt;"&amp;($A9+7))&lt;2,"",(_xlfn.MAXIFS(DatosInformes!$D:$D,DatosInformes!$B:$B,"192.168.50.5",DatosInformes!$A:$A,"&gt;="&amp;$A9,DatosInformes!$A:$A,"&lt;"&amp;($A9+7))-_xlfn.MINIFS(DatosInformes!$D:$D,DatosInformes!$B:$B,"192.168.50.5",DatosInformes!$A:$A,"&gt;="&amp;$A9,DatosInformes!$A:$A,"&lt;"&amp;($A9+7)))/(_xlfn.MAXIFS(DatosInformes!$A:$A,DatosInformes!$B:$B,"192.168.50.5",DatosInformes!$A:$A,"&gt;="&amp;$A9,DatosInformes!$A:$A,"&lt;"&amp;($A9+7))-_xlfn.MINIFS(DatosInformes!$A:$A,DatosInformes!$B:$B,"192.168.50.5",DatosInformes!$A:$A,"&gt;="&amp;$A9,DatosInformes!$A:$A,"&lt;"&amp;($A9+7))))</f>
        <v/>
      </c>
      <c r="C9" s="19" t="str">
        <f aca="false">IF(COUNTIFS(DatosInformes!$B:$B,"192.168.50.7",DatosInformes!$A:$A,"&gt;="&amp;$A9,DatosInformes!$A:$A,"&lt;"&amp;($A9+7))&lt;2,"",(_xlfn.MAXIFS(DatosInformes!$D:$D,DatosInformes!$B:$B,"192.168.50.7",DatosInformes!$A:$A,"&gt;="&amp;$A9,DatosInformes!$A:$A,"&lt;"&amp;($A9+7))-_xlfn.MINIFS(DatosInformes!$D:$D,DatosInformes!$B:$B,"192.168.50.7",DatosInformes!$A:$A,"&gt;="&amp;$A9,DatosInformes!$A:$A,"&lt;"&amp;($A9+7)))/(_xlfn.MAXIFS(DatosInformes!$A:$A,DatosInformes!$B:$B,"192.168.50.7",DatosInformes!$A:$A,"&gt;="&amp;$A9,DatosInformes!$A:$A,"&lt;"&amp;($A9+7))-_xlfn.MINIFS(DatosInformes!$A:$A,DatosInformes!$B:$B,"192.168.50.7",DatosInformes!$A:$A,"&gt;="&amp;$A9,DatosInformes!$A:$A,"&lt;"&amp;($A9+7))))</f>
        <v/>
      </c>
      <c r="D9" s="19" t="str">
        <f aca="false">IF(COUNTIFS(DatosInformes!$B:$B,"L19",DatosInformes!$A:$A,"&gt;="&amp;$A9,DatosInformes!$A:$A,"&lt;"&amp;($A9+7))&lt;2,"",(_xlfn.MAXIFS(DatosInformes!$D:$D,DatosInformes!$B:$B,"L19",DatosInformes!$A:$A,"&gt;="&amp;$A9,DatosInformes!$A:$A,"&lt;"&amp;($A9+7))-_xlfn.MINIFS(DatosInformes!$D:$D,DatosInformes!$B:$B,"L19",DatosInformes!$A:$A,"&gt;="&amp;$A9,DatosInformes!$A:$A,"&lt;"&amp;($A9+7)))/(_xlfn.MAXIFS(DatosInformes!$A:$A,DatosInformes!$B:$B,"L19",DatosInformes!$A:$A,"&gt;="&amp;$A9,DatosInformes!$A:$A,"&lt;"&amp;($A9+7))-_xlfn.MINIFS(DatosInformes!$A:$A,DatosInformes!$B:$B,"L19",DatosInformes!$A:$A,"&gt;="&amp;$A9,DatosInformes!$A:$A,"&lt;"&amp;($A9+7))))</f>
        <v/>
      </c>
      <c r="E9" s="19" t="str">
        <f aca="false">IF(COUNTIFS(DatosInformes!$B:$B,"192.168.50.6",DatosInformes!$A:$A,"&gt;="&amp;$A9,DatosInformes!$A:$A,"&lt;"&amp;($A9+7))&lt;2,"",(_xlfn.MAXIFS(DatosInformes!$D:$D,DatosInformes!$B:$B,"192.168.50.6",DatosInformes!$A:$A,"&gt;="&amp;$A9,DatosInformes!$A:$A,"&lt;"&amp;($A9+7))-_xlfn.MINIFS(DatosInformes!$D:$D,DatosInformes!$B:$B,"192.168.50.6",DatosInformes!$A:$A,"&gt;="&amp;$A9,DatosInformes!$A:$A,"&lt;"&amp;($A9+7)))/(_xlfn.MAXIFS(DatosInformes!$A:$A,DatosInformes!$B:$B,"192.168.50.6",DatosInformes!$A:$A,"&gt;="&amp;$A9,DatosInformes!$A:$A,"&lt;"&amp;($A9+7))-_xlfn.MINIFS(DatosInformes!$A:$A,DatosInformes!$B:$B,"192.168.50.6",DatosInformes!$A:$A,"&gt;="&amp;$A9,DatosInformes!$A:$A,"&lt;"&amp;($A9+7))))</f>
        <v/>
      </c>
      <c r="F9" s="19" t="str">
        <f aca="false">IF(COUNTIFS(DatosInformes!$B:$B,"192.168.50.4",DatosInformes!$A:$A,"&gt;="&amp;$A9,DatosInformes!$A:$A,"&lt;"&amp;($A9+7))&lt;2,"",(_xlfn.MAXIFS(DatosInformes!$D:$D,DatosInformes!$B:$B,"192.168.50.4",DatosInformes!$A:$A,"&gt;="&amp;$A9,DatosInformes!$A:$A,"&lt;"&amp;($A9+7))-_xlfn.MINIFS(DatosInformes!$D:$D,DatosInformes!$B:$B,"192.168.50.4",DatosInformes!$A:$A,"&gt;="&amp;$A9,DatosInformes!$A:$A,"&lt;"&amp;($A9+7)))/(_xlfn.MAXIFS(DatosInformes!$A:$A,DatosInformes!$B:$B,"192.168.50.4",DatosInformes!$A:$A,"&gt;="&amp;$A9,DatosInformes!$A:$A,"&lt;"&amp;($A9+7))-_xlfn.MINIFS(DatosInformes!$A:$A,DatosInformes!$B:$B,"192.168.50.4",DatosInformes!$A:$A,"&gt;="&amp;$A9,DatosInformes!$A:$A,"&lt;"&amp;($A9+7))))</f>
        <v/>
      </c>
      <c r="G9" s="19" t="str">
        <f aca="false">IF(COUNTIFS(DatosInformes!$B:$B,"192.168.1.168",DatosInformes!$A:$A,"&gt;="&amp;$A9,DatosInformes!$A:$A,"&lt;"&amp;($A9+7))&lt;2,"",(_xlfn.MAXIFS(DatosInformes!$D:$D,DatosInformes!$B:$B,"192.168.1.168",DatosInformes!$A:$A,"&gt;="&amp;$A9,DatosInformes!$A:$A,"&lt;"&amp;($A9+7))-_xlfn.MINIFS(DatosInformes!$D:$D,DatosInformes!$B:$B,"192.168.1.168",DatosInformes!$A:$A,"&gt;="&amp;$A9,DatosInformes!$A:$A,"&lt;"&amp;($A9+7)))/(_xlfn.MAXIFS(DatosInformes!$A:$A,DatosInformes!$B:$B,"192.168.1.168",DatosInformes!$A:$A,"&gt;="&amp;$A9,DatosInformes!$A:$A,"&lt;"&amp;($A9+7))-_xlfn.MINIFS(DatosInformes!$A:$A,DatosInformes!$B:$B,"192.168.1.168",DatosInformes!$A:$A,"&gt;="&amp;$A9,DatosInformes!$A:$A,"&lt;"&amp;($A9+7))))</f>
        <v/>
      </c>
      <c r="H9" s="19" t="str">
        <f aca="false">IF(COUNTIFS(DatosInformes!$B:$B,"192.168.50.3",DatosInformes!$A:$A,"&gt;="&amp;$A9,DatosInformes!$A:$A,"&lt;"&amp;($A9+7))&lt;2,"",(_xlfn.MAXIFS(DatosInformes!$D:$D,DatosInformes!$B:$B,"192.168.50.3",DatosInformes!$A:$A,"&gt;="&amp;$A9,DatosInformes!$A:$A,"&lt;"&amp;($A9+7))-_xlfn.MINIFS(DatosInformes!$D:$D,DatosInformes!$B:$B,"192.168.50.3",DatosInformes!$A:$A,"&gt;="&amp;$A9,DatosInformes!$A:$A,"&lt;"&amp;($A9+7)))/(_xlfn.MAXIFS(DatosInformes!$A:$A,DatosInformes!$B:$B,"192.168.50.3",DatosInformes!$A:$A,"&gt;="&amp;$A9,DatosInformes!$A:$A,"&lt;"&amp;($A9+7))-_xlfn.MINIFS(DatosInformes!$A:$A,DatosInformes!$B:$B,"192.168.50.3",DatosInformes!$A:$A,"&gt;="&amp;$A9,DatosInformes!$A:$A,"&lt;"&amp;($A9+7))))</f>
        <v/>
      </c>
      <c r="I9" s="28" t="str">
        <f aca="false">IF(COUNT(B9:H9)=0,"",SUM(B9:H9))</f>
        <v/>
      </c>
    </row>
    <row r="10" customFormat="false" ht="15" hidden="false" customHeight="false" outlineLevel="0" collapsed="false">
      <c r="A10" s="21" t="n">
        <v>46251</v>
      </c>
      <c r="B10" s="19" t="n">
        <f aca="false">IF(COUNTIFS(DatosInformes!$B:$B,"192.168.50.5",DatosInformes!$A:$A,"&gt;="&amp;$A10,DatosInformes!$A:$A,"&lt;"&amp;($A10+7))&lt;2,"",(_xlfn.MAXIFS(DatosInformes!$D:$D,DatosInformes!$B:$B,"192.168.50.5",DatosInformes!$A:$A,"&gt;="&amp;$A10,DatosInformes!$A:$A,"&lt;"&amp;($A10+7))-_xlfn.MINIFS(DatosInformes!$D:$D,DatosInformes!$B:$B,"192.168.50.5",DatosInformes!$A:$A,"&gt;="&amp;$A10,DatosInformes!$A:$A,"&lt;"&amp;($A10+7)))/(_xlfn.MAXIFS(DatosInformes!$A:$A,DatosInformes!$B:$B,"192.168.50.5",DatosInformes!$A:$A,"&gt;="&amp;$A10,DatosInformes!$A:$A,"&lt;"&amp;($A10+7))-_xlfn.MINIFS(DatosInformes!$A:$A,DatosInformes!$B:$B,"192.168.50.5",DatosInformes!$A:$A,"&gt;="&amp;$A10,DatosInformes!$A:$A,"&lt;"&amp;($A10+7))))</f>
        <v>22.8999999999996</v>
      </c>
      <c r="C10" s="19" t="n">
        <f aca="false">IF(COUNTIFS(DatosInformes!$B:$B,"192.168.50.7",DatosInformes!$A:$A,"&gt;="&amp;$A10,DatosInformes!$A:$A,"&lt;"&amp;($A10+7))&lt;2,"",(_xlfn.MAXIFS(DatosInformes!$D:$D,DatosInformes!$B:$B,"192.168.50.7",DatosInformes!$A:$A,"&gt;="&amp;$A10,DatosInformes!$A:$A,"&lt;"&amp;($A10+7))-_xlfn.MINIFS(DatosInformes!$D:$D,DatosInformes!$B:$B,"192.168.50.7",DatosInformes!$A:$A,"&gt;="&amp;$A10,DatosInformes!$A:$A,"&lt;"&amp;($A10+7)))/(_xlfn.MAXIFS(DatosInformes!$A:$A,DatosInformes!$B:$B,"192.168.50.7",DatosInformes!$A:$A,"&gt;="&amp;$A10,DatosInformes!$A:$A,"&lt;"&amp;($A10+7))-_xlfn.MINIFS(DatosInformes!$A:$A,DatosInformes!$B:$B,"192.168.50.7",DatosInformes!$A:$A,"&gt;="&amp;$A10,DatosInformes!$A:$A,"&lt;"&amp;($A10+7))))</f>
        <v>68.9499999999998</v>
      </c>
      <c r="D10" s="19" t="n">
        <f aca="false">IF(COUNTIFS(DatosInformes!$B:$B,"L19",DatosInformes!$A:$A,"&gt;="&amp;$A10,DatosInformes!$A:$A,"&lt;"&amp;($A10+7))&lt;2,"",(_xlfn.MAXIFS(DatosInformes!$D:$D,DatosInformes!$B:$B,"L19",DatosInformes!$A:$A,"&gt;="&amp;$A10,DatosInformes!$A:$A,"&lt;"&amp;($A10+7))-_xlfn.MINIFS(DatosInformes!$D:$D,DatosInformes!$B:$B,"L19",DatosInformes!$A:$A,"&gt;="&amp;$A10,DatosInformes!$A:$A,"&lt;"&amp;($A10+7)))/(_xlfn.MAXIFS(DatosInformes!$A:$A,DatosInformes!$B:$B,"L19",DatosInformes!$A:$A,"&gt;="&amp;$A10,DatosInformes!$A:$A,"&lt;"&amp;($A10+7))-_xlfn.MINIFS(DatosInformes!$A:$A,DatosInformes!$B:$B,"L19",DatosInformes!$A:$A,"&gt;="&amp;$A10,DatosInformes!$A:$A,"&lt;"&amp;($A10+7))))</f>
        <v>87</v>
      </c>
      <c r="E10" s="19" t="str">
        <f aca="false">IF(COUNTIFS(DatosInformes!$B:$B,"192.168.50.6",DatosInformes!$A:$A,"&gt;="&amp;$A10,DatosInformes!$A:$A,"&lt;"&amp;($A10+7))&lt;2,"",(_xlfn.MAXIFS(DatosInformes!$D:$D,DatosInformes!$B:$B,"192.168.50.6",DatosInformes!$A:$A,"&gt;="&amp;$A10,DatosInformes!$A:$A,"&lt;"&amp;($A10+7))-_xlfn.MINIFS(DatosInformes!$D:$D,DatosInformes!$B:$B,"192.168.50.6",DatosInformes!$A:$A,"&gt;="&amp;$A10,DatosInformes!$A:$A,"&lt;"&amp;($A10+7)))/(_xlfn.MAXIFS(DatosInformes!$A:$A,DatosInformes!$B:$B,"192.168.50.6",DatosInformes!$A:$A,"&gt;="&amp;$A10,DatosInformes!$A:$A,"&lt;"&amp;($A10+7))-_xlfn.MINIFS(DatosInformes!$A:$A,DatosInformes!$B:$B,"192.168.50.6",DatosInformes!$A:$A,"&gt;="&amp;$A10,DatosInformes!$A:$A,"&lt;"&amp;($A10+7))))</f>
        <v/>
      </c>
      <c r="F10" s="19" t="n">
        <f aca="false">IF(COUNTIFS(DatosInformes!$B:$B,"192.168.50.4",DatosInformes!$A:$A,"&gt;="&amp;$A10,DatosInformes!$A:$A,"&lt;"&amp;($A10+7))&lt;2,"",(_xlfn.MAXIFS(DatosInformes!$D:$D,DatosInformes!$B:$B,"192.168.50.4",DatosInformes!$A:$A,"&gt;="&amp;$A10,DatosInformes!$A:$A,"&lt;"&amp;($A10+7))-_xlfn.MINIFS(DatosInformes!$D:$D,DatosInformes!$B:$B,"192.168.50.4",DatosInformes!$A:$A,"&gt;="&amp;$A10,DatosInformes!$A:$A,"&lt;"&amp;($A10+7)))/(_xlfn.MAXIFS(DatosInformes!$A:$A,DatosInformes!$B:$B,"192.168.50.4",DatosInformes!$A:$A,"&gt;="&amp;$A10,DatosInformes!$A:$A,"&lt;"&amp;($A10+7))-_xlfn.MINIFS(DatosInformes!$A:$A,DatosInformes!$B:$B,"192.168.50.4",DatosInformes!$A:$A,"&gt;="&amp;$A10,DatosInformes!$A:$A,"&lt;"&amp;($A10+7))))</f>
        <v>84.1999999999998</v>
      </c>
      <c r="G10" s="19" t="str">
        <f aca="false">IF(COUNTIFS(DatosInformes!$B:$B,"192.168.1.168",DatosInformes!$A:$A,"&gt;="&amp;$A10,DatosInformes!$A:$A,"&lt;"&amp;($A10+7))&lt;2,"",(_xlfn.MAXIFS(DatosInformes!$D:$D,DatosInformes!$B:$B,"192.168.1.168",DatosInformes!$A:$A,"&gt;="&amp;$A10,DatosInformes!$A:$A,"&lt;"&amp;($A10+7))-_xlfn.MINIFS(DatosInformes!$D:$D,DatosInformes!$B:$B,"192.168.1.168",DatosInformes!$A:$A,"&gt;="&amp;$A10,DatosInformes!$A:$A,"&lt;"&amp;($A10+7)))/(_xlfn.MAXIFS(DatosInformes!$A:$A,DatosInformes!$B:$B,"192.168.1.168",DatosInformes!$A:$A,"&gt;="&amp;$A10,DatosInformes!$A:$A,"&lt;"&amp;($A10+7))-_xlfn.MINIFS(DatosInformes!$A:$A,DatosInformes!$B:$B,"192.168.1.168",DatosInformes!$A:$A,"&gt;="&amp;$A10,DatosInformes!$A:$A,"&lt;"&amp;($A10+7))))</f>
        <v/>
      </c>
      <c r="H10" s="19" t="n">
        <f aca="false">IF(COUNTIFS(DatosInformes!$B:$B,"192.168.50.3",DatosInformes!$A:$A,"&gt;="&amp;$A10,DatosInformes!$A:$A,"&lt;"&amp;($A10+7))&lt;2,"",(_xlfn.MAXIFS(DatosInformes!$D:$D,DatosInformes!$B:$B,"192.168.50.3",DatosInformes!$A:$A,"&gt;="&amp;$A10,DatosInformes!$A:$A,"&lt;"&amp;($A10+7))-_xlfn.MINIFS(DatosInformes!$D:$D,DatosInformes!$B:$B,"192.168.50.3",DatosInformes!$A:$A,"&gt;="&amp;$A10,DatosInformes!$A:$A,"&lt;"&amp;($A10+7)))/(_xlfn.MAXIFS(DatosInformes!$A:$A,DatosInformes!$B:$B,"192.168.50.3",DatosInformes!$A:$A,"&gt;="&amp;$A10,DatosInformes!$A:$A,"&lt;"&amp;($A10+7))-_xlfn.MINIFS(DatosInformes!$A:$A,DatosInformes!$B:$B,"192.168.50.3",DatosInformes!$A:$A,"&gt;="&amp;$A10,DatosInformes!$A:$A,"&lt;"&amp;($A10+7))))</f>
        <v>43.4000000000001</v>
      </c>
      <c r="I10" s="28" t="n">
        <f aca="false">IF(COUNT(B10:H10)=0,"",SUM(B10:H10))</f>
        <v>306.449999999999</v>
      </c>
    </row>
    <row r="11" customFormat="false" ht="15" hidden="false" customHeight="false" outlineLevel="0" collapsed="false">
      <c r="A11" s="21" t="n">
        <v>46258</v>
      </c>
      <c r="B11" s="19" t="n">
        <f aca="false">IF(COUNTIFS(DatosInformes!$B:$B,"192.168.50.5",DatosInformes!$A:$A,"&gt;="&amp;$A11,DatosInformes!$A:$A,"&lt;"&amp;($A11+7))&lt;2,"",(_xlfn.MAXIFS(DatosInformes!$D:$D,DatosInformes!$B:$B,"192.168.50.5",DatosInformes!$A:$A,"&gt;="&amp;$A11,DatosInformes!$A:$A,"&lt;"&amp;($A11+7))-_xlfn.MINIFS(DatosInformes!$D:$D,DatosInformes!$B:$B,"192.168.50.5",DatosInformes!$A:$A,"&gt;="&amp;$A11,DatosInformes!$A:$A,"&lt;"&amp;($A11+7)))/(_xlfn.MAXIFS(DatosInformes!$A:$A,DatosInformes!$B:$B,"192.168.50.5",DatosInformes!$A:$A,"&gt;="&amp;$A11,DatosInformes!$A:$A,"&lt;"&amp;($A11+7))-_xlfn.MINIFS(DatosInformes!$A:$A,DatosInformes!$B:$B,"192.168.50.5",DatosInformes!$A:$A,"&gt;="&amp;$A11,DatosInformes!$A:$A,"&lt;"&amp;($A11+7))))</f>
        <v>47.3999999999996</v>
      </c>
      <c r="C11" s="19" t="n">
        <f aca="false">IF(COUNTIFS(DatosInformes!$B:$B,"192.168.50.7",DatosInformes!$A:$A,"&gt;="&amp;$A11,DatosInformes!$A:$A,"&lt;"&amp;($A11+7))&lt;2,"",(_xlfn.MAXIFS(DatosInformes!$D:$D,DatosInformes!$B:$B,"192.168.50.7",DatosInformes!$A:$A,"&gt;="&amp;$A11,DatosInformes!$A:$A,"&lt;"&amp;($A11+7))-_xlfn.MINIFS(DatosInformes!$D:$D,DatosInformes!$B:$B,"192.168.50.7",DatosInformes!$A:$A,"&gt;="&amp;$A11,DatosInformes!$A:$A,"&lt;"&amp;($A11+7)))/(_xlfn.MAXIFS(DatosInformes!$A:$A,DatosInformes!$B:$B,"192.168.50.7",DatosInformes!$A:$A,"&gt;="&amp;$A11,DatosInformes!$A:$A,"&lt;"&amp;($A11+7))-_xlfn.MINIFS(DatosInformes!$A:$A,DatosInformes!$B:$B,"192.168.50.7",DatosInformes!$A:$A,"&gt;="&amp;$A11,DatosInformes!$A:$A,"&lt;"&amp;($A11+7))))</f>
        <v>54.1000000000001</v>
      </c>
      <c r="D11" s="19" t="n">
        <f aca="false">IF(COUNTIFS(DatosInformes!$B:$B,"L19",DatosInformes!$A:$A,"&gt;="&amp;$A11,DatosInformes!$A:$A,"&lt;"&amp;($A11+7))&lt;2,"",(_xlfn.MAXIFS(DatosInformes!$D:$D,DatosInformes!$B:$B,"L19",DatosInformes!$A:$A,"&gt;="&amp;$A11,DatosInformes!$A:$A,"&lt;"&amp;($A11+7))-_xlfn.MINIFS(DatosInformes!$D:$D,DatosInformes!$B:$B,"L19",DatosInformes!$A:$A,"&gt;="&amp;$A11,DatosInformes!$A:$A,"&lt;"&amp;($A11+7)))/(_xlfn.MAXIFS(DatosInformes!$A:$A,DatosInformes!$B:$B,"L19",DatosInformes!$A:$A,"&gt;="&amp;$A11,DatosInformes!$A:$A,"&lt;"&amp;($A11+7))-_xlfn.MINIFS(DatosInformes!$A:$A,DatosInformes!$B:$B,"L19",DatosInformes!$A:$A,"&gt;="&amp;$A11,DatosInformes!$A:$A,"&lt;"&amp;($A11+7))))</f>
        <v>68.75</v>
      </c>
      <c r="E11" s="19" t="str">
        <f aca="false">IF(COUNTIFS(DatosInformes!$B:$B,"192.168.50.6",DatosInformes!$A:$A,"&gt;="&amp;$A11,DatosInformes!$A:$A,"&lt;"&amp;($A11+7))&lt;2,"",(_xlfn.MAXIFS(DatosInformes!$D:$D,DatosInformes!$B:$B,"192.168.50.6",DatosInformes!$A:$A,"&gt;="&amp;$A11,DatosInformes!$A:$A,"&lt;"&amp;($A11+7))-_xlfn.MINIFS(DatosInformes!$D:$D,DatosInformes!$B:$B,"192.168.50.6",DatosInformes!$A:$A,"&gt;="&amp;$A11,DatosInformes!$A:$A,"&lt;"&amp;($A11+7)))/(_xlfn.MAXIFS(DatosInformes!$A:$A,DatosInformes!$B:$B,"192.168.50.6",DatosInformes!$A:$A,"&gt;="&amp;$A11,DatosInformes!$A:$A,"&lt;"&amp;($A11+7))-_xlfn.MINIFS(DatosInformes!$A:$A,DatosInformes!$B:$B,"192.168.50.6",DatosInformes!$A:$A,"&gt;="&amp;$A11,DatosInformes!$A:$A,"&lt;"&amp;($A11+7))))</f>
        <v/>
      </c>
      <c r="F11" s="19" t="n">
        <f aca="false">IF(COUNTIFS(DatosInformes!$B:$B,"192.168.50.4",DatosInformes!$A:$A,"&gt;="&amp;$A11,DatosInformes!$A:$A,"&lt;"&amp;($A11+7))&lt;2,"",(_xlfn.MAXIFS(DatosInformes!$D:$D,DatosInformes!$B:$B,"192.168.50.4",DatosInformes!$A:$A,"&gt;="&amp;$A11,DatosInformes!$A:$A,"&lt;"&amp;($A11+7))-_xlfn.MINIFS(DatosInformes!$D:$D,DatosInformes!$B:$B,"192.168.50.4",DatosInformes!$A:$A,"&gt;="&amp;$A11,DatosInformes!$A:$A,"&lt;"&amp;($A11+7)))/(_xlfn.MAXIFS(DatosInformes!$A:$A,DatosInformes!$B:$B,"192.168.50.4",DatosInformes!$A:$A,"&gt;="&amp;$A11,DatosInformes!$A:$A,"&lt;"&amp;($A11+7))-_xlfn.MINIFS(DatosInformes!$A:$A,DatosInformes!$B:$B,"192.168.50.4",DatosInformes!$A:$A,"&gt;="&amp;$A11,DatosInformes!$A:$A,"&lt;"&amp;($A11+7))))</f>
        <v>30.5500000000002</v>
      </c>
      <c r="G11" s="19" t="n">
        <f aca="false">IF(COUNTIFS(DatosInformes!$B:$B,"192.168.1.168",DatosInformes!$A:$A,"&gt;="&amp;$A11,DatosInformes!$A:$A,"&lt;"&amp;($A11+7))&lt;2,"",(_xlfn.MAXIFS(DatosInformes!$D:$D,DatosInformes!$B:$B,"192.168.1.168",DatosInformes!$A:$A,"&gt;="&amp;$A11,DatosInformes!$A:$A,"&lt;"&amp;($A11+7))-_xlfn.MINIFS(DatosInformes!$D:$D,DatosInformes!$B:$B,"192.168.1.168",DatosInformes!$A:$A,"&gt;="&amp;$A11,DatosInformes!$A:$A,"&lt;"&amp;($A11+7)))/(_xlfn.MAXIFS(DatosInformes!$A:$A,DatosInformes!$B:$B,"192.168.1.168",DatosInformes!$A:$A,"&gt;="&amp;$A11,DatosInformes!$A:$A,"&lt;"&amp;($A11+7))-_xlfn.MINIFS(DatosInformes!$A:$A,DatosInformes!$B:$B,"192.168.1.168",DatosInformes!$A:$A,"&gt;="&amp;$A11,DatosInformes!$A:$A,"&lt;"&amp;($A11+7))))</f>
        <v>109.4</v>
      </c>
      <c r="H11" s="19" t="n">
        <f aca="false">IF(COUNTIFS(DatosInformes!$B:$B,"192.168.50.3",DatosInformes!$A:$A,"&gt;="&amp;$A11,DatosInformes!$A:$A,"&lt;"&amp;($A11+7))&lt;2,"",(_xlfn.MAXIFS(DatosInformes!$D:$D,DatosInformes!$B:$B,"192.168.50.3",DatosInformes!$A:$A,"&gt;="&amp;$A11,DatosInformes!$A:$A,"&lt;"&amp;($A11+7))-_xlfn.MINIFS(DatosInformes!$D:$D,DatosInformes!$B:$B,"192.168.50.3",DatosInformes!$A:$A,"&gt;="&amp;$A11,DatosInformes!$A:$A,"&lt;"&amp;($A11+7)))/(_xlfn.MAXIFS(DatosInformes!$A:$A,DatosInformes!$B:$B,"192.168.50.3",DatosInformes!$A:$A,"&gt;="&amp;$A11,DatosInformes!$A:$A,"&lt;"&amp;($A11+7))-_xlfn.MINIFS(DatosInformes!$A:$A,DatosInformes!$B:$B,"192.168.50.3",DatosInformes!$A:$A,"&gt;="&amp;$A11,DatosInformes!$A:$A,"&lt;"&amp;($A11+7))))</f>
        <v>46.7000000000001</v>
      </c>
      <c r="I11" s="28" t="n">
        <f aca="false">IF(COUNT(B11:H11)=0,"",SUM(B11:H11))</f>
        <v>356.9</v>
      </c>
    </row>
    <row r="12" customFormat="false" ht="15" hidden="false" customHeight="false" outlineLevel="0" collapsed="false">
      <c r="A12" s="21" t="n">
        <v>46265</v>
      </c>
      <c r="B12" s="19" t="n">
        <f aca="false">IF(COUNTIFS(DatosInformes!$B:$B,"192.168.50.5",DatosInformes!$A:$A,"&gt;="&amp;$A12,DatosInformes!$A:$A,"&lt;"&amp;($A12+7))&lt;2,"",(_xlfn.MAXIFS(DatosInformes!$D:$D,DatosInformes!$B:$B,"192.168.50.5",DatosInformes!$A:$A,"&gt;="&amp;$A12,DatosInformes!$A:$A,"&lt;"&amp;($A12+7))-_xlfn.MINIFS(DatosInformes!$D:$D,DatosInformes!$B:$B,"192.168.50.5",DatosInformes!$A:$A,"&gt;="&amp;$A12,DatosInformes!$A:$A,"&lt;"&amp;($A12+7)))/(_xlfn.MAXIFS(DatosInformes!$A:$A,DatosInformes!$B:$B,"192.168.50.5",DatosInformes!$A:$A,"&gt;="&amp;$A12,DatosInformes!$A:$A,"&lt;"&amp;($A12+7))-_xlfn.MINIFS(DatosInformes!$A:$A,DatosInformes!$B:$B,"192.168.50.5",DatosInformes!$A:$A,"&gt;="&amp;$A12,DatosInformes!$A:$A,"&lt;"&amp;($A12+7))))</f>
        <v>43.9500000000003</v>
      </c>
      <c r="C12" s="19" t="n">
        <f aca="false">IF(COUNTIFS(DatosInformes!$B:$B,"192.168.50.7",DatosInformes!$A:$A,"&gt;="&amp;$A12,DatosInformes!$A:$A,"&lt;"&amp;($A12+7))&lt;2,"",(_xlfn.MAXIFS(DatosInformes!$D:$D,DatosInformes!$B:$B,"192.168.50.7",DatosInformes!$A:$A,"&gt;="&amp;$A12,DatosInformes!$A:$A,"&lt;"&amp;($A12+7))-_xlfn.MINIFS(DatosInformes!$D:$D,DatosInformes!$B:$B,"192.168.50.7",DatosInformes!$A:$A,"&gt;="&amp;$A12,DatosInformes!$A:$A,"&lt;"&amp;($A12+7)))/(_xlfn.MAXIFS(DatosInformes!$A:$A,DatosInformes!$B:$B,"192.168.50.7",DatosInformes!$A:$A,"&gt;="&amp;$A12,DatosInformes!$A:$A,"&lt;"&amp;($A12+7))-_xlfn.MINIFS(DatosInformes!$A:$A,DatosInformes!$B:$B,"192.168.50.7",DatosInformes!$A:$A,"&gt;="&amp;$A12,DatosInformes!$A:$A,"&lt;"&amp;($A12+7))))</f>
        <v>15.7999999999997</v>
      </c>
      <c r="D12" s="19" t="n">
        <f aca="false">IF(COUNTIFS(DatosInformes!$B:$B,"L19",DatosInformes!$A:$A,"&gt;="&amp;$A12,DatosInformes!$A:$A,"&lt;"&amp;($A12+7))&lt;2,"",(_xlfn.MAXIFS(DatosInformes!$D:$D,DatosInformes!$B:$B,"L19",DatosInformes!$A:$A,"&gt;="&amp;$A12,DatosInformes!$A:$A,"&lt;"&amp;($A12+7))-_xlfn.MINIFS(DatosInformes!$D:$D,DatosInformes!$B:$B,"L19",DatosInformes!$A:$A,"&gt;="&amp;$A12,DatosInformes!$A:$A,"&lt;"&amp;($A12+7)))/(_xlfn.MAXIFS(DatosInformes!$A:$A,DatosInformes!$B:$B,"L19",DatosInformes!$A:$A,"&gt;="&amp;$A12,DatosInformes!$A:$A,"&lt;"&amp;($A12+7))-_xlfn.MINIFS(DatosInformes!$A:$A,DatosInformes!$B:$B,"L19",DatosInformes!$A:$A,"&gt;="&amp;$A12,DatosInformes!$A:$A,"&lt;"&amp;($A12+7))))</f>
        <v>63.5</v>
      </c>
      <c r="E12" s="19" t="str">
        <f aca="false">IF(COUNTIFS(DatosInformes!$B:$B,"192.168.50.6",DatosInformes!$A:$A,"&gt;="&amp;$A12,DatosInformes!$A:$A,"&lt;"&amp;($A12+7))&lt;2,"",(_xlfn.MAXIFS(DatosInformes!$D:$D,DatosInformes!$B:$B,"192.168.50.6",DatosInformes!$A:$A,"&gt;="&amp;$A12,DatosInformes!$A:$A,"&lt;"&amp;($A12+7))-_xlfn.MINIFS(DatosInformes!$D:$D,DatosInformes!$B:$B,"192.168.50.6",DatosInformes!$A:$A,"&gt;="&amp;$A12,DatosInformes!$A:$A,"&lt;"&amp;($A12+7)))/(_xlfn.MAXIFS(DatosInformes!$A:$A,DatosInformes!$B:$B,"192.168.50.6",DatosInformes!$A:$A,"&gt;="&amp;$A12,DatosInformes!$A:$A,"&lt;"&amp;($A12+7))-_xlfn.MINIFS(DatosInformes!$A:$A,DatosInformes!$B:$B,"192.168.50.6",DatosInformes!$A:$A,"&gt;="&amp;$A12,DatosInformes!$A:$A,"&lt;"&amp;($A12+7))))</f>
        <v/>
      </c>
      <c r="F12" s="19" t="n">
        <f aca="false">IF(COUNTIFS(DatosInformes!$B:$B,"192.168.50.4",DatosInformes!$A:$A,"&gt;="&amp;$A12,DatosInformes!$A:$A,"&lt;"&amp;($A12+7))&lt;2,"",(_xlfn.MAXIFS(DatosInformes!$D:$D,DatosInformes!$B:$B,"192.168.50.4",DatosInformes!$A:$A,"&gt;="&amp;$A12,DatosInformes!$A:$A,"&lt;"&amp;($A12+7))-_xlfn.MINIFS(DatosInformes!$D:$D,DatosInformes!$B:$B,"192.168.50.4",DatosInformes!$A:$A,"&gt;="&amp;$A12,DatosInformes!$A:$A,"&lt;"&amp;($A12+7)))/(_xlfn.MAXIFS(DatosInformes!$A:$A,DatosInformes!$B:$B,"192.168.50.4",DatosInformes!$A:$A,"&gt;="&amp;$A12,DatosInformes!$A:$A,"&lt;"&amp;($A12+7))-_xlfn.MINIFS(DatosInformes!$A:$A,DatosInformes!$B:$B,"192.168.50.4",DatosInformes!$A:$A,"&gt;="&amp;$A12,DatosInformes!$A:$A,"&lt;"&amp;($A12+7))))</f>
        <v>41.1749999999997</v>
      </c>
      <c r="G12" s="19" t="n">
        <f aca="false">IF(COUNTIFS(DatosInformes!$B:$B,"192.168.1.168",DatosInformes!$A:$A,"&gt;="&amp;$A12,DatosInformes!$A:$A,"&lt;"&amp;($A12+7))&lt;2,"",(_xlfn.MAXIFS(DatosInformes!$D:$D,DatosInformes!$B:$B,"192.168.1.168",DatosInformes!$A:$A,"&gt;="&amp;$A12,DatosInformes!$A:$A,"&lt;"&amp;($A12+7))-_xlfn.MINIFS(DatosInformes!$D:$D,DatosInformes!$B:$B,"192.168.1.168",DatosInformes!$A:$A,"&gt;="&amp;$A12,DatosInformes!$A:$A,"&lt;"&amp;($A12+7)))/(_xlfn.MAXIFS(DatosInformes!$A:$A,DatosInformes!$B:$B,"192.168.1.168",DatosInformes!$A:$A,"&gt;="&amp;$A12,DatosInformes!$A:$A,"&lt;"&amp;($A12+7))-_xlfn.MINIFS(DatosInformes!$A:$A,DatosInformes!$B:$B,"192.168.1.168",DatosInformes!$A:$A,"&gt;="&amp;$A12,DatosInformes!$A:$A,"&lt;"&amp;($A12+7))))</f>
        <v>106.75</v>
      </c>
      <c r="H12" s="19" t="str">
        <f aca="false">IF(COUNTIFS(DatosInformes!$B:$B,"192.168.50.3",DatosInformes!$A:$A,"&gt;="&amp;$A12,DatosInformes!$A:$A,"&lt;"&amp;($A12+7))&lt;2,"",(_xlfn.MAXIFS(DatosInformes!$D:$D,DatosInformes!$B:$B,"192.168.50.3",DatosInformes!$A:$A,"&gt;="&amp;$A12,DatosInformes!$A:$A,"&lt;"&amp;($A12+7))-_xlfn.MINIFS(DatosInformes!$D:$D,DatosInformes!$B:$B,"192.168.50.3",DatosInformes!$A:$A,"&gt;="&amp;$A12,DatosInformes!$A:$A,"&lt;"&amp;($A12+7)))/(_xlfn.MAXIFS(DatosInformes!$A:$A,DatosInformes!$B:$B,"192.168.50.3",DatosInformes!$A:$A,"&gt;="&amp;$A12,DatosInformes!$A:$A,"&lt;"&amp;($A12+7))-_xlfn.MINIFS(DatosInformes!$A:$A,DatosInformes!$B:$B,"192.168.50.3",DatosInformes!$A:$A,"&gt;="&amp;$A12,DatosInformes!$A:$A,"&lt;"&amp;($A12+7))))</f>
        <v/>
      </c>
      <c r="I12" s="28" t="n">
        <f aca="false">IF(COUNT(B12:H12)=0,"",SUM(B12:H12))</f>
        <v>271.175</v>
      </c>
    </row>
    <row r="13" customFormat="false" ht="15" hidden="false" customHeight="false" outlineLevel="0" collapsed="false">
      <c r="A13" s="21" t="n">
        <v>46272</v>
      </c>
      <c r="B13" s="19" t="n">
        <f aca="false">IF(COUNTIFS(DatosInformes!$B:$B,"192.168.50.5",DatosInformes!$A:$A,"&gt;="&amp;$A13,DatosInformes!$A:$A,"&lt;"&amp;($A13+7))&lt;2,"",(_xlfn.MAXIFS(DatosInformes!$D:$D,DatosInformes!$B:$B,"192.168.50.5",DatosInformes!$A:$A,"&gt;="&amp;$A13,DatosInformes!$A:$A,"&lt;"&amp;($A13+7))-_xlfn.MINIFS(DatosInformes!$D:$D,DatosInformes!$B:$B,"192.168.50.5",DatosInformes!$A:$A,"&gt;="&amp;$A13,DatosInformes!$A:$A,"&lt;"&amp;($A13+7)))/(_xlfn.MAXIFS(DatosInformes!$A:$A,DatosInformes!$B:$B,"192.168.50.5",DatosInformes!$A:$A,"&gt;="&amp;$A13,DatosInformes!$A:$A,"&lt;"&amp;($A13+7))-_xlfn.MINIFS(DatosInformes!$A:$A,DatosInformes!$B:$B,"192.168.50.5",DatosInformes!$A:$A,"&gt;="&amp;$A13,DatosInformes!$A:$A,"&lt;"&amp;($A13+7))))</f>
        <v>62.5749999999998</v>
      </c>
      <c r="C13" s="19" t="n">
        <f aca="false">IF(COUNTIFS(DatosInformes!$B:$B,"192.168.50.7",DatosInformes!$A:$A,"&gt;="&amp;$A13,DatosInformes!$A:$A,"&lt;"&amp;($A13+7))&lt;2,"",(_xlfn.MAXIFS(DatosInformes!$D:$D,DatosInformes!$B:$B,"192.168.50.7",DatosInformes!$A:$A,"&gt;="&amp;$A13,DatosInformes!$A:$A,"&lt;"&amp;($A13+7))-_xlfn.MINIFS(DatosInformes!$D:$D,DatosInformes!$B:$B,"192.168.50.7",DatosInformes!$A:$A,"&gt;="&amp;$A13,DatosInformes!$A:$A,"&lt;"&amp;($A13+7)))/(_xlfn.MAXIFS(DatosInformes!$A:$A,DatosInformes!$B:$B,"192.168.50.7",DatosInformes!$A:$A,"&gt;="&amp;$A13,DatosInformes!$A:$A,"&lt;"&amp;($A13+7))-_xlfn.MINIFS(DatosInformes!$A:$A,DatosInformes!$B:$B,"192.168.50.7",DatosInformes!$A:$A,"&gt;="&amp;$A13,DatosInformes!$A:$A,"&lt;"&amp;($A13+7))))</f>
        <v>25.425</v>
      </c>
      <c r="D13" s="19" t="n">
        <f aca="false">IF(COUNTIFS(DatosInformes!$B:$B,"L19",DatosInformes!$A:$A,"&gt;="&amp;$A13,DatosInformes!$A:$A,"&lt;"&amp;($A13+7))&lt;2,"",(_xlfn.MAXIFS(DatosInformes!$D:$D,DatosInformes!$B:$B,"L19",DatosInformes!$A:$A,"&gt;="&amp;$A13,DatosInformes!$A:$A,"&lt;"&amp;($A13+7))-_xlfn.MINIFS(DatosInformes!$D:$D,DatosInformes!$B:$B,"L19",DatosInformes!$A:$A,"&gt;="&amp;$A13,DatosInformes!$A:$A,"&lt;"&amp;($A13+7)))/(_xlfn.MAXIFS(DatosInformes!$A:$A,DatosInformes!$B:$B,"L19",DatosInformes!$A:$A,"&gt;="&amp;$A13,DatosInformes!$A:$A,"&lt;"&amp;($A13+7))-_xlfn.MINIFS(DatosInformes!$A:$A,DatosInformes!$B:$B,"L19",DatosInformes!$A:$A,"&gt;="&amp;$A13,DatosInformes!$A:$A,"&lt;"&amp;($A13+7))))</f>
        <v>66</v>
      </c>
      <c r="E13" s="19" t="str">
        <f aca="false">IF(COUNTIFS(DatosInformes!$B:$B,"192.168.50.6",DatosInformes!$A:$A,"&gt;="&amp;$A13,DatosInformes!$A:$A,"&lt;"&amp;($A13+7))&lt;2,"",(_xlfn.MAXIFS(DatosInformes!$D:$D,DatosInformes!$B:$B,"192.168.50.6",DatosInformes!$A:$A,"&gt;="&amp;$A13,DatosInformes!$A:$A,"&lt;"&amp;($A13+7))-_xlfn.MINIFS(DatosInformes!$D:$D,DatosInformes!$B:$B,"192.168.50.6",DatosInformes!$A:$A,"&gt;="&amp;$A13,DatosInformes!$A:$A,"&lt;"&amp;($A13+7)))/(_xlfn.MAXIFS(DatosInformes!$A:$A,DatosInformes!$B:$B,"192.168.50.6",DatosInformes!$A:$A,"&gt;="&amp;$A13,DatosInformes!$A:$A,"&lt;"&amp;($A13+7))-_xlfn.MINIFS(DatosInformes!$A:$A,DatosInformes!$B:$B,"192.168.50.6",DatosInformes!$A:$A,"&gt;="&amp;$A13,DatosInformes!$A:$A,"&lt;"&amp;($A13+7))))</f>
        <v/>
      </c>
      <c r="F13" s="19" t="n">
        <f aca="false">IF(COUNTIFS(DatosInformes!$B:$B,"192.168.50.4",DatosInformes!$A:$A,"&gt;="&amp;$A13,DatosInformes!$A:$A,"&lt;"&amp;($A13+7))&lt;2,"",(_xlfn.MAXIFS(DatosInformes!$D:$D,DatosInformes!$B:$B,"192.168.50.4",DatosInformes!$A:$A,"&gt;="&amp;$A13,DatosInformes!$A:$A,"&lt;"&amp;($A13+7))-_xlfn.MINIFS(DatosInformes!$D:$D,DatosInformes!$B:$B,"192.168.50.4",DatosInformes!$A:$A,"&gt;="&amp;$A13,DatosInformes!$A:$A,"&lt;"&amp;($A13+7)))/(_xlfn.MAXIFS(DatosInformes!$A:$A,DatosInformes!$B:$B,"192.168.50.4",DatosInformes!$A:$A,"&gt;="&amp;$A13,DatosInformes!$A:$A,"&lt;"&amp;($A13+7))-_xlfn.MINIFS(DatosInformes!$A:$A,DatosInformes!$B:$B,"192.168.50.4",DatosInformes!$A:$A,"&gt;="&amp;$A13,DatosInformes!$A:$A,"&lt;"&amp;($A13+7))))</f>
        <v>58.2250000000004</v>
      </c>
      <c r="G13" s="19" t="n">
        <f aca="false">IF(COUNTIFS(DatosInformes!$B:$B,"192.168.1.168",DatosInformes!$A:$A,"&gt;="&amp;$A13,DatosInformes!$A:$A,"&lt;"&amp;($A13+7))&lt;2,"",(_xlfn.MAXIFS(DatosInformes!$D:$D,DatosInformes!$B:$B,"192.168.1.168",DatosInformes!$A:$A,"&gt;="&amp;$A13,DatosInformes!$A:$A,"&lt;"&amp;($A13+7))-_xlfn.MINIFS(DatosInformes!$D:$D,DatosInformes!$B:$B,"192.168.1.168",DatosInformes!$A:$A,"&gt;="&amp;$A13,DatosInformes!$A:$A,"&lt;"&amp;($A13+7)))/(_xlfn.MAXIFS(DatosInformes!$A:$A,DatosInformes!$B:$B,"192.168.1.168",DatosInformes!$A:$A,"&gt;="&amp;$A13,DatosInformes!$A:$A,"&lt;"&amp;($A13+7))-_xlfn.MINIFS(DatosInformes!$A:$A,DatosInformes!$B:$B,"192.168.1.168",DatosInformes!$A:$A,"&gt;="&amp;$A13,DatosInformes!$A:$A,"&lt;"&amp;($A13+7))))</f>
        <v>92.25</v>
      </c>
      <c r="H13" s="19" t="n">
        <f aca="false">IF(COUNTIFS(DatosInformes!$B:$B,"192.168.50.3",DatosInformes!$A:$A,"&gt;="&amp;$A13,DatosInformes!$A:$A,"&lt;"&amp;($A13+7))&lt;2,"",(_xlfn.MAXIFS(DatosInformes!$D:$D,DatosInformes!$B:$B,"192.168.50.3",DatosInformes!$A:$A,"&gt;="&amp;$A13,DatosInformes!$A:$A,"&lt;"&amp;($A13+7))-_xlfn.MINIFS(DatosInformes!$D:$D,DatosInformes!$B:$B,"192.168.50.3",DatosInformes!$A:$A,"&gt;="&amp;$A13,DatosInformes!$A:$A,"&lt;"&amp;($A13+7)))/(_xlfn.MAXIFS(DatosInformes!$A:$A,DatosInformes!$B:$B,"192.168.50.3",DatosInformes!$A:$A,"&gt;="&amp;$A13,DatosInformes!$A:$A,"&lt;"&amp;($A13+7))-_xlfn.MINIFS(DatosInformes!$A:$A,DatosInformes!$B:$B,"192.168.50.3",DatosInformes!$A:$A,"&gt;="&amp;$A13,DatosInformes!$A:$A,"&lt;"&amp;($A13+7))))</f>
        <v>31.6499999999999</v>
      </c>
      <c r="I13" s="28" t="n">
        <f aca="false">IF(COUNT(B13:H13)=0,"",SUM(B13:H13))</f>
        <v>336.125</v>
      </c>
    </row>
    <row r="14" customFormat="false" ht="15" hidden="false" customHeight="false" outlineLevel="0" collapsed="false">
      <c r="A14" s="21" t="n">
        <v>46279</v>
      </c>
      <c r="B14" s="19" t="str">
        <f aca="false">IF(COUNTIFS(DatosInformes!$B:$B,"192.168.50.5",DatosInformes!$A:$A,"&gt;="&amp;$A14,DatosInformes!$A:$A,"&lt;"&amp;($A14+7))&lt;2,"",(_xlfn.MAXIFS(DatosInformes!$D:$D,DatosInformes!$B:$B,"192.168.50.5",DatosInformes!$A:$A,"&gt;="&amp;$A14,DatosInformes!$A:$A,"&lt;"&amp;($A14+7))-_xlfn.MINIFS(DatosInformes!$D:$D,DatosInformes!$B:$B,"192.168.50.5",DatosInformes!$A:$A,"&gt;="&amp;$A14,DatosInformes!$A:$A,"&lt;"&amp;($A14+7)))/(_xlfn.MAXIFS(DatosInformes!$A:$A,DatosInformes!$B:$B,"192.168.50.5",DatosInformes!$A:$A,"&gt;="&amp;$A14,DatosInformes!$A:$A,"&lt;"&amp;($A14+7))-_xlfn.MINIFS(DatosInformes!$A:$A,DatosInformes!$B:$B,"192.168.50.5",DatosInformes!$A:$A,"&gt;="&amp;$A14,DatosInformes!$A:$A,"&lt;"&amp;($A14+7))))</f>
        <v/>
      </c>
      <c r="C14" s="19" t="str">
        <f aca="false">IF(COUNTIFS(DatosInformes!$B:$B,"192.168.50.7",DatosInformes!$A:$A,"&gt;="&amp;$A14,DatosInformes!$A:$A,"&lt;"&amp;($A14+7))&lt;2,"",(_xlfn.MAXIFS(DatosInformes!$D:$D,DatosInformes!$B:$B,"192.168.50.7",DatosInformes!$A:$A,"&gt;="&amp;$A14,DatosInformes!$A:$A,"&lt;"&amp;($A14+7))-_xlfn.MINIFS(DatosInformes!$D:$D,DatosInformes!$B:$B,"192.168.50.7",DatosInformes!$A:$A,"&gt;="&amp;$A14,DatosInformes!$A:$A,"&lt;"&amp;($A14+7)))/(_xlfn.MAXIFS(DatosInformes!$A:$A,DatosInformes!$B:$B,"192.168.50.7",DatosInformes!$A:$A,"&gt;="&amp;$A14,DatosInformes!$A:$A,"&lt;"&amp;($A14+7))-_xlfn.MINIFS(DatosInformes!$A:$A,DatosInformes!$B:$B,"192.168.50.7",DatosInformes!$A:$A,"&gt;="&amp;$A14,DatosInformes!$A:$A,"&lt;"&amp;($A14+7))))</f>
        <v/>
      </c>
      <c r="D14" s="19" t="str">
        <f aca="false">IF(COUNTIFS(DatosInformes!$B:$B,"L19",DatosInformes!$A:$A,"&gt;="&amp;$A14,DatosInformes!$A:$A,"&lt;"&amp;($A14+7))&lt;2,"",(_xlfn.MAXIFS(DatosInformes!$D:$D,DatosInformes!$B:$B,"L19",DatosInformes!$A:$A,"&gt;="&amp;$A14,DatosInformes!$A:$A,"&lt;"&amp;($A14+7))-_xlfn.MINIFS(DatosInformes!$D:$D,DatosInformes!$B:$B,"L19",DatosInformes!$A:$A,"&gt;="&amp;$A14,DatosInformes!$A:$A,"&lt;"&amp;($A14+7)))/(_xlfn.MAXIFS(DatosInformes!$A:$A,DatosInformes!$B:$B,"L19",DatosInformes!$A:$A,"&gt;="&amp;$A14,DatosInformes!$A:$A,"&lt;"&amp;($A14+7))-_xlfn.MINIFS(DatosInformes!$A:$A,DatosInformes!$B:$B,"L19",DatosInformes!$A:$A,"&gt;="&amp;$A14,DatosInformes!$A:$A,"&lt;"&amp;($A14+7))))</f>
        <v/>
      </c>
      <c r="E14" s="19" t="str">
        <f aca="false">IF(COUNTIFS(DatosInformes!$B:$B,"192.168.50.6",DatosInformes!$A:$A,"&gt;="&amp;$A14,DatosInformes!$A:$A,"&lt;"&amp;($A14+7))&lt;2,"",(_xlfn.MAXIFS(DatosInformes!$D:$D,DatosInformes!$B:$B,"192.168.50.6",DatosInformes!$A:$A,"&gt;="&amp;$A14,DatosInformes!$A:$A,"&lt;"&amp;($A14+7))-_xlfn.MINIFS(DatosInformes!$D:$D,DatosInformes!$B:$B,"192.168.50.6",DatosInformes!$A:$A,"&gt;="&amp;$A14,DatosInformes!$A:$A,"&lt;"&amp;($A14+7)))/(_xlfn.MAXIFS(DatosInformes!$A:$A,DatosInformes!$B:$B,"192.168.50.6",DatosInformes!$A:$A,"&gt;="&amp;$A14,DatosInformes!$A:$A,"&lt;"&amp;($A14+7))-_xlfn.MINIFS(DatosInformes!$A:$A,DatosInformes!$B:$B,"192.168.50.6",DatosInformes!$A:$A,"&gt;="&amp;$A14,DatosInformes!$A:$A,"&lt;"&amp;($A14+7))))</f>
        <v/>
      </c>
      <c r="F14" s="19" t="str">
        <f aca="false">IF(COUNTIFS(DatosInformes!$B:$B,"192.168.50.4",DatosInformes!$A:$A,"&gt;="&amp;$A14,DatosInformes!$A:$A,"&lt;"&amp;($A14+7))&lt;2,"",(_xlfn.MAXIFS(DatosInformes!$D:$D,DatosInformes!$B:$B,"192.168.50.4",DatosInformes!$A:$A,"&gt;="&amp;$A14,DatosInformes!$A:$A,"&lt;"&amp;($A14+7))-_xlfn.MINIFS(DatosInformes!$D:$D,DatosInformes!$B:$B,"192.168.50.4",DatosInformes!$A:$A,"&gt;="&amp;$A14,DatosInformes!$A:$A,"&lt;"&amp;($A14+7)))/(_xlfn.MAXIFS(DatosInformes!$A:$A,DatosInformes!$B:$B,"192.168.50.4",DatosInformes!$A:$A,"&gt;="&amp;$A14,DatosInformes!$A:$A,"&lt;"&amp;($A14+7))-_xlfn.MINIFS(DatosInformes!$A:$A,DatosInformes!$B:$B,"192.168.50.4",DatosInformes!$A:$A,"&gt;="&amp;$A14,DatosInformes!$A:$A,"&lt;"&amp;($A14+7))))</f>
        <v/>
      </c>
      <c r="G14" s="19" t="str">
        <f aca="false">IF(COUNTIFS(DatosInformes!$B:$B,"192.168.1.168",DatosInformes!$A:$A,"&gt;="&amp;$A14,DatosInformes!$A:$A,"&lt;"&amp;($A14+7))&lt;2,"",(_xlfn.MAXIFS(DatosInformes!$D:$D,DatosInformes!$B:$B,"192.168.1.168",DatosInformes!$A:$A,"&gt;="&amp;$A14,DatosInformes!$A:$A,"&lt;"&amp;($A14+7))-_xlfn.MINIFS(DatosInformes!$D:$D,DatosInformes!$B:$B,"192.168.1.168",DatosInformes!$A:$A,"&gt;="&amp;$A14,DatosInformes!$A:$A,"&lt;"&amp;($A14+7)))/(_xlfn.MAXIFS(DatosInformes!$A:$A,DatosInformes!$B:$B,"192.168.1.168",DatosInformes!$A:$A,"&gt;="&amp;$A14,DatosInformes!$A:$A,"&lt;"&amp;($A14+7))-_xlfn.MINIFS(DatosInformes!$A:$A,DatosInformes!$B:$B,"192.168.1.168",DatosInformes!$A:$A,"&gt;="&amp;$A14,DatosInformes!$A:$A,"&lt;"&amp;($A14+7))))</f>
        <v/>
      </c>
      <c r="H14" s="19" t="str">
        <f aca="false">IF(COUNTIFS(DatosInformes!$B:$B,"192.168.50.3",DatosInformes!$A:$A,"&gt;="&amp;$A14,DatosInformes!$A:$A,"&lt;"&amp;($A14+7))&lt;2,"",(_xlfn.MAXIFS(DatosInformes!$D:$D,DatosInformes!$B:$B,"192.168.50.3",DatosInformes!$A:$A,"&gt;="&amp;$A14,DatosInformes!$A:$A,"&lt;"&amp;($A14+7))-_xlfn.MINIFS(DatosInformes!$D:$D,DatosInformes!$B:$B,"192.168.50.3",DatosInformes!$A:$A,"&gt;="&amp;$A14,DatosInformes!$A:$A,"&lt;"&amp;($A14+7)))/(_xlfn.MAXIFS(DatosInformes!$A:$A,DatosInformes!$B:$B,"192.168.50.3",DatosInformes!$A:$A,"&gt;="&amp;$A14,DatosInformes!$A:$A,"&lt;"&amp;($A14+7))-_xlfn.MINIFS(DatosInformes!$A:$A,DatosInformes!$B:$B,"192.168.50.3",DatosInformes!$A:$A,"&gt;="&amp;$A14,DatosInformes!$A:$A,"&lt;"&amp;($A14+7))))</f>
        <v/>
      </c>
      <c r="I14" s="28" t="str">
        <f aca="false">IF(COUNT(B14:H14)=0,"",SUM(B14:H14))</f>
        <v/>
      </c>
    </row>
    <row r="15" customFormat="false" ht="15" hidden="false" customHeight="false" outlineLevel="0" collapsed="false">
      <c r="A15" s="21" t="n">
        <v>46286</v>
      </c>
      <c r="B15" s="19" t="n">
        <f aca="false">IF(COUNTIFS(DatosInformes!$B:$B,"192.168.50.5",DatosInformes!$A:$A,"&gt;="&amp;$A15,DatosInformes!$A:$A,"&lt;"&amp;($A15+7))&lt;2,"",(_xlfn.MAXIFS(DatosInformes!$D:$D,DatosInformes!$B:$B,"192.168.50.5",DatosInformes!$A:$A,"&gt;="&amp;$A15,DatosInformes!$A:$A,"&lt;"&amp;($A15+7))-_xlfn.MINIFS(DatosInformes!$D:$D,DatosInformes!$B:$B,"192.168.50.5",DatosInformes!$A:$A,"&gt;="&amp;$A15,DatosInformes!$A:$A,"&lt;"&amp;($A15+7)))/(_xlfn.MAXIFS(DatosInformes!$A:$A,DatosInformes!$B:$B,"192.168.50.5",DatosInformes!$A:$A,"&gt;="&amp;$A15,DatosInformes!$A:$A,"&lt;"&amp;($A15+7))-_xlfn.MINIFS(DatosInformes!$A:$A,DatosInformes!$B:$B,"192.168.50.5",DatosInformes!$A:$A,"&gt;="&amp;$A15,DatosInformes!$A:$A,"&lt;"&amp;($A15+7))))</f>
        <v>59.9250000000002</v>
      </c>
      <c r="C15" s="19" t="n">
        <f aca="false">IF(COUNTIFS(DatosInformes!$B:$B,"192.168.50.7",DatosInformes!$A:$A,"&gt;="&amp;$A15,DatosInformes!$A:$A,"&lt;"&amp;($A15+7))&lt;2,"",(_xlfn.MAXIFS(DatosInformes!$D:$D,DatosInformes!$B:$B,"192.168.50.7",DatosInformes!$A:$A,"&gt;="&amp;$A15,DatosInformes!$A:$A,"&lt;"&amp;($A15+7))-_xlfn.MINIFS(DatosInformes!$D:$D,DatosInformes!$B:$B,"192.168.50.7",DatosInformes!$A:$A,"&gt;="&amp;$A15,DatosInformes!$A:$A,"&lt;"&amp;($A15+7)))/(_xlfn.MAXIFS(DatosInformes!$A:$A,DatosInformes!$B:$B,"192.168.50.7",DatosInformes!$A:$A,"&gt;="&amp;$A15,DatosInformes!$A:$A,"&lt;"&amp;($A15+7))-_xlfn.MINIFS(DatosInformes!$A:$A,DatosInformes!$B:$B,"192.168.50.7",DatosInformes!$A:$A,"&gt;="&amp;$A15,DatosInformes!$A:$A,"&lt;"&amp;($A15+7))))</f>
        <v>36.7750000000001</v>
      </c>
      <c r="D15" s="19" t="n">
        <f aca="false">IF(COUNTIFS(DatosInformes!$B:$B,"L19",DatosInformes!$A:$A,"&gt;="&amp;$A15,DatosInformes!$A:$A,"&lt;"&amp;($A15+7))&lt;2,"",(_xlfn.MAXIFS(DatosInformes!$D:$D,DatosInformes!$B:$B,"L19",DatosInformes!$A:$A,"&gt;="&amp;$A15,DatosInformes!$A:$A,"&lt;"&amp;($A15+7))-_xlfn.MINIFS(DatosInformes!$D:$D,DatosInformes!$B:$B,"L19",DatosInformes!$A:$A,"&gt;="&amp;$A15,DatosInformes!$A:$A,"&lt;"&amp;($A15+7)))/(_xlfn.MAXIFS(DatosInformes!$A:$A,DatosInformes!$B:$B,"L19",DatosInformes!$A:$A,"&gt;="&amp;$A15,DatosInformes!$A:$A,"&lt;"&amp;($A15+7))-_xlfn.MINIFS(DatosInformes!$A:$A,DatosInformes!$B:$B,"L19",DatosInformes!$A:$A,"&gt;="&amp;$A15,DatosInformes!$A:$A,"&lt;"&amp;($A15+7))))</f>
        <v>86.75</v>
      </c>
      <c r="E15" s="19" t="str">
        <f aca="false">IF(COUNTIFS(DatosInformes!$B:$B,"192.168.50.6",DatosInformes!$A:$A,"&gt;="&amp;$A15,DatosInformes!$A:$A,"&lt;"&amp;($A15+7))&lt;2,"",(_xlfn.MAXIFS(DatosInformes!$D:$D,DatosInformes!$B:$B,"192.168.50.6",DatosInformes!$A:$A,"&gt;="&amp;$A15,DatosInformes!$A:$A,"&lt;"&amp;($A15+7))-_xlfn.MINIFS(DatosInformes!$D:$D,DatosInformes!$B:$B,"192.168.50.6",DatosInformes!$A:$A,"&gt;="&amp;$A15,DatosInformes!$A:$A,"&lt;"&amp;($A15+7)))/(_xlfn.MAXIFS(DatosInformes!$A:$A,DatosInformes!$B:$B,"192.168.50.6",DatosInformes!$A:$A,"&gt;="&amp;$A15,DatosInformes!$A:$A,"&lt;"&amp;($A15+7))-_xlfn.MINIFS(DatosInformes!$A:$A,DatosInformes!$B:$B,"192.168.50.6",DatosInformes!$A:$A,"&gt;="&amp;$A15,DatosInformes!$A:$A,"&lt;"&amp;($A15+7))))</f>
        <v/>
      </c>
      <c r="F15" s="19" t="n">
        <f aca="false">IF(COUNTIFS(DatosInformes!$B:$B,"192.168.50.4",DatosInformes!$A:$A,"&gt;="&amp;$A15,DatosInformes!$A:$A,"&lt;"&amp;($A15+7))&lt;2,"",(_xlfn.MAXIFS(DatosInformes!$D:$D,DatosInformes!$B:$B,"192.168.50.4",DatosInformes!$A:$A,"&gt;="&amp;$A15,DatosInformes!$A:$A,"&lt;"&amp;($A15+7))-_xlfn.MINIFS(DatosInformes!$D:$D,DatosInformes!$B:$B,"192.168.50.4",DatosInformes!$A:$A,"&gt;="&amp;$A15,DatosInformes!$A:$A,"&lt;"&amp;($A15+7)))/(_xlfn.MAXIFS(DatosInformes!$A:$A,DatosInformes!$B:$B,"192.168.50.4",DatosInformes!$A:$A,"&gt;="&amp;$A15,DatosInformes!$A:$A,"&lt;"&amp;($A15+7))-_xlfn.MINIFS(DatosInformes!$A:$A,DatosInformes!$B:$B,"192.168.50.4",DatosInformes!$A:$A,"&gt;="&amp;$A15,DatosInformes!$A:$A,"&lt;"&amp;($A15+7))))</f>
        <v>44.3000000000002</v>
      </c>
      <c r="G15" s="19" t="n">
        <f aca="false">IF(COUNTIFS(DatosInformes!$B:$B,"192.168.1.168",DatosInformes!$A:$A,"&gt;="&amp;$A15,DatosInformes!$A:$A,"&lt;"&amp;($A15+7))&lt;2,"",(_xlfn.MAXIFS(DatosInformes!$D:$D,DatosInformes!$B:$B,"192.168.1.168",DatosInformes!$A:$A,"&gt;="&amp;$A15,DatosInformes!$A:$A,"&lt;"&amp;($A15+7))-_xlfn.MINIFS(DatosInformes!$D:$D,DatosInformes!$B:$B,"192.168.1.168",DatosInformes!$A:$A,"&gt;="&amp;$A15,DatosInformes!$A:$A,"&lt;"&amp;($A15+7)))/(_xlfn.MAXIFS(DatosInformes!$A:$A,DatosInformes!$B:$B,"192.168.1.168",DatosInformes!$A:$A,"&gt;="&amp;$A15,DatosInformes!$A:$A,"&lt;"&amp;($A15+7))-_xlfn.MINIFS(DatosInformes!$A:$A,DatosInformes!$B:$B,"192.168.1.168",DatosInformes!$A:$A,"&gt;="&amp;$A15,DatosInformes!$A:$A,"&lt;"&amp;($A15+7))))</f>
        <v>169</v>
      </c>
      <c r="H15" s="19" t="n">
        <f aca="false">IF(COUNTIFS(DatosInformes!$B:$B,"192.168.50.3",DatosInformes!$A:$A,"&gt;="&amp;$A15,DatosInformes!$A:$A,"&lt;"&amp;($A15+7))&lt;2,"",(_xlfn.MAXIFS(DatosInformes!$D:$D,DatosInformes!$B:$B,"192.168.50.3",DatosInformes!$A:$A,"&gt;="&amp;$A15,DatosInformes!$A:$A,"&lt;"&amp;($A15+7))-_xlfn.MINIFS(DatosInformes!$D:$D,DatosInformes!$B:$B,"192.168.50.3",DatosInformes!$A:$A,"&gt;="&amp;$A15,DatosInformes!$A:$A,"&lt;"&amp;($A15+7)))/(_xlfn.MAXIFS(DatosInformes!$A:$A,DatosInformes!$B:$B,"192.168.50.3",DatosInformes!$A:$A,"&gt;="&amp;$A15,DatosInformes!$A:$A,"&lt;"&amp;($A15+7))-_xlfn.MINIFS(DatosInformes!$A:$A,DatosInformes!$B:$B,"192.168.50.3",DatosInformes!$A:$A,"&gt;="&amp;$A15,DatosInformes!$A:$A,"&lt;"&amp;($A15+7))))</f>
        <v>46.25</v>
      </c>
      <c r="I15" s="28" t="n">
        <f aca="false">IF(COUNT(B15:H15)=0,"",SUM(B15:H15))</f>
        <v>443</v>
      </c>
    </row>
    <row r="16" customFormat="false" ht="15" hidden="false" customHeight="false" outlineLevel="0" collapsed="false">
      <c r="A16" s="21" t="n">
        <v>46293</v>
      </c>
      <c r="B16" s="19" t="n">
        <f aca="false">IF(COUNTIFS(DatosInformes!$B:$B,"192.168.50.5",DatosInformes!$A:$A,"&gt;="&amp;$A16,DatosInformes!$A:$A,"&lt;"&amp;($A16+7))&lt;2,"",(_xlfn.MAXIFS(DatosInformes!$D:$D,DatosInformes!$B:$B,"192.168.50.5",DatosInformes!$A:$A,"&gt;="&amp;$A16,DatosInformes!$A:$A,"&lt;"&amp;($A16+7))-_xlfn.MINIFS(DatosInformes!$D:$D,DatosInformes!$B:$B,"192.168.50.5",DatosInformes!$A:$A,"&gt;="&amp;$A16,DatosInformes!$A:$A,"&lt;"&amp;($A16+7)))/(_xlfn.MAXIFS(DatosInformes!$A:$A,DatosInformes!$B:$B,"192.168.50.5",DatosInformes!$A:$A,"&gt;="&amp;$A16,DatosInformes!$A:$A,"&lt;"&amp;($A16+7))-_xlfn.MINIFS(DatosInformes!$A:$A,DatosInformes!$B:$B,"192.168.50.5",DatosInformes!$A:$A,"&gt;="&amp;$A16,DatosInformes!$A:$A,"&lt;"&amp;($A16+7))))</f>
        <v>3.46900000000096</v>
      </c>
      <c r="C16" s="19" t="n">
        <f aca="false">IF(COUNTIFS(DatosInformes!$B:$B,"192.168.50.7",DatosInformes!$A:$A,"&gt;="&amp;$A16,DatosInformes!$A:$A,"&lt;"&amp;($A16+7))&lt;2,"",(_xlfn.MAXIFS(DatosInformes!$D:$D,DatosInformes!$B:$B,"192.168.50.7",DatosInformes!$A:$A,"&gt;="&amp;$A16,DatosInformes!$A:$A,"&lt;"&amp;($A16+7))-_xlfn.MINIFS(DatosInformes!$D:$D,DatosInformes!$B:$B,"192.168.50.7",DatosInformes!$A:$A,"&gt;="&amp;$A16,DatosInformes!$A:$A,"&lt;"&amp;($A16+7)))/(_xlfn.MAXIFS(DatosInformes!$A:$A,DatosInformes!$B:$B,"192.168.50.7",DatosInformes!$A:$A,"&gt;="&amp;$A16,DatosInformes!$A:$A,"&lt;"&amp;($A16+7))-_xlfn.MINIFS(DatosInformes!$A:$A,DatosInformes!$B:$B,"192.168.50.7",DatosInformes!$A:$A,"&gt;="&amp;$A16,DatosInformes!$A:$A,"&lt;"&amp;($A16+7))))</f>
        <v>62.6210000000001</v>
      </c>
      <c r="D16" s="19" t="str">
        <f aca="false">IF(COUNTIFS(DatosInformes!$B:$B,"L19",DatosInformes!$A:$A,"&gt;="&amp;$A16,DatosInformes!$A:$A,"&lt;"&amp;($A16+7))&lt;2,"",(_xlfn.MAXIFS(DatosInformes!$D:$D,DatosInformes!$B:$B,"L19",DatosInformes!$A:$A,"&gt;="&amp;$A16,DatosInformes!$A:$A,"&lt;"&amp;($A16+7))-_xlfn.MINIFS(DatosInformes!$D:$D,DatosInformes!$B:$B,"L19",DatosInformes!$A:$A,"&gt;="&amp;$A16,DatosInformes!$A:$A,"&lt;"&amp;($A16+7)))/(_xlfn.MAXIFS(DatosInformes!$A:$A,DatosInformes!$B:$B,"L19",DatosInformes!$A:$A,"&gt;="&amp;$A16,DatosInformes!$A:$A,"&lt;"&amp;($A16+7))-_xlfn.MINIFS(DatosInformes!$A:$A,DatosInformes!$B:$B,"L19",DatosInformes!$A:$A,"&gt;="&amp;$A16,DatosInformes!$A:$A,"&lt;"&amp;($A16+7))))</f>
        <v/>
      </c>
      <c r="E16" s="19" t="n">
        <f aca="false">IF(COUNTIFS(DatosInformes!$B:$B,"192.168.50.6",DatosInformes!$A:$A,"&gt;="&amp;$A16,DatosInformes!$A:$A,"&lt;"&amp;($A16+7))&lt;2,"",(_xlfn.MAXIFS(DatosInformes!$D:$D,DatosInformes!$B:$B,"192.168.50.6",DatosInformes!$A:$A,"&gt;="&amp;$A16,DatosInformes!$A:$A,"&lt;"&amp;($A16+7))-_xlfn.MINIFS(DatosInformes!$D:$D,DatosInformes!$B:$B,"192.168.50.6",DatosInformes!$A:$A,"&gt;="&amp;$A16,DatosInformes!$A:$A,"&lt;"&amp;($A16+7)))/(_xlfn.MAXIFS(DatosInformes!$A:$A,DatosInformes!$B:$B,"192.168.50.6",DatosInformes!$A:$A,"&gt;="&amp;$A16,DatosInformes!$A:$A,"&lt;"&amp;($A16+7))-_xlfn.MINIFS(DatosInformes!$A:$A,DatosInformes!$B:$B,"192.168.50.6",DatosInformes!$A:$A,"&gt;="&amp;$A16,DatosInformes!$A:$A,"&lt;"&amp;($A16+7))))</f>
        <v>64.4789999999994</v>
      </c>
      <c r="F16" s="19" t="str">
        <f aca="false">IF(COUNTIFS(DatosInformes!$B:$B,"192.168.50.4",DatosInformes!$A:$A,"&gt;="&amp;$A16,DatosInformes!$A:$A,"&lt;"&amp;($A16+7))&lt;2,"",(_xlfn.MAXIFS(DatosInformes!$D:$D,DatosInformes!$B:$B,"192.168.50.4",DatosInformes!$A:$A,"&gt;="&amp;$A16,DatosInformes!$A:$A,"&lt;"&amp;($A16+7))-_xlfn.MINIFS(DatosInformes!$D:$D,DatosInformes!$B:$B,"192.168.50.4",DatosInformes!$A:$A,"&gt;="&amp;$A16,DatosInformes!$A:$A,"&lt;"&amp;($A16+7)))/(_xlfn.MAXIFS(DatosInformes!$A:$A,DatosInformes!$B:$B,"192.168.50.4",DatosInformes!$A:$A,"&gt;="&amp;$A16,DatosInformes!$A:$A,"&lt;"&amp;($A16+7))-_xlfn.MINIFS(DatosInformes!$A:$A,DatosInformes!$B:$B,"192.168.50.4",DatosInformes!$A:$A,"&gt;="&amp;$A16,DatosInformes!$A:$A,"&lt;"&amp;($A16+7))))</f>
        <v/>
      </c>
      <c r="G16" s="19" t="n">
        <f aca="false">IF(COUNTIFS(DatosInformes!$B:$B,"192.168.1.168",DatosInformes!$A:$A,"&gt;="&amp;$A16,DatosInformes!$A:$A,"&lt;"&amp;($A16+7))&lt;2,"",(_xlfn.MAXIFS(DatosInformes!$D:$D,DatosInformes!$B:$B,"192.168.1.168",DatosInformes!$A:$A,"&gt;="&amp;$A16,DatosInformes!$A:$A,"&lt;"&amp;($A16+7))-_xlfn.MINIFS(DatosInformes!$D:$D,DatosInformes!$B:$B,"192.168.1.168",DatosInformes!$A:$A,"&gt;="&amp;$A16,DatosInformes!$A:$A,"&lt;"&amp;($A16+7)))/(_xlfn.MAXIFS(DatosInformes!$A:$A,DatosInformes!$B:$B,"192.168.1.168",DatosInformes!$A:$A,"&gt;="&amp;$A16,DatosInformes!$A:$A,"&lt;"&amp;($A16+7))-_xlfn.MINIFS(DatosInformes!$A:$A,DatosInformes!$B:$B,"192.168.1.168",DatosInformes!$A:$A,"&gt;="&amp;$A16,DatosInformes!$A:$A,"&lt;"&amp;($A16+7))))</f>
        <v>105.423999999999</v>
      </c>
      <c r="H16" s="19" t="n">
        <f aca="false">IF(COUNTIFS(DatosInformes!$B:$B,"192.168.50.3",DatosInformes!$A:$A,"&gt;="&amp;$A16,DatosInformes!$A:$A,"&lt;"&amp;($A16+7))&lt;2,"",(_xlfn.MAXIFS(DatosInformes!$D:$D,DatosInformes!$B:$B,"192.168.50.3",DatosInformes!$A:$A,"&gt;="&amp;$A16,DatosInformes!$A:$A,"&lt;"&amp;($A16+7))-_xlfn.MINIFS(DatosInformes!$D:$D,DatosInformes!$B:$B,"192.168.50.3",DatosInformes!$A:$A,"&gt;="&amp;$A16,DatosInformes!$A:$A,"&lt;"&amp;($A16+7)))/(_xlfn.MAXIFS(DatosInformes!$A:$A,DatosInformes!$B:$B,"192.168.50.3",DatosInformes!$A:$A,"&gt;="&amp;$A16,DatosInformes!$A:$A,"&lt;"&amp;($A16+7))-_xlfn.MINIFS(DatosInformes!$A:$A,DatosInformes!$B:$B,"192.168.50.3",DatosInformes!$A:$A,"&gt;="&amp;$A16,DatosInformes!$A:$A,"&lt;"&amp;($A16+7))))</f>
        <v>46.5229999999992</v>
      </c>
      <c r="I16" s="28" t="n">
        <f aca="false">IF(COUNT(B16:H16)=0,"",SUM(B16:H16))</f>
        <v>282.515999999999</v>
      </c>
    </row>
    <row r="17" customFormat="false" ht="15" hidden="false" customHeight="false" outlineLevel="0" collapsed="false">
      <c r="A17" s="21" t="n">
        <v>46300</v>
      </c>
      <c r="B17" s="19" t="n">
        <f aca="false">IF(COUNTIFS(DatosInformes!$B:$B,"192.168.50.5",DatosInformes!$A:$A,"&gt;="&amp;$A17,DatosInformes!$A:$A,"&lt;"&amp;($A17+7))&lt;2,"",(_xlfn.MAXIFS(DatosInformes!$D:$D,DatosInformes!$B:$B,"192.168.50.5",DatosInformes!$A:$A,"&gt;="&amp;$A17,DatosInformes!$A:$A,"&lt;"&amp;($A17+7))-_xlfn.MINIFS(DatosInformes!$D:$D,DatosInformes!$B:$B,"192.168.50.5",DatosInformes!$A:$A,"&gt;="&amp;$A17,DatosInformes!$A:$A,"&lt;"&amp;($A17+7)))/(_xlfn.MAXIFS(DatosInformes!$A:$A,DatosInformes!$B:$B,"192.168.50.5",DatosInformes!$A:$A,"&gt;="&amp;$A17,DatosInformes!$A:$A,"&lt;"&amp;($A17+7))-_xlfn.MINIFS(DatosInformes!$A:$A,DatosInformes!$B:$B,"192.168.50.5",DatosInformes!$A:$A,"&gt;="&amp;$A17,DatosInformes!$A:$A,"&lt;"&amp;($A17+7))))</f>
        <v>53.7835000000005</v>
      </c>
      <c r="C17" s="19" t="n">
        <f aca="false">IF(COUNTIFS(DatosInformes!$B:$B,"192.168.50.7",DatosInformes!$A:$A,"&gt;="&amp;$A17,DatosInformes!$A:$A,"&lt;"&amp;($A17+7))&lt;2,"",(_xlfn.MAXIFS(DatosInformes!$D:$D,DatosInformes!$B:$B,"192.168.50.7",DatosInformes!$A:$A,"&gt;="&amp;$A17,DatosInformes!$A:$A,"&lt;"&amp;($A17+7))-_xlfn.MINIFS(DatosInformes!$D:$D,DatosInformes!$B:$B,"192.168.50.7",DatosInformes!$A:$A,"&gt;="&amp;$A17,DatosInformes!$A:$A,"&lt;"&amp;($A17+7)))/(_xlfn.MAXIFS(DatosInformes!$A:$A,DatosInformes!$B:$B,"192.168.50.7",DatosInformes!$A:$A,"&gt;="&amp;$A17,DatosInformes!$A:$A,"&lt;"&amp;($A17+7))-_xlfn.MINIFS(DatosInformes!$A:$A,DatosInformes!$B:$B,"192.168.50.7",DatosInformes!$A:$A,"&gt;="&amp;$A17,DatosInformes!$A:$A,"&lt;"&amp;($A17+7))))</f>
        <v>2.60950000000003</v>
      </c>
      <c r="D17" s="19" t="str">
        <f aca="false">IF(COUNTIFS(DatosInformes!$B:$B,"L19",DatosInformes!$A:$A,"&gt;="&amp;$A17,DatosInformes!$A:$A,"&lt;"&amp;($A17+7))&lt;2,"",(_xlfn.MAXIFS(DatosInformes!$D:$D,DatosInformes!$B:$B,"L19",DatosInformes!$A:$A,"&gt;="&amp;$A17,DatosInformes!$A:$A,"&lt;"&amp;($A17+7))-_xlfn.MINIFS(DatosInformes!$D:$D,DatosInformes!$B:$B,"L19",DatosInformes!$A:$A,"&gt;="&amp;$A17,DatosInformes!$A:$A,"&lt;"&amp;($A17+7)))/(_xlfn.MAXIFS(DatosInformes!$A:$A,DatosInformes!$B:$B,"L19",DatosInformes!$A:$A,"&gt;="&amp;$A17,DatosInformes!$A:$A,"&lt;"&amp;($A17+7))-_xlfn.MINIFS(DatosInformes!$A:$A,DatosInformes!$B:$B,"L19",DatosInformes!$A:$A,"&gt;="&amp;$A17,DatosInformes!$A:$A,"&lt;"&amp;($A17+7))))</f>
        <v/>
      </c>
      <c r="E17" s="19" t="n">
        <f aca="false">IF(COUNTIFS(DatosInformes!$B:$B,"192.168.50.6",DatosInformes!$A:$A,"&gt;="&amp;$A17,DatosInformes!$A:$A,"&lt;"&amp;($A17+7))&lt;2,"",(_xlfn.MAXIFS(DatosInformes!$D:$D,DatosInformes!$B:$B,"192.168.50.6",DatosInformes!$A:$A,"&gt;="&amp;$A17,DatosInformes!$A:$A,"&lt;"&amp;($A17+7))-_xlfn.MINIFS(DatosInformes!$D:$D,DatosInformes!$B:$B,"192.168.50.6",DatosInformes!$A:$A,"&gt;="&amp;$A17,DatosInformes!$A:$A,"&lt;"&amp;($A17+7)))/(_xlfn.MAXIFS(DatosInformes!$A:$A,DatosInformes!$B:$B,"192.168.50.6",DatosInformes!$A:$A,"&gt;="&amp;$A17,DatosInformes!$A:$A,"&lt;"&amp;($A17+7))-_xlfn.MINIFS(DatosInformes!$A:$A,DatosInformes!$B:$B,"192.168.50.6",DatosInformes!$A:$A,"&gt;="&amp;$A17,DatosInformes!$A:$A,"&lt;"&amp;($A17+7))))</f>
        <v>38.4849999999997</v>
      </c>
      <c r="F17" s="19" t="n">
        <f aca="false">IF(COUNTIFS(DatosInformes!$B:$B,"192.168.50.4",DatosInformes!$A:$A,"&gt;="&amp;$A17,DatosInformes!$A:$A,"&lt;"&amp;($A17+7))&lt;2,"",(_xlfn.MAXIFS(DatosInformes!$D:$D,DatosInformes!$B:$B,"192.168.50.4",DatosInformes!$A:$A,"&gt;="&amp;$A17,DatosInformes!$A:$A,"&lt;"&amp;($A17+7))-_xlfn.MINIFS(DatosInformes!$D:$D,DatosInformes!$B:$B,"192.168.50.4",DatosInformes!$A:$A,"&gt;="&amp;$A17,DatosInformes!$A:$A,"&lt;"&amp;($A17+7)))/(_xlfn.MAXIFS(DatosInformes!$A:$A,DatosInformes!$B:$B,"192.168.50.4",DatosInformes!$A:$A,"&gt;="&amp;$A17,DatosInformes!$A:$A,"&lt;"&amp;($A17+7))-_xlfn.MINIFS(DatosInformes!$A:$A,DatosInformes!$B:$B,"192.168.50.4",DatosInformes!$A:$A,"&gt;="&amp;$A17,DatosInformes!$A:$A,"&lt;"&amp;($A17+7))))</f>
        <v>41.8200000000006</v>
      </c>
      <c r="G17" s="19" t="n">
        <f aca="false">IF(COUNTIFS(DatosInformes!$B:$B,"192.168.1.168",DatosInformes!$A:$A,"&gt;="&amp;$A17,DatosInformes!$A:$A,"&lt;"&amp;($A17+7))&lt;2,"",(_xlfn.MAXIFS(DatosInformes!$D:$D,DatosInformes!$B:$B,"192.168.1.168",DatosInformes!$A:$A,"&gt;="&amp;$A17,DatosInformes!$A:$A,"&lt;"&amp;($A17+7))-_xlfn.MINIFS(DatosInformes!$D:$D,DatosInformes!$B:$B,"192.168.1.168",DatosInformes!$A:$A,"&gt;="&amp;$A17,DatosInformes!$A:$A,"&lt;"&amp;($A17+7)))/(_xlfn.MAXIFS(DatosInformes!$A:$A,DatosInformes!$B:$B,"192.168.1.168",DatosInformes!$A:$A,"&gt;="&amp;$A17,DatosInformes!$A:$A,"&lt;"&amp;($A17+7))-_xlfn.MINIFS(DatosInformes!$A:$A,DatosInformes!$B:$B,"192.168.1.168",DatosInformes!$A:$A,"&gt;="&amp;$A17,DatosInformes!$A:$A,"&lt;"&amp;($A17+7))))</f>
        <v>107.781000000003</v>
      </c>
      <c r="H17" s="19" t="n">
        <f aca="false">IF(COUNTIFS(DatosInformes!$B:$B,"192.168.50.3",DatosInformes!$A:$A,"&gt;="&amp;$A17,DatosInformes!$A:$A,"&lt;"&amp;($A17+7))&lt;2,"",(_xlfn.MAXIFS(DatosInformes!$D:$D,DatosInformes!$B:$B,"192.168.50.3",DatosInformes!$A:$A,"&gt;="&amp;$A17,DatosInformes!$A:$A,"&lt;"&amp;($A17+7))-_xlfn.MINIFS(DatosInformes!$D:$D,DatosInformes!$B:$B,"192.168.50.3",DatosInformes!$A:$A,"&gt;="&amp;$A17,DatosInformes!$A:$A,"&lt;"&amp;($A17+7)))/(_xlfn.MAXIFS(DatosInformes!$A:$A,DatosInformes!$B:$B,"192.168.50.3",DatosInformes!$A:$A,"&gt;="&amp;$A17,DatosInformes!$A:$A,"&lt;"&amp;($A17+7))-_xlfn.MINIFS(DatosInformes!$A:$A,DatosInformes!$B:$B,"192.168.50.3",DatosInformes!$A:$A,"&gt;="&amp;$A17,DatosInformes!$A:$A,"&lt;"&amp;($A17+7))))</f>
        <v>41.6260000000002</v>
      </c>
      <c r="I17" s="28" t="n">
        <f aca="false">IF(COUNT(B17:H17)=0,"",SUM(B17:H17))</f>
        <v>286.105000000004</v>
      </c>
    </row>
    <row r="18" customFormat="false" ht="15" hidden="false" customHeight="false" outlineLevel="0" collapsed="false">
      <c r="A18" s="2" t="s">
        <v>382</v>
      </c>
    </row>
    <row r="20" customFormat="false" ht="15" hidden="false" customHeight="false" outlineLevel="0" collapsed="false">
      <c r="A20" s="34" t="s">
        <v>383</v>
      </c>
    </row>
    <row r="21" customFormat="false" ht="15" hidden="false" customHeight="false" outlineLevel="0" collapsed="false">
      <c r="A21" s="3" t="s">
        <v>384</v>
      </c>
      <c r="B21" s="39" t="n">
        <v>46217</v>
      </c>
      <c r="C21" s="3" t="s">
        <v>385</v>
      </c>
      <c r="D21" s="39" t="n">
        <v>46239</v>
      </c>
      <c r="F21" s="2" t="s">
        <v>386</v>
      </c>
    </row>
    <row r="23" customFormat="false" ht="15" hidden="false" customHeight="false" outlineLevel="0" collapsed="false">
      <c r="A23" s="10" t="s">
        <v>11</v>
      </c>
      <c r="B23" s="10" t="s">
        <v>17</v>
      </c>
      <c r="C23" s="10" t="s">
        <v>387</v>
      </c>
      <c r="D23" s="10" t="s">
        <v>388</v>
      </c>
    </row>
    <row r="24" customFormat="false" ht="15" hidden="false" customHeight="false" outlineLevel="0" collapsed="false">
      <c r="A24" s="11" t="s">
        <v>186</v>
      </c>
      <c r="B24" s="19" t="n">
        <f aca="false">IF(OR(COUNTIFS(DatosInformes!$B:$B,"192.168.50.5",DatosInformes!$A:$A,$B$21)=0,COUNTIFS(DatosInformes!$B:$B,"192.168.50.5",DatosInformes!$A:$A,$D$21)=0),"",SUMIFS(DatosInformes!$D:$D,DatosInformes!$B:$B,"192.168.50.5",DatosInformes!$A:$A,$D$21)-SUMIFS(DatosInformes!$D:$D,DatosInformes!$B:$B,"192.168.50.5",DatosInformes!$A:$A,$B$21))</f>
        <v>704.3</v>
      </c>
      <c r="C24" s="31" t="n">
        <f aca="false">SUMIFS(DatosProd!$D:$D,DatosProd!$B:$B,"L14",DatosProd!$A:$A,"&gt;="&amp;$B$21,DatosProd!$A:$A,"&lt;"&amp;$D$21)</f>
        <v>193995.148</v>
      </c>
      <c r="D24" s="40" t="n">
        <f aca="false">IF(OR(B24="",NOT(ISNUMBER(C24))),"",IF(C24&gt;0,B24/C24*1000,""))</f>
        <v>3.63050317114117</v>
      </c>
    </row>
    <row r="25" customFormat="false" ht="15" hidden="false" customHeight="false" outlineLevel="0" collapsed="false">
      <c r="A25" s="11" t="s">
        <v>188</v>
      </c>
      <c r="B25" s="19" t="n">
        <f aca="false">IF(OR(COUNTIFS(DatosInformes!$B:$B,"192.168.50.7",DatosInformes!$A:$A,$B$21)=0,COUNTIFS(DatosInformes!$B:$B,"192.168.50.7",DatosInformes!$A:$A,$D$21)=0),"",SUMIFS(DatosInformes!$D:$D,DatosInformes!$B:$B,"192.168.50.7",DatosInformes!$A:$A,$D$21)-SUMIFS(DatosInformes!$D:$D,DatosInformes!$B:$B,"192.168.50.7",DatosInformes!$A:$A,$B$21))</f>
        <v>253.3</v>
      </c>
      <c r="C25" s="31" t="n">
        <f aca="false">SUMIFS(DatosProd!$D:$D,DatosProd!$B:$B,"L16",DatosProd!$A:$A,"&gt;="&amp;$B$21,DatosProd!$A:$A,"&lt;"&amp;$D$21)</f>
        <v>13930.7</v>
      </c>
      <c r="D25" s="40" t="n">
        <f aca="false">IF(OR(B25="",NOT(ISNUMBER(C25))),"",IF(C25&gt;0,B25/C25*1000,""))</f>
        <v>18.1828623112981</v>
      </c>
    </row>
    <row r="26" customFormat="false" ht="15" hidden="false" customHeight="false" outlineLevel="0" collapsed="false">
      <c r="A26" s="11" t="s">
        <v>375</v>
      </c>
      <c r="B26" s="19" t="n">
        <f aca="false">IF(OR(COUNTIFS(DatosInformes!$B:$B,"L19",DatosInformes!$A:$A,$B$21)=0,COUNTIFS(DatosInformes!$B:$B,"L19",DatosInformes!$A:$A,$D$21)=0),"",SUMIFS(DatosInformes!$D:$D,DatosInformes!$B:$B,"L19",DatosInformes!$A:$A,$D$21)-SUMIFS(DatosInformes!$D:$D,DatosInformes!$B:$B,"L19",DatosInformes!$A:$A,$B$21))</f>
        <v>1057</v>
      </c>
      <c r="C26" s="31" t="n">
        <f aca="false">SUMIFS(DatosProd!$D:$D,DatosProd!$B:$B,"L19",DatosProd!$A:$A,"&gt;="&amp;$B$21,DatosProd!$A:$A,"&lt;"&amp;$D$21)</f>
        <v>314712.243</v>
      </c>
      <c r="D26" s="40" t="n">
        <f aca="false">IF(OR(B26="",NOT(ISNUMBER(C26))),"",IF(C26&gt;0,B26/C26*1000,""))</f>
        <v>3.35862370629159</v>
      </c>
    </row>
    <row r="27" customFormat="false" ht="15" hidden="false" customHeight="false" outlineLevel="0" collapsed="false">
      <c r="A27" s="11" t="s">
        <v>187</v>
      </c>
      <c r="B27" s="19" t="str">
        <f aca="false">IF(OR(COUNTIFS(DatosInformes!$B:$B,"192.168.50.6",DatosInformes!$A:$A,$B$21)=0,COUNTIFS(DatosInformes!$B:$B,"192.168.50.6",DatosInformes!$A:$A,$D$21)=0),"",SUMIFS(DatosInformes!$D:$D,DatosInformes!$B:$B,"192.168.50.6",DatosInformes!$A:$A,$D$21)-SUMIFS(DatosInformes!$D:$D,DatosInformes!$B:$B,"192.168.50.6",DatosInformes!$A:$A,$B$21))</f>
        <v/>
      </c>
      <c r="C27" s="31" t="n">
        <f aca="false">SUMIFS(DatosProd!$D:$D,DatosProd!$B:$B,"L20",DatosProd!$A:$A,"&gt;="&amp;$B$21,DatosProd!$A:$A,"&lt;"&amp;$D$21)</f>
        <v>143467.852</v>
      </c>
      <c r="D27" s="40" t="str">
        <f aca="false">IF(OR(B27="",NOT(ISNUMBER(C27))),"",IF(C27&gt;0,B27/C27*1000,""))</f>
        <v/>
      </c>
    </row>
    <row r="28" customFormat="false" ht="15" hidden="false" customHeight="false" outlineLevel="0" collapsed="false">
      <c r="A28" s="11" t="s">
        <v>380</v>
      </c>
      <c r="B28" s="19" t="n">
        <f aca="false">IF(OR(COUNTIFS(DatosInformes!$B:$B,"192.168.50.4",DatosInformes!$A:$A,$B$21)=0,COUNTIFS(DatosInformes!$B:$B,"192.168.50.4",DatosInformes!$A:$A,$D$21)=0),"",SUMIFS(DatosInformes!$D:$D,DatosInformes!$B:$B,"192.168.50.4",DatosInformes!$A:$A,$D$21)-SUMIFS(DatosInformes!$D:$D,DatosInformes!$B:$B,"192.168.50.4",DatosInformes!$A:$A,$B$21))</f>
        <v>487.400000000001</v>
      </c>
      <c r="C28" s="31" t="n">
        <f aca="false">SUMIFS(DatosProd!$D:$D,DatosProd!$B:$B,"L18",DatosProd!$A:$A,"&gt;="&amp;$B$21,DatosProd!$A:$A,"&lt;"&amp;$D$21)</f>
        <v>38332.096</v>
      </c>
      <c r="D28" s="40" t="n">
        <f aca="false">IF(OR(B28="",NOT(ISNUMBER(C28))),"",IF(C28&gt;0,B28/C28*1000,""))</f>
        <v>12.7151930330134</v>
      </c>
    </row>
    <row r="29" customFormat="false" ht="15" hidden="false" customHeight="false" outlineLevel="0" collapsed="false">
      <c r="A29" s="11" t="s">
        <v>189</v>
      </c>
      <c r="B29" s="19" t="n">
        <f aca="false">IF(OR(COUNTIFS(DatosInformes!$B:$B,"192.168.1.168",DatosInformes!$A:$A,$B$21)=0,COUNTIFS(DatosInformes!$B:$B,"192.168.1.168",DatosInformes!$A:$A,$D$21)=0),"",SUMIFS(DatosInformes!$D:$D,DatosInformes!$B:$B,"192.168.1.168",DatosInformes!$A:$A,$D$21)-SUMIFS(DatosInformes!$D:$D,DatosInformes!$B:$B,"192.168.1.168",DatosInformes!$A:$A,$B$21))</f>
        <v>1536</v>
      </c>
      <c r="C29" s="31" t="n">
        <f aca="false">SUMIFS(DatosProd!$D:$D,DatosProd!$B:$B,"L22",DatosProd!$A:$A,"&gt;="&amp;$B$21,DatosProd!$A:$A,"&lt;"&amp;$D$21)</f>
        <v>197648.001</v>
      </c>
      <c r="D29" s="40" t="n">
        <f aca="false">IF(OR(B29="",NOT(ISNUMBER(C29))),"",IF(C29&gt;0,B29/C29*1000,""))</f>
        <v>7.77139152548272</v>
      </c>
    </row>
    <row r="30" customFormat="false" ht="15" hidden="false" customHeight="false" outlineLevel="0" collapsed="false">
      <c r="A30" s="11" t="s">
        <v>181</v>
      </c>
      <c r="B30" s="19" t="n">
        <f aca="false">IF(OR(COUNTIFS(DatosInformes!$B:$B,"192.168.50.3",DatosInformes!$A:$A,$B$21)=0,COUNTIFS(DatosInformes!$B:$B,"192.168.50.3",DatosInformes!$A:$A,$D$21)=0),"",SUMIFS(DatosInformes!$D:$D,DatosInformes!$B:$B,"192.168.50.3",DatosInformes!$A:$A,$D$21)-SUMIFS(DatosInformes!$D:$D,DatosInformes!$B:$B,"192.168.50.3",DatosInformes!$A:$A,$B$21))</f>
        <v>896.4</v>
      </c>
      <c r="C30" s="31" t="s">
        <v>389</v>
      </c>
      <c r="D30" s="40" t="str">
        <f aca="false">IF(OR(B30="",NOT(ISNUMBER(C30))),"",IF(C30&gt;0,B30/C30*1000,""))</f>
        <v/>
      </c>
    </row>
    <row r="31" customFormat="false" ht="15" hidden="false" customHeight="false" outlineLevel="0" collapsed="false">
      <c r="A31" s="2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23.85" hidden="false" customHeight="false" outlineLevel="0" collapsed="false">
      <c r="A1" s="10" t="s">
        <v>39</v>
      </c>
      <c r="B1" s="10" t="s">
        <v>391</v>
      </c>
      <c r="C1" s="10" t="s">
        <v>17</v>
      </c>
      <c r="D1" s="10" t="s">
        <v>310</v>
      </c>
      <c r="E1" s="10" t="s">
        <v>392</v>
      </c>
      <c r="F1" s="10" t="s">
        <v>393</v>
      </c>
      <c r="G1" s="10" t="s">
        <v>302</v>
      </c>
      <c r="H1" s="10" t="s">
        <v>311</v>
      </c>
      <c r="J1" s="2" t="s">
        <v>394</v>
      </c>
    </row>
    <row r="2" customFormat="false" ht="15" hidden="false" customHeight="false" outlineLevel="0" collapsed="false">
      <c r="A2" s="21" t="n">
        <v>46216</v>
      </c>
      <c r="B2" s="22" t="n">
        <v>0</v>
      </c>
      <c r="C2" s="25" t="n">
        <v>58.32</v>
      </c>
      <c r="D2" s="25" t="n">
        <v>25.92</v>
      </c>
      <c r="E2" s="25"/>
      <c r="F2" s="22" t="n">
        <f aca="false">WEEKDAY(A2,2)</f>
        <v>1</v>
      </c>
      <c r="G2" s="22" t="str">
        <f aca="false">IF(F2=7,IF(B2&gt;=23,"C","Sin turno"),IF(B2&lt;7,"C",IF(B2&lt;14,"A",IF(B2&lt;21,"B",IF(B2&lt;23,"Entre turnos",IF(F2=6,"Sin turno","C"))))))</f>
        <v>C</v>
      </c>
      <c r="H2" s="25" t="n">
        <f aca="false">IF(D2="","",MAX(0,D2-0.5*C2))</f>
        <v>0</v>
      </c>
      <c r="J2" s="2" t="s">
        <v>395</v>
      </c>
    </row>
    <row r="3" customFormat="false" ht="15" hidden="false" customHeight="false" outlineLevel="0" collapsed="false">
      <c r="A3" s="21" t="n">
        <v>46216</v>
      </c>
      <c r="B3" s="22" t="n">
        <v>1</v>
      </c>
      <c r="C3" s="25" t="n">
        <v>65.64</v>
      </c>
      <c r="D3" s="25" t="n">
        <v>19.68</v>
      </c>
      <c r="E3" s="25"/>
      <c r="F3" s="22" t="n">
        <f aca="false">WEEKDAY(A3,2)</f>
        <v>1</v>
      </c>
      <c r="G3" s="22" t="str">
        <f aca="false">IF(F3=7,IF(B3&gt;=23,"C","Sin turno"),IF(B3&lt;7,"C",IF(B3&lt;14,"A",IF(B3&lt;21,"B",IF(B3&lt;23,"Entre turnos",IF(F3=6,"Sin turno","C"))))))</f>
        <v>C</v>
      </c>
      <c r="H3" s="25" t="n">
        <f aca="false">IF(D3="","",MAX(0,D3-0.5*C3))</f>
        <v>0</v>
      </c>
    </row>
    <row r="4" customFormat="false" ht="15" hidden="false" customHeight="false" outlineLevel="0" collapsed="false">
      <c r="A4" s="21" t="n">
        <v>46216</v>
      </c>
      <c r="B4" s="22" t="n">
        <v>2</v>
      </c>
      <c r="C4" s="25" t="n">
        <v>91.56</v>
      </c>
      <c r="D4" s="25" t="n">
        <v>13.8</v>
      </c>
      <c r="E4" s="25"/>
      <c r="F4" s="22" t="n">
        <f aca="false">WEEKDAY(A4,2)</f>
        <v>1</v>
      </c>
      <c r="G4" s="22" t="str">
        <f aca="false">IF(F4=7,IF(B4&gt;=23,"C","Sin turno"),IF(B4&lt;7,"C",IF(B4&lt;14,"A",IF(B4&lt;21,"B",IF(B4&lt;23,"Entre turnos",IF(F4=6,"Sin turno","C"))))))</f>
        <v>C</v>
      </c>
      <c r="H4" s="25" t="n">
        <f aca="false">IF(D4="","",MAX(0,D4-0.5*C4))</f>
        <v>0</v>
      </c>
    </row>
    <row r="5" customFormat="false" ht="15" hidden="false" customHeight="false" outlineLevel="0" collapsed="false">
      <c r="A5" s="21" t="n">
        <v>46216</v>
      </c>
      <c r="B5" s="22" t="n">
        <v>3</v>
      </c>
      <c r="C5" s="25" t="n">
        <v>83.4</v>
      </c>
      <c r="D5" s="25" t="n">
        <v>13.08</v>
      </c>
      <c r="E5" s="25"/>
      <c r="F5" s="22" t="n">
        <f aca="false">WEEKDAY(A5,2)</f>
        <v>1</v>
      </c>
      <c r="G5" s="22" t="str">
        <f aca="false">IF(F5=7,IF(B5&gt;=23,"C","Sin turno"),IF(B5&lt;7,"C",IF(B5&lt;14,"A",IF(B5&lt;21,"B",IF(B5&lt;23,"Entre turnos",IF(F5=6,"Sin turno","C"))))))</f>
        <v>C</v>
      </c>
      <c r="H5" s="25" t="n">
        <f aca="false">IF(D5="","",MAX(0,D5-0.5*C5))</f>
        <v>0</v>
      </c>
    </row>
    <row r="6" customFormat="false" ht="15" hidden="false" customHeight="false" outlineLevel="0" collapsed="false">
      <c r="A6" s="21" t="n">
        <v>46216</v>
      </c>
      <c r="B6" s="22" t="n">
        <v>4</v>
      </c>
      <c r="C6" s="25" t="n">
        <v>85.56</v>
      </c>
      <c r="D6" s="25" t="n">
        <v>13.2</v>
      </c>
      <c r="E6" s="25"/>
      <c r="F6" s="22" t="n">
        <f aca="false">WEEKDAY(A6,2)</f>
        <v>1</v>
      </c>
      <c r="G6" s="22" t="str">
        <f aca="false">IF(F6=7,IF(B6&gt;=23,"C","Sin turno"),IF(B6&lt;7,"C",IF(B6&lt;14,"A",IF(B6&lt;21,"B",IF(B6&lt;23,"Entre turnos",IF(F6=6,"Sin turno","C"))))))</f>
        <v>C</v>
      </c>
      <c r="H6" s="25" t="n">
        <f aca="false">IF(D6="","",MAX(0,D6-0.5*C6))</f>
        <v>0</v>
      </c>
    </row>
    <row r="7" customFormat="false" ht="15" hidden="false" customHeight="false" outlineLevel="0" collapsed="false">
      <c r="A7" s="21" t="n">
        <v>46216</v>
      </c>
      <c r="B7" s="22" t="n">
        <v>5</v>
      </c>
      <c r="C7" s="25" t="n">
        <v>89.64</v>
      </c>
      <c r="D7" s="25" t="n">
        <v>13.56</v>
      </c>
      <c r="E7" s="25"/>
      <c r="F7" s="22" t="n">
        <f aca="false">WEEKDAY(A7,2)</f>
        <v>1</v>
      </c>
      <c r="G7" s="22" t="str">
        <f aca="false">IF(F7=7,IF(B7&gt;=23,"C","Sin turno"),IF(B7&lt;7,"C",IF(B7&lt;14,"A",IF(B7&lt;21,"B",IF(B7&lt;23,"Entre turnos",IF(F7=6,"Sin turno","C"))))))</f>
        <v>C</v>
      </c>
      <c r="H7" s="25" t="n">
        <f aca="false">IF(D7="","",MAX(0,D7-0.5*C7))</f>
        <v>0</v>
      </c>
    </row>
    <row r="8" customFormat="false" ht="15" hidden="false" customHeight="false" outlineLevel="0" collapsed="false">
      <c r="A8" s="21" t="n">
        <v>46216</v>
      </c>
      <c r="B8" s="22" t="n">
        <v>6</v>
      </c>
      <c r="C8" s="25" t="n">
        <v>78</v>
      </c>
      <c r="D8" s="25" t="n">
        <v>15.6</v>
      </c>
      <c r="E8" s="25"/>
      <c r="F8" s="22" t="n">
        <f aca="false">WEEKDAY(A8,2)</f>
        <v>1</v>
      </c>
      <c r="G8" s="22" t="str">
        <f aca="false">IF(F8=7,IF(B8&gt;=23,"C","Sin turno"),IF(B8&lt;7,"C",IF(B8&lt;14,"A",IF(B8&lt;21,"B",IF(B8&lt;23,"Entre turnos",IF(F8=6,"Sin turno","C"))))))</f>
        <v>C</v>
      </c>
      <c r="H8" s="25" t="n">
        <f aca="false">IF(D8="","",MAX(0,D8-0.5*C8))</f>
        <v>0</v>
      </c>
    </row>
    <row r="9" customFormat="false" ht="15" hidden="false" customHeight="false" outlineLevel="0" collapsed="false">
      <c r="A9" s="21" t="n">
        <v>46216</v>
      </c>
      <c r="B9" s="22" t="n">
        <v>7</v>
      </c>
      <c r="C9" s="25" t="n">
        <v>71.28</v>
      </c>
      <c r="D9" s="25" t="n">
        <v>16.2</v>
      </c>
      <c r="E9" s="25"/>
      <c r="F9" s="22" t="n">
        <f aca="false">WEEKDAY(A9,2)</f>
        <v>1</v>
      </c>
      <c r="G9" s="22" t="str">
        <f aca="false">IF(F9=7,IF(B9&gt;=23,"C","Sin turno"),IF(B9&lt;7,"C",IF(B9&lt;14,"A",IF(B9&lt;21,"B",IF(B9&lt;23,"Entre turnos",IF(F9=6,"Sin turno","C"))))))</f>
        <v>A</v>
      </c>
      <c r="H9" s="25" t="n">
        <f aca="false">IF(D9="","",MAX(0,D9-0.5*C9))</f>
        <v>0</v>
      </c>
    </row>
    <row r="10" customFormat="false" ht="15" hidden="false" customHeight="false" outlineLevel="0" collapsed="false">
      <c r="A10" s="21" t="n">
        <v>46216</v>
      </c>
      <c r="B10" s="22" t="n">
        <v>8</v>
      </c>
      <c r="C10" s="25" t="n">
        <v>50.16</v>
      </c>
      <c r="D10" s="25" t="n">
        <v>15.48</v>
      </c>
      <c r="E10" s="25"/>
      <c r="F10" s="22" t="n">
        <f aca="false">WEEKDAY(A10,2)</f>
        <v>1</v>
      </c>
      <c r="G10" s="22" t="str">
        <f aca="false">IF(F10=7,IF(B10&gt;=23,"C","Sin turno"),IF(B10&lt;7,"C",IF(B10&lt;14,"A",IF(B10&lt;21,"B",IF(B10&lt;23,"Entre turnos",IF(F10=6,"Sin turno","C"))))))</f>
        <v>A</v>
      </c>
      <c r="H10" s="25" t="n">
        <f aca="false">IF(D10="","",MAX(0,D10-0.5*C10))</f>
        <v>0</v>
      </c>
    </row>
    <row r="11" customFormat="false" ht="15" hidden="false" customHeight="false" outlineLevel="0" collapsed="false">
      <c r="A11" s="21" t="n">
        <v>46216</v>
      </c>
      <c r="B11" s="22" t="n">
        <v>9</v>
      </c>
      <c r="C11" s="25" t="n">
        <v>32.76</v>
      </c>
      <c r="D11" s="25" t="n">
        <v>15.84</v>
      </c>
      <c r="E11" s="25"/>
      <c r="F11" s="22" t="n">
        <f aca="false">WEEKDAY(A11,2)</f>
        <v>1</v>
      </c>
      <c r="G11" s="22" t="str">
        <f aca="false">IF(F11=7,IF(B11&gt;=23,"C","Sin turno"),IF(B11&lt;7,"C",IF(B11&lt;14,"A",IF(B11&lt;21,"B",IF(B11&lt;23,"Entre turnos",IF(F11=6,"Sin turno","C"))))))</f>
        <v>A</v>
      </c>
      <c r="H11" s="25" t="n">
        <f aca="false">IF(D11="","",MAX(0,D11-0.5*C11))</f>
        <v>0</v>
      </c>
    </row>
    <row r="12" customFormat="false" ht="15" hidden="false" customHeight="false" outlineLevel="0" collapsed="false">
      <c r="A12" s="21" t="n">
        <v>46216</v>
      </c>
      <c r="B12" s="22" t="n">
        <v>10</v>
      </c>
      <c r="C12" s="25" t="n">
        <v>9.96</v>
      </c>
      <c r="D12" s="25" t="n">
        <v>16.92</v>
      </c>
      <c r="E12" s="25"/>
      <c r="F12" s="22" t="n">
        <f aca="false">WEEKDAY(A12,2)</f>
        <v>1</v>
      </c>
      <c r="G12" s="22" t="str">
        <f aca="false">IF(F12=7,IF(B12&gt;=23,"C","Sin turno"),IF(B12&lt;7,"C",IF(B12&lt;14,"A",IF(B12&lt;21,"B",IF(B12&lt;23,"Entre turnos",IF(F12=6,"Sin turno","C"))))))</f>
        <v>A</v>
      </c>
      <c r="H12" s="25" t="n">
        <f aca="false">IF(D12="","",MAX(0,D12-0.5*C12))</f>
        <v>11.94</v>
      </c>
    </row>
    <row r="13" customFormat="false" ht="15" hidden="false" customHeight="false" outlineLevel="0" collapsed="false">
      <c r="A13" s="21" t="n">
        <v>46216</v>
      </c>
      <c r="B13" s="22" t="n">
        <v>11</v>
      </c>
      <c r="C13" s="25" t="n">
        <v>9.12</v>
      </c>
      <c r="D13" s="25" t="n">
        <v>17.16</v>
      </c>
      <c r="E13" s="25"/>
      <c r="F13" s="22" t="n">
        <f aca="false">WEEKDAY(A13,2)</f>
        <v>1</v>
      </c>
      <c r="G13" s="22" t="str">
        <f aca="false">IF(F13=7,IF(B13&gt;=23,"C","Sin turno"),IF(B13&lt;7,"C",IF(B13&lt;14,"A",IF(B13&lt;21,"B",IF(B13&lt;23,"Entre turnos",IF(F13=6,"Sin turno","C"))))))</f>
        <v>A</v>
      </c>
      <c r="H13" s="25" t="n">
        <f aca="false">IF(D13="","",MAX(0,D13-0.5*C13))</f>
        <v>12.6</v>
      </c>
    </row>
    <row r="14" customFormat="false" ht="15" hidden="false" customHeight="false" outlineLevel="0" collapsed="false">
      <c r="A14" s="21" t="n">
        <v>46216</v>
      </c>
      <c r="B14" s="22" t="n">
        <v>12</v>
      </c>
      <c r="C14" s="25" t="n">
        <v>1.2</v>
      </c>
      <c r="D14" s="25" t="n">
        <v>17.52</v>
      </c>
      <c r="E14" s="25"/>
      <c r="F14" s="22" t="n">
        <f aca="false">WEEKDAY(A14,2)</f>
        <v>1</v>
      </c>
      <c r="G14" s="22" t="str">
        <f aca="false">IF(F14=7,IF(B14&gt;=23,"C","Sin turno"),IF(B14&lt;7,"C",IF(B14&lt;14,"A",IF(B14&lt;21,"B",IF(B14&lt;23,"Entre turnos",IF(F14=6,"Sin turno","C"))))))</f>
        <v>A</v>
      </c>
      <c r="H14" s="25" t="n">
        <f aca="false">IF(D14="","",MAX(0,D14-0.5*C14))</f>
        <v>16.92</v>
      </c>
    </row>
    <row r="15" customFormat="false" ht="15" hidden="false" customHeight="false" outlineLevel="0" collapsed="false">
      <c r="A15" s="21" t="n">
        <v>46216</v>
      </c>
      <c r="B15" s="22" t="n">
        <v>13</v>
      </c>
      <c r="C15" s="25" t="n">
        <v>29.76</v>
      </c>
      <c r="D15" s="25" t="n">
        <v>17.28</v>
      </c>
      <c r="E15" s="25"/>
      <c r="F15" s="22" t="n">
        <f aca="false">WEEKDAY(A15,2)</f>
        <v>1</v>
      </c>
      <c r="G15" s="22" t="str">
        <f aca="false">IF(F15=7,IF(B15&gt;=23,"C","Sin turno"),IF(B15&lt;7,"C",IF(B15&lt;14,"A",IF(B15&lt;21,"B",IF(B15&lt;23,"Entre turnos",IF(F15=6,"Sin turno","C"))))))</f>
        <v>A</v>
      </c>
      <c r="H15" s="25" t="n">
        <f aca="false">IF(D15="","",MAX(0,D15-0.5*C15))</f>
        <v>2.4</v>
      </c>
    </row>
    <row r="16" customFormat="false" ht="15" hidden="false" customHeight="false" outlineLevel="0" collapsed="false">
      <c r="A16" s="21" t="n">
        <v>46216</v>
      </c>
      <c r="B16" s="22" t="n">
        <v>14</v>
      </c>
      <c r="C16" s="25" t="n">
        <v>23.88</v>
      </c>
      <c r="D16" s="25" t="n">
        <v>16.92</v>
      </c>
      <c r="E16" s="25"/>
      <c r="F16" s="22" t="n">
        <f aca="false">WEEKDAY(A16,2)</f>
        <v>1</v>
      </c>
      <c r="G16" s="22" t="str">
        <f aca="false">IF(F16=7,IF(B16&gt;=23,"C","Sin turno"),IF(B16&lt;7,"C",IF(B16&lt;14,"A",IF(B16&lt;21,"B",IF(B16&lt;23,"Entre turnos",IF(F16=6,"Sin turno","C"))))))</f>
        <v>B</v>
      </c>
      <c r="H16" s="25" t="n">
        <f aca="false">IF(D16="","",MAX(0,D16-0.5*C16))</f>
        <v>4.98</v>
      </c>
    </row>
    <row r="17" customFormat="false" ht="15" hidden="false" customHeight="false" outlineLevel="0" collapsed="false">
      <c r="A17" s="21" t="n">
        <v>46216</v>
      </c>
      <c r="B17" s="22" t="n">
        <v>15</v>
      </c>
      <c r="C17" s="25" t="n">
        <v>60.96</v>
      </c>
      <c r="D17" s="25" t="n">
        <v>16.44</v>
      </c>
      <c r="E17" s="25"/>
      <c r="F17" s="22" t="n">
        <f aca="false">WEEKDAY(A17,2)</f>
        <v>1</v>
      </c>
      <c r="G17" s="22" t="str">
        <f aca="false">IF(F17=7,IF(B17&gt;=23,"C","Sin turno"),IF(B17&lt;7,"C",IF(B17&lt;14,"A",IF(B17&lt;21,"B",IF(B17&lt;23,"Entre turnos",IF(F17=6,"Sin turno","C"))))))</f>
        <v>B</v>
      </c>
      <c r="H17" s="25" t="n">
        <f aca="false">IF(D17="","",MAX(0,D17-0.5*C17))</f>
        <v>0</v>
      </c>
    </row>
    <row r="18" customFormat="false" ht="15" hidden="false" customHeight="false" outlineLevel="0" collapsed="false">
      <c r="A18" s="21" t="n">
        <v>46216</v>
      </c>
      <c r="B18" s="22" t="n">
        <v>16</v>
      </c>
      <c r="C18" s="25" t="n">
        <v>64.8</v>
      </c>
      <c r="D18" s="25" t="n">
        <v>16.92</v>
      </c>
      <c r="E18" s="25"/>
      <c r="F18" s="22" t="n">
        <f aca="false">WEEKDAY(A18,2)</f>
        <v>1</v>
      </c>
      <c r="G18" s="22" t="str">
        <f aca="false">IF(F18=7,IF(B18&gt;=23,"C","Sin turno"),IF(B18&lt;7,"C",IF(B18&lt;14,"A",IF(B18&lt;21,"B",IF(B18&lt;23,"Entre turnos",IF(F18=6,"Sin turno","C"))))))</f>
        <v>B</v>
      </c>
      <c r="H18" s="25" t="n">
        <f aca="false">IF(D18="","",MAX(0,D18-0.5*C18))</f>
        <v>0</v>
      </c>
    </row>
    <row r="19" customFormat="false" ht="15" hidden="false" customHeight="false" outlineLevel="0" collapsed="false">
      <c r="A19" s="21" t="n">
        <v>46216</v>
      </c>
      <c r="B19" s="22" t="n">
        <v>17</v>
      </c>
      <c r="C19" s="25" t="n">
        <v>51.12</v>
      </c>
      <c r="D19" s="25" t="n">
        <v>28.56</v>
      </c>
      <c r="E19" s="25"/>
      <c r="F19" s="22" t="n">
        <f aca="false">WEEKDAY(A19,2)</f>
        <v>1</v>
      </c>
      <c r="G19" s="22" t="str">
        <f aca="false">IF(F19=7,IF(B19&gt;=23,"C","Sin turno"),IF(B19&lt;7,"C",IF(B19&lt;14,"A",IF(B19&lt;21,"B",IF(B19&lt;23,"Entre turnos",IF(F19=6,"Sin turno","C"))))))</f>
        <v>B</v>
      </c>
      <c r="H19" s="25" t="n">
        <f aca="false">IF(D19="","",MAX(0,D19-0.5*C19))</f>
        <v>3</v>
      </c>
    </row>
    <row r="20" customFormat="false" ht="15" hidden="false" customHeight="false" outlineLevel="0" collapsed="false">
      <c r="A20" s="21" t="n">
        <v>46216</v>
      </c>
      <c r="B20" s="22" t="n">
        <v>18</v>
      </c>
      <c r="C20" s="25" t="n">
        <v>56.76</v>
      </c>
      <c r="D20" s="25" t="n">
        <v>27.48</v>
      </c>
      <c r="E20" s="25"/>
      <c r="F20" s="22" t="n">
        <f aca="false">WEEKDAY(A20,2)</f>
        <v>1</v>
      </c>
      <c r="G20" s="22" t="str">
        <f aca="false">IF(F20=7,IF(B20&gt;=23,"C","Sin turno"),IF(B20&lt;7,"C",IF(B20&lt;14,"A",IF(B20&lt;21,"B",IF(B20&lt;23,"Entre turnos",IF(F20=6,"Sin turno","C"))))))</f>
        <v>B</v>
      </c>
      <c r="H20" s="25" t="n">
        <f aca="false">IF(D20="","",MAX(0,D20-0.5*C20))</f>
        <v>0</v>
      </c>
    </row>
    <row r="21" customFormat="false" ht="15" hidden="false" customHeight="false" outlineLevel="0" collapsed="false">
      <c r="A21" s="21" t="n">
        <v>46216</v>
      </c>
      <c r="B21" s="22" t="n">
        <v>19</v>
      </c>
      <c r="C21" s="25" t="n">
        <v>59.88</v>
      </c>
      <c r="D21" s="25" t="n">
        <v>25.32</v>
      </c>
      <c r="E21" s="25"/>
      <c r="F21" s="22" t="n">
        <f aca="false">WEEKDAY(A21,2)</f>
        <v>1</v>
      </c>
      <c r="G21" s="22" t="str">
        <f aca="false">IF(F21=7,IF(B21&gt;=23,"C","Sin turno"),IF(B21&lt;7,"C",IF(B21&lt;14,"A",IF(B21&lt;21,"B",IF(B21&lt;23,"Entre turnos",IF(F21=6,"Sin turno","C"))))))</f>
        <v>B</v>
      </c>
      <c r="H21" s="25" t="n">
        <f aca="false">IF(D21="","",MAX(0,D21-0.5*C21))</f>
        <v>0</v>
      </c>
    </row>
    <row r="22" customFormat="false" ht="15" hidden="false" customHeight="false" outlineLevel="0" collapsed="false">
      <c r="A22" s="21" t="n">
        <v>46216</v>
      </c>
      <c r="B22" s="22" t="n">
        <v>20</v>
      </c>
      <c r="C22" s="25" t="n">
        <v>61.8</v>
      </c>
      <c r="D22" s="25" t="n">
        <v>25.8</v>
      </c>
      <c r="E22" s="25"/>
      <c r="F22" s="22" t="n">
        <f aca="false">WEEKDAY(A22,2)</f>
        <v>1</v>
      </c>
      <c r="G22" s="22" t="str">
        <f aca="false">IF(F22=7,IF(B22&gt;=23,"C","Sin turno"),IF(B22&lt;7,"C",IF(B22&lt;14,"A",IF(B22&lt;21,"B",IF(B22&lt;23,"Entre turnos",IF(F22=6,"Sin turno","C"))))))</f>
        <v>B</v>
      </c>
      <c r="H22" s="25" t="n">
        <f aca="false">IF(D22="","",MAX(0,D22-0.5*C22))</f>
        <v>0</v>
      </c>
    </row>
    <row r="23" customFormat="false" ht="15" hidden="false" customHeight="false" outlineLevel="0" collapsed="false">
      <c r="A23" s="21" t="n">
        <v>46216</v>
      </c>
      <c r="B23" s="22" t="n">
        <v>21</v>
      </c>
      <c r="C23" s="25" t="n">
        <v>56.04</v>
      </c>
      <c r="D23" s="25" t="n">
        <v>26.04</v>
      </c>
      <c r="E23" s="25"/>
      <c r="F23" s="22" t="n">
        <f aca="false">WEEKDAY(A23,2)</f>
        <v>1</v>
      </c>
      <c r="G23" s="22" t="str">
        <f aca="false">IF(F23=7,IF(B23&gt;=23,"C","Sin turno"),IF(B23&lt;7,"C",IF(B23&lt;14,"A",IF(B23&lt;21,"B",IF(B23&lt;23,"Entre turnos",IF(F23=6,"Sin turno","C"))))))</f>
        <v>Entre turnos</v>
      </c>
      <c r="H23" s="25" t="n">
        <f aca="false">IF(D23="","",MAX(0,D23-0.5*C23))</f>
        <v>0</v>
      </c>
    </row>
    <row r="24" customFormat="false" ht="15" hidden="false" customHeight="false" outlineLevel="0" collapsed="false">
      <c r="A24" s="21" t="n">
        <v>46216</v>
      </c>
      <c r="B24" s="22" t="n">
        <v>22</v>
      </c>
      <c r="C24" s="25" t="n">
        <v>64.68</v>
      </c>
      <c r="D24" s="25" t="n">
        <v>27.48</v>
      </c>
      <c r="E24" s="25"/>
      <c r="F24" s="22" t="n">
        <f aca="false">WEEKDAY(A24,2)</f>
        <v>1</v>
      </c>
      <c r="G24" s="22" t="str">
        <f aca="false">IF(F24=7,IF(B24&gt;=23,"C","Sin turno"),IF(B24&lt;7,"C",IF(B24&lt;14,"A",IF(B24&lt;21,"B",IF(B24&lt;23,"Entre turnos",IF(F24=6,"Sin turno","C"))))))</f>
        <v>Entre turnos</v>
      </c>
      <c r="H24" s="25" t="n">
        <f aca="false">IF(D24="","",MAX(0,D24-0.5*C24))</f>
        <v>0</v>
      </c>
    </row>
    <row r="25" customFormat="false" ht="15" hidden="false" customHeight="false" outlineLevel="0" collapsed="false">
      <c r="A25" s="21" t="n">
        <v>46216</v>
      </c>
      <c r="B25" s="22" t="n">
        <v>23</v>
      </c>
      <c r="C25" s="25" t="n">
        <v>98.28</v>
      </c>
      <c r="D25" s="25" t="n">
        <v>24.84</v>
      </c>
      <c r="E25" s="25"/>
      <c r="F25" s="22" t="n">
        <f aca="false">WEEKDAY(A25,2)</f>
        <v>1</v>
      </c>
      <c r="G25" s="22" t="str">
        <f aca="false">IF(F25=7,IF(B25&gt;=23,"C","Sin turno"),IF(B25&lt;7,"C",IF(B25&lt;14,"A",IF(B25&lt;21,"B",IF(B25&lt;23,"Entre turnos",IF(F25=6,"Sin turno","C"))))))</f>
        <v>C</v>
      </c>
      <c r="H25" s="25" t="n">
        <f aca="false">IF(D25="","",MAX(0,D25-0.5*C25))</f>
        <v>0</v>
      </c>
    </row>
    <row r="26" customFormat="false" ht="15" hidden="false" customHeight="false" outlineLevel="0" collapsed="false">
      <c r="A26" s="21" t="n">
        <v>46217</v>
      </c>
      <c r="B26" s="22" t="n">
        <v>0</v>
      </c>
      <c r="C26" s="25" t="n">
        <v>143.04</v>
      </c>
      <c r="D26" s="25" t="n">
        <v>18.96</v>
      </c>
      <c r="E26" s="25"/>
      <c r="F26" s="22" t="n">
        <f aca="false">WEEKDAY(A26,2)</f>
        <v>2</v>
      </c>
      <c r="G26" s="22" t="str">
        <f aca="false">IF(F26=7,IF(B26&gt;=23,"C","Sin turno"),IF(B26&lt;7,"C",IF(B26&lt;14,"A",IF(B26&lt;21,"B",IF(B26&lt;23,"Entre turnos",IF(F26=6,"Sin turno","C"))))))</f>
        <v>C</v>
      </c>
      <c r="H26" s="25" t="n">
        <f aca="false">IF(D26="","",MAX(0,D26-0.5*C26))</f>
        <v>0</v>
      </c>
    </row>
    <row r="27" customFormat="false" ht="15" hidden="false" customHeight="false" outlineLevel="0" collapsed="false">
      <c r="A27" s="21" t="n">
        <v>46217</v>
      </c>
      <c r="B27" s="22" t="n">
        <v>1</v>
      </c>
      <c r="C27" s="25" t="n">
        <v>170.28</v>
      </c>
      <c r="D27" s="25" t="n">
        <v>18.36</v>
      </c>
      <c r="E27" s="25"/>
      <c r="F27" s="22" t="n">
        <f aca="false">WEEKDAY(A27,2)</f>
        <v>2</v>
      </c>
      <c r="G27" s="22" t="str">
        <f aca="false">IF(F27=7,IF(B27&gt;=23,"C","Sin turno"),IF(B27&lt;7,"C",IF(B27&lt;14,"A",IF(B27&lt;21,"B",IF(B27&lt;23,"Entre turnos",IF(F27=6,"Sin turno","C"))))))</f>
        <v>C</v>
      </c>
      <c r="H27" s="25" t="n">
        <f aca="false">IF(D27="","",MAX(0,D27-0.5*C27))</f>
        <v>0</v>
      </c>
    </row>
    <row r="28" customFormat="false" ht="15" hidden="false" customHeight="false" outlineLevel="0" collapsed="false">
      <c r="A28" s="21" t="n">
        <v>46217</v>
      </c>
      <c r="B28" s="22" t="n">
        <v>2</v>
      </c>
      <c r="C28" s="25" t="n">
        <v>160.08</v>
      </c>
      <c r="D28" s="25" t="n">
        <v>20.04</v>
      </c>
      <c r="E28" s="25"/>
      <c r="F28" s="22" t="n">
        <f aca="false">WEEKDAY(A28,2)</f>
        <v>2</v>
      </c>
      <c r="G28" s="22" t="str">
        <f aca="false">IF(F28=7,IF(B28&gt;=23,"C","Sin turno"),IF(B28&lt;7,"C",IF(B28&lt;14,"A",IF(B28&lt;21,"B",IF(B28&lt;23,"Entre turnos",IF(F28=6,"Sin turno","C"))))))</f>
        <v>C</v>
      </c>
      <c r="H28" s="25" t="n">
        <f aca="false">IF(D28="","",MAX(0,D28-0.5*C28))</f>
        <v>0</v>
      </c>
    </row>
    <row r="29" customFormat="false" ht="15" hidden="false" customHeight="false" outlineLevel="0" collapsed="false">
      <c r="A29" s="21" t="n">
        <v>46217</v>
      </c>
      <c r="B29" s="22" t="n">
        <v>3</v>
      </c>
      <c r="C29" s="25" t="n">
        <v>168.24</v>
      </c>
      <c r="D29" s="25" t="n">
        <v>23.28</v>
      </c>
      <c r="E29" s="25"/>
      <c r="F29" s="22" t="n">
        <f aca="false">WEEKDAY(A29,2)</f>
        <v>2</v>
      </c>
      <c r="G29" s="22" t="str">
        <f aca="false">IF(F29=7,IF(B29&gt;=23,"C","Sin turno"),IF(B29&lt;7,"C",IF(B29&lt;14,"A",IF(B29&lt;21,"B",IF(B29&lt;23,"Entre turnos",IF(F29=6,"Sin turno","C"))))))</f>
        <v>C</v>
      </c>
      <c r="H29" s="25" t="n">
        <f aca="false">IF(D29="","",MAX(0,D29-0.5*C29))</f>
        <v>0</v>
      </c>
    </row>
    <row r="30" customFormat="false" ht="15" hidden="false" customHeight="false" outlineLevel="0" collapsed="false">
      <c r="A30" s="21" t="n">
        <v>46217</v>
      </c>
      <c r="B30" s="22" t="n">
        <v>4</v>
      </c>
      <c r="C30" s="25" t="n">
        <v>160.44</v>
      </c>
      <c r="D30" s="25" t="n">
        <v>22.8</v>
      </c>
      <c r="E30" s="25"/>
      <c r="F30" s="22" t="n">
        <f aca="false">WEEKDAY(A30,2)</f>
        <v>2</v>
      </c>
      <c r="G30" s="22" t="str">
        <f aca="false">IF(F30=7,IF(B30&gt;=23,"C","Sin turno"),IF(B30&lt;7,"C",IF(B30&lt;14,"A",IF(B30&lt;21,"B",IF(B30&lt;23,"Entre turnos",IF(F30=6,"Sin turno","C"))))))</f>
        <v>C</v>
      </c>
      <c r="H30" s="25" t="n">
        <f aca="false">IF(D30="","",MAX(0,D30-0.5*C30))</f>
        <v>0</v>
      </c>
    </row>
    <row r="31" customFormat="false" ht="15" hidden="false" customHeight="false" outlineLevel="0" collapsed="false">
      <c r="A31" s="21" t="n">
        <v>46217</v>
      </c>
      <c r="B31" s="22" t="n">
        <v>5</v>
      </c>
      <c r="C31" s="25" t="n">
        <v>173.4</v>
      </c>
      <c r="D31" s="25" t="n">
        <v>23.16</v>
      </c>
      <c r="E31" s="25"/>
      <c r="F31" s="22" t="n">
        <f aca="false">WEEKDAY(A31,2)</f>
        <v>2</v>
      </c>
      <c r="G31" s="22" t="str">
        <f aca="false">IF(F31=7,IF(B31&gt;=23,"C","Sin turno"),IF(B31&lt;7,"C",IF(B31&lt;14,"A",IF(B31&lt;21,"B",IF(B31&lt;23,"Entre turnos",IF(F31=6,"Sin turno","C"))))))</f>
        <v>C</v>
      </c>
      <c r="H31" s="25" t="n">
        <f aca="false">IF(D31="","",MAX(0,D31-0.5*C31))</f>
        <v>0</v>
      </c>
    </row>
    <row r="32" customFormat="false" ht="15" hidden="false" customHeight="false" outlineLevel="0" collapsed="false">
      <c r="A32" s="21" t="n">
        <v>46217</v>
      </c>
      <c r="B32" s="22" t="n">
        <v>6</v>
      </c>
      <c r="C32" s="25" t="n">
        <v>179.4</v>
      </c>
      <c r="D32" s="25" t="n">
        <v>17.4</v>
      </c>
      <c r="E32" s="25"/>
      <c r="F32" s="22" t="n">
        <f aca="false">WEEKDAY(A32,2)</f>
        <v>2</v>
      </c>
      <c r="G32" s="22" t="str">
        <f aca="false">IF(F32=7,IF(B32&gt;=23,"C","Sin turno"),IF(B32&lt;7,"C",IF(B32&lt;14,"A",IF(B32&lt;21,"B",IF(B32&lt;23,"Entre turnos",IF(F32=6,"Sin turno","C"))))))</f>
        <v>C</v>
      </c>
      <c r="H32" s="25" t="n">
        <f aca="false">IF(D32="","",MAX(0,D32-0.5*C32))</f>
        <v>0</v>
      </c>
    </row>
    <row r="33" customFormat="false" ht="15" hidden="false" customHeight="false" outlineLevel="0" collapsed="false">
      <c r="A33" s="21" t="n">
        <v>46217</v>
      </c>
      <c r="B33" s="22" t="n">
        <v>7</v>
      </c>
      <c r="C33" s="25" t="n">
        <v>195.36</v>
      </c>
      <c r="D33" s="25" t="n">
        <v>20.88</v>
      </c>
      <c r="E33" s="25"/>
      <c r="F33" s="22" t="n">
        <f aca="false">WEEKDAY(A33,2)</f>
        <v>2</v>
      </c>
      <c r="G33" s="22" t="str">
        <f aca="false">IF(F33=7,IF(B33&gt;=23,"C","Sin turno"),IF(B33&lt;7,"C",IF(B33&lt;14,"A",IF(B33&lt;21,"B",IF(B33&lt;23,"Entre turnos",IF(F33=6,"Sin turno","C"))))))</f>
        <v>A</v>
      </c>
      <c r="H33" s="25" t="n">
        <f aca="false">IF(D33="","",MAX(0,D33-0.5*C33))</f>
        <v>0</v>
      </c>
    </row>
    <row r="34" customFormat="false" ht="15" hidden="false" customHeight="false" outlineLevel="0" collapsed="false">
      <c r="A34" s="21" t="n">
        <v>46217</v>
      </c>
      <c r="B34" s="22" t="n">
        <v>8</v>
      </c>
      <c r="C34" s="25" t="n">
        <v>184.92</v>
      </c>
      <c r="D34" s="25" t="n">
        <v>25.2</v>
      </c>
      <c r="E34" s="25"/>
      <c r="F34" s="22" t="n">
        <f aca="false">WEEKDAY(A34,2)</f>
        <v>2</v>
      </c>
      <c r="G34" s="22" t="str">
        <f aca="false">IF(F34=7,IF(B34&gt;=23,"C","Sin turno"),IF(B34&lt;7,"C",IF(B34&lt;14,"A",IF(B34&lt;21,"B",IF(B34&lt;23,"Entre turnos",IF(F34=6,"Sin turno","C"))))))</f>
        <v>A</v>
      </c>
      <c r="H34" s="25" t="n">
        <f aca="false">IF(D34="","",MAX(0,D34-0.5*C34))</f>
        <v>0</v>
      </c>
    </row>
    <row r="35" customFormat="false" ht="15" hidden="false" customHeight="false" outlineLevel="0" collapsed="false">
      <c r="A35" s="21" t="n">
        <v>46217</v>
      </c>
      <c r="B35" s="22" t="n">
        <v>9</v>
      </c>
      <c r="C35" s="25" t="n">
        <v>182.16</v>
      </c>
      <c r="D35" s="25" t="n">
        <v>21.36</v>
      </c>
      <c r="E35" s="25"/>
      <c r="F35" s="22" t="n">
        <f aca="false">WEEKDAY(A35,2)</f>
        <v>2</v>
      </c>
      <c r="G35" s="22" t="str">
        <f aca="false">IF(F35=7,IF(B35&gt;=23,"C","Sin turno"),IF(B35&lt;7,"C",IF(B35&lt;14,"A",IF(B35&lt;21,"B",IF(B35&lt;23,"Entre turnos",IF(F35=6,"Sin turno","C"))))))</f>
        <v>A</v>
      </c>
      <c r="H35" s="25" t="n">
        <f aca="false">IF(D35="","",MAX(0,D35-0.5*C35))</f>
        <v>0</v>
      </c>
    </row>
    <row r="36" customFormat="false" ht="15" hidden="false" customHeight="false" outlineLevel="0" collapsed="false">
      <c r="A36" s="21" t="n">
        <v>46217</v>
      </c>
      <c r="B36" s="22" t="n">
        <v>10</v>
      </c>
      <c r="C36" s="25" t="n">
        <v>181.92</v>
      </c>
      <c r="D36" s="25" t="n">
        <v>16.44</v>
      </c>
      <c r="E36" s="25"/>
      <c r="F36" s="22" t="n">
        <f aca="false">WEEKDAY(A36,2)</f>
        <v>2</v>
      </c>
      <c r="G36" s="22" t="str">
        <f aca="false">IF(F36=7,IF(B36&gt;=23,"C","Sin turno"),IF(B36&lt;7,"C",IF(B36&lt;14,"A",IF(B36&lt;21,"B",IF(B36&lt;23,"Entre turnos",IF(F36=6,"Sin turno","C"))))))</f>
        <v>A</v>
      </c>
      <c r="H36" s="25" t="n">
        <f aca="false">IF(D36="","",MAX(0,D36-0.5*C36))</f>
        <v>0</v>
      </c>
    </row>
    <row r="37" customFormat="false" ht="15" hidden="false" customHeight="false" outlineLevel="0" collapsed="false">
      <c r="A37" s="21" t="n">
        <v>46217</v>
      </c>
      <c r="B37" s="22" t="n">
        <v>11</v>
      </c>
      <c r="C37" s="25" t="n">
        <v>186.84</v>
      </c>
      <c r="D37" s="25" t="n">
        <v>23.76</v>
      </c>
      <c r="E37" s="25"/>
      <c r="F37" s="22" t="n">
        <f aca="false">WEEKDAY(A37,2)</f>
        <v>2</v>
      </c>
      <c r="G37" s="22" t="str">
        <f aca="false">IF(F37=7,IF(B37&gt;=23,"C","Sin turno"),IF(B37&lt;7,"C",IF(B37&lt;14,"A",IF(B37&lt;21,"B",IF(B37&lt;23,"Entre turnos",IF(F37=6,"Sin turno","C"))))))</f>
        <v>A</v>
      </c>
      <c r="H37" s="25" t="n">
        <f aca="false">IF(D37="","",MAX(0,D37-0.5*C37))</f>
        <v>0</v>
      </c>
    </row>
    <row r="38" customFormat="false" ht="15" hidden="false" customHeight="false" outlineLevel="0" collapsed="false">
      <c r="A38" s="21" t="n">
        <v>46217</v>
      </c>
      <c r="B38" s="22" t="n">
        <v>12</v>
      </c>
      <c r="C38" s="25" t="n">
        <v>179.16</v>
      </c>
      <c r="D38" s="25" t="n">
        <v>20.88</v>
      </c>
      <c r="E38" s="25"/>
      <c r="F38" s="22" t="n">
        <f aca="false">WEEKDAY(A38,2)</f>
        <v>2</v>
      </c>
      <c r="G38" s="22" t="str">
        <f aca="false">IF(F38=7,IF(B38&gt;=23,"C","Sin turno"),IF(B38&lt;7,"C",IF(B38&lt;14,"A",IF(B38&lt;21,"B",IF(B38&lt;23,"Entre turnos",IF(F38=6,"Sin turno","C"))))))</f>
        <v>A</v>
      </c>
      <c r="H38" s="25" t="n">
        <f aca="false">IF(D38="","",MAX(0,D38-0.5*C38))</f>
        <v>0</v>
      </c>
    </row>
    <row r="39" customFormat="false" ht="15" hidden="false" customHeight="false" outlineLevel="0" collapsed="false">
      <c r="A39" s="21" t="n">
        <v>46217</v>
      </c>
      <c r="B39" s="22" t="n">
        <v>13</v>
      </c>
      <c r="C39" s="25" t="n">
        <v>191.76</v>
      </c>
      <c r="D39" s="25" t="n">
        <v>17.4</v>
      </c>
      <c r="E39" s="25"/>
      <c r="F39" s="22" t="n">
        <f aca="false">WEEKDAY(A39,2)</f>
        <v>2</v>
      </c>
      <c r="G39" s="22" t="str">
        <f aca="false">IF(F39=7,IF(B39&gt;=23,"C","Sin turno"),IF(B39&lt;7,"C",IF(B39&lt;14,"A",IF(B39&lt;21,"B",IF(B39&lt;23,"Entre turnos",IF(F39=6,"Sin turno","C"))))))</f>
        <v>A</v>
      </c>
      <c r="H39" s="25" t="n">
        <f aca="false">IF(D39="","",MAX(0,D39-0.5*C39))</f>
        <v>0</v>
      </c>
    </row>
    <row r="40" customFormat="false" ht="15" hidden="false" customHeight="false" outlineLevel="0" collapsed="false">
      <c r="A40" s="21" t="n">
        <v>46217</v>
      </c>
      <c r="B40" s="22" t="n">
        <v>14</v>
      </c>
      <c r="C40" s="25" t="n">
        <v>191.16</v>
      </c>
      <c r="D40" s="25" t="n">
        <v>15.96</v>
      </c>
      <c r="E40" s="25"/>
      <c r="F40" s="22" t="n">
        <f aca="false">WEEKDAY(A40,2)</f>
        <v>2</v>
      </c>
      <c r="G40" s="22" t="str">
        <f aca="false">IF(F40=7,IF(B40&gt;=23,"C","Sin turno"),IF(B40&lt;7,"C",IF(B40&lt;14,"A",IF(B40&lt;21,"B",IF(B40&lt;23,"Entre turnos",IF(F40=6,"Sin turno","C"))))))</f>
        <v>B</v>
      </c>
      <c r="H40" s="25" t="n">
        <f aca="false">IF(D40="","",MAX(0,D40-0.5*C40))</f>
        <v>0</v>
      </c>
    </row>
    <row r="41" customFormat="false" ht="15" hidden="false" customHeight="false" outlineLevel="0" collapsed="false">
      <c r="A41" s="21" t="n">
        <v>46217</v>
      </c>
      <c r="B41" s="22" t="n">
        <v>15</v>
      </c>
      <c r="C41" s="25" t="n">
        <v>239.4</v>
      </c>
      <c r="D41" s="25" t="n">
        <v>18.48</v>
      </c>
      <c r="E41" s="25"/>
      <c r="F41" s="22" t="n">
        <f aca="false">WEEKDAY(A41,2)</f>
        <v>2</v>
      </c>
      <c r="G41" s="22" t="str">
        <f aca="false">IF(F41=7,IF(B41&gt;=23,"C","Sin turno"),IF(B41&lt;7,"C",IF(B41&lt;14,"A",IF(B41&lt;21,"B",IF(B41&lt;23,"Entre turnos",IF(F41=6,"Sin turno","C"))))))</f>
        <v>B</v>
      </c>
      <c r="H41" s="25" t="n">
        <f aca="false">IF(D41="","",MAX(0,D41-0.5*C41))</f>
        <v>0</v>
      </c>
    </row>
    <row r="42" customFormat="false" ht="15" hidden="false" customHeight="false" outlineLevel="0" collapsed="false">
      <c r="A42" s="21" t="n">
        <v>46217</v>
      </c>
      <c r="B42" s="22" t="n">
        <v>16</v>
      </c>
      <c r="C42" s="25" t="n">
        <v>261.12</v>
      </c>
      <c r="D42" s="25" t="n">
        <v>22.2</v>
      </c>
      <c r="E42" s="25"/>
      <c r="F42" s="22" t="n">
        <f aca="false">WEEKDAY(A42,2)</f>
        <v>2</v>
      </c>
      <c r="G42" s="22" t="str">
        <f aca="false">IF(F42=7,IF(B42&gt;=23,"C","Sin turno"),IF(B42&lt;7,"C",IF(B42&lt;14,"A",IF(B42&lt;21,"B",IF(B42&lt;23,"Entre turnos",IF(F42=6,"Sin turno","C"))))))</f>
        <v>B</v>
      </c>
      <c r="H42" s="25" t="n">
        <f aca="false">IF(D42="","",MAX(0,D42-0.5*C42))</f>
        <v>0</v>
      </c>
    </row>
    <row r="43" customFormat="false" ht="15" hidden="false" customHeight="false" outlineLevel="0" collapsed="false">
      <c r="A43" s="21" t="n">
        <v>46217</v>
      </c>
      <c r="B43" s="22" t="n">
        <v>17</v>
      </c>
      <c r="C43" s="25" t="n">
        <v>230.4</v>
      </c>
      <c r="D43" s="25" t="n">
        <v>28.68</v>
      </c>
      <c r="E43" s="25"/>
      <c r="F43" s="22" t="n">
        <f aca="false">WEEKDAY(A43,2)</f>
        <v>2</v>
      </c>
      <c r="G43" s="22" t="str">
        <f aca="false">IF(F43=7,IF(B43&gt;=23,"C","Sin turno"),IF(B43&lt;7,"C",IF(B43&lt;14,"A",IF(B43&lt;21,"B",IF(B43&lt;23,"Entre turnos",IF(F43=6,"Sin turno","C"))))))</f>
        <v>B</v>
      </c>
      <c r="H43" s="25" t="n">
        <f aca="false">IF(D43="","",MAX(0,D43-0.5*C43))</f>
        <v>0</v>
      </c>
    </row>
    <row r="44" customFormat="false" ht="15" hidden="false" customHeight="false" outlineLevel="0" collapsed="false">
      <c r="A44" s="21" t="n">
        <v>46217</v>
      </c>
      <c r="B44" s="22" t="n">
        <v>18</v>
      </c>
      <c r="C44" s="25" t="n">
        <v>207.96</v>
      </c>
      <c r="D44" s="25" t="n">
        <v>16.92</v>
      </c>
      <c r="E44" s="25"/>
      <c r="F44" s="22" t="n">
        <f aca="false">WEEKDAY(A44,2)</f>
        <v>2</v>
      </c>
      <c r="G44" s="22" t="str">
        <f aca="false">IF(F44=7,IF(B44&gt;=23,"C","Sin turno"),IF(B44&lt;7,"C",IF(B44&lt;14,"A",IF(B44&lt;21,"B",IF(B44&lt;23,"Entre turnos",IF(F44=6,"Sin turno","C"))))))</f>
        <v>B</v>
      </c>
      <c r="H44" s="25" t="n">
        <f aca="false">IF(D44="","",MAX(0,D44-0.5*C44))</f>
        <v>0</v>
      </c>
    </row>
    <row r="45" customFormat="false" ht="15" hidden="false" customHeight="false" outlineLevel="0" collapsed="false">
      <c r="A45" s="21" t="n">
        <v>46217</v>
      </c>
      <c r="B45" s="22" t="n">
        <v>19</v>
      </c>
      <c r="C45" s="25" t="n">
        <v>208.92</v>
      </c>
      <c r="D45" s="25" t="n">
        <v>16.44</v>
      </c>
      <c r="E45" s="25"/>
      <c r="F45" s="22" t="n">
        <f aca="false">WEEKDAY(A45,2)</f>
        <v>2</v>
      </c>
      <c r="G45" s="22" t="str">
        <f aca="false">IF(F45=7,IF(B45&gt;=23,"C","Sin turno"),IF(B45&lt;7,"C",IF(B45&lt;14,"A",IF(B45&lt;21,"B",IF(B45&lt;23,"Entre turnos",IF(F45=6,"Sin turno","C"))))))</f>
        <v>B</v>
      </c>
      <c r="H45" s="25" t="n">
        <f aca="false">IF(D45="","",MAX(0,D45-0.5*C45))</f>
        <v>0</v>
      </c>
    </row>
    <row r="46" customFormat="false" ht="15" hidden="false" customHeight="false" outlineLevel="0" collapsed="false">
      <c r="A46" s="21" t="n">
        <v>46217</v>
      </c>
      <c r="B46" s="22" t="n">
        <v>20</v>
      </c>
      <c r="C46" s="25" t="n">
        <v>200.52</v>
      </c>
      <c r="D46" s="25" t="n">
        <v>21.96</v>
      </c>
      <c r="E46" s="25"/>
      <c r="F46" s="22" t="n">
        <f aca="false">WEEKDAY(A46,2)</f>
        <v>2</v>
      </c>
      <c r="G46" s="22" t="str">
        <f aca="false">IF(F46=7,IF(B46&gt;=23,"C","Sin turno"),IF(B46&lt;7,"C",IF(B46&lt;14,"A",IF(B46&lt;21,"B",IF(B46&lt;23,"Entre turnos",IF(F46=6,"Sin turno","C"))))))</f>
        <v>B</v>
      </c>
      <c r="H46" s="25" t="n">
        <f aca="false">IF(D46="","",MAX(0,D46-0.5*C46))</f>
        <v>0</v>
      </c>
    </row>
    <row r="47" customFormat="false" ht="15" hidden="false" customHeight="false" outlineLevel="0" collapsed="false">
      <c r="A47" s="21" t="n">
        <v>46217</v>
      </c>
      <c r="B47" s="22" t="n">
        <v>21</v>
      </c>
      <c r="C47" s="25" t="n">
        <v>172.08</v>
      </c>
      <c r="D47" s="25" t="n">
        <v>22.56</v>
      </c>
      <c r="E47" s="25"/>
      <c r="F47" s="22" t="n">
        <f aca="false">WEEKDAY(A47,2)</f>
        <v>2</v>
      </c>
      <c r="G47" s="22" t="str">
        <f aca="false">IF(F47=7,IF(B47&gt;=23,"C","Sin turno"),IF(B47&lt;7,"C",IF(B47&lt;14,"A",IF(B47&lt;21,"B",IF(B47&lt;23,"Entre turnos",IF(F47=6,"Sin turno","C"))))))</f>
        <v>Entre turnos</v>
      </c>
      <c r="H47" s="25" t="n">
        <f aca="false">IF(D47="","",MAX(0,D47-0.5*C47))</f>
        <v>0</v>
      </c>
    </row>
    <row r="48" customFormat="false" ht="15" hidden="false" customHeight="false" outlineLevel="0" collapsed="false">
      <c r="A48" s="21" t="n">
        <v>46217</v>
      </c>
      <c r="B48" s="22" t="n">
        <v>22</v>
      </c>
      <c r="C48" s="25" t="n">
        <v>165.12</v>
      </c>
      <c r="D48" s="25" t="n">
        <v>21.48</v>
      </c>
      <c r="E48" s="25"/>
      <c r="F48" s="22" t="n">
        <f aca="false">WEEKDAY(A48,2)</f>
        <v>2</v>
      </c>
      <c r="G48" s="22" t="str">
        <f aca="false">IF(F48=7,IF(B48&gt;=23,"C","Sin turno"),IF(B48&lt;7,"C",IF(B48&lt;14,"A",IF(B48&lt;21,"B",IF(B48&lt;23,"Entre turnos",IF(F48=6,"Sin turno","C"))))))</f>
        <v>Entre turnos</v>
      </c>
      <c r="H48" s="25" t="n">
        <f aca="false">IF(D48="","",MAX(0,D48-0.5*C48))</f>
        <v>0</v>
      </c>
    </row>
    <row r="49" customFormat="false" ht="15" hidden="false" customHeight="false" outlineLevel="0" collapsed="false">
      <c r="A49" s="21" t="n">
        <v>46217</v>
      </c>
      <c r="B49" s="22" t="n">
        <v>23</v>
      </c>
      <c r="C49" s="25" t="n">
        <v>138</v>
      </c>
      <c r="D49" s="25" t="n">
        <v>21</v>
      </c>
      <c r="E49" s="25"/>
      <c r="F49" s="22" t="n">
        <f aca="false">WEEKDAY(A49,2)</f>
        <v>2</v>
      </c>
      <c r="G49" s="22" t="str">
        <f aca="false">IF(F49=7,IF(B49&gt;=23,"C","Sin turno"),IF(B49&lt;7,"C",IF(B49&lt;14,"A",IF(B49&lt;21,"B",IF(B49&lt;23,"Entre turnos",IF(F49=6,"Sin turno","C"))))))</f>
        <v>C</v>
      </c>
      <c r="H49" s="25" t="n">
        <f aca="false">IF(D49="","",MAX(0,D49-0.5*C49))</f>
        <v>0</v>
      </c>
    </row>
    <row r="50" customFormat="false" ht="15" hidden="false" customHeight="false" outlineLevel="0" collapsed="false">
      <c r="A50" s="21" t="n">
        <v>46218</v>
      </c>
      <c r="B50" s="22" t="n">
        <v>0</v>
      </c>
      <c r="C50" s="25" t="n">
        <v>147.96</v>
      </c>
      <c r="D50" s="25" t="n">
        <v>14.52</v>
      </c>
      <c r="E50" s="25"/>
      <c r="F50" s="22" t="n">
        <f aca="false">WEEKDAY(A50,2)</f>
        <v>3</v>
      </c>
      <c r="G50" s="22" t="str">
        <f aca="false">IF(F50=7,IF(B50&gt;=23,"C","Sin turno"),IF(B50&lt;7,"C",IF(B50&lt;14,"A",IF(B50&lt;21,"B",IF(B50&lt;23,"Entre turnos",IF(F50=6,"Sin turno","C"))))))</f>
        <v>C</v>
      </c>
      <c r="H50" s="25" t="n">
        <f aca="false">IF(D50="","",MAX(0,D50-0.5*C50))</f>
        <v>0</v>
      </c>
    </row>
    <row r="51" customFormat="false" ht="15" hidden="false" customHeight="false" outlineLevel="0" collapsed="false">
      <c r="A51" s="21" t="n">
        <v>46218</v>
      </c>
      <c r="B51" s="22" t="n">
        <v>1</v>
      </c>
      <c r="C51" s="25" t="n">
        <v>148.44</v>
      </c>
      <c r="D51" s="25" t="n">
        <v>13.32</v>
      </c>
      <c r="E51" s="25"/>
      <c r="F51" s="22" t="n">
        <f aca="false">WEEKDAY(A51,2)</f>
        <v>3</v>
      </c>
      <c r="G51" s="22" t="str">
        <f aca="false">IF(F51=7,IF(B51&gt;=23,"C","Sin turno"),IF(B51&lt;7,"C",IF(B51&lt;14,"A",IF(B51&lt;21,"B",IF(B51&lt;23,"Entre turnos",IF(F51=6,"Sin turno","C"))))))</f>
        <v>C</v>
      </c>
      <c r="H51" s="25" t="n">
        <f aca="false">IF(D51="","",MAX(0,D51-0.5*C51))</f>
        <v>0</v>
      </c>
    </row>
    <row r="52" customFormat="false" ht="15" hidden="false" customHeight="false" outlineLevel="0" collapsed="false">
      <c r="A52" s="21" t="n">
        <v>46218</v>
      </c>
      <c r="B52" s="22" t="n">
        <v>2</v>
      </c>
      <c r="C52" s="25" t="n">
        <v>148.8</v>
      </c>
      <c r="D52" s="25" t="n">
        <v>11.76</v>
      </c>
      <c r="E52" s="25"/>
      <c r="F52" s="22" t="n">
        <f aca="false">WEEKDAY(A52,2)</f>
        <v>3</v>
      </c>
      <c r="G52" s="22" t="str">
        <f aca="false">IF(F52=7,IF(B52&gt;=23,"C","Sin turno"),IF(B52&lt;7,"C",IF(B52&lt;14,"A",IF(B52&lt;21,"B",IF(B52&lt;23,"Entre turnos",IF(F52=6,"Sin turno","C"))))))</f>
        <v>C</v>
      </c>
      <c r="H52" s="25" t="n">
        <f aca="false">IF(D52="","",MAX(0,D52-0.5*C52))</f>
        <v>0</v>
      </c>
    </row>
    <row r="53" customFormat="false" ht="15" hidden="false" customHeight="false" outlineLevel="0" collapsed="false">
      <c r="A53" s="21" t="n">
        <v>46218</v>
      </c>
      <c r="B53" s="22" t="n">
        <v>3</v>
      </c>
      <c r="C53" s="25" t="n">
        <v>138.96</v>
      </c>
      <c r="D53" s="25" t="n">
        <v>12.84</v>
      </c>
      <c r="E53" s="25"/>
      <c r="F53" s="22" t="n">
        <f aca="false">WEEKDAY(A53,2)</f>
        <v>3</v>
      </c>
      <c r="G53" s="22" t="str">
        <f aca="false">IF(F53=7,IF(B53&gt;=23,"C","Sin turno"),IF(B53&lt;7,"C",IF(B53&lt;14,"A",IF(B53&lt;21,"B",IF(B53&lt;23,"Entre turnos",IF(F53=6,"Sin turno","C"))))))</f>
        <v>C</v>
      </c>
      <c r="H53" s="25" t="n">
        <f aca="false">IF(D53="","",MAX(0,D53-0.5*C53))</f>
        <v>0</v>
      </c>
    </row>
    <row r="54" customFormat="false" ht="15" hidden="false" customHeight="false" outlineLevel="0" collapsed="false">
      <c r="A54" s="21" t="n">
        <v>46218</v>
      </c>
      <c r="B54" s="22" t="n">
        <v>4</v>
      </c>
      <c r="C54" s="25" t="n">
        <v>147.6</v>
      </c>
      <c r="D54" s="25" t="n">
        <v>13.8</v>
      </c>
      <c r="E54" s="25"/>
      <c r="F54" s="22" t="n">
        <f aca="false">WEEKDAY(A54,2)</f>
        <v>3</v>
      </c>
      <c r="G54" s="22" t="str">
        <f aca="false">IF(F54=7,IF(B54&gt;=23,"C","Sin turno"),IF(B54&lt;7,"C",IF(B54&lt;14,"A",IF(B54&lt;21,"B",IF(B54&lt;23,"Entre turnos",IF(F54=6,"Sin turno","C"))))))</f>
        <v>C</v>
      </c>
      <c r="H54" s="25" t="n">
        <f aca="false">IF(D54="","",MAX(0,D54-0.5*C54))</f>
        <v>0</v>
      </c>
    </row>
    <row r="55" customFormat="false" ht="15" hidden="false" customHeight="false" outlineLevel="0" collapsed="false">
      <c r="A55" s="21" t="n">
        <v>46218</v>
      </c>
      <c r="B55" s="22" t="n">
        <v>5</v>
      </c>
      <c r="C55" s="25" t="n">
        <v>139.68</v>
      </c>
      <c r="D55" s="25" t="n">
        <v>14.04</v>
      </c>
      <c r="E55" s="25"/>
      <c r="F55" s="22" t="n">
        <f aca="false">WEEKDAY(A55,2)</f>
        <v>3</v>
      </c>
      <c r="G55" s="22" t="str">
        <f aca="false">IF(F55=7,IF(B55&gt;=23,"C","Sin turno"),IF(B55&lt;7,"C",IF(B55&lt;14,"A",IF(B55&lt;21,"B",IF(B55&lt;23,"Entre turnos",IF(F55=6,"Sin turno","C"))))))</f>
        <v>C</v>
      </c>
      <c r="H55" s="25" t="n">
        <f aca="false">IF(D55="","",MAX(0,D55-0.5*C55))</f>
        <v>0</v>
      </c>
    </row>
    <row r="56" customFormat="false" ht="15" hidden="false" customHeight="false" outlineLevel="0" collapsed="false">
      <c r="A56" s="21" t="n">
        <v>46218</v>
      </c>
      <c r="B56" s="22" t="n">
        <v>6</v>
      </c>
      <c r="C56" s="25" t="n">
        <v>161.04</v>
      </c>
      <c r="D56" s="25" t="n">
        <v>16.56</v>
      </c>
      <c r="E56" s="25"/>
      <c r="F56" s="22" t="n">
        <f aca="false">WEEKDAY(A56,2)</f>
        <v>3</v>
      </c>
      <c r="G56" s="22" t="str">
        <f aca="false">IF(F56=7,IF(B56&gt;=23,"C","Sin turno"),IF(B56&lt;7,"C",IF(B56&lt;14,"A",IF(B56&lt;21,"B",IF(B56&lt;23,"Entre turnos",IF(F56=6,"Sin turno","C"))))))</f>
        <v>C</v>
      </c>
      <c r="H56" s="25" t="n">
        <f aca="false">IF(D56="","",MAX(0,D56-0.5*C56))</f>
        <v>0</v>
      </c>
    </row>
    <row r="57" customFormat="false" ht="15" hidden="false" customHeight="false" outlineLevel="0" collapsed="false">
      <c r="A57" s="21" t="n">
        <v>46218</v>
      </c>
      <c r="B57" s="22" t="n">
        <v>7</v>
      </c>
      <c r="C57" s="25" t="n">
        <v>205.2</v>
      </c>
      <c r="D57" s="25" t="n">
        <v>23.04</v>
      </c>
      <c r="E57" s="25"/>
      <c r="F57" s="22" t="n">
        <f aca="false">WEEKDAY(A57,2)</f>
        <v>3</v>
      </c>
      <c r="G57" s="22" t="str">
        <f aca="false">IF(F57=7,IF(B57&gt;=23,"C","Sin turno"),IF(B57&lt;7,"C",IF(B57&lt;14,"A",IF(B57&lt;21,"B",IF(B57&lt;23,"Entre turnos",IF(F57=6,"Sin turno","C"))))))</f>
        <v>A</v>
      </c>
      <c r="H57" s="25" t="n">
        <f aca="false">IF(D57="","",MAX(0,D57-0.5*C57))</f>
        <v>0</v>
      </c>
    </row>
    <row r="58" customFormat="false" ht="15" hidden="false" customHeight="false" outlineLevel="0" collapsed="false">
      <c r="A58" s="21" t="n">
        <v>46218</v>
      </c>
      <c r="B58" s="22" t="n">
        <v>8</v>
      </c>
      <c r="C58" s="25" t="n">
        <v>210.24</v>
      </c>
      <c r="D58" s="25" t="n">
        <v>17.4</v>
      </c>
      <c r="E58" s="25"/>
      <c r="F58" s="22" t="n">
        <f aca="false">WEEKDAY(A58,2)</f>
        <v>3</v>
      </c>
      <c r="G58" s="22" t="str">
        <f aca="false">IF(F58=7,IF(B58&gt;=23,"C","Sin turno"),IF(B58&lt;7,"C",IF(B58&lt;14,"A",IF(B58&lt;21,"B",IF(B58&lt;23,"Entre turnos",IF(F58=6,"Sin turno","C"))))))</f>
        <v>A</v>
      </c>
      <c r="H58" s="25" t="n">
        <f aca="false">IF(D58="","",MAX(0,D58-0.5*C58))</f>
        <v>0</v>
      </c>
    </row>
    <row r="59" customFormat="false" ht="15" hidden="false" customHeight="false" outlineLevel="0" collapsed="false">
      <c r="A59" s="21" t="n">
        <v>46218</v>
      </c>
      <c r="B59" s="22" t="n">
        <v>9</v>
      </c>
      <c r="C59" s="25" t="n">
        <v>179.16</v>
      </c>
      <c r="D59" s="25" t="n">
        <v>16.32</v>
      </c>
      <c r="E59" s="25"/>
      <c r="F59" s="22" t="n">
        <f aca="false">WEEKDAY(A59,2)</f>
        <v>3</v>
      </c>
      <c r="G59" s="22" t="str">
        <f aca="false">IF(F59=7,IF(B59&gt;=23,"C","Sin turno"),IF(B59&lt;7,"C",IF(B59&lt;14,"A",IF(B59&lt;21,"B",IF(B59&lt;23,"Entre turnos",IF(F59=6,"Sin turno","C"))))))</f>
        <v>A</v>
      </c>
      <c r="H59" s="25" t="n">
        <f aca="false">IF(D59="","",MAX(0,D59-0.5*C59))</f>
        <v>0</v>
      </c>
    </row>
    <row r="60" customFormat="false" ht="15" hidden="false" customHeight="false" outlineLevel="0" collapsed="false">
      <c r="A60" s="21" t="n">
        <v>46218</v>
      </c>
      <c r="B60" s="22" t="n">
        <v>10</v>
      </c>
      <c r="C60" s="25" t="n">
        <v>141.72</v>
      </c>
      <c r="D60" s="25" t="n">
        <v>16.92</v>
      </c>
      <c r="E60" s="25"/>
      <c r="F60" s="22" t="n">
        <f aca="false">WEEKDAY(A60,2)</f>
        <v>3</v>
      </c>
      <c r="G60" s="22" t="str">
        <f aca="false">IF(F60=7,IF(B60&gt;=23,"C","Sin turno"),IF(B60&lt;7,"C",IF(B60&lt;14,"A",IF(B60&lt;21,"B",IF(B60&lt;23,"Entre turnos",IF(F60=6,"Sin turno","C"))))))</f>
        <v>A</v>
      </c>
      <c r="H60" s="25" t="n">
        <f aca="false">IF(D60="","",MAX(0,D60-0.5*C60))</f>
        <v>0</v>
      </c>
    </row>
    <row r="61" customFormat="false" ht="15" hidden="false" customHeight="false" outlineLevel="0" collapsed="false">
      <c r="A61" s="21" t="n">
        <v>46218</v>
      </c>
      <c r="B61" s="22" t="n">
        <v>11</v>
      </c>
      <c r="C61" s="25" t="n">
        <v>122.28</v>
      </c>
      <c r="D61" s="25" t="n">
        <v>20.76</v>
      </c>
      <c r="E61" s="25"/>
      <c r="F61" s="22" t="n">
        <f aca="false">WEEKDAY(A61,2)</f>
        <v>3</v>
      </c>
      <c r="G61" s="22" t="str">
        <f aca="false">IF(F61=7,IF(B61&gt;=23,"C","Sin turno"),IF(B61&lt;7,"C",IF(B61&lt;14,"A",IF(B61&lt;21,"B",IF(B61&lt;23,"Entre turnos",IF(F61=6,"Sin turno","C"))))))</f>
        <v>A</v>
      </c>
      <c r="H61" s="25" t="n">
        <f aca="false">IF(D61="","",MAX(0,D61-0.5*C61))</f>
        <v>0</v>
      </c>
    </row>
    <row r="62" customFormat="false" ht="15" hidden="false" customHeight="false" outlineLevel="0" collapsed="false">
      <c r="A62" s="21" t="n">
        <v>46218</v>
      </c>
      <c r="B62" s="22" t="n">
        <v>12</v>
      </c>
      <c r="C62" s="25" t="n">
        <v>134.52</v>
      </c>
      <c r="D62" s="25" t="n">
        <v>16.92</v>
      </c>
      <c r="E62" s="25"/>
      <c r="F62" s="22" t="n">
        <f aca="false">WEEKDAY(A62,2)</f>
        <v>3</v>
      </c>
      <c r="G62" s="22" t="str">
        <f aca="false">IF(F62=7,IF(B62&gt;=23,"C","Sin turno"),IF(B62&lt;7,"C",IF(B62&lt;14,"A",IF(B62&lt;21,"B",IF(B62&lt;23,"Entre turnos",IF(F62=6,"Sin turno","C"))))))</f>
        <v>A</v>
      </c>
      <c r="H62" s="25" t="n">
        <f aca="false">IF(D62="","",MAX(0,D62-0.5*C62))</f>
        <v>0</v>
      </c>
    </row>
    <row r="63" customFormat="false" ht="15" hidden="false" customHeight="false" outlineLevel="0" collapsed="false">
      <c r="A63" s="21" t="n">
        <v>46218</v>
      </c>
      <c r="B63" s="22" t="n">
        <v>13</v>
      </c>
      <c r="C63" s="25" t="n">
        <v>151.08</v>
      </c>
      <c r="D63" s="25" t="n">
        <v>16.8</v>
      </c>
      <c r="E63" s="25"/>
      <c r="F63" s="22" t="n">
        <f aca="false">WEEKDAY(A63,2)</f>
        <v>3</v>
      </c>
      <c r="G63" s="22" t="str">
        <f aca="false">IF(F63=7,IF(B63&gt;=23,"C","Sin turno"),IF(B63&lt;7,"C",IF(B63&lt;14,"A",IF(B63&lt;21,"B",IF(B63&lt;23,"Entre turnos",IF(F63=6,"Sin turno","C"))))))</f>
        <v>A</v>
      </c>
      <c r="H63" s="25" t="n">
        <f aca="false">IF(D63="","",MAX(0,D63-0.5*C63))</f>
        <v>0</v>
      </c>
    </row>
    <row r="64" customFormat="false" ht="15" hidden="false" customHeight="false" outlineLevel="0" collapsed="false">
      <c r="A64" s="21" t="n">
        <v>46218</v>
      </c>
      <c r="B64" s="22" t="n">
        <v>14</v>
      </c>
      <c r="C64" s="25" t="n">
        <v>189</v>
      </c>
      <c r="D64" s="25" t="n">
        <v>22.8</v>
      </c>
      <c r="E64" s="25"/>
      <c r="F64" s="22" t="n">
        <f aca="false">WEEKDAY(A64,2)</f>
        <v>3</v>
      </c>
      <c r="G64" s="22" t="str">
        <f aca="false">IF(F64=7,IF(B64&gt;=23,"C","Sin turno"),IF(B64&lt;7,"C",IF(B64&lt;14,"A",IF(B64&lt;21,"B",IF(B64&lt;23,"Entre turnos",IF(F64=6,"Sin turno","C"))))))</f>
        <v>B</v>
      </c>
      <c r="H64" s="25" t="n">
        <f aca="false">IF(D64="","",MAX(0,D64-0.5*C64))</f>
        <v>0</v>
      </c>
    </row>
    <row r="65" customFormat="false" ht="15" hidden="false" customHeight="false" outlineLevel="0" collapsed="false">
      <c r="A65" s="21" t="n">
        <v>46218</v>
      </c>
      <c r="B65" s="22" t="n">
        <v>15</v>
      </c>
      <c r="C65" s="25" t="n">
        <v>254.16</v>
      </c>
      <c r="D65" s="25" t="n">
        <v>20.52</v>
      </c>
      <c r="E65" s="25"/>
      <c r="F65" s="22" t="n">
        <f aca="false">WEEKDAY(A65,2)</f>
        <v>3</v>
      </c>
      <c r="G65" s="22" t="str">
        <f aca="false">IF(F65=7,IF(B65&gt;=23,"C","Sin turno"),IF(B65&lt;7,"C",IF(B65&lt;14,"A",IF(B65&lt;21,"B",IF(B65&lt;23,"Entre turnos",IF(F65=6,"Sin turno","C"))))))</f>
        <v>B</v>
      </c>
      <c r="H65" s="25" t="n">
        <f aca="false">IF(D65="","",MAX(0,D65-0.5*C65))</f>
        <v>0</v>
      </c>
    </row>
    <row r="66" customFormat="false" ht="15" hidden="false" customHeight="false" outlineLevel="0" collapsed="false">
      <c r="A66" s="21" t="n">
        <v>46218</v>
      </c>
      <c r="B66" s="22" t="n">
        <v>16</v>
      </c>
      <c r="C66" s="25" t="n">
        <v>259.32</v>
      </c>
      <c r="D66" s="25" t="n">
        <v>19.08</v>
      </c>
      <c r="E66" s="25"/>
      <c r="F66" s="22" t="n">
        <f aca="false">WEEKDAY(A66,2)</f>
        <v>3</v>
      </c>
      <c r="G66" s="22" t="str">
        <f aca="false">IF(F66=7,IF(B66&gt;=23,"C","Sin turno"),IF(B66&lt;7,"C",IF(B66&lt;14,"A",IF(B66&lt;21,"B",IF(B66&lt;23,"Entre turnos",IF(F66=6,"Sin turno","C"))))))</f>
        <v>B</v>
      </c>
      <c r="H66" s="25" t="n">
        <f aca="false">IF(D66="","",MAX(0,D66-0.5*C66))</f>
        <v>0</v>
      </c>
    </row>
    <row r="67" customFormat="false" ht="15" hidden="false" customHeight="false" outlineLevel="0" collapsed="false">
      <c r="A67" s="21" t="n">
        <v>46218</v>
      </c>
      <c r="B67" s="22" t="n">
        <v>17</v>
      </c>
      <c r="C67" s="25" t="n">
        <v>228.36</v>
      </c>
      <c r="D67" s="25" t="n">
        <v>25.08</v>
      </c>
      <c r="E67" s="25"/>
      <c r="F67" s="22" t="n">
        <f aca="false">WEEKDAY(A67,2)</f>
        <v>3</v>
      </c>
      <c r="G67" s="22" t="str">
        <f aca="false">IF(F67=7,IF(B67&gt;=23,"C","Sin turno"),IF(B67&lt;7,"C",IF(B67&lt;14,"A",IF(B67&lt;21,"B",IF(B67&lt;23,"Entre turnos",IF(F67=6,"Sin turno","C"))))))</f>
        <v>B</v>
      </c>
      <c r="H67" s="25" t="n">
        <f aca="false">IF(D67="","",MAX(0,D67-0.5*C67))</f>
        <v>0</v>
      </c>
    </row>
    <row r="68" customFormat="false" ht="15" hidden="false" customHeight="false" outlineLevel="0" collapsed="false">
      <c r="A68" s="21" t="n">
        <v>46218</v>
      </c>
      <c r="B68" s="22" t="n">
        <v>18</v>
      </c>
      <c r="C68" s="25" t="n">
        <v>201.84</v>
      </c>
      <c r="D68" s="25" t="n">
        <v>19.32</v>
      </c>
      <c r="E68" s="25"/>
      <c r="F68" s="22" t="n">
        <f aca="false">WEEKDAY(A68,2)</f>
        <v>3</v>
      </c>
      <c r="G68" s="22" t="str">
        <f aca="false">IF(F68=7,IF(B68&gt;=23,"C","Sin turno"),IF(B68&lt;7,"C",IF(B68&lt;14,"A",IF(B68&lt;21,"B",IF(B68&lt;23,"Entre turnos",IF(F68=6,"Sin turno","C"))))))</f>
        <v>B</v>
      </c>
      <c r="H68" s="25" t="n">
        <f aca="false">IF(D68="","",MAX(0,D68-0.5*C68))</f>
        <v>0</v>
      </c>
    </row>
    <row r="69" customFormat="false" ht="15" hidden="false" customHeight="false" outlineLevel="0" collapsed="false">
      <c r="A69" s="21" t="n">
        <v>46218</v>
      </c>
      <c r="B69" s="22" t="n">
        <v>19</v>
      </c>
      <c r="C69" s="25" t="n">
        <v>218.88</v>
      </c>
      <c r="D69" s="25" t="n">
        <v>17.52</v>
      </c>
      <c r="E69" s="25"/>
      <c r="F69" s="22" t="n">
        <f aca="false">WEEKDAY(A69,2)</f>
        <v>3</v>
      </c>
      <c r="G69" s="22" t="str">
        <f aca="false">IF(F69=7,IF(B69&gt;=23,"C","Sin turno"),IF(B69&lt;7,"C",IF(B69&lt;14,"A",IF(B69&lt;21,"B",IF(B69&lt;23,"Entre turnos",IF(F69=6,"Sin turno","C"))))))</f>
        <v>B</v>
      </c>
      <c r="H69" s="25" t="n">
        <f aca="false">IF(D69="","",MAX(0,D69-0.5*C69))</f>
        <v>0</v>
      </c>
    </row>
    <row r="70" customFormat="false" ht="15" hidden="false" customHeight="false" outlineLevel="0" collapsed="false">
      <c r="A70" s="21" t="n">
        <v>46218</v>
      </c>
      <c r="B70" s="22" t="n">
        <v>20</v>
      </c>
      <c r="C70" s="25" t="n">
        <v>213.96</v>
      </c>
      <c r="D70" s="25" t="n">
        <v>18.48</v>
      </c>
      <c r="E70" s="25"/>
      <c r="F70" s="22" t="n">
        <f aca="false">WEEKDAY(A70,2)</f>
        <v>3</v>
      </c>
      <c r="G70" s="22" t="str">
        <f aca="false">IF(F70=7,IF(B70&gt;=23,"C","Sin turno"),IF(B70&lt;7,"C",IF(B70&lt;14,"A",IF(B70&lt;21,"B",IF(B70&lt;23,"Entre turnos",IF(F70=6,"Sin turno","C"))))))</f>
        <v>B</v>
      </c>
      <c r="H70" s="25" t="n">
        <f aca="false">IF(D70="","",MAX(0,D70-0.5*C70))</f>
        <v>0</v>
      </c>
    </row>
    <row r="71" customFormat="false" ht="15" hidden="false" customHeight="false" outlineLevel="0" collapsed="false">
      <c r="A71" s="21" t="n">
        <v>46218</v>
      </c>
      <c r="B71" s="22" t="n">
        <v>21</v>
      </c>
      <c r="C71" s="25" t="n">
        <v>185.88</v>
      </c>
      <c r="D71" s="25" t="n">
        <v>18.48</v>
      </c>
      <c r="E71" s="25"/>
      <c r="F71" s="22" t="n">
        <f aca="false">WEEKDAY(A71,2)</f>
        <v>3</v>
      </c>
      <c r="G71" s="22" t="str">
        <f aca="false">IF(F71=7,IF(B71&gt;=23,"C","Sin turno"),IF(B71&lt;7,"C",IF(B71&lt;14,"A",IF(B71&lt;21,"B",IF(B71&lt;23,"Entre turnos",IF(F71=6,"Sin turno","C"))))))</f>
        <v>Entre turnos</v>
      </c>
      <c r="H71" s="25" t="n">
        <f aca="false">IF(D71="","",MAX(0,D71-0.5*C71))</f>
        <v>0</v>
      </c>
    </row>
    <row r="72" customFormat="false" ht="15" hidden="false" customHeight="false" outlineLevel="0" collapsed="false">
      <c r="A72" s="21" t="n">
        <v>46218</v>
      </c>
      <c r="B72" s="22" t="n">
        <v>22</v>
      </c>
      <c r="C72" s="25" t="n">
        <v>158.16</v>
      </c>
      <c r="D72" s="25" t="n">
        <v>21.72</v>
      </c>
      <c r="E72" s="25"/>
      <c r="F72" s="22" t="n">
        <f aca="false">WEEKDAY(A72,2)</f>
        <v>3</v>
      </c>
      <c r="G72" s="22" t="str">
        <f aca="false">IF(F72=7,IF(B72&gt;=23,"C","Sin turno"),IF(B72&lt;7,"C",IF(B72&lt;14,"A",IF(B72&lt;21,"B",IF(B72&lt;23,"Entre turnos",IF(F72=6,"Sin turno","C"))))))</f>
        <v>Entre turnos</v>
      </c>
      <c r="H72" s="25" t="n">
        <f aca="false">IF(D72="","",MAX(0,D72-0.5*C72))</f>
        <v>0</v>
      </c>
    </row>
    <row r="73" customFormat="false" ht="15" hidden="false" customHeight="false" outlineLevel="0" collapsed="false">
      <c r="A73" s="21" t="n">
        <v>46218</v>
      </c>
      <c r="B73" s="22" t="n">
        <v>23</v>
      </c>
      <c r="C73" s="25" t="n">
        <v>150.84</v>
      </c>
      <c r="D73" s="25" t="n">
        <v>18.36</v>
      </c>
      <c r="E73" s="25"/>
      <c r="F73" s="22" t="n">
        <f aca="false">WEEKDAY(A73,2)</f>
        <v>3</v>
      </c>
      <c r="G73" s="22" t="str">
        <f aca="false">IF(F73=7,IF(B73&gt;=23,"C","Sin turno"),IF(B73&lt;7,"C",IF(B73&lt;14,"A",IF(B73&lt;21,"B",IF(B73&lt;23,"Entre turnos",IF(F73=6,"Sin turno","C"))))))</f>
        <v>C</v>
      </c>
      <c r="H73" s="25" t="n">
        <f aca="false">IF(D73="","",MAX(0,D73-0.5*C73))</f>
        <v>0</v>
      </c>
    </row>
    <row r="74" customFormat="false" ht="15" hidden="false" customHeight="false" outlineLevel="0" collapsed="false">
      <c r="A74" s="21" t="n">
        <v>46219</v>
      </c>
      <c r="B74" s="22" t="n">
        <v>0</v>
      </c>
      <c r="C74" s="25" t="n">
        <v>154.08</v>
      </c>
      <c r="D74" s="25" t="n">
        <v>13.68</v>
      </c>
      <c r="E74" s="25"/>
      <c r="F74" s="22" t="n">
        <f aca="false">WEEKDAY(A74,2)</f>
        <v>4</v>
      </c>
      <c r="G74" s="22" t="str">
        <f aca="false">IF(F74=7,IF(B74&gt;=23,"C","Sin turno"),IF(B74&lt;7,"C",IF(B74&lt;14,"A",IF(B74&lt;21,"B",IF(B74&lt;23,"Entre turnos",IF(F74=6,"Sin turno","C"))))))</f>
        <v>C</v>
      </c>
      <c r="H74" s="25" t="n">
        <f aca="false">IF(D74="","",MAX(0,D74-0.5*C74))</f>
        <v>0</v>
      </c>
    </row>
    <row r="75" customFormat="false" ht="15" hidden="false" customHeight="false" outlineLevel="0" collapsed="false">
      <c r="A75" s="21" t="n">
        <v>46219</v>
      </c>
      <c r="B75" s="22" t="n">
        <v>1</v>
      </c>
      <c r="C75" s="25" t="n">
        <v>149.28</v>
      </c>
      <c r="D75" s="25" t="n">
        <v>11.64</v>
      </c>
      <c r="E75" s="25"/>
      <c r="F75" s="22" t="n">
        <f aca="false">WEEKDAY(A75,2)</f>
        <v>4</v>
      </c>
      <c r="G75" s="22" t="str">
        <f aca="false">IF(F75=7,IF(B75&gt;=23,"C","Sin turno"),IF(B75&lt;7,"C",IF(B75&lt;14,"A",IF(B75&lt;21,"B",IF(B75&lt;23,"Entre turnos",IF(F75=6,"Sin turno","C"))))))</f>
        <v>C</v>
      </c>
      <c r="H75" s="25" t="n">
        <f aca="false">IF(D75="","",MAX(0,D75-0.5*C75))</f>
        <v>0</v>
      </c>
    </row>
    <row r="76" customFormat="false" ht="15" hidden="false" customHeight="false" outlineLevel="0" collapsed="false">
      <c r="A76" s="21" t="n">
        <v>46219</v>
      </c>
      <c r="B76" s="22" t="n">
        <v>2</v>
      </c>
      <c r="C76" s="25" t="n">
        <v>151.92</v>
      </c>
      <c r="D76" s="25" t="n">
        <v>14.4</v>
      </c>
      <c r="E76" s="25"/>
      <c r="F76" s="22" t="n">
        <f aca="false">WEEKDAY(A76,2)</f>
        <v>4</v>
      </c>
      <c r="G76" s="22" t="str">
        <f aca="false">IF(F76=7,IF(B76&gt;=23,"C","Sin turno"),IF(B76&lt;7,"C",IF(B76&lt;14,"A",IF(B76&lt;21,"B",IF(B76&lt;23,"Entre turnos",IF(F76=6,"Sin turno","C"))))))</f>
        <v>C</v>
      </c>
      <c r="H76" s="25" t="n">
        <f aca="false">IF(D76="","",MAX(0,D76-0.5*C76))</f>
        <v>0</v>
      </c>
    </row>
    <row r="77" customFormat="false" ht="15" hidden="false" customHeight="false" outlineLevel="0" collapsed="false">
      <c r="A77" s="21" t="n">
        <v>46219</v>
      </c>
      <c r="B77" s="22" t="n">
        <v>3</v>
      </c>
      <c r="C77" s="25" t="n">
        <v>154.32</v>
      </c>
      <c r="D77" s="25" t="n">
        <v>13.92</v>
      </c>
      <c r="E77" s="25"/>
      <c r="F77" s="22" t="n">
        <f aca="false">WEEKDAY(A77,2)</f>
        <v>4</v>
      </c>
      <c r="G77" s="22" t="str">
        <f aca="false">IF(F77=7,IF(B77&gt;=23,"C","Sin turno"),IF(B77&lt;7,"C",IF(B77&lt;14,"A",IF(B77&lt;21,"B",IF(B77&lt;23,"Entre turnos",IF(F77=6,"Sin turno","C"))))))</f>
        <v>C</v>
      </c>
      <c r="H77" s="25" t="n">
        <f aca="false">IF(D77="","",MAX(0,D77-0.5*C77))</f>
        <v>0</v>
      </c>
    </row>
    <row r="78" customFormat="false" ht="15" hidden="false" customHeight="false" outlineLevel="0" collapsed="false">
      <c r="A78" s="21" t="n">
        <v>46219</v>
      </c>
      <c r="B78" s="22" t="n">
        <v>4</v>
      </c>
      <c r="C78" s="25" t="n">
        <v>147.36</v>
      </c>
      <c r="D78" s="25" t="n">
        <v>13.2</v>
      </c>
      <c r="E78" s="25"/>
      <c r="F78" s="22" t="n">
        <f aca="false">WEEKDAY(A78,2)</f>
        <v>4</v>
      </c>
      <c r="G78" s="22" t="str">
        <f aca="false">IF(F78=7,IF(B78&gt;=23,"C","Sin turno"),IF(B78&lt;7,"C",IF(B78&lt;14,"A",IF(B78&lt;21,"B",IF(B78&lt;23,"Entre turnos",IF(F78=6,"Sin turno","C"))))))</f>
        <v>C</v>
      </c>
      <c r="H78" s="25" t="n">
        <f aca="false">IF(D78="","",MAX(0,D78-0.5*C78))</f>
        <v>0</v>
      </c>
    </row>
    <row r="79" customFormat="false" ht="15" hidden="false" customHeight="false" outlineLevel="0" collapsed="false">
      <c r="A79" s="21" t="n">
        <v>46219</v>
      </c>
      <c r="B79" s="22" t="n">
        <v>5</v>
      </c>
      <c r="C79" s="25" t="n">
        <v>154.8</v>
      </c>
      <c r="D79" s="25" t="n">
        <v>14.64</v>
      </c>
      <c r="E79" s="25"/>
      <c r="F79" s="22" t="n">
        <f aca="false">WEEKDAY(A79,2)</f>
        <v>4</v>
      </c>
      <c r="G79" s="22" t="str">
        <f aca="false">IF(F79=7,IF(B79&gt;=23,"C","Sin turno"),IF(B79&lt;7,"C",IF(B79&lt;14,"A",IF(B79&lt;21,"B",IF(B79&lt;23,"Entre turnos",IF(F79=6,"Sin turno","C"))))))</f>
        <v>C</v>
      </c>
      <c r="H79" s="25" t="n">
        <f aca="false">IF(D79="","",MAX(0,D79-0.5*C79))</f>
        <v>0</v>
      </c>
    </row>
    <row r="80" customFormat="false" ht="15" hidden="false" customHeight="false" outlineLevel="0" collapsed="false">
      <c r="A80" s="21" t="n">
        <v>46219</v>
      </c>
      <c r="B80" s="22" t="n">
        <v>6</v>
      </c>
      <c r="C80" s="25" t="n">
        <v>157.32</v>
      </c>
      <c r="D80" s="25" t="n">
        <v>15.36</v>
      </c>
      <c r="E80" s="25"/>
      <c r="F80" s="22" t="n">
        <f aca="false">WEEKDAY(A80,2)</f>
        <v>4</v>
      </c>
      <c r="G80" s="22" t="str">
        <f aca="false">IF(F80=7,IF(B80&gt;=23,"C","Sin turno"),IF(B80&lt;7,"C",IF(B80&lt;14,"A",IF(B80&lt;21,"B",IF(B80&lt;23,"Entre turnos",IF(F80=6,"Sin turno","C"))))))</f>
        <v>C</v>
      </c>
      <c r="H80" s="25" t="n">
        <f aca="false">IF(D80="","",MAX(0,D80-0.5*C80))</f>
        <v>0</v>
      </c>
    </row>
    <row r="81" customFormat="false" ht="15" hidden="false" customHeight="false" outlineLevel="0" collapsed="false">
      <c r="A81" s="21" t="n">
        <v>46219</v>
      </c>
      <c r="B81" s="22" t="n">
        <v>7</v>
      </c>
      <c r="C81" s="25" t="n">
        <v>192.12</v>
      </c>
      <c r="D81" s="25" t="n">
        <v>20.4</v>
      </c>
      <c r="E81" s="25"/>
      <c r="F81" s="22" t="n">
        <f aca="false">WEEKDAY(A81,2)</f>
        <v>4</v>
      </c>
      <c r="G81" s="22" t="str">
        <f aca="false">IF(F81=7,IF(B81&gt;=23,"C","Sin turno"),IF(B81&lt;7,"C",IF(B81&lt;14,"A",IF(B81&lt;21,"B",IF(B81&lt;23,"Entre turnos",IF(F81=6,"Sin turno","C"))))))</f>
        <v>A</v>
      </c>
      <c r="H81" s="25" t="n">
        <f aca="false">IF(D81="","",MAX(0,D81-0.5*C81))</f>
        <v>0</v>
      </c>
    </row>
    <row r="82" customFormat="false" ht="15" hidden="false" customHeight="false" outlineLevel="0" collapsed="false">
      <c r="A82" s="21" t="n">
        <v>46219</v>
      </c>
      <c r="B82" s="22" t="n">
        <v>8</v>
      </c>
      <c r="C82" s="25" t="n">
        <v>197.88</v>
      </c>
      <c r="D82" s="25" t="n">
        <v>26.16</v>
      </c>
      <c r="E82" s="25"/>
      <c r="F82" s="22" t="n">
        <f aca="false">WEEKDAY(A82,2)</f>
        <v>4</v>
      </c>
      <c r="G82" s="22" t="str">
        <f aca="false">IF(F82=7,IF(B82&gt;=23,"C","Sin turno"),IF(B82&lt;7,"C",IF(B82&lt;14,"A",IF(B82&lt;21,"B",IF(B82&lt;23,"Entre turnos",IF(F82=6,"Sin turno","C"))))))</f>
        <v>A</v>
      </c>
      <c r="H82" s="25" t="n">
        <f aca="false">IF(D82="","",MAX(0,D82-0.5*C82))</f>
        <v>0</v>
      </c>
    </row>
    <row r="83" customFormat="false" ht="15" hidden="false" customHeight="false" outlineLevel="0" collapsed="false">
      <c r="A83" s="21" t="n">
        <v>46219</v>
      </c>
      <c r="B83" s="22" t="n">
        <v>9</v>
      </c>
      <c r="C83" s="25" t="n">
        <v>166.08</v>
      </c>
      <c r="D83" s="25" t="n">
        <v>24.96</v>
      </c>
      <c r="E83" s="25"/>
      <c r="F83" s="22" t="n">
        <f aca="false">WEEKDAY(A83,2)</f>
        <v>4</v>
      </c>
      <c r="G83" s="22" t="str">
        <f aca="false">IF(F83=7,IF(B83&gt;=23,"C","Sin turno"),IF(B83&lt;7,"C",IF(B83&lt;14,"A",IF(B83&lt;21,"B",IF(B83&lt;23,"Entre turnos",IF(F83=6,"Sin turno","C"))))))</f>
        <v>A</v>
      </c>
      <c r="H83" s="25" t="n">
        <f aca="false">IF(D83="","",MAX(0,D83-0.5*C83))</f>
        <v>0</v>
      </c>
    </row>
    <row r="84" customFormat="false" ht="15" hidden="false" customHeight="false" outlineLevel="0" collapsed="false">
      <c r="A84" s="21" t="n">
        <v>46219</v>
      </c>
      <c r="B84" s="22" t="n">
        <v>10</v>
      </c>
      <c r="C84" s="25" t="n">
        <v>159.36</v>
      </c>
      <c r="D84" s="25" t="n">
        <v>21.96</v>
      </c>
      <c r="E84" s="25"/>
      <c r="F84" s="22" t="n">
        <f aca="false">WEEKDAY(A84,2)</f>
        <v>4</v>
      </c>
      <c r="G84" s="22" t="str">
        <f aca="false">IF(F84=7,IF(B84&gt;=23,"C","Sin turno"),IF(B84&lt;7,"C",IF(B84&lt;14,"A",IF(B84&lt;21,"B",IF(B84&lt;23,"Entre turnos",IF(F84=6,"Sin turno","C"))))))</f>
        <v>A</v>
      </c>
      <c r="H84" s="25" t="n">
        <f aca="false">IF(D84="","",MAX(0,D84-0.5*C84))</f>
        <v>0</v>
      </c>
    </row>
    <row r="85" customFormat="false" ht="15" hidden="false" customHeight="false" outlineLevel="0" collapsed="false">
      <c r="A85" s="21" t="n">
        <v>46219</v>
      </c>
      <c r="B85" s="22" t="n">
        <v>11</v>
      </c>
      <c r="C85" s="25" t="n">
        <v>167.88</v>
      </c>
      <c r="D85" s="25" t="n">
        <v>18.36</v>
      </c>
      <c r="E85" s="25"/>
      <c r="F85" s="22" t="n">
        <f aca="false">WEEKDAY(A85,2)</f>
        <v>4</v>
      </c>
      <c r="G85" s="22" t="str">
        <f aca="false">IF(F85=7,IF(B85&gt;=23,"C","Sin turno"),IF(B85&lt;7,"C",IF(B85&lt;14,"A",IF(B85&lt;21,"B",IF(B85&lt;23,"Entre turnos",IF(F85=6,"Sin turno","C"))))))</f>
        <v>A</v>
      </c>
      <c r="H85" s="25" t="n">
        <f aca="false">IF(D85="","",MAX(0,D85-0.5*C85))</f>
        <v>0</v>
      </c>
    </row>
    <row r="86" customFormat="false" ht="15" hidden="false" customHeight="false" outlineLevel="0" collapsed="false">
      <c r="A86" s="21" t="n">
        <v>46219</v>
      </c>
      <c r="B86" s="22" t="n">
        <v>12</v>
      </c>
      <c r="C86" s="25" t="n">
        <v>180</v>
      </c>
      <c r="D86" s="25" t="n">
        <v>18.84</v>
      </c>
      <c r="E86" s="25"/>
      <c r="F86" s="22" t="n">
        <f aca="false">WEEKDAY(A86,2)</f>
        <v>4</v>
      </c>
      <c r="G86" s="22" t="str">
        <f aca="false">IF(F86=7,IF(B86&gt;=23,"C","Sin turno"),IF(B86&lt;7,"C",IF(B86&lt;14,"A",IF(B86&lt;21,"B",IF(B86&lt;23,"Entre turnos",IF(F86=6,"Sin turno","C"))))))</f>
        <v>A</v>
      </c>
      <c r="H86" s="25" t="n">
        <f aca="false">IF(D86="","",MAX(0,D86-0.5*C86))</f>
        <v>0</v>
      </c>
    </row>
    <row r="87" customFormat="false" ht="15" hidden="false" customHeight="false" outlineLevel="0" collapsed="false">
      <c r="A87" s="21" t="n">
        <v>46219</v>
      </c>
      <c r="B87" s="22" t="n">
        <v>13</v>
      </c>
      <c r="C87" s="25" t="n">
        <v>187.44</v>
      </c>
      <c r="D87" s="25" t="n">
        <v>19.2</v>
      </c>
      <c r="E87" s="25"/>
      <c r="F87" s="22" t="n">
        <f aca="false">WEEKDAY(A87,2)</f>
        <v>4</v>
      </c>
      <c r="G87" s="22" t="str">
        <f aca="false">IF(F87=7,IF(B87&gt;=23,"C","Sin turno"),IF(B87&lt;7,"C",IF(B87&lt;14,"A",IF(B87&lt;21,"B",IF(B87&lt;23,"Entre turnos",IF(F87=6,"Sin turno","C"))))))</f>
        <v>A</v>
      </c>
      <c r="H87" s="25" t="n">
        <f aca="false">IF(D87="","",MAX(0,D87-0.5*C87))</f>
        <v>0</v>
      </c>
    </row>
    <row r="88" customFormat="false" ht="15" hidden="false" customHeight="false" outlineLevel="0" collapsed="false">
      <c r="A88" s="21" t="n">
        <v>46219</v>
      </c>
      <c r="B88" s="22" t="n">
        <v>14</v>
      </c>
      <c r="C88" s="25" t="n">
        <v>176.28</v>
      </c>
      <c r="D88" s="25" t="n">
        <v>15.84</v>
      </c>
      <c r="E88" s="25"/>
      <c r="F88" s="22" t="n">
        <f aca="false">WEEKDAY(A88,2)</f>
        <v>4</v>
      </c>
      <c r="G88" s="22" t="str">
        <f aca="false">IF(F88=7,IF(B88&gt;=23,"C","Sin turno"),IF(B88&lt;7,"C",IF(B88&lt;14,"A",IF(B88&lt;21,"B",IF(B88&lt;23,"Entre turnos",IF(F88=6,"Sin turno","C"))))))</f>
        <v>B</v>
      </c>
      <c r="H88" s="25" t="n">
        <f aca="false">IF(D88="","",MAX(0,D88-0.5*C88))</f>
        <v>0</v>
      </c>
    </row>
    <row r="89" customFormat="false" ht="15" hidden="false" customHeight="false" outlineLevel="0" collapsed="false">
      <c r="A89" s="21" t="n">
        <v>46219</v>
      </c>
      <c r="B89" s="22" t="n">
        <v>15</v>
      </c>
      <c r="C89" s="25" t="n">
        <v>219.12</v>
      </c>
      <c r="D89" s="25" t="n">
        <v>18.24</v>
      </c>
      <c r="E89" s="25"/>
      <c r="F89" s="22" t="n">
        <f aca="false">WEEKDAY(A89,2)</f>
        <v>4</v>
      </c>
      <c r="G89" s="22" t="str">
        <f aca="false">IF(F89=7,IF(B89&gt;=23,"C","Sin turno"),IF(B89&lt;7,"C",IF(B89&lt;14,"A",IF(B89&lt;21,"B",IF(B89&lt;23,"Entre turnos",IF(F89=6,"Sin turno","C"))))))</f>
        <v>B</v>
      </c>
      <c r="H89" s="25" t="n">
        <f aca="false">IF(D89="","",MAX(0,D89-0.5*C89))</f>
        <v>0</v>
      </c>
    </row>
    <row r="90" customFormat="false" ht="15" hidden="false" customHeight="false" outlineLevel="0" collapsed="false">
      <c r="A90" s="21" t="n">
        <v>46219</v>
      </c>
      <c r="B90" s="22" t="n">
        <v>16</v>
      </c>
      <c r="C90" s="25" t="n">
        <v>260.76</v>
      </c>
      <c r="D90" s="25" t="n">
        <v>22.68</v>
      </c>
      <c r="E90" s="25"/>
      <c r="F90" s="22" t="n">
        <f aca="false">WEEKDAY(A90,2)</f>
        <v>4</v>
      </c>
      <c r="G90" s="22" t="str">
        <f aca="false">IF(F90=7,IF(B90&gt;=23,"C","Sin turno"),IF(B90&lt;7,"C",IF(B90&lt;14,"A",IF(B90&lt;21,"B",IF(B90&lt;23,"Entre turnos",IF(F90=6,"Sin turno","C"))))))</f>
        <v>B</v>
      </c>
      <c r="H90" s="25" t="n">
        <f aca="false">IF(D90="","",MAX(0,D90-0.5*C90))</f>
        <v>0</v>
      </c>
    </row>
    <row r="91" customFormat="false" ht="15" hidden="false" customHeight="false" outlineLevel="0" collapsed="false">
      <c r="A91" s="21" t="n">
        <v>46219</v>
      </c>
      <c r="B91" s="22" t="n">
        <v>17</v>
      </c>
      <c r="C91" s="25" t="n">
        <v>238.8</v>
      </c>
      <c r="D91" s="25" t="n">
        <v>26.04</v>
      </c>
      <c r="E91" s="25"/>
      <c r="F91" s="22" t="n">
        <f aca="false">WEEKDAY(A91,2)</f>
        <v>4</v>
      </c>
      <c r="G91" s="22" t="str">
        <f aca="false">IF(F91=7,IF(B91&gt;=23,"C","Sin turno"),IF(B91&lt;7,"C",IF(B91&lt;14,"A",IF(B91&lt;21,"B",IF(B91&lt;23,"Entre turnos",IF(F91=6,"Sin turno","C"))))))</f>
        <v>B</v>
      </c>
      <c r="H91" s="25" t="n">
        <f aca="false">IF(D91="","",MAX(0,D91-0.5*C91))</f>
        <v>0</v>
      </c>
    </row>
    <row r="92" customFormat="false" ht="15" hidden="false" customHeight="false" outlineLevel="0" collapsed="false">
      <c r="A92" s="21" t="n">
        <v>46219</v>
      </c>
      <c r="B92" s="22" t="n">
        <v>18</v>
      </c>
      <c r="C92" s="25" t="n">
        <v>207.6</v>
      </c>
      <c r="D92" s="25" t="n">
        <v>19.44</v>
      </c>
      <c r="E92" s="25"/>
      <c r="F92" s="22" t="n">
        <f aca="false">WEEKDAY(A92,2)</f>
        <v>4</v>
      </c>
      <c r="G92" s="22" t="str">
        <f aca="false">IF(F92=7,IF(B92&gt;=23,"C","Sin turno"),IF(B92&lt;7,"C",IF(B92&lt;14,"A",IF(B92&lt;21,"B",IF(B92&lt;23,"Entre turnos",IF(F92=6,"Sin turno","C"))))))</f>
        <v>B</v>
      </c>
      <c r="H92" s="25" t="n">
        <f aca="false">IF(D92="","",MAX(0,D92-0.5*C92))</f>
        <v>0</v>
      </c>
    </row>
    <row r="93" customFormat="false" ht="15" hidden="false" customHeight="false" outlineLevel="0" collapsed="false">
      <c r="A93" s="21" t="n">
        <v>46219</v>
      </c>
      <c r="B93" s="22" t="n">
        <v>19</v>
      </c>
      <c r="C93" s="25" t="n">
        <v>203.88</v>
      </c>
      <c r="D93" s="25" t="n">
        <v>17.52</v>
      </c>
      <c r="E93" s="25"/>
      <c r="F93" s="22" t="n">
        <f aca="false">WEEKDAY(A93,2)</f>
        <v>4</v>
      </c>
      <c r="G93" s="22" t="str">
        <f aca="false">IF(F93=7,IF(B93&gt;=23,"C","Sin turno"),IF(B93&lt;7,"C",IF(B93&lt;14,"A",IF(B93&lt;21,"B",IF(B93&lt;23,"Entre turnos",IF(F93=6,"Sin turno","C"))))))</f>
        <v>B</v>
      </c>
      <c r="H93" s="25" t="n">
        <f aca="false">IF(D93="","",MAX(0,D93-0.5*C93))</f>
        <v>0</v>
      </c>
    </row>
    <row r="94" customFormat="false" ht="15" hidden="false" customHeight="false" outlineLevel="0" collapsed="false">
      <c r="A94" s="21" t="n">
        <v>46219</v>
      </c>
      <c r="B94" s="22" t="n">
        <v>20</v>
      </c>
      <c r="C94" s="25" t="n">
        <v>216.84</v>
      </c>
      <c r="D94" s="25" t="n">
        <v>18.12</v>
      </c>
      <c r="E94" s="25"/>
      <c r="F94" s="22" t="n">
        <f aca="false">WEEKDAY(A94,2)</f>
        <v>4</v>
      </c>
      <c r="G94" s="22" t="str">
        <f aca="false">IF(F94=7,IF(B94&gt;=23,"C","Sin turno"),IF(B94&lt;7,"C",IF(B94&lt;14,"A",IF(B94&lt;21,"B",IF(B94&lt;23,"Entre turnos",IF(F94=6,"Sin turno","C"))))))</f>
        <v>B</v>
      </c>
      <c r="H94" s="25" t="n">
        <f aca="false">IF(D94="","",MAX(0,D94-0.5*C94))</f>
        <v>0</v>
      </c>
    </row>
    <row r="95" customFormat="false" ht="15" hidden="false" customHeight="false" outlineLevel="0" collapsed="false">
      <c r="A95" s="21" t="n">
        <v>46219</v>
      </c>
      <c r="B95" s="22" t="n">
        <v>21</v>
      </c>
      <c r="C95" s="25" t="n">
        <v>170.4</v>
      </c>
      <c r="D95" s="25" t="n">
        <v>17.64</v>
      </c>
      <c r="E95" s="25"/>
      <c r="F95" s="22" t="n">
        <f aca="false">WEEKDAY(A95,2)</f>
        <v>4</v>
      </c>
      <c r="G95" s="22" t="str">
        <f aca="false">IF(F95=7,IF(B95&gt;=23,"C","Sin turno"),IF(B95&lt;7,"C",IF(B95&lt;14,"A",IF(B95&lt;21,"B",IF(B95&lt;23,"Entre turnos",IF(F95=6,"Sin turno","C"))))))</f>
        <v>Entre turnos</v>
      </c>
      <c r="H95" s="25" t="n">
        <f aca="false">IF(D95="","",MAX(0,D95-0.5*C95))</f>
        <v>0</v>
      </c>
    </row>
    <row r="96" customFormat="false" ht="15" hidden="false" customHeight="false" outlineLevel="0" collapsed="false">
      <c r="A96" s="21" t="n">
        <v>46219</v>
      </c>
      <c r="B96" s="22" t="n">
        <v>22</v>
      </c>
      <c r="C96" s="25" t="n">
        <v>144.72</v>
      </c>
      <c r="D96" s="25" t="n">
        <v>20.64</v>
      </c>
      <c r="E96" s="25"/>
      <c r="F96" s="22" t="n">
        <f aca="false">WEEKDAY(A96,2)</f>
        <v>4</v>
      </c>
      <c r="G96" s="22" t="str">
        <f aca="false">IF(F96=7,IF(B96&gt;=23,"C","Sin turno"),IF(B96&lt;7,"C",IF(B96&lt;14,"A",IF(B96&lt;21,"B",IF(B96&lt;23,"Entre turnos",IF(F96=6,"Sin turno","C"))))))</f>
        <v>Entre turnos</v>
      </c>
      <c r="H96" s="25" t="n">
        <f aca="false">IF(D96="","",MAX(0,D96-0.5*C96))</f>
        <v>0</v>
      </c>
    </row>
    <row r="97" customFormat="false" ht="15" hidden="false" customHeight="false" outlineLevel="0" collapsed="false">
      <c r="A97" s="21" t="n">
        <v>46219</v>
      </c>
      <c r="B97" s="22" t="n">
        <v>23</v>
      </c>
      <c r="C97" s="25" t="n">
        <v>155.04</v>
      </c>
      <c r="D97" s="25" t="n">
        <v>15.48</v>
      </c>
      <c r="E97" s="25"/>
      <c r="F97" s="22" t="n">
        <f aca="false">WEEKDAY(A97,2)</f>
        <v>4</v>
      </c>
      <c r="G97" s="22" t="str">
        <f aca="false">IF(F97=7,IF(B97&gt;=23,"C","Sin turno"),IF(B97&lt;7,"C",IF(B97&lt;14,"A",IF(B97&lt;21,"B",IF(B97&lt;23,"Entre turnos",IF(F97=6,"Sin turno","C"))))))</f>
        <v>C</v>
      </c>
      <c r="H97" s="25" t="n">
        <f aca="false">IF(D97="","",MAX(0,D97-0.5*C97))</f>
        <v>0</v>
      </c>
    </row>
    <row r="98" customFormat="false" ht="15" hidden="false" customHeight="false" outlineLevel="0" collapsed="false">
      <c r="A98" s="21" t="n">
        <v>46220</v>
      </c>
      <c r="B98" s="22" t="n">
        <v>0</v>
      </c>
      <c r="C98" s="25" t="n">
        <v>148.44</v>
      </c>
      <c r="D98" s="25" t="n">
        <v>16.2</v>
      </c>
      <c r="E98" s="25"/>
      <c r="F98" s="22" t="n">
        <f aca="false">WEEKDAY(A98,2)</f>
        <v>5</v>
      </c>
      <c r="G98" s="22" t="str">
        <f aca="false">IF(F98=7,IF(B98&gt;=23,"C","Sin turno"),IF(B98&lt;7,"C",IF(B98&lt;14,"A",IF(B98&lt;21,"B",IF(B98&lt;23,"Entre turnos",IF(F98=6,"Sin turno","C"))))))</f>
        <v>C</v>
      </c>
      <c r="H98" s="25" t="n">
        <f aca="false">IF(D98="","",MAX(0,D98-0.5*C98))</f>
        <v>0</v>
      </c>
    </row>
    <row r="99" customFormat="false" ht="15" hidden="false" customHeight="false" outlineLevel="0" collapsed="false">
      <c r="A99" s="21" t="n">
        <v>46220</v>
      </c>
      <c r="B99" s="22" t="n">
        <v>1</v>
      </c>
      <c r="C99" s="25" t="n">
        <v>147.48</v>
      </c>
      <c r="D99" s="25" t="n">
        <v>14.4</v>
      </c>
      <c r="E99" s="25"/>
      <c r="F99" s="22" t="n">
        <f aca="false">WEEKDAY(A99,2)</f>
        <v>5</v>
      </c>
      <c r="G99" s="22" t="str">
        <f aca="false">IF(F99=7,IF(B99&gt;=23,"C","Sin turno"),IF(B99&lt;7,"C",IF(B99&lt;14,"A",IF(B99&lt;21,"B",IF(B99&lt;23,"Entre turnos",IF(F99=6,"Sin turno","C"))))))</f>
        <v>C</v>
      </c>
      <c r="H99" s="25" t="n">
        <f aca="false">IF(D99="","",MAX(0,D99-0.5*C99))</f>
        <v>0</v>
      </c>
    </row>
    <row r="100" customFormat="false" ht="15" hidden="false" customHeight="false" outlineLevel="0" collapsed="false">
      <c r="A100" s="21" t="n">
        <v>46220</v>
      </c>
      <c r="B100" s="22" t="n">
        <v>2</v>
      </c>
      <c r="C100" s="25" t="n">
        <v>137.64</v>
      </c>
      <c r="D100" s="25" t="n">
        <v>15.96</v>
      </c>
      <c r="E100" s="25"/>
      <c r="F100" s="22" t="n">
        <f aca="false">WEEKDAY(A100,2)</f>
        <v>5</v>
      </c>
      <c r="G100" s="22" t="str">
        <f aca="false">IF(F100=7,IF(B100&gt;=23,"C","Sin turno"),IF(B100&lt;7,"C",IF(B100&lt;14,"A",IF(B100&lt;21,"B",IF(B100&lt;23,"Entre turnos",IF(F100=6,"Sin turno","C"))))))</f>
        <v>C</v>
      </c>
      <c r="H100" s="25" t="n">
        <f aca="false">IF(D100="","",MAX(0,D100-0.5*C100))</f>
        <v>0</v>
      </c>
    </row>
    <row r="101" customFormat="false" ht="15" hidden="false" customHeight="false" outlineLevel="0" collapsed="false">
      <c r="A101" s="21" t="n">
        <v>46220</v>
      </c>
      <c r="B101" s="22" t="n">
        <v>3</v>
      </c>
      <c r="C101" s="25" t="n">
        <v>137.4</v>
      </c>
      <c r="D101" s="25" t="n">
        <v>17.04</v>
      </c>
      <c r="E101" s="25"/>
      <c r="F101" s="22" t="n">
        <f aca="false">WEEKDAY(A101,2)</f>
        <v>5</v>
      </c>
      <c r="G101" s="22" t="str">
        <f aca="false">IF(F101=7,IF(B101&gt;=23,"C","Sin turno"),IF(B101&lt;7,"C",IF(B101&lt;14,"A",IF(B101&lt;21,"B",IF(B101&lt;23,"Entre turnos",IF(F101=6,"Sin turno","C"))))))</f>
        <v>C</v>
      </c>
      <c r="H101" s="25" t="n">
        <f aca="false">IF(D101="","",MAX(0,D101-0.5*C101))</f>
        <v>0</v>
      </c>
    </row>
    <row r="102" customFormat="false" ht="15" hidden="false" customHeight="false" outlineLevel="0" collapsed="false">
      <c r="A102" s="21" t="n">
        <v>46220</v>
      </c>
      <c r="B102" s="22" t="n">
        <v>4</v>
      </c>
      <c r="C102" s="25" t="n">
        <v>136.92</v>
      </c>
      <c r="D102" s="25" t="n">
        <v>17.16</v>
      </c>
      <c r="E102" s="25"/>
      <c r="F102" s="22" t="n">
        <f aca="false">WEEKDAY(A102,2)</f>
        <v>5</v>
      </c>
      <c r="G102" s="22" t="str">
        <f aca="false">IF(F102=7,IF(B102&gt;=23,"C","Sin turno"),IF(B102&lt;7,"C",IF(B102&lt;14,"A",IF(B102&lt;21,"B",IF(B102&lt;23,"Entre turnos",IF(F102=6,"Sin turno","C"))))))</f>
        <v>C</v>
      </c>
      <c r="H102" s="25" t="n">
        <f aca="false">IF(D102="","",MAX(0,D102-0.5*C102))</f>
        <v>0</v>
      </c>
    </row>
    <row r="103" customFormat="false" ht="15" hidden="false" customHeight="false" outlineLevel="0" collapsed="false">
      <c r="A103" s="21" t="n">
        <v>46220</v>
      </c>
      <c r="B103" s="22" t="n">
        <v>5</v>
      </c>
      <c r="C103" s="25" t="n">
        <v>135.36</v>
      </c>
      <c r="D103" s="25" t="n">
        <v>19.56</v>
      </c>
      <c r="E103" s="25"/>
      <c r="F103" s="22" t="n">
        <f aca="false">WEEKDAY(A103,2)</f>
        <v>5</v>
      </c>
      <c r="G103" s="22" t="str">
        <f aca="false">IF(F103=7,IF(B103&gt;=23,"C","Sin turno"),IF(B103&lt;7,"C",IF(B103&lt;14,"A",IF(B103&lt;21,"B",IF(B103&lt;23,"Entre turnos",IF(F103=6,"Sin turno","C"))))))</f>
        <v>C</v>
      </c>
      <c r="H103" s="25" t="n">
        <f aca="false">IF(D103="","",MAX(0,D103-0.5*C103))</f>
        <v>0</v>
      </c>
    </row>
    <row r="104" customFormat="false" ht="15" hidden="false" customHeight="false" outlineLevel="0" collapsed="false">
      <c r="A104" s="21" t="n">
        <v>46220</v>
      </c>
      <c r="B104" s="22" t="n">
        <v>6</v>
      </c>
      <c r="C104" s="25" t="n">
        <v>157.8</v>
      </c>
      <c r="D104" s="25" t="n">
        <v>13.92</v>
      </c>
      <c r="E104" s="25"/>
      <c r="F104" s="22" t="n">
        <f aca="false">WEEKDAY(A104,2)</f>
        <v>5</v>
      </c>
      <c r="G104" s="22" t="str">
        <f aca="false">IF(F104=7,IF(B104&gt;=23,"C","Sin turno"),IF(B104&lt;7,"C",IF(B104&lt;14,"A",IF(B104&lt;21,"B",IF(B104&lt;23,"Entre turnos",IF(F104=6,"Sin turno","C"))))))</f>
        <v>C</v>
      </c>
      <c r="H104" s="25" t="n">
        <f aca="false">IF(D104="","",MAX(0,D104-0.5*C104))</f>
        <v>0</v>
      </c>
    </row>
    <row r="105" customFormat="false" ht="15" hidden="false" customHeight="false" outlineLevel="0" collapsed="false">
      <c r="A105" s="21" t="n">
        <v>46220</v>
      </c>
      <c r="B105" s="22" t="n">
        <v>7</v>
      </c>
      <c r="C105" s="25" t="n">
        <v>187.44</v>
      </c>
      <c r="D105" s="25" t="n">
        <v>22.2</v>
      </c>
      <c r="E105" s="25"/>
      <c r="F105" s="22" t="n">
        <f aca="false">WEEKDAY(A105,2)</f>
        <v>5</v>
      </c>
      <c r="G105" s="22" t="str">
        <f aca="false">IF(F105=7,IF(B105&gt;=23,"C","Sin turno"),IF(B105&lt;7,"C",IF(B105&lt;14,"A",IF(B105&lt;21,"B",IF(B105&lt;23,"Entre turnos",IF(F105=6,"Sin turno","C"))))))</f>
        <v>A</v>
      </c>
      <c r="H105" s="25" t="n">
        <f aca="false">IF(D105="","",MAX(0,D105-0.5*C105))</f>
        <v>0</v>
      </c>
    </row>
    <row r="106" customFormat="false" ht="15" hidden="false" customHeight="false" outlineLevel="0" collapsed="false">
      <c r="A106" s="21" t="n">
        <v>46220</v>
      </c>
      <c r="B106" s="22" t="n">
        <v>8</v>
      </c>
      <c r="C106" s="25" t="n">
        <v>206.4</v>
      </c>
      <c r="D106" s="25" t="n">
        <v>14.4</v>
      </c>
      <c r="E106" s="25"/>
      <c r="F106" s="22" t="n">
        <f aca="false">WEEKDAY(A106,2)</f>
        <v>5</v>
      </c>
      <c r="G106" s="22" t="str">
        <f aca="false">IF(F106=7,IF(B106&gt;=23,"C","Sin turno"),IF(B106&lt;7,"C",IF(B106&lt;14,"A",IF(B106&lt;21,"B",IF(B106&lt;23,"Entre turnos",IF(F106=6,"Sin turno","C"))))))</f>
        <v>A</v>
      </c>
      <c r="H106" s="25" t="n">
        <f aca="false">IF(D106="","",MAX(0,D106-0.5*C106))</f>
        <v>0</v>
      </c>
    </row>
    <row r="107" customFormat="false" ht="15" hidden="false" customHeight="false" outlineLevel="0" collapsed="false">
      <c r="A107" s="21" t="n">
        <v>46220</v>
      </c>
      <c r="B107" s="22" t="n">
        <v>9</v>
      </c>
      <c r="C107" s="25" t="n">
        <v>166.92</v>
      </c>
      <c r="D107" s="25" t="n">
        <v>16.8</v>
      </c>
      <c r="E107" s="25"/>
      <c r="F107" s="22" t="n">
        <f aca="false">WEEKDAY(A107,2)</f>
        <v>5</v>
      </c>
      <c r="G107" s="22" t="str">
        <f aca="false">IF(F107=7,IF(B107&gt;=23,"C","Sin turno"),IF(B107&lt;7,"C",IF(B107&lt;14,"A",IF(B107&lt;21,"B",IF(B107&lt;23,"Entre turnos",IF(F107=6,"Sin turno","C"))))))</f>
        <v>A</v>
      </c>
      <c r="H107" s="25" t="n">
        <f aca="false">IF(D107="","",MAX(0,D107-0.5*C107))</f>
        <v>0</v>
      </c>
    </row>
    <row r="108" customFormat="false" ht="15" hidden="false" customHeight="false" outlineLevel="0" collapsed="false">
      <c r="A108" s="21" t="n">
        <v>46220</v>
      </c>
      <c r="B108" s="22" t="n">
        <v>10</v>
      </c>
      <c r="C108" s="25" t="n">
        <v>169.08</v>
      </c>
      <c r="D108" s="25" t="n">
        <v>19.2</v>
      </c>
      <c r="E108" s="25"/>
      <c r="F108" s="22" t="n">
        <f aca="false">WEEKDAY(A108,2)</f>
        <v>5</v>
      </c>
      <c r="G108" s="22" t="str">
        <f aca="false">IF(F108=7,IF(B108&gt;=23,"C","Sin turno"),IF(B108&lt;7,"C",IF(B108&lt;14,"A",IF(B108&lt;21,"B",IF(B108&lt;23,"Entre turnos",IF(F108=6,"Sin turno","C"))))))</f>
        <v>A</v>
      </c>
      <c r="H108" s="25" t="n">
        <f aca="false">IF(D108="","",MAX(0,D108-0.5*C108))</f>
        <v>0</v>
      </c>
    </row>
    <row r="109" customFormat="false" ht="15" hidden="false" customHeight="false" outlineLevel="0" collapsed="false">
      <c r="A109" s="21" t="n">
        <v>46220</v>
      </c>
      <c r="B109" s="22" t="n">
        <v>11</v>
      </c>
      <c r="C109" s="25" t="n">
        <v>180.6</v>
      </c>
      <c r="D109" s="25" t="n">
        <v>16.8</v>
      </c>
      <c r="E109" s="25"/>
      <c r="F109" s="22" t="n">
        <f aca="false">WEEKDAY(A109,2)</f>
        <v>5</v>
      </c>
      <c r="G109" s="22" t="str">
        <f aca="false">IF(F109=7,IF(B109&gt;=23,"C","Sin turno"),IF(B109&lt;7,"C",IF(B109&lt;14,"A",IF(B109&lt;21,"B",IF(B109&lt;23,"Entre turnos",IF(F109=6,"Sin turno","C"))))))</f>
        <v>A</v>
      </c>
      <c r="H109" s="25" t="n">
        <f aca="false">IF(D109="","",MAX(0,D109-0.5*C109))</f>
        <v>0</v>
      </c>
    </row>
    <row r="110" customFormat="false" ht="15" hidden="false" customHeight="false" outlineLevel="0" collapsed="false">
      <c r="A110" s="21" t="n">
        <v>46220</v>
      </c>
      <c r="B110" s="22" t="n">
        <v>12</v>
      </c>
      <c r="C110" s="25" t="n">
        <v>165.72</v>
      </c>
      <c r="D110" s="25" t="n">
        <v>18.24</v>
      </c>
      <c r="E110" s="25"/>
      <c r="F110" s="22" t="n">
        <f aca="false">WEEKDAY(A110,2)</f>
        <v>5</v>
      </c>
      <c r="G110" s="22" t="str">
        <f aca="false">IF(F110=7,IF(B110&gt;=23,"C","Sin turno"),IF(B110&lt;7,"C",IF(B110&lt;14,"A",IF(B110&lt;21,"B",IF(B110&lt;23,"Entre turnos",IF(F110=6,"Sin turno","C"))))))</f>
        <v>A</v>
      </c>
      <c r="H110" s="25" t="n">
        <f aca="false">IF(D110="","",MAX(0,D110-0.5*C110))</f>
        <v>0</v>
      </c>
    </row>
    <row r="111" customFormat="false" ht="15" hidden="false" customHeight="false" outlineLevel="0" collapsed="false">
      <c r="A111" s="21" t="n">
        <v>46220</v>
      </c>
      <c r="B111" s="22" t="n">
        <v>13</v>
      </c>
      <c r="C111" s="25" t="n">
        <v>171.84</v>
      </c>
      <c r="D111" s="25" t="n">
        <v>20.76</v>
      </c>
      <c r="E111" s="25"/>
      <c r="F111" s="22" t="n">
        <f aca="false">WEEKDAY(A111,2)</f>
        <v>5</v>
      </c>
      <c r="G111" s="22" t="str">
        <f aca="false">IF(F111=7,IF(B111&gt;=23,"C","Sin turno"),IF(B111&lt;7,"C",IF(B111&lt;14,"A",IF(B111&lt;21,"B",IF(B111&lt;23,"Entre turnos",IF(F111=6,"Sin turno","C"))))))</f>
        <v>A</v>
      </c>
      <c r="H111" s="25" t="n">
        <f aca="false">IF(D111="","",MAX(0,D111-0.5*C111))</f>
        <v>0</v>
      </c>
    </row>
    <row r="112" customFormat="false" ht="15" hidden="false" customHeight="false" outlineLevel="0" collapsed="false">
      <c r="A112" s="21" t="n">
        <v>46220</v>
      </c>
      <c r="B112" s="22" t="n">
        <v>14</v>
      </c>
      <c r="C112" s="25" t="n">
        <v>165</v>
      </c>
      <c r="D112" s="25" t="n">
        <v>21.6</v>
      </c>
      <c r="E112" s="25"/>
      <c r="F112" s="22" t="n">
        <f aca="false">WEEKDAY(A112,2)</f>
        <v>5</v>
      </c>
      <c r="G112" s="22" t="str">
        <f aca="false">IF(F112=7,IF(B112&gt;=23,"C","Sin turno"),IF(B112&lt;7,"C",IF(B112&lt;14,"A",IF(B112&lt;21,"B",IF(B112&lt;23,"Entre turnos",IF(F112=6,"Sin turno","C"))))))</f>
        <v>B</v>
      </c>
      <c r="H112" s="25" t="n">
        <f aca="false">IF(D112="","",MAX(0,D112-0.5*C112))</f>
        <v>0</v>
      </c>
    </row>
    <row r="113" customFormat="false" ht="15" hidden="false" customHeight="false" outlineLevel="0" collapsed="false">
      <c r="A113" s="21" t="n">
        <v>46220</v>
      </c>
      <c r="B113" s="22" t="n">
        <v>15</v>
      </c>
      <c r="C113" s="25" t="n">
        <v>164.88</v>
      </c>
      <c r="D113" s="25" t="n">
        <v>23.28</v>
      </c>
      <c r="E113" s="25"/>
      <c r="F113" s="22" t="n">
        <f aca="false">WEEKDAY(A113,2)</f>
        <v>5</v>
      </c>
      <c r="G113" s="22" t="str">
        <f aca="false">IF(F113=7,IF(B113&gt;=23,"C","Sin turno"),IF(B113&lt;7,"C",IF(B113&lt;14,"A",IF(B113&lt;21,"B",IF(B113&lt;23,"Entre turnos",IF(F113=6,"Sin turno","C"))))))</f>
        <v>B</v>
      </c>
      <c r="H113" s="25" t="n">
        <f aca="false">IF(D113="","",MAX(0,D113-0.5*C113))</f>
        <v>0</v>
      </c>
    </row>
    <row r="114" customFormat="false" ht="15" hidden="false" customHeight="false" outlineLevel="0" collapsed="false">
      <c r="A114" s="21" t="n">
        <v>46220</v>
      </c>
      <c r="B114" s="22" t="n">
        <v>16</v>
      </c>
      <c r="C114" s="25" t="n">
        <v>203.64</v>
      </c>
      <c r="D114" s="25" t="n">
        <v>27.84</v>
      </c>
      <c r="E114" s="25"/>
      <c r="F114" s="22" t="n">
        <f aca="false">WEEKDAY(A114,2)</f>
        <v>5</v>
      </c>
      <c r="G114" s="22" t="str">
        <f aca="false">IF(F114=7,IF(B114&gt;=23,"C","Sin turno"),IF(B114&lt;7,"C",IF(B114&lt;14,"A",IF(B114&lt;21,"B",IF(B114&lt;23,"Entre turnos",IF(F114=6,"Sin turno","C"))))))</f>
        <v>B</v>
      </c>
      <c r="H114" s="25" t="n">
        <f aca="false">IF(D114="","",MAX(0,D114-0.5*C114))</f>
        <v>0</v>
      </c>
    </row>
    <row r="115" customFormat="false" ht="15" hidden="false" customHeight="false" outlineLevel="0" collapsed="false">
      <c r="A115" s="21" t="n">
        <v>46220</v>
      </c>
      <c r="B115" s="22" t="n">
        <v>17</v>
      </c>
      <c r="C115" s="25" t="n">
        <v>201.12</v>
      </c>
      <c r="D115" s="25" t="n">
        <v>23.76</v>
      </c>
      <c r="E115" s="25"/>
      <c r="F115" s="22" t="n">
        <f aca="false">WEEKDAY(A115,2)</f>
        <v>5</v>
      </c>
      <c r="G115" s="22" t="str">
        <f aca="false">IF(F115=7,IF(B115&gt;=23,"C","Sin turno"),IF(B115&lt;7,"C",IF(B115&lt;14,"A",IF(B115&lt;21,"B",IF(B115&lt;23,"Entre turnos",IF(F115=6,"Sin turno","C"))))))</f>
        <v>B</v>
      </c>
      <c r="H115" s="25" t="n">
        <f aca="false">IF(D115="","",MAX(0,D115-0.5*C115))</f>
        <v>0</v>
      </c>
    </row>
    <row r="116" customFormat="false" ht="15" hidden="false" customHeight="false" outlineLevel="0" collapsed="false">
      <c r="A116" s="21" t="n">
        <v>46220</v>
      </c>
      <c r="B116" s="22" t="n">
        <v>18</v>
      </c>
      <c r="C116" s="25" t="n">
        <v>198.36</v>
      </c>
      <c r="D116" s="25" t="n">
        <v>17.16</v>
      </c>
      <c r="E116" s="25"/>
      <c r="F116" s="22" t="n">
        <f aca="false">WEEKDAY(A116,2)</f>
        <v>5</v>
      </c>
      <c r="G116" s="22" t="str">
        <f aca="false">IF(F116=7,IF(B116&gt;=23,"C","Sin turno"),IF(B116&lt;7,"C",IF(B116&lt;14,"A",IF(B116&lt;21,"B",IF(B116&lt;23,"Entre turnos",IF(F116=6,"Sin turno","C"))))))</f>
        <v>B</v>
      </c>
      <c r="H116" s="25" t="n">
        <f aca="false">IF(D116="","",MAX(0,D116-0.5*C116))</f>
        <v>0</v>
      </c>
    </row>
    <row r="117" customFormat="false" ht="15" hidden="false" customHeight="false" outlineLevel="0" collapsed="false">
      <c r="A117" s="21" t="n">
        <v>46220</v>
      </c>
      <c r="B117" s="22" t="n">
        <v>19</v>
      </c>
      <c r="C117" s="25" t="n">
        <v>195.84</v>
      </c>
      <c r="D117" s="25" t="n">
        <v>19.08</v>
      </c>
      <c r="E117" s="25"/>
      <c r="F117" s="22" t="n">
        <f aca="false">WEEKDAY(A117,2)</f>
        <v>5</v>
      </c>
      <c r="G117" s="22" t="str">
        <f aca="false">IF(F117=7,IF(B117&gt;=23,"C","Sin turno"),IF(B117&lt;7,"C",IF(B117&lt;14,"A",IF(B117&lt;21,"B",IF(B117&lt;23,"Entre turnos",IF(F117=6,"Sin turno","C"))))))</f>
        <v>B</v>
      </c>
      <c r="H117" s="25" t="n">
        <f aca="false">IF(D117="","",MAX(0,D117-0.5*C117))</f>
        <v>0</v>
      </c>
    </row>
    <row r="118" customFormat="false" ht="15" hidden="false" customHeight="false" outlineLevel="0" collapsed="false">
      <c r="A118" s="21" t="n">
        <v>46220</v>
      </c>
      <c r="B118" s="22" t="n">
        <v>20</v>
      </c>
      <c r="C118" s="25" t="n">
        <v>205.08</v>
      </c>
      <c r="D118" s="25" t="n">
        <v>15</v>
      </c>
      <c r="E118" s="25"/>
      <c r="F118" s="22" t="n">
        <f aca="false">WEEKDAY(A118,2)</f>
        <v>5</v>
      </c>
      <c r="G118" s="22" t="str">
        <f aca="false">IF(F118=7,IF(B118&gt;=23,"C","Sin turno"),IF(B118&lt;7,"C",IF(B118&lt;14,"A",IF(B118&lt;21,"B",IF(B118&lt;23,"Entre turnos",IF(F118=6,"Sin turno","C"))))))</f>
        <v>B</v>
      </c>
      <c r="H118" s="25" t="n">
        <f aca="false">IF(D118="","",MAX(0,D118-0.5*C118))</f>
        <v>0</v>
      </c>
    </row>
    <row r="119" customFormat="false" ht="15" hidden="false" customHeight="false" outlineLevel="0" collapsed="false">
      <c r="A119" s="21" t="n">
        <v>46220</v>
      </c>
      <c r="B119" s="22" t="n">
        <v>21</v>
      </c>
      <c r="C119" s="25" t="n">
        <v>171</v>
      </c>
      <c r="D119" s="25" t="n">
        <v>16.08</v>
      </c>
      <c r="E119" s="25"/>
      <c r="F119" s="22" t="n">
        <f aca="false">WEEKDAY(A119,2)</f>
        <v>5</v>
      </c>
      <c r="G119" s="22" t="str">
        <f aca="false">IF(F119=7,IF(B119&gt;=23,"C","Sin turno"),IF(B119&lt;7,"C",IF(B119&lt;14,"A",IF(B119&lt;21,"B",IF(B119&lt;23,"Entre turnos",IF(F119=6,"Sin turno","C"))))))</f>
        <v>Entre turnos</v>
      </c>
      <c r="H119" s="25" t="n">
        <f aca="false">IF(D119="","",MAX(0,D119-0.5*C119))</f>
        <v>0</v>
      </c>
    </row>
    <row r="120" customFormat="false" ht="15" hidden="false" customHeight="false" outlineLevel="0" collapsed="false">
      <c r="A120" s="21" t="n">
        <v>46220</v>
      </c>
      <c r="B120" s="22" t="n">
        <v>22</v>
      </c>
      <c r="C120" s="25" t="n">
        <v>135</v>
      </c>
      <c r="D120" s="25" t="n">
        <v>20.04</v>
      </c>
      <c r="E120" s="25"/>
      <c r="F120" s="22" t="n">
        <f aca="false">WEEKDAY(A120,2)</f>
        <v>5</v>
      </c>
      <c r="G120" s="22" t="str">
        <f aca="false">IF(F120=7,IF(B120&gt;=23,"C","Sin turno"),IF(B120&lt;7,"C",IF(B120&lt;14,"A",IF(B120&lt;21,"B",IF(B120&lt;23,"Entre turnos",IF(F120=6,"Sin turno","C"))))))</f>
        <v>Entre turnos</v>
      </c>
      <c r="H120" s="25" t="n">
        <f aca="false">IF(D120="","",MAX(0,D120-0.5*C120))</f>
        <v>0</v>
      </c>
    </row>
    <row r="121" customFormat="false" ht="15" hidden="false" customHeight="false" outlineLevel="0" collapsed="false">
      <c r="A121" s="21" t="n">
        <v>46220</v>
      </c>
      <c r="B121" s="22" t="n">
        <v>23</v>
      </c>
      <c r="C121" s="25" t="n">
        <v>128.28</v>
      </c>
      <c r="D121" s="25" t="n">
        <v>17.16</v>
      </c>
      <c r="E121" s="25"/>
      <c r="F121" s="22" t="n">
        <f aca="false">WEEKDAY(A121,2)</f>
        <v>5</v>
      </c>
      <c r="G121" s="22" t="str">
        <f aca="false">IF(F121=7,IF(B121&gt;=23,"C","Sin turno"),IF(B121&lt;7,"C",IF(B121&lt;14,"A",IF(B121&lt;21,"B",IF(B121&lt;23,"Entre turnos",IF(F121=6,"Sin turno","C"))))))</f>
        <v>C</v>
      </c>
      <c r="H121" s="25" t="n">
        <f aca="false">IF(D121="","",MAX(0,D121-0.5*C121))</f>
        <v>0</v>
      </c>
    </row>
    <row r="122" customFormat="false" ht="15" hidden="false" customHeight="false" outlineLevel="0" collapsed="false">
      <c r="A122" s="21" t="n">
        <v>46223</v>
      </c>
      <c r="B122" s="22" t="n">
        <v>0</v>
      </c>
      <c r="C122" s="25" t="n">
        <v>62.76</v>
      </c>
      <c r="D122" s="25" t="n">
        <v>14.64</v>
      </c>
      <c r="E122" s="25"/>
      <c r="F122" s="22" t="n">
        <f aca="false">WEEKDAY(A122,2)</f>
        <v>1</v>
      </c>
      <c r="G122" s="22" t="str">
        <f aca="false">IF(F122=7,IF(B122&gt;=23,"C","Sin turno"),IF(B122&lt;7,"C",IF(B122&lt;14,"A",IF(B122&lt;21,"B",IF(B122&lt;23,"Entre turnos",IF(F122=6,"Sin turno","C"))))))</f>
        <v>C</v>
      </c>
      <c r="H122" s="25" t="n">
        <f aca="false">IF(D122="","",MAX(0,D122-0.5*C122))</f>
        <v>0</v>
      </c>
    </row>
    <row r="123" customFormat="false" ht="15" hidden="false" customHeight="false" outlineLevel="0" collapsed="false">
      <c r="A123" s="21" t="n">
        <v>46223</v>
      </c>
      <c r="B123" s="22" t="n">
        <v>1</v>
      </c>
      <c r="C123" s="25" t="n">
        <v>71.16</v>
      </c>
      <c r="D123" s="25" t="n">
        <v>10.32</v>
      </c>
      <c r="E123" s="25"/>
      <c r="F123" s="22" t="n">
        <f aca="false">WEEKDAY(A123,2)</f>
        <v>1</v>
      </c>
      <c r="G123" s="22" t="str">
        <f aca="false">IF(F123=7,IF(B123&gt;=23,"C","Sin turno"),IF(B123&lt;7,"C",IF(B123&lt;14,"A",IF(B123&lt;21,"B",IF(B123&lt;23,"Entre turnos",IF(F123=6,"Sin turno","C"))))))</f>
        <v>C</v>
      </c>
      <c r="H123" s="25" t="n">
        <f aca="false">IF(D123="","",MAX(0,D123-0.5*C123))</f>
        <v>0</v>
      </c>
    </row>
    <row r="124" customFormat="false" ht="15" hidden="false" customHeight="false" outlineLevel="0" collapsed="false">
      <c r="A124" s="21" t="n">
        <v>46223</v>
      </c>
      <c r="B124" s="22" t="n">
        <v>2</v>
      </c>
      <c r="C124" s="25" t="n">
        <v>71.52</v>
      </c>
      <c r="D124" s="25" t="n">
        <v>10.92</v>
      </c>
      <c r="E124" s="25"/>
      <c r="F124" s="22" t="n">
        <f aca="false">WEEKDAY(A124,2)</f>
        <v>1</v>
      </c>
      <c r="G124" s="22" t="str">
        <f aca="false">IF(F124=7,IF(B124&gt;=23,"C","Sin turno"),IF(B124&lt;7,"C",IF(B124&lt;14,"A",IF(B124&lt;21,"B",IF(B124&lt;23,"Entre turnos",IF(F124=6,"Sin turno","C"))))))</f>
        <v>C</v>
      </c>
      <c r="H124" s="25" t="n">
        <f aca="false">IF(D124="","",MAX(0,D124-0.5*C124))</f>
        <v>0</v>
      </c>
    </row>
    <row r="125" customFormat="false" ht="15" hidden="false" customHeight="false" outlineLevel="0" collapsed="false">
      <c r="A125" s="21" t="n">
        <v>46223</v>
      </c>
      <c r="B125" s="22" t="n">
        <v>3</v>
      </c>
      <c r="C125" s="25" t="n">
        <v>71.4</v>
      </c>
      <c r="D125" s="25" t="n">
        <v>10.8</v>
      </c>
      <c r="E125" s="25"/>
      <c r="F125" s="22" t="n">
        <f aca="false">WEEKDAY(A125,2)</f>
        <v>1</v>
      </c>
      <c r="G125" s="22" t="str">
        <f aca="false">IF(F125=7,IF(B125&gt;=23,"C","Sin turno"),IF(B125&lt;7,"C",IF(B125&lt;14,"A",IF(B125&lt;21,"B",IF(B125&lt;23,"Entre turnos",IF(F125=6,"Sin turno","C"))))))</f>
        <v>C</v>
      </c>
      <c r="H125" s="25" t="n">
        <f aca="false">IF(D125="","",MAX(0,D125-0.5*C125))</f>
        <v>0</v>
      </c>
    </row>
    <row r="126" customFormat="false" ht="15" hidden="false" customHeight="false" outlineLevel="0" collapsed="false">
      <c r="A126" s="21" t="n">
        <v>46223</v>
      </c>
      <c r="B126" s="22" t="n">
        <v>4</v>
      </c>
      <c r="C126" s="25" t="n">
        <v>70.8</v>
      </c>
      <c r="D126" s="25" t="n">
        <v>10.32</v>
      </c>
      <c r="E126" s="25"/>
      <c r="F126" s="22" t="n">
        <f aca="false">WEEKDAY(A126,2)</f>
        <v>1</v>
      </c>
      <c r="G126" s="22" t="str">
        <f aca="false">IF(F126=7,IF(B126&gt;=23,"C","Sin turno"),IF(B126&lt;7,"C",IF(B126&lt;14,"A",IF(B126&lt;21,"B",IF(B126&lt;23,"Entre turnos",IF(F126=6,"Sin turno","C"))))))</f>
        <v>C</v>
      </c>
      <c r="H126" s="25" t="n">
        <f aca="false">IF(D126="","",MAX(0,D126-0.5*C126))</f>
        <v>0</v>
      </c>
    </row>
    <row r="127" customFormat="false" ht="15" hidden="false" customHeight="false" outlineLevel="0" collapsed="false">
      <c r="A127" s="21" t="n">
        <v>46223</v>
      </c>
      <c r="B127" s="22" t="n">
        <v>5</v>
      </c>
      <c r="C127" s="25" t="n">
        <v>71.04</v>
      </c>
      <c r="D127" s="25" t="n">
        <v>10.92</v>
      </c>
      <c r="E127" s="25"/>
      <c r="F127" s="22" t="n">
        <f aca="false">WEEKDAY(A127,2)</f>
        <v>1</v>
      </c>
      <c r="G127" s="22" t="str">
        <f aca="false">IF(F127=7,IF(B127&gt;=23,"C","Sin turno"),IF(B127&lt;7,"C",IF(B127&lt;14,"A",IF(B127&lt;21,"B",IF(B127&lt;23,"Entre turnos",IF(F127=6,"Sin turno","C"))))))</f>
        <v>C</v>
      </c>
      <c r="H127" s="25" t="n">
        <f aca="false">IF(D127="","",MAX(0,D127-0.5*C127))</f>
        <v>0</v>
      </c>
    </row>
    <row r="128" customFormat="false" ht="15" hidden="false" customHeight="false" outlineLevel="0" collapsed="false">
      <c r="A128" s="21" t="n">
        <v>46223</v>
      </c>
      <c r="B128" s="22" t="n">
        <v>6</v>
      </c>
      <c r="C128" s="25" t="n">
        <v>66.84</v>
      </c>
      <c r="D128" s="25" t="n">
        <v>14.28</v>
      </c>
      <c r="E128" s="25"/>
      <c r="F128" s="22" t="n">
        <f aca="false">WEEKDAY(A128,2)</f>
        <v>1</v>
      </c>
      <c r="G128" s="22" t="str">
        <f aca="false">IF(F128=7,IF(B128&gt;=23,"C","Sin turno"),IF(B128&lt;7,"C",IF(B128&lt;14,"A",IF(B128&lt;21,"B",IF(B128&lt;23,"Entre turnos",IF(F128=6,"Sin turno","C"))))))</f>
        <v>C</v>
      </c>
      <c r="H128" s="25" t="n">
        <f aca="false">IF(D128="","",MAX(0,D128-0.5*C128))</f>
        <v>0</v>
      </c>
    </row>
    <row r="129" customFormat="false" ht="15" hidden="false" customHeight="false" outlineLevel="0" collapsed="false">
      <c r="A129" s="21" t="n">
        <v>46223</v>
      </c>
      <c r="B129" s="22" t="n">
        <v>7</v>
      </c>
      <c r="C129" s="25" t="n">
        <v>59.28</v>
      </c>
      <c r="D129" s="25" t="n">
        <v>13.08</v>
      </c>
      <c r="E129" s="25"/>
      <c r="F129" s="22" t="n">
        <f aca="false">WEEKDAY(A129,2)</f>
        <v>1</v>
      </c>
      <c r="G129" s="22" t="str">
        <f aca="false">IF(F129=7,IF(B129&gt;=23,"C","Sin turno"),IF(B129&lt;7,"C",IF(B129&lt;14,"A",IF(B129&lt;21,"B",IF(B129&lt;23,"Entre turnos",IF(F129=6,"Sin turno","C"))))))</f>
        <v>A</v>
      </c>
      <c r="H129" s="25" t="n">
        <f aca="false">IF(D129="","",MAX(0,D129-0.5*C129))</f>
        <v>0</v>
      </c>
    </row>
    <row r="130" customFormat="false" ht="15" hidden="false" customHeight="false" outlineLevel="0" collapsed="false">
      <c r="A130" s="21" t="n">
        <v>46223</v>
      </c>
      <c r="B130" s="22" t="n">
        <v>8</v>
      </c>
      <c r="C130" s="25" t="n">
        <v>42.48</v>
      </c>
      <c r="D130" s="25" t="n">
        <v>13.2</v>
      </c>
      <c r="E130" s="25"/>
      <c r="F130" s="22" t="n">
        <f aca="false">WEEKDAY(A130,2)</f>
        <v>1</v>
      </c>
      <c r="G130" s="22" t="str">
        <f aca="false">IF(F130=7,IF(B130&gt;=23,"C","Sin turno"),IF(B130&lt;7,"C",IF(B130&lt;14,"A",IF(B130&lt;21,"B",IF(B130&lt;23,"Entre turnos",IF(F130=6,"Sin turno","C"))))))</f>
        <v>A</v>
      </c>
      <c r="H130" s="25" t="n">
        <f aca="false">IF(D130="","",MAX(0,D130-0.5*C130))</f>
        <v>0</v>
      </c>
    </row>
    <row r="131" customFormat="false" ht="15" hidden="false" customHeight="false" outlineLevel="0" collapsed="false">
      <c r="A131" s="21" t="n">
        <v>46223</v>
      </c>
      <c r="B131" s="22" t="n">
        <v>9</v>
      </c>
      <c r="C131" s="25" t="n">
        <v>8.4</v>
      </c>
      <c r="D131" s="25" t="n">
        <v>13.92</v>
      </c>
      <c r="E131" s="25"/>
      <c r="F131" s="22" t="n">
        <f aca="false">WEEKDAY(A131,2)</f>
        <v>1</v>
      </c>
      <c r="G131" s="22" t="str">
        <f aca="false">IF(F131=7,IF(B131&gt;=23,"C","Sin turno"),IF(B131&lt;7,"C",IF(B131&lt;14,"A",IF(B131&lt;21,"B",IF(B131&lt;23,"Entre turnos",IF(F131=6,"Sin turno","C"))))))</f>
        <v>A</v>
      </c>
      <c r="H131" s="25" t="n">
        <f aca="false">IF(D131="","",MAX(0,D131-0.5*C131))</f>
        <v>9.72</v>
      </c>
    </row>
    <row r="132" customFormat="false" ht="15" hidden="false" customHeight="false" outlineLevel="0" collapsed="false">
      <c r="A132" s="21" t="n">
        <v>46223</v>
      </c>
      <c r="B132" s="22" t="n">
        <v>10</v>
      </c>
      <c r="C132" s="25" t="n">
        <v>2.88</v>
      </c>
      <c r="D132" s="25" t="n">
        <v>13.92</v>
      </c>
      <c r="E132" s="25"/>
      <c r="F132" s="22" t="n">
        <f aca="false">WEEKDAY(A132,2)</f>
        <v>1</v>
      </c>
      <c r="G132" s="22" t="str">
        <f aca="false">IF(F132=7,IF(B132&gt;=23,"C","Sin turno"),IF(B132&lt;7,"C",IF(B132&lt;14,"A",IF(B132&lt;21,"B",IF(B132&lt;23,"Entre turnos",IF(F132=6,"Sin turno","C"))))))</f>
        <v>A</v>
      </c>
      <c r="H132" s="25" t="n">
        <f aca="false">IF(D132="","",MAX(0,D132-0.5*C132))</f>
        <v>12.48</v>
      </c>
    </row>
    <row r="133" customFormat="false" ht="15" hidden="false" customHeight="false" outlineLevel="0" collapsed="false">
      <c r="A133" s="21" t="n">
        <v>46223</v>
      </c>
      <c r="B133" s="22" t="n">
        <v>11</v>
      </c>
      <c r="C133" s="25" t="n">
        <v>38.88</v>
      </c>
      <c r="D133" s="25" t="n">
        <v>16.68</v>
      </c>
      <c r="E133" s="25"/>
      <c r="F133" s="22" t="n">
        <f aca="false">WEEKDAY(A133,2)</f>
        <v>1</v>
      </c>
      <c r="G133" s="22" t="str">
        <f aca="false">IF(F133=7,IF(B133&gt;=23,"C","Sin turno"),IF(B133&lt;7,"C",IF(B133&lt;14,"A",IF(B133&lt;21,"B",IF(B133&lt;23,"Entre turnos",IF(F133=6,"Sin turno","C"))))))</f>
        <v>A</v>
      </c>
      <c r="H133" s="25" t="n">
        <f aca="false">IF(D133="","",MAX(0,D133-0.5*C133))</f>
        <v>0</v>
      </c>
    </row>
    <row r="134" customFormat="false" ht="15" hidden="false" customHeight="false" outlineLevel="0" collapsed="false">
      <c r="A134" s="21" t="n">
        <v>46223</v>
      </c>
      <c r="B134" s="22" t="n">
        <v>12</v>
      </c>
      <c r="C134" s="25" t="n">
        <v>45.84</v>
      </c>
      <c r="D134" s="25" t="n">
        <v>12.12</v>
      </c>
      <c r="E134" s="25"/>
      <c r="F134" s="22" t="n">
        <f aca="false">WEEKDAY(A134,2)</f>
        <v>1</v>
      </c>
      <c r="G134" s="22" t="str">
        <f aca="false">IF(F134=7,IF(B134&gt;=23,"C","Sin turno"),IF(B134&lt;7,"C",IF(B134&lt;14,"A",IF(B134&lt;21,"B",IF(B134&lt;23,"Entre turnos",IF(F134=6,"Sin turno","C"))))))</f>
        <v>A</v>
      </c>
      <c r="H134" s="25" t="n">
        <f aca="false">IF(D134="","",MAX(0,D134-0.5*C134))</f>
        <v>0</v>
      </c>
    </row>
    <row r="135" customFormat="false" ht="15" hidden="false" customHeight="false" outlineLevel="0" collapsed="false">
      <c r="A135" s="21" t="n">
        <v>46223</v>
      </c>
      <c r="B135" s="22" t="n">
        <v>13</v>
      </c>
      <c r="C135" s="25" t="n">
        <v>66.84</v>
      </c>
      <c r="D135" s="25" t="n">
        <v>10.44</v>
      </c>
      <c r="E135" s="25"/>
      <c r="F135" s="22" t="n">
        <f aca="false">WEEKDAY(A135,2)</f>
        <v>1</v>
      </c>
      <c r="G135" s="22" t="str">
        <f aca="false">IF(F135=7,IF(B135&gt;=23,"C","Sin turno"),IF(B135&lt;7,"C",IF(B135&lt;14,"A",IF(B135&lt;21,"B",IF(B135&lt;23,"Entre turnos",IF(F135=6,"Sin turno","C"))))))</f>
        <v>A</v>
      </c>
      <c r="H135" s="25" t="n">
        <f aca="false">IF(D135="","",MAX(0,D135-0.5*C135))</f>
        <v>0</v>
      </c>
    </row>
    <row r="136" customFormat="false" ht="15" hidden="false" customHeight="false" outlineLevel="0" collapsed="false">
      <c r="A136" s="21" t="n">
        <v>46223</v>
      </c>
      <c r="B136" s="22" t="n">
        <v>14</v>
      </c>
      <c r="C136" s="25" t="n">
        <v>72</v>
      </c>
      <c r="D136" s="25" t="n">
        <v>10.8</v>
      </c>
      <c r="E136" s="25"/>
      <c r="F136" s="22" t="n">
        <f aca="false">WEEKDAY(A136,2)</f>
        <v>1</v>
      </c>
      <c r="G136" s="22" t="str">
        <f aca="false">IF(F136=7,IF(B136&gt;=23,"C","Sin turno"),IF(B136&lt;7,"C",IF(B136&lt;14,"A",IF(B136&lt;21,"B",IF(B136&lt;23,"Entre turnos",IF(F136=6,"Sin turno","C"))))))</f>
        <v>B</v>
      </c>
      <c r="H136" s="25" t="n">
        <f aca="false">IF(D136="","",MAX(0,D136-0.5*C136))</f>
        <v>0</v>
      </c>
    </row>
    <row r="137" customFormat="false" ht="15" hidden="false" customHeight="false" outlineLevel="0" collapsed="false">
      <c r="A137" s="21" t="n">
        <v>46223</v>
      </c>
      <c r="B137" s="22" t="n">
        <v>15</v>
      </c>
      <c r="C137" s="25" t="n">
        <v>87.72</v>
      </c>
      <c r="D137" s="25" t="n">
        <v>10.44</v>
      </c>
      <c r="E137" s="25"/>
      <c r="F137" s="22" t="n">
        <f aca="false">WEEKDAY(A137,2)</f>
        <v>1</v>
      </c>
      <c r="G137" s="22" t="str">
        <f aca="false">IF(F137=7,IF(B137&gt;=23,"C","Sin turno"),IF(B137&lt;7,"C",IF(B137&lt;14,"A",IF(B137&lt;21,"B",IF(B137&lt;23,"Entre turnos",IF(F137=6,"Sin turno","C"))))))</f>
        <v>B</v>
      </c>
      <c r="H137" s="25" t="n">
        <f aca="false">IF(D137="","",MAX(0,D137-0.5*C137))</f>
        <v>0</v>
      </c>
    </row>
    <row r="138" customFormat="false" ht="15" hidden="false" customHeight="false" outlineLevel="0" collapsed="false">
      <c r="A138" s="21" t="n">
        <v>46223</v>
      </c>
      <c r="B138" s="22" t="n">
        <v>16</v>
      </c>
      <c r="C138" s="25" t="n">
        <v>94.08</v>
      </c>
      <c r="D138" s="25" t="n">
        <v>10.56</v>
      </c>
      <c r="E138" s="25"/>
      <c r="F138" s="22" t="n">
        <f aca="false">WEEKDAY(A138,2)</f>
        <v>1</v>
      </c>
      <c r="G138" s="22" t="str">
        <f aca="false">IF(F138=7,IF(B138&gt;=23,"C","Sin turno"),IF(B138&lt;7,"C",IF(B138&lt;14,"A",IF(B138&lt;21,"B",IF(B138&lt;23,"Entre turnos",IF(F138=6,"Sin turno","C"))))))</f>
        <v>B</v>
      </c>
      <c r="H138" s="25" t="n">
        <f aca="false">IF(D138="","",MAX(0,D138-0.5*C138))</f>
        <v>0</v>
      </c>
    </row>
    <row r="139" customFormat="false" ht="15" hidden="false" customHeight="false" outlineLevel="0" collapsed="false">
      <c r="A139" s="21" t="n">
        <v>46223</v>
      </c>
      <c r="B139" s="22" t="n">
        <v>17</v>
      </c>
      <c r="C139" s="25" t="n">
        <v>75.96</v>
      </c>
      <c r="D139" s="25" t="n">
        <v>21.6</v>
      </c>
      <c r="E139" s="25"/>
      <c r="F139" s="22" t="n">
        <f aca="false">WEEKDAY(A139,2)</f>
        <v>1</v>
      </c>
      <c r="G139" s="22" t="str">
        <f aca="false">IF(F139=7,IF(B139&gt;=23,"C","Sin turno"),IF(B139&lt;7,"C",IF(B139&lt;14,"A",IF(B139&lt;21,"B",IF(B139&lt;23,"Entre turnos",IF(F139=6,"Sin turno","C"))))))</f>
        <v>B</v>
      </c>
      <c r="H139" s="25" t="n">
        <f aca="false">IF(D139="","",MAX(0,D139-0.5*C139))</f>
        <v>0</v>
      </c>
    </row>
    <row r="140" customFormat="false" ht="15" hidden="false" customHeight="false" outlineLevel="0" collapsed="false">
      <c r="A140" s="21" t="n">
        <v>46223</v>
      </c>
      <c r="B140" s="22" t="n">
        <v>18</v>
      </c>
      <c r="C140" s="25" t="n">
        <v>80.28</v>
      </c>
      <c r="D140" s="25" t="n">
        <v>19.56</v>
      </c>
      <c r="E140" s="25"/>
      <c r="F140" s="22" t="n">
        <f aca="false">WEEKDAY(A140,2)</f>
        <v>1</v>
      </c>
      <c r="G140" s="22" t="str">
        <f aca="false">IF(F140=7,IF(B140&gt;=23,"C","Sin turno"),IF(B140&lt;7,"C",IF(B140&lt;14,"A",IF(B140&lt;21,"B",IF(B140&lt;23,"Entre turnos",IF(F140=6,"Sin turno","C"))))))</f>
        <v>B</v>
      </c>
      <c r="H140" s="25" t="n">
        <f aca="false">IF(D140="","",MAX(0,D140-0.5*C140))</f>
        <v>0</v>
      </c>
    </row>
    <row r="141" customFormat="false" ht="15" hidden="false" customHeight="false" outlineLevel="0" collapsed="false">
      <c r="A141" s="21" t="n">
        <v>46223</v>
      </c>
      <c r="B141" s="22" t="n">
        <v>19</v>
      </c>
      <c r="C141" s="25" t="n">
        <v>79.68</v>
      </c>
      <c r="D141" s="25" t="n">
        <v>17.76</v>
      </c>
      <c r="E141" s="25"/>
      <c r="F141" s="22" t="n">
        <f aca="false">WEEKDAY(A141,2)</f>
        <v>1</v>
      </c>
      <c r="G141" s="22" t="str">
        <f aca="false">IF(F141=7,IF(B141&gt;=23,"C","Sin turno"),IF(B141&lt;7,"C",IF(B141&lt;14,"A",IF(B141&lt;21,"B",IF(B141&lt;23,"Entre turnos",IF(F141=6,"Sin turno","C"))))))</f>
        <v>B</v>
      </c>
      <c r="H141" s="25" t="n">
        <f aca="false">IF(D141="","",MAX(0,D141-0.5*C141))</f>
        <v>0</v>
      </c>
    </row>
    <row r="142" customFormat="false" ht="15" hidden="false" customHeight="false" outlineLevel="0" collapsed="false">
      <c r="A142" s="21" t="n">
        <v>46223</v>
      </c>
      <c r="B142" s="22" t="n">
        <v>20</v>
      </c>
      <c r="C142" s="25" t="n">
        <v>80.04</v>
      </c>
      <c r="D142" s="25" t="n">
        <v>17.88</v>
      </c>
      <c r="E142" s="25"/>
      <c r="F142" s="22" t="n">
        <f aca="false">WEEKDAY(A142,2)</f>
        <v>1</v>
      </c>
      <c r="G142" s="22" t="str">
        <f aca="false">IF(F142=7,IF(B142&gt;=23,"C","Sin turno"),IF(B142&lt;7,"C",IF(B142&lt;14,"A",IF(B142&lt;21,"B",IF(B142&lt;23,"Entre turnos",IF(F142=6,"Sin turno","C"))))))</f>
        <v>B</v>
      </c>
      <c r="H142" s="25" t="n">
        <f aca="false">IF(D142="","",MAX(0,D142-0.5*C142))</f>
        <v>0</v>
      </c>
    </row>
    <row r="143" customFormat="false" ht="15" hidden="false" customHeight="false" outlineLevel="0" collapsed="false">
      <c r="A143" s="21" t="n">
        <v>46223</v>
      </c>
      <c r="B143" s="22" t="n">
        <v>21</v>
      </c>
      <c r="C143" s="25" t="n">
        <v>80.52</v>
      </c>
      <c r="D143" s="25" t="n">
        <v>18</v>
      </c>
      <c r="E143" s="25"/>
      <c r="F143" s="22" t="n">
        <f aca="false">WEEKDAY(A143,2)</f>
        <v>1</v>
      </c>
      <c r="G143" s="22" t="str">
        <f aca="false">IF(F143=7,IF(B143&gt;=23,"C","Sin turno"),IF(B143&lt;7,"C",IF(B143&lt;14,"A",IF(B143&lt;21,"B",IF(B143&lt;23,"Entre turnos",IF(F143=6,"Sin turno","C"))))))</f>
        <v>Entre turnos</v>
      </c>
      <c r="H143" s="25" t="n">
        <f aca="false">IF(D143="","",MAX(0,D143-0.5*C143))</f>
        <v>0</v>
      </c>
    </row>
    <row r="144" customFormat="false" ht="15" hidden="false" customHeight="false" outlineLevel="0" collapsed="false">
      <c r="A144" s="21" t="n">
        <v>46223</v>
      </c>
      <c r="B144" s="22" t="n">
        <v>22</v>
      </c>
      <c r="C144" s="25" t="n">
        <v>80.76</v>
      </c>
      <c r="D144" s="25" t="n">
        <v>17.88</v>
      </c>
      <c r="E144" s="25"/>
      <c r="F144" s="22" t="n">
        <f aca="false">WEEKDAY(A144,2)</f>
        <v>1</v>
      </c>
      <c r="G144" s="22" t="str">
        <f aca="false">IF(F144=7,IF(B144&gt;=23,"C","Sin turno"),IF(B144&lt;7,"C",IF(B144&lt;14,"A",IF(B144&lt;21,"B",IF(B144&lt;23,"Entre turnos",IF(F144=6,"Sin turno","C"))))))</f>
        <v>Entre turnos</v>
      </c>
      <c r="H144" s="25" t="n">
        <f aca="false">IF(D144="","",MAX(0,D144-0.5*C144))</f>
        <v>0</v>
      </c>
    </row>
    <row r="145" customFormat="false" ht="15" hidden="false" customHeight="false" outlineLevel="0" collapsed="false">
      <c r="A145" s="21" t="n">
        <v>46223</v>
      </c>
      <c r="B145" s="22" t="n">
        <v>23</v>
      </c>
      <c r="C145" s="25" t="n">
        <v>89.4</v>
      </c>
      <c r="D145" s="25" t="n">
        <v>17.4</v>
      </c>
      <c r="E145" s="25"/>
      <c r="F145" s="22" t="n">
        <f aca="false">WEEKDAY(A145,2)</f>
        <v>1</v>
      </c>
      <c r="G145" s="22" t="str">
        <f aca="false">IF(F145=7,IF(B145&gt;=23,"C","Sin turno"),IF(B145&lt;7,"C",IF(B145&lt;14,"A",IF(B145&lt;21,"B",IF(B145&lt;23,"Entre turnos",IF(F145=6,"Sin turno","C"))))))</f>
        <v>C</v>
      </c>
      <c r="H145" s="25" t="n">
        <f aca="false">IF(D145="","",MAX(0,D145-0.5*C145))</f>
        <v>0</v>
      </c>
    </row>
    <row r="146" customFormat="false" ht="15" hidden="false" customHeight="false" outlineLevel="0" collapsed="false">
      <c r="A146" s="21" t="n">
        <v>46224</v>
      </c>
      <c r="B146" s="22" t="n">
        <v>0</v>
      </c>
      <c r="C146" s="25" t="n">
        <v>99.96</v>
      </c>
      <c r="D146" s="25" t="n">
        <v>20.52</v>
      </c>
      <c r="E146" s="25"/>
      <c r="F146" s="22" t="n">
        <f aca="false">WEEKDAY(A146,2)</f>
        <v>2</v>
      </c>
      <c r="G146" s="22" t="str">
        <f aca="false">IF(F146=7,IF(B146&gt;=23,"C","Sin turno"),IF(B146&lt;7,"C",IF(B146&lt;14,"A",IF(B146&lt;21,"B",IF(B146&lt;23,"Entre turnos",IF(F146=6,"Sin turno","C"))))))</f>
        <v>C</v>
      </c>
      <c r="H146" s="25" t="n">
        <f aca="false">IF(D146="","",MAX(0,D146-0.5*C146))</f>
        <v>0</v>
      </c>
    </row>
    <row r="147" customFormat="false" ht="15" hidden="false" customHeight="false" outlineLevel="0" collapsed="false">
      <c r="A147" s="21" t="n">
        <v>46224</v>
      </c>
      <c r="B147" s="22" t="n">
        <v>1</v>
      </c>
      <c r="C147" s="25" t="n">
        <v>116.88</v>
      </c>
      <c r="D147" s="25" t="n">
        <v>14.28</v>
      </c>
      <c r="E147" s="25"/>
      <c r="F147" s="22" t="n">
        <f aca="false">WEEKDAY(A147,2)</f>
        <v>2</v>
      </c>
      <c r="G147" s="22" t="str">
        <f aca="false">IF(F147=7,IF(B147&gt;=23,"C","Sin turno"),IF(B147&lt;7,"C",IF(B147&lt;14,"A",IF(B147&lt;21,"B",IF(B147&lt;23,"Entre turnos",IF(F147=6,"Sin turno","C"))))))</f>
        <v>C</v>
      </c>
      <c r="H147" s="25" t="n">
        <f aca="false">IF(D147="","",MAX(0,D147-0.5*C147))</f>
        <v>0</v>
      </c>
    </row>
    <row r="148" customFormat="false" ht="15" hidden="false" customHeight="false" outlineLevel="0" collapsed="false">
      <c r="A148" s="21" t="n">
        <v>46224</v>
      </c>
      <c r="B148" s="22" t="n">
        <v>2</v>
      </c>
      <c r="C148" s="25" t="n">
        <v>128.64</v>
      </c>
      <c r="D148" s="25" t="n">
        <v>12.48</v>
      </c>
      <c r="E148" s="25"/>
      <c r="F148" s="22" t="n">
        <f aca="false">WEEKDAY(A148,2)</f>
        <v>2</v>
      </c>
      <c r="G148" s="22" t="str">
        <f aca="false">IF(F148=7,IF(B148&gt;=23,"C","Sin turno"),IF(B148&lt;7,"C",IF(B148&lt;14,"A",IF(B148&lt;21,"B",IF(B148&lt;23,"Entre turnos",IF(F148=6,"Sin turno","C"))))))</f>
        <v>C</v>
      </c>
      <c r="H148" s="25" t="n">
        <f aca="false">IF(D148="","",MAX(0,D148-0.5*C148))</f>
        <v>0</v>
      </c>
    </row>
    <row r="149" customFormat="false" ht="15" hidden="false" customHeight="false" outlineLevel="0" collapsed="false">
      <c r="A149" s="21" t="n">
        <v>46224</v>
      </c>
      <c r="B149" s="22" t="n">
        <v>3</v>
      </c>
      <c r="C149" s="25" t="n">
        <v>127.56</v>
      </c>
      <c r="D149" s="25" t="n">
        <v>13.44</v>
      </c>
      <c r="E149" s="25"/>
      <c r="F149" s="22" t="n">
        <f aca="false">WEEKDAY(A149,2)</f>
        <v>2</v>
      </c>
      <c r="G149" s="22" t="str">
        <f aca="false">IF(F149=7,IF(B149&gt;=23,"C","Sin turno"),IF(B149&lt;7,"C",IF(B149&lt;14,"A",IF(B149&lt;21,"B",IF(B149&lt;23,"Entre turnos",IF(F149=6,"Sin turno","C"))))))</f>
        <v>C</v>
      </c>
      <c r="H149" s="25" t="n">
        <f aca="false">IF(D149="","",MAX(0,D149-0.5*C149))</f>
        <v>0</v>
      </c>
    </row>
    <row r="150" customFormat="false" ht="15" hidden="false" customHeight="false" outlineLevel="0" collapsed="false">
      <c r="A150" s="21" t="n">
        <v>46224</v>
      </c>
      <c r="B150" s="22" t="n">
        <v>4</v>
      </c>
      <c r="C150" s="25" t="n">
        <v>131.88</v>
      </c>
      <c r="D150" s="25" t="n">
        <v>12</v>
      </c>
      <c r="E150" s="25"/>
      <c r="F150" s="22" t="n">
        <f aca="false">WEEKDAY(A150,2)</f>
        <v>2</v>
      </c>
      <c r="G150" s="22" t="str">
        <f aca="false">IF(F150=7,IF(B150&gt;=23,"C","Sin turno"),IF(B150&lt;7,"C",IF(B150&lt;14,"A",IF(B150&lt;21,"B",IF(B150&lt;23,"Entre turnos",IF(F150=6,"Sin turno","C"))))))</f>
        <v>C</v>
      </c>
      <c r="H150" s="25" t="n">
        <f aca="false">IF(D150="","",MAX(0,D150-0.5*C150))</f>
        <v>0</v>
      </c>
    </row>
    <row r="151" customFormat="false" ht="15" hidden="false" customHeight="false" outlineLevel="0" collapsed="false">
      <c r="A151" s="21" t="n">
        <v>46224</v>
      </c>
      <c r="B151" s="22" t="n">
        <v>5</v>
      </c>
      <c r="C151" s="25" t="n">
        <v>149.52</v>
      </c>
      <c r="D151" s="25" t="n">
        <v>14.28</v>
      </c>
      <c r="E151" s="25"/>
      <c r="F151" s="22" t="n">
        <f aca="false">WEEKDAY(A151,2)</f>
        <v>2</v>
      </c>
      <c r="G151" s="22" t="str">
        <f aca="false">IF(F151=7,IF(B151&gt;=23,"C","Sin turno"),IF(B151&lt;7,"C",IF(B151&lt;14,"A",IF(B151&lt;21,"B",IF(B151&lt;23,"Entre turnos",IF(F151=6,"Sin turno","C"))))))</f>
        <v>C</v>
      </c>
      <c r="H151" s="25" t="n">
        <f aca="false">IF(D151="","",MAX(0,D151-0.5*C151))</f>
        <v>0</v>
      </c>
    </row>
    <row r="152" customFormat="false" ht="15" hidden="false" customHeight="false" outlineLevel="0" collapsed="false">
      <c r="A152" s="21" t="n">
        <v>46224</v>
      </c>
      <c r="B152" s="22" t="n">
        <v>6</v>
      </c>
      <c r="C152" s="25" t="n">
        <v>153.72</v>
      </c>
      <c r="D152" s="25" t="n">
        <v>21.6</v>
      </c>
      <c r="E152" s="25"/>
      <c r="F152" s="22" t="n">
        <f aca="false">WEEKDAY(A152,2)</f>
        <v>2</v>
      </c>
      <c r="G152" s="22" t="str">
        <f aca="false">IF(F152=7,IF(B152&gt;=23,"C","Sin turno"),IF(B152&lt;7,"C",IF(B152&lt;14,"A",IF(B152&lt;21,"B",IF(B152&lt;23,"Entre turnos",IF(F152=6,"Sin turno","C"))))))</f>
        <v>C</v>
      </c>
      <c r="H152" s="25" t="n">
        <f aca="false">IF(D152="","",MAX(0,D152-0.5*C152))</f>
        <v>0</v>
      </c>
    </row>
    <row r="153" customFormat="false" ht="15" hidden="false" customHeight="false" outlineLevel="0" collapsed="false">
      <c r="A153" s="21" t="n">
        <v>46224</v>
      </c>
      <c r="B153" s="22" t="n">
        <v>7</v>
      </c>
      <c r="C153" s="25" t="n">
        <v>251.16</v>
      </c>
      <c r="D153" s="25" t="n">
        <v>23.16</v>
      </c>
      <c r="E153" s="25"/>
      <c r="F153" s="22" t="n">
        <f aca="false">WEEKDAY(A153,2)</f>
        <v>2</v>
      </c>
      <c r="G153" s="22" t="str">
        <f aca="false">IF(F153=7,IF(B153&gt;=23,"C","Sin turno"),IF(B153&lt;7,"C",IF(B153&lt;14,"A",IF(B153&lt;21,"B",IF(B153&lt;23,"Entre turnos",IF(F153=6,"Sin turno","C"))))))</f>
        <v>A</v>
      </c>
      <c r="H153" s="25" t="n">
        <f aca="false">IF(D153="","",MAX(0,D153-0.5*C153))</f>
        <v>0</v>
      </c>
    </row>
    <row r="154" customFormat="false" ht="15" hidden="false" customHeight="false" outlineLevel="0" collapsed="false">
      <c r="A154" s="21" t="n">
        <v>46224</v>
      </c>
      <c r="B154" s="22" t="n">
        <v>8</v>
      </c>
      <c r="C154" s="25" t="n">
        <v>246.36</v>
      </c>
      <c r="D154" s="25" t="n">
        <v>23.16</v>
      </c>
      <c r="E154" s="25"/>
      <c r="F154" s="22" t="n">
        <f aca="false">WEEKDAY(A154,2)</f>
        <v>2</v>
      </c>
      <c r="G154" s="22" t="str">
        <f aca="false">IF(F154=7,IF(B154&gt;=23,"C","Sin turno"),IF(B154&lt;7,"C",IF(B154&lt;14,"A",IF(B154&lt;21,"B",IF(B154&lt;23,"Entre turnos",IF(F154=6,"Sin turno","C"))))))</f>
        <v>A</v>
      </c>
      <c r="H154" s="25" t="n">
        <f aca="false">IF(D154="","",MAX(0,D154-0.5*C154))</f>
        <v>0</v>
      </c>
    </row>
    <row r="155" customFormat="false" ht="15" hidden="false" customHeight="false" outlineLevel="0" collapsed="false">
      <c r="A155" s="21" t="n">
        <v>46224</v>
      </c>
      <c r="B155" s="22" t="n">
        <v>9</v>
      </c>
      <c r="C155" s="25" t="n">
        <v>226.32</v>
      </c>
      <c r="D155" s="25" t="n">
        <v>18.72</v>
      </c>
      <c r="E155" s="25"/>
      <c r="F155" s="22" t="n">
        <f aca="false">WEEKDAY(A155,2)</f>
        <v>2</v>
      </c>
      <c r="G155" s="22" t="str">
        <f aca="false">IF(F155=7,IF(B155&gt;=23,"C","Sin turno"),IF(B155&lt;7,"C",IF(B155&lt;14,"A",IF(B155&lt;21,"B",IF(B155&lt;23,"Entre turnos",IF(F155=6,"Sin turno","C"))))))</f>
        <v>A</v>
      </c>
      <c r="H155" s="25" t="n">
        <f aca="false">IF(D155="","",MAX(0,D155-0.5*C155))</f>
        <v>0</v>
      </c>
    </row>
    <row r="156" customFormat="false" ht="15" hidden="false" customHeight="false" outlineLevel="0" collapsed="false">
      <c r="A156" s="21" t="n">
        <v>46224</v>
      </c>
      <c r="B156" s="22" t="n">
        <v>10</v>
      </c>
      <c r="C156" s="25" t="n">
        <v>210.12</v>
      </c>
      <c r="D156" s="25" t="n">
        <v>20.88</v>
      </c>
      <c r="E156" s="25"/>
      <c r="F156" s="22" t="n">
        <f aca="false">WEEKDAY(A156,2)</f>
        <v>2</v>
      </c>
      <c r="G156" s="22" t="str">
        <f aca="false">IF(F156=7,IF(B156&gt;=23,"C","Sin turno"),IF(B156&lt;7,"C",IF(B156&lt;14,"A",IF(B156&lt;21,"B",IF(B156&lt;23,"Entre turnos",IF(F156=6,"Sin turno","C"))))))</f>
        <v>A</v>
      </c>
      <c r="H156" s="25" t="n">
        <f aca="false">IF(D156="","",MAX(0,D156-0.5*C156))</f>
        <v>0</v>
      </c>
    </row>
    <row r="157" customFormat="false" ht="15" hidden="false" customHeight="false" outlineLevel="0" collapsed="false">
      <c r="A157" s="21" t="n">
        <v>46224</v>
      </c>
      <c r="B157" s="22" t="n">
        <v>11</v>
      </c>
      <c r="C157" s="25" t="n">
        <v>201.84</v>
      </c>
      <c r="D157" s="25" t="n">
        <v>21.6</v>
      </c>
      <c r="E157" s="25"/>
      <c r="F157" s="22" t="n">
        <f aca="false">WEEKDAY(A157,2)</f>
        <v>2</v>
      </c>
      <c r="G157" s="22" t="str">
        <f aca="false">IF(F157=7,IF(B157&gt;=23,"C","Sin turno"),IF(B157&lt;7,"C",IF(B157&lt;14,"A",IF(B157&lt;21,"B",IF(B157&lt;23,"Entre turnos",IF(F157=6,"Sin turno","C"))))))</f>
        <v>A</v>
      </c>
      <c r="H157" s="25" t="n">
        <f aca="false">IF(D157="","",MAX(0,D157-0.5*C157))</f>
        <v>0</v>
      </c>
    </row>
    <row r="158" customFormat="false" ht="15" hidden="false" customHeight="false" outlineLevel="0" collapsed="false">
      <c r="A158" s="21" t="n">
        <v>46224</v>
      </c>
      <c r="B158" s="22" t="n">
        <v>12</v>
      </c>
      <c r="C158" s="25" t="n">
        <v>204.36</v>
      </c>
      <c r="D158" s="25" t="n">
        <v>21.24</v>
      </c>
      <c r="E158" s="25"/>
      <c r="F158" s="22" t="n">
        <f aca="false">WEEKDAY(A158,2)</f>
        <v>2</v>
      </c>
      <c r="G158" s="22" t="str">
        <f aca="false">IF(F158=7,IF(B158&gt;=23,"C","Sin turno"),IF(B158&lt;7,"C",IF(B158&lt;14,"A",IF(B158&lt;21,"B",IF(B158&lt;23,"Entre turnos",IF(F158=6,"Sin turno","C"))))))</f>
        <v>A</v>
      </c>
      <c r="H158" s="25" t="n">
        <f aca="false">IF(D158="","",MAX(0,D158-0.5*C158))</f>
        <v>0</v>
      </c>
    </row>
    <row r="159" customFormat="false" ht="15" hidden="false" customHeight="false" outlineLevel="0" collapsed="false">
      <c r="A159" s="21" t="n">
        <v>46224</v>
      </c>
      <c r="B159" s="22" t="n">
        <v>13</v>
      </c>
      <c r="C159" s="25" t="n">
        <v>200.04</v>
      </c>
      <c r="D159" s="25" t="n">
        <v>19.08</v>
      </c>
      <c r="E159" s="25"/>
      <c r="F159" s="22" t="n">
        <f aca="false">WEEKDAY(A159,2)</f>
        <v>2</v>
      </c>
      <c r="G159" s="22" t="str">
        <f aca="false">IF(F159=7,IF(B159&gt;=23,"C","Sin turno"),IF(B159&lt;7,"C",IF(B159&lt;14,"A",IF(B159&lt;21,"B",IF(B159&lt;23,"Entre turnos",IF(F159=6,"Sin turno","C"))))))</f>
        <v>A</v>
      </c>
      <c r="H159" s="25" t="n">
        <f aca="false">IF(D159="","",MAX(0,D159-0.5*C159))</f>
        <v>0</v>
      </c>
    </row>
    <row r="160" customFormat="false" ht="15" hidden="false" customHeight="false" outlineLevel="0" collapsed="false">
      <c r="A160" s="21" t="n">
        <v>46224</v>
      </c>
      <c r="B160" s="22" t="n">
        <v>14</v>
      </c>
      <c r="C160" s="25" t="n">
        <v>179.88</v>
      </c>
      <c r="D160" s="25" t="n">
        <v>18.6</v>
      </c>
      <c r="E160" s="25"/>
      <c r="F160" s="22" t="n">
        <f aca="false">WEEKDAY(A160,2)</f>
        <v>2</v>
      </c>
      <c r="G160" s="22" t="str">
        <f aca="false">IF(F160=7,IF(B160&gt;=23,"C","Sin turno"),IF(B160&lt;7,"C",IF(B160&lt;14,"A",IF(B160&lt;21,"B",IF(B160&lt;23,"Entre turnos",IF(F160=6,"Sin turno","C"))))))</f>
        <v>B</v>
      </c>
      <c r="H160" s="25" t="n">
        <f aca="false">IF(D160="","",MAX(0,D160-0.5*C160))</f>
        <v>0</v>
      </c>
    </row>
    <row r="161" customFormat="false" ht="15" hidden="false" customHeight="false" outlineLevel="0" collapsed="false">
      <c r="A161" s="21" t="n">
        <v>46224</v>
      </c>
      <c r="B161" s="22" t="n">
        <v>15</v>
      </c>
      <c r="C161" s="25" t="n">
        <v>225.72</v>
      </c>
      <c r="D161" s="25" t="n">
        <v>16.92</v>
      </c>
      <c r="E161" s="25"/>
      <c r="F161" s="22" t="n">
        <f aca="false">WEEKDAY(A161,2)</f>
        <v>2</v>
      </c>
      <c r="G161" s="22" t="str">
        <f aca="false">IF(F161=7,IF(B161&gt;=23,"C","Sin turno"),IF(B161&lt;7,"C",IF(B161&lt;14,"A",IF(B161&lt;21,"B",IF(B161&lt;23,"Entre turnos",IF(F161=6,"Sin turno","C"))))))</f>
        <v>B</v>
      </c>
      <c r="H161" s="25" t="n">
        <f aca="false">IF(D161="","",MAX(0,D161-0.5*C161))</f>
        <v>0</v>
      </c>
    </row>
    <row r="162" customFormat="false" ht="15" hidden="false" customHeight="false" outlineLevel="0" collapsed="false">
      <c r="A162" s="21" t="n">
        <v>46224</v>
      </c>
      <c r="B162" s="22" t="n">
        <v>16</v>
      </c>
      <c r="C162" s="25" t="n">
        <v>246.36</v>
      </c>
      <c r="D162" s="25" t="n">
        <v>19.2</v>
      </c>
      <c r="E162" s="25"/>
      <c r="F162" s="22" t="n">
        <f aca="false">WEEKDAY(A162,2)</f>
        <v>2</v>
      </c>
      <c r="G162" s="22" t="str">
        <f aca="false">IF(F162=7,IF(B162&gt;=23,"C","Sin turno"),IF(B162&lt;7,"C",IF(B162&lt;14,"A",IF(B162&lt;21,"B",IF(B162&lt;23,"Entre turnos",IF(F162=6,"Sin turno","C"))))))</f>
        <v>B</v>
      </c>
      <c r="H162" s="25" t="n">
        <f aca="false">IF(D162="","",MAX(0,D162-0.5*C162))</f>
        <v>0</v>
      </c>
    </row>
    <row r="163" customFormat="false" ht="15" hidden="false" customHeight="false" outlineLevel="0" collapsed="false">
      <c r="A163" s="21" t="n">
        <v>46224</v>
      </c>
      <c r="B163" s="22" t="n">
        <v>17</v>
      </c>
      <c r="C163" s="25" t="n">
        <v>204.36</v>
      </c>
      <c r="D163" s="25" t="n">
        <v>25.92</v>
      </c>
      <c r="E163" s="25"/>
      <c r="F163" s="22" t="n">
        <f aca="false">WEEKDAY(A163,2)</f>
        <v>2</v>
      </c>
      <c r="G163" s="22" t="str">
        <f aca="false">IF(F163=7,IF(B163&gt;=23,"C","Sin turno"),IF(B163&lt;7,"C",IF(B163&lt;14,"A",IF(B163&lt;21,"B",IF(B163&lt;23,"Entre turnos",IF(F163=6,"Sin turno","C"))))))</f>
        <v>B</v>
      </c>
      <c r="H163" s="25" t="n">
        <f aca="false">IF(D163="","",MAX(0,D163-0.5*C163))</f>
        <v>0</v>
      </c>
    </row>
    <row r="164" customFormat="false" ht="15" hidden="false" customHeight="false" outlineLevel="0" collapsed="false">
      <c r="A164" s="21" t="n">
        <v>46224</v>
      </c>
      <c r="B164" s="22" t="n">
        <v>18</v>
      </c>
      <c r="C164" s="25" t="n">
        <v>165.36</v>
      </c>
      <c r="D164" s="25" t="n">
        <v>22.8</v>
      </c>
      <c r="E164" s="25"/>
      <c r="F164" s="22" t="n">
        <f aca="false">WEEKDAY(A164,2)</f>
        <v>2</v>
      </c>
      <c r="G164" s="22" t="str">
        <f aca="false">IF(F164=7,IF(B164&gt;=23,"C","Sin turno"),IF(B164&lt;7,"C",IF(B164&lt;14,"A",IF(B164&lt;21,"B",IF(B164&lt;23,"Entre turnos",IF(F164=6,"Sin turno","C"))))))</f>
        <v>B</v>
      </c>
      <c r="H164" s="25" t="n">
        <f aca="false">IF(D164="","",MAX(0,D164-0.5*C164))</f>
        <v>0</v>
      </c>
    </row>
    <row r="165" customFormat="false" ht="15" hidden="false" customHeight="false" outlineLevel="0" collapsed="false">
      <c r="A165" s="21" t="n">
        <v>46224</v>
      </c>
      <c r="B165" s="22" t="n">
        <v>19</v>
      </c>
      <c r="C165" s="25" t="n">
        <v>171.36</v>
      </c>
      <c r="D165" s="25" t="n">
        <v>23.64</v>
      </c>
      <c r="E165" s="25"/>
      <c r="F165" s="22" t="n">
        <f aca="false">WEEKDAY(A165,2)</f>
        <v>2</v>
      </c>
      <c r="G165" s="22" t="str">
        <f aca="false">IF(F165=7,IF(B165&gt;=23,"C","Sin turno"),IF(B165&lt;7,"C",IF(B165&lt;14,"A",IF(B165&lt;21,"B",IF(B165&lt;23,"Entre turnos",IF(F165=6,"Sin turno","C"))))))</f>
        <v>B</v>
      </c>
      <c r="H165" s="25" t="n">
        <f aca="false">IF(D165="","",MAX(0,D165-0.5*C165))</f>
        <v>0</v>
      </c>
    </row>
    <row r="166" customFormat="false" ht="15" hidden="false" customHeight="false" outlineLevel="0" collapsed="false">
      <c r="A166" s="21" t="n">
        <v>46224</v>
      </c>
      <c r="B166" s="22" t="n">
        <v>20</v>
      </c>
      <c r="C166" s="25" t="n">
        <v>173.16</v>
      </c>
      <c r="D166" s="25" t="n">
        <v>23.64</v>
      </c>
      <c r="E166" s="25"/>
      <c r="F166" s="22" t="n">
        <f aca="false">WEEKDAY(A166,2)</f>
        <v>2</v>
      </c>
      <c r="G166" s="22" t="str">
        <f aca="false">IF(F166=7,IF(B166&gt;=23,"C","Sin turno"),IF(B166&lt;7,"C",IF(B166&lt;14,"A",IF(B166&lt;21,"B",IF(B166&lt;23,"Entre turnos",IF(F166=6,"Sin turno","C"))))))</f>
        <v>B</v>
      </c>
      <c r="H166" s="25" t="n">
        <f aca="false">IF(D166="","",MAX(0,D166-0.5*C166))</f>
        <v>0</v>
      </c>
    </row>
    <row r="167" customFormat="false" ht="15" hidden="false" customHeight="false" outlineLevel="0" collapsed="false">
      <c r="A167" s="21" t="n">
        <v>46224</v>
      </c>
      <c r="B167" s="22" t="n">
        <v>21</v>
      </c>
      <c r="C167" s="25" t="n">
        <v>138.12</v>
      </c>
      <c r="D167" s="25" t="n">
        <v>15.6</v>
      </c>
      <c r="E167" s="25"/>
      <c r="F167" s="22" t="n">
        <f aca="false">WEEKDAY(A167,2)</f>
        <v>2</v>
      </c>
      <c r="G167" s="22" t="str">
        <f aca="false">IF(F167=7,IF(B167&gt;=23,"C","Sin turno"),IF(B167&lt;7,"C",IF(B167&lt;14,"A",IF(B167&lt;21,"B",IF(B167&lt;23,"Entre turnos",IF(F167=6,"Sin turno","C"))))))</f>
        <v>Entre turnos</v>
      </c>
      <c r="H167" s="25" t="n">
        <f aca="false">IF(D167="","",MAX(0,D167-0.5*C167))</f>
        <v>0</v>
      </c>
    </row>
    <row r="168" customFormat="false" ht="15" hidden="false" customHeight="false" outlineLevel="0" collapsed="false">
      <c r="A168" s="21" t="n">
        <v>46224</v>
      </c>
      <c r="B168" s="22" t="n">
        <v>22</v>
      </c>
      <c r="C168" s="25" t="n">
        <v>107.52</v>
      </c>
      <c r="D168" s="25" t="n">
        <v>5.4</v>
      </c>
      <c r="E168" s="25"/>
      <c r="F168" s="22" t="n">
        <f aca="false">WEEKDAY(A168,2)</f>
        <v>2</v>
      </c>
      <c r="G168" s="22" t="str">
        <f aca="false">IF(F168=7,IF(B168&gt;=23,"C","Sin turno"),IF(B168&lt;7,"C",IF(B168&lt;14,"A",IF(B168&lt;21,"B",IF(B168&lt;23,"Entre turnos",IF(F168=6,"Sin turno","C"))))))</f>
        <v>Entre turnos</v>
      </c>
      <c r="H168" s="25" t="n">
        <f aca="false">IF(D168="","",MAX(0,D168-0.5*C168))</f>
        <v>0</v>
      </c>
    </row>
    <row r="169" customFormat="false" ht="15" hidden="false" customHeight="false" outlineLevel="0" collapsed="false">
      <c r="A169" s="21" t="n">
        <v>46224</v>
      </c>
      <c r="B169" s="22" t="n">
        <v>23</v>
      </c>
      <c r="C169" s="25" t="n">
        <v>117.84</v>
      </c>
      <c r="D169" s="25" t="n">
        <v>7.44</v>
      </c>
      <c r="E169" s="25"/>
      <c r="F169" s="22" t="n">
        <f aca="false">WEEKDAY(A169,2)</f>
        <v>2</v>
      </c>
      <c r="G169" s="22" t="str">
        <f aca="false">IF(F169=7,IF(B169&gt;=23,"C","Sin turno"),IF(B169&lt;7,"C",IF(B169&lt;14,"A",IF(B169&lt;21,"B",IF(B169&lt;23,"Entre turnos",IF(F169=6,"Sin turno","C"))))))</f>
        <v>C</v>
      </c>
      <c r="H169" s="25" t="n">
        <f aca="false">IF(D169="","",MAX(0,D169-0.5*C169))</f>
        <v>0</v>
      </c>
    </row>
    <row r="170" customFormat="false" ht="15" hidden="false" customHeight="false" outlineLevel="0" collapsed="false">
      <c r="A170" s="21" t="n">
        <v>46225</v>
      </c>
      <c r="B170" s="22" t="n">
        <v>0</v>
      </c>
      <c r="C170" s="25" t="n">
        <v>126.72</v>
      </c>
      <c r="D170" s="25" t="n">
        <v>14.52</v>
      </c>
      <c r="E170" s="25"/>
      <c r="F170" s="22" t="n">
        <f aca="false">WEEKDAY(A170,2)</f>
        <v>3</v>
      </c>
      <c r="G170" s="22" t="str">
        <f aca="false">IF(F170=7,IF(B170&gt;=23,"C","Sin turno"),IF(B170&lt;7,"C",IF(B170&lt;14,"A",IF(B170&lt;21,"B",IF(B170&lt;23,"Entre turnos",IF(F170=6,"Sin turno","C"))))))</f>
        <v>C</v>
      </c>
      <c r="H170" s="25" t="n">
        <f aca="false">IF(D170="","",MAX(0,D170-0.5*C170))</f>
        <v>0</v>
      </c>
    </row>
    <row r="171" customFormat="false" ht="15" hidden="false" customHeight="false" outlineLevel="0" collapsed="false">
      <c r="A171" s="21" t="n">
        <v>46225</v>
      </c>
      <c r="B171" s="22" t="n">
        <v>1</v>
      </c>
      <c r="C171" s="25" t="n">
        <v>141.12</v>
      </c>
      <c r="D171" s="25" t="n">
        <v>24.24</v>
      </c>
      <c r="E171" s="25"/>
      <c r="F171" s="22" t="n">
        <f aca="false">WEEKDAY(A171,2)</f>
        <v>3</v>
      </c>
      <c r="G171" s="22" t="str">
        <f aca="false">IF(F171=7,IF(B171&gt;=23,"C","Sin turno"),IF(B171&lt;7,"C",IF(B171&lt;14,"A",IF(B171&lt;21,"B",IF(B171&lt;23,"Entre turnos",IF(F171=6,"Sin turno","C"))))))</f>
        <v>C</v>
      </c>
      <c r="H171" s="25" t="n">
        <f aca="false">IF(D171="","",MAX(0,D171-0.5*C171))</f>
        <v>0</v>
      </c>
    </row>
    <row r="172" customFormat="false" ht="15" hidden="false" customHeight="false" outlineLevel="0" collapsed="false">
      <c r="A172" s="21" t="n">
        <v>46225</v>
      </c>
      <c r="B172" s="22" t="n">
        <v>2</v>
      </c>
      <c r="C172" s="25" t="n">
        <v>142.2</v>
      </c>
      <c r="D172" s="25" t="n">
        <v>24.72</v>
      </c>
      <c r="E172" s="25"/>
      <c r="F172" s="22" t="n">
        <f aca="false">WEEKDAY(A172,2)</f>
        <v>3</v>
      </c>
      <c r="G172" s="22" t="str">
        <f aca="false">IF(F172=7,IF(B172&gt;=23,"C","Sin turno"),IF(B172&lt;7,"C",IF(B172&lt;14,"A",IF(B172&lt;21,"B",IF(B172&lt;23,"Entre turnos",IF(F172=6,"Sin turno","C"))))))</f>
        <v>C</v>
      </c>
      <c r="H172" s="25" t="n">
        <f aca="false">IF(D172="","",MAX(0,D172-0.5*C172))</f>
        <v>0</v>
      </c>
    </row>
    <row r="173" customFormat="false" ht="15" hidden="false" customHeight="false" outlineLevel="0" collapsed="false">
      <c r="A173" s="21" t="n">
        <v>46225</v>
      </c>
      <c r="B173" s="22" t="n">
        <v>3</v>
      </c>
      <c r="C173" s="25" t="n">
        <v>136.8</v>
      </c>
      <c r="D173" s="25" t="n">
        <v>24</v>
      </c>
      <c r="E173" s="25"/>
      <c r="F173" s="22" t="n">
        <f aca="false">WEEKDAY(A173,2)</f>
        <v>3</v>
      </c>
      <c r="G173" s="22" t="str">
        <f aca="false">IF(F173=7,IF(B173&gt;=23,"C","Sin turno"),IF(B173&lt;7,"C",IF(B173&lt;14,"A",IF(B173&lt;21,"B",IF(B173&lt;23,"Entre turnos",IF(F173=6,"Sin turno","C"))))))</f>
        <v>C</v>
      </c>
      <c r="H173" s="25" t="n">
        <f aca="false">IF(D173="","",MAX(0,D173-0.5*C173))</f>
        <v>0</v>
      </c>
    </row>
    <row r="174" customFormat="false" ht="15" hidden="false" customHeight="false" outlineLevel="0" collapsed="false">
      <c r="A174" s="21" t="n">
        <v>46225</v>
      </c>
      <c r="B174" s="22" t="n">
        <v>4</v>
      </c>
      <c r="C174" s="25" t="n">
        <v>136.8</v>
      </c>
      <c r="D174" s="25" t="n">
        <v>25.68</v>
      </c>
      <c r="E174" s="25"/>
      <c r="F174" s="22" t="n">
        <f aca="false">WEEKDAY(A174,2)</f>
        <v>3</v>
      </c>
      <c r="G174" s="22" t="str">
        <f aca="false">IF(F174=7,IF(B174&gt;=23,"C","Sin turno"),IF(B174&lt;7,"C",IF(B174&lt;14,"A",IF(B174&lt;21,"B",IF(B174&lt;23,"Entre turnos",IF(F174=6,"Sin turno","C"))))))</f>
        <v>C</v>
      </c>
      <c r="H174" s="25" t="n">
        <f aca="false">IF(D174="","",MAX(0,D174-0.5*C174))</f>
        <v>0</v>
      </c>
    </row>
    <row r="175" customFormat="false" ht="15" hidden="false" customHeight="false" outlineLevel="0" collapsed="false">
      <c r="A175" s="21" t="n">
        <v>46225</v>
      </c>
      <c r="B175" s="22" t="n">
        <v>5</v>
      </c>
      <c r="C175" s="25" t="n">
        <v>144.84</v>
      </c>
      <c r="D175" s="25" t="n">
        <v>27.12</v>
      </c>
      <c r="E175" s="25"/>
      <c r="F175" s="22" t="n">
        <f aca="false">WEEKDAY(A175,2)</f>
        <v>3</v>
      </c>
      <c r="G175" s="22" t="str">
        <f aca="false">IF(F175=7,IF(B175&gt;=23,"C","Sin turno"),IF(B175&lt;7,"C",IF(B175&lt;14,"A",IF(B175&lt;21,"B",IF(B175&lt;23,"Entre turnos",IF(F175=6,"Sin turno","C"))))))</f>
        <v>C</v>
      </c>
      <c r="H175" s="25" t="n">
        <f aca="false">IF(D175="","",MAX(0,D175-0.5*C175))</f>
        <v>0</v>
      </c>
    </row>
    <row r="176" customFormat="false" ht="15" hidden="false" customHeight="false" outlineLevel="0" collapsed="false">
      <c r="A176" s="21" t="n">
        <v>46225</v>
      </c>
      <c r="B176" s="22" t="n">
        <v>6</v>
      </c>
      <c r="C176" s="25" t="n">
        <v>157.56</v>
      </c>
      <c r="D176" s="25" t="n">
        <v>13.8</v>
      </c>
      <c r="E176" s="25"/>
      <c r="F176" s="22" t="n">
        <f aca="false">WEEKDAY(A176,2)</f>
        <v>3</v>
      </c>
      <c r="G176" s="22" t="str">
        <f aca="false">IF(F176=7,IF(B176&gt;=23,"C","Sin turno"),IF(B176&lt;7,"C",IF(B176&lt;14,"A",IF(B176&lt;21,"B",IF(B176&lt;23,"Entre turnos",IF(F176=6,"Sin turno","C"))))))</f>
        <v>C</v>
      </c>
      <c r="H176" s="25" t="n">
        <f aca="false">IF(D176="","",MAX(0,D176-0.5*C176))</f>
        <v>0</v>
      </c>
    </row>
    <row r="177" customFormat="false" ht="15" hidden="false" customHeight="false" outlineLevel="0" collapsed="false">
      <c r="A177" s="21" t="n">
        <v>46225</v>
      </c>
      <c r="B177" s="22" t="n">
        <v>7</v>
      </c>
      <c r="C177" s="25" t="n">
        <v>238.68</v>
      </c>
      <c r="D177" s="25" t="n">
        <v>22.8</v>
      </c>
      <c r="E177" s="25"/>
      <c r="F177" s="22" t="n">
        <f aca="false">WEEKDAY(A177,2)</f>
        <v>3</v>
      </c>
      <c r="G177" s="22" t="str">
        <f aca="false">IF(F177=7,IF(B177&gt;=23,"C","Sin turno"),IF(B177&lt;7,"C",IF(B177&lt;14,"A",IF(B177&lt;21,"B",IF(B177&lt;23,"Entre turnos",IF(F177=6,"Sin turno","C"))))))</f>
        <v>A</v>
      </c>
      <c r="H177" s="25" t="n">
        <f aca="false">IF(D177="","",MAX(0,D177-0.5*C177))</f>
        <v>0</v>
      </c>
    </row>
    <row r="178" customFormat="false" ht="15" hidden="false" customHeight="false" outlineLevel="0" collapsed="false">
      <c r="A178" s="21" t="n">
        <v>46225</v>
      </c>
      <c r="B178" s="22" t="n">
        <v>8</v>
      </c>
      <c r="C178" s="25" t="n">
        <v>267.96</v>
      </c>
      <c r="D178" s="25" t="n">
        <v>21.72</v>
      </c>
      <c r="E178" s="25"/>
      <c r="F178" s="22" t="n">
        <f aca="false">WEEKDAY(A178,2)</f>
        <v>3</v>
      </c>
      <c r="G178" s="22" t="str">
        <f aca="false">IF(F178=7,IF(B178&gt;=23,"C","Sin turno"),IF(B178&lt;7,"C",IF(B178&lt;14,"A",IF(B178&lt;21,"B",IF(B178&lt;23,"Entre turnos",IF(F178=6,"Sin turno","C"))))))</f>
        <v>A</v>
      </c>
      <c r="H178" s="25" t="n">
        <f aca="false">IF(D178="","",MAX(0,D178-0.5*C178))</f>
        <v>0</v>
      </c>
    </row>
    <row r="179" customFormat="false" ht="15" hidden="false" customHeight="false" outlineLevel="0" collapsed="false">
      <c r="A179" s="21" t="n">
        <v>46225</v>
      </c>
      <c r="B179" s="22" t="n">
        <v>9</v>
      </c>
      <c r="C179" s="25" t="n">
        <v>233.52</v>
      </c>
      <c r="D179" s="25" t="n">
        <v>19.56</v>
      </c>
      <c r="E179" s="25"/>
      <c r="F179" s="22" t="n">
        <f aca="false">WEEKDAY(A179,2)</f>
        <v>3</v>
      </c>
      <c r="G179" s="22" t="str">
        <f aca="false">IF(F179=7,IF(B179&gt;=23,"C","Sin turno"),IF(B179&lt;7,"C",IF(B179&lt;14,"A",IF(B179&lt;21,"B",IF(B179&lt;23,"Entre turnos",IF(F179=6,"Sin turno","C"))))))</f>
        <v>A</v>
      </c>
      <c r="H179" s="25" t="n">
        <f aca="false">IF(D179="","",MAX(0,D179-0.5*C179))</f>
        <v>0</v>
      </c>
    </row>
    <row r="180" customFormat="false" ht="15" hidden="false" customHeight="false" outlineLevel="0" collapsed="false">
      <c r="A180" s="21" t="n">
        <v>46225</v>
      </c>
      <c r="B180" s="22" t="n">
        <v>10</v>
      </c>
      <c r="C180" s="25" t="n">
        <v>212.4</v>
      </c>
      <c r="D180" s="25" t="n">
        <v>20.04</v>
      </c>
      <c r="E180" s="25"/>
      <c r="F180" s="22" t="n">
        <f aca="false">WEEKDAY(A180,2)</f>
        <v>3</v>
      </c>
      <c r="G180" s="22" t="str">
        <f aca="false">IF(F180=7,IF(B180&gt;=23,"C","Sin turno"),IF(B180&lt;7,"C",IF(B180&lt;14,"A",IF(B180&lt;21,"B",IF(B180&lt;23,"Entre turnos",IF(F180=6,"Sin turno","C"))))))</f>
        <v>A</v>
      </c>
      <c r="H180" s="25" t="n">
        <f aca="false">IF(D180="","",MAX(0,D180-0.5*C180))</f>
        <v>0</v>
      </c>
    </row>
    <row r="181" customFormat="false" ht="15" hidden="false" customHeight="false" outlineLevel="0" collapsed="false">
      <c r="A181" s="21" t="n">
        <v>46225</v>
      </c>
      <c r="B181" s="22" t="n">
        <v>11</v>
      </c>
      <c r="C181" s="25" t="n">
        <v>218.28</v>
      </c>
      <c r="D181" s="25" t="n">
        <v>19.8</v>
      </c>
      <c r="E181" s="25"/>
      <c r="F181" s="22" t="n">
        <f aca="false">WEEKDAY(A181,2)</f>
        <v>3</v>
      </c>
      <c r="G181" s="22" t="str">
        <f aca="false">IF(F181=7,IF(B181&gt;=23,"C","Sin turno"),IF(B181&lt;7,"C",IF(B181&lt;14,"A",IF(B181&lt;21,"B",IF(B181&lt;23,"Entre turnos",IF(F181=6,"Sin turno","C"))))))</f>
        <v>A</v>
      </c>
      <c r="H181" s="25" t="n">
        <f aca="false">IF(D181="","",MAX(0,D181-0.5*C181))</f>
        <v>0</v>
      </c>
    </row>
    <row r="182" customFormat="false" ht="15" hidden="false" customHeight="false" outlineLevel="0" collapsed="false">
      <c r="A182" s="21" t="n">
        <v>46225</v>
      </c>
      <c r="B182" s="22" t="n">
        <v>12</v>
      </c>
      <c r="C182" s="25" t="n">
        <v>247.08</v>
      </c>
      <c r="D182" s="25" t="n">
        <v>24.48</v>
      </c>
      <c r="E182" s="25"/>
      <c r="F182" s="22" t="n">
        <f aca="false">WEEKDAY(A182,2)</f>
        <v>3</v>
      </c>
      <c r="G182" s="22" t="str">
        <f aca="false">IF(F182=7,IF(B182&gt;=23,"C","Sin turno"),IF(B182&lt;7,"C",IF(B182&lt;14,"A",IF(B182&lt;21,"B",IF(B182&lt;23,"Entre turnos",IF(F182=6,"Sin turno","C"))))))</f>
        <v>A</v>
      </c>
      <c r="H182" s="25" t="n">
        <f aca="false">IF(D182="","",MAX(0,D182-0.5*C182))</f>
        <v>0</v>
      </c>
    </row>
    <row r="183" customFormat="false" ht="15" hidden="false" customHeight="false" outlineLevel="0" collapsed="false">
      <c r="A183" s="21" t="n">
        <v>46225</v>
      </c>
      <c r="B183" s="22" t="n">
        <v>13</v>
      </c>
      <c r="C183" s="25" t="n">
        <v>210.84</v>
      </c>
      <c r="D183" s="25" t="n">
        <v>18.24</v>
      </c>
      <c r="E183" s="25"/>
      <c r="F183" s="22" t="n">
        <f aca="false">WEEKDAY(A183,2)</f>
        <v>3</v>
      </c>
      <c r="G183" s="22" t="str">
        <f aca="false">IF(F183=7,IF(B183&gt;=23,"C","Sin turno"),IF(B183&lt;7,"C",IF(B183&lt;14,"A",IF(B183&lt;21,"B",IF(B183&lt;23,"Entre turnos",IF(F183=6,"Sin turno","C"))))))</f>
        <v>A</v>
      </c>
      <c r="H183" s="25" t="n">
        <f aca="false">IF(D183="","",MAX(0,D183-0.5*C183))</f>
        <v>0</v>
      </c>
    </row>
    <row r="184" customFormat="false" ht="15" hidden="false" customHeight="false" outlineLevel="0" collapsed="false">
      <c r="A184" s="21" t="n">
        <v>46225</v>
      </c>
      <c r="B184" s="22" t="n">
        <v>14</v>
      </c>
      <c r="C184" s="25" t="n">
        <v>179.04</v>
      </c>
      <c r="D184" s="25" t="n">
        <v>15.72</v>
      </c>
      <c r="E184" s="25"/>
      <c r="F184" s="22" t="n">
        <f aca="false">WEEKDAY(A184,2)</f>
        <v>3</v>
      </c>
      <c r="G184" s="22" t="str">
        <f aca="false">IF(F184=7,IF(B184&gt;=23,"C","Sin turno"),IF(B184&lt;7,"C",IF(B184&lt;14,"A",IF(B184&lt;21,"B",IF(B184&lt;23,"Entre turnos",IF(F184=6,"Sin turno","C"))))))</f>
        <v>B</v>
      </c>
      <c r="H184" s="25" t="n">
        <f aca="false">IF(D184="","",MAX(0,D184-0.5*C184))</f>
        <v>0</v>
      </c>
    </row>
    <row r="185" customFormat="false" ht="15" hidden="false" customHeight="false" outlineLevel="0" collapsed="false">
      <c r="A185" s="21" t="n">
        <v>46225</v>
      </c>
      <c r="B185" s="22" t="n">
        <v>15</v>
      </c>
      <c r="C185" s="25" t="n">
        <v>201.72</v>
      </c>
      <c r="D185" s="25" t="n">
        <v>18.36</v>
      </c>
      <c r="E185" s="25"/>
      <c r="F185" s="22" t="n">
        <f aca="false">WEEKDAY(A185,2)</f>
        <v>3</v>
      </c>
      <c r="G185" s="22" t="str">
        <f aca="false">IF(F185=7,IF(B185&gt;=23,"C","Sin turno"),IF(B185&lt;7,"C",IF(B185&lt;14,"A",IF(B185&lt;21,"B",IF(B185&lt;23,"Entre turnos",IF(F185=6,"Sin turno","C"))))))</f>
        <v>B</v>
      </c>
      <c r="H185" s="25" t="n">
        <f aca="false">IF(D185="","",MAX(0,D185-0.5*C185))</f>
        <v>0</v>
      </c>
    </row>
    <row r="186" customFormat="false" ht="15" hidden="false" customHeight="false" outlineLevel="0" collapsed="false">
      <c r="A186" s="21" t="n">
        <v>46225</v>
      </c>
      <c r="B186" s="22" t="n">
        <v>16</v>
      </c>
      <c r="C186" s="25" t="n">
        <v>228.6</v>
      </c>
      <c r="D186" s="25" t="n">
        <v>16.92</v>
      </c>
      <c r="E186" s="25"/>
      <c r="F186" s="22" t="n">
        <f aca="false">WEEKDAY(A186,2)</f>
        <v>3</v>
      </c>
      <c r="G186" s="22" t="str">
        <f aca="false">IF(F186=7,IF(B186&gt;=23,"C","Sin turno"),IF(B186&lt;7,"C",IF(B186&lt;14,"A",IF(B186&lt;21,"B",IF(B186&lt;23,"Entre turnos",IF(F186=6,"Sin turno","C"))))))</f>
        <v>B</v>
      </c>
      <c r="H186" s="25" t="n">
        <f aca="false">IF(D186="","",MAX(0,D186-0.5*C186))</f>
        <v>0</v>
      </c>
    </row>
    <row r="187" customFormat="false" ht="15" hidden="false" customHeight="false" outlineLevel="0" collapsed="false">
      <c r="A187" s="21" t="n">
        <v>46225</v>
      </c>
      <c r="B187" s="22" t="n">
        <v>17</v>
      </c>
      <c r="C187" s="25" t="n">
        <v>215.16</v>
      </c>
      <c r="D187" s="25" t="n">
        <v>19.32</v>
      </c>
      <c r="E187" s="25"/>
      <c r="F187" s="22" t="n">
        <f aca="false">WEEKDAY(A187,2)</f>
        <v>3</v>
      </c>
      <c r="G187" s="22" t="str">
        <f aca="false">IF(F187=7,IF(B187&gt;=23,"C","Sin turno"),IF(B187&lt;7,"C",IF(B187&lt;14,"A",IF(B187&lt;21,"B",IF(B187&lt;23,"Entre turnos",IF(F187=6,"Sin turno","C"))))))</f>
        <v>B</v>
      </c>
      <c r="H187" s="25" t="n">
        <f aca="false">IF(D187="","",MAX(0,D187-0.5*C187))</f>
        <v>0</v>
      </c>
    </row>
    <row r="188" customFormat="false" ht="15" hidden="false" customHeight="false" outlineLevel="0" collapsed="false">
      <c r="A188" s="21" t="n">
        <v>46225</v>
      </c>
      <c r="B188" s="22" t="n">
        <v>18</v>
      </c>
      <c r="C188" s="25" t="n">
        <v>187.44</v>
      </c>
      <c r="D188" s="25" t="n">
        <v>14.88</v>
      </c>
      <c r="E188" s="25"/>
      <c r="F188" s="22" t="n">
        <f aca="false">WEEKDAY(A188,2)</f>
        <v>3</v>
      </c>
      <c r="G188" s="22" t="str">
        <f aca="false">IF(F188=7,IF(B188&gt;=23,"C","Sin turno"),IF(B188&lt;7,"C",IF(B188&lt;14,"A",IF(B188&lt;21,"B",IF(B188&lt;23,"Entre turnos",IF(F188=6,"Sin turno","C"))))))</f>
        <v>B</v>
      </c>
      <c r="H188" s="25" t="n">
        <f aca="false">IF(D188="","",MAX(0,D188-0.5*C188))</f>
        <v>0</v>
      </c>
    </row>
    <row r="189" customFormat="false" ht="15" hidden="false" customHeight="false" outlineLevel="0" collapsed="false">
      <c r="A189" s="21" t="n">
        <v>46225</v>
      </c>
      <c r="B189" s="22" t="n">
        <v>19</v>
      </c>
      <c r="C189" s="25" t="n">
        <v>179.4</v>
      </c>
      <c r="D189" s="25" t="n">
        <v>28.08</v>
      </c>
      <c r="E189" s="25"/>
      <c r="F189" s="22" t="n">
        <f aca="false">WEEKDAY(A189,2)</f>
        <v>3</v>
      </c>
      <c r="G189" s="22" t="str">
        <f aca="false">IF(F189=7,IF(B189&gt;=23,"C","Sin turno"),IF(B189&lt;7,"C",IF(B189&lt;14,"A",IF(B189&lt;21,"B",IF(B189&lt;23,"Entre turnos",IF(F189=6,"Sin turno","C"))))))</f>
        <v>B</v>
      </c>
      <c r="H189" s="25" t="n">
        <f aca="false">IF(D189="","",MAX(0,D189-0.5*C189))</f>
        <v>0</v>
      </c>
    </row>
    <row r="190" customFormat="false" ht="15" hidden="false" customHeight="false" outlineLevel="0" collapsed="false">
      <c r="A190" s="21" t="n">
        <v>46225</v>
      </c>
      <c r="B190" s="22" t="n">
        <v>20</v>
      </c>
      <c r="C190" s="25" t="n">
        <v>173.88</v>
      </c>
      <c r="D190" s="25" t="n">
        <v>23.04</v>
      </c>
      <c r="E190" s="25"/>
      <c r="F190" s="22" t="n">
        <f aca="false">WEEKDAY(A190,2)</f>
        <v>3</v>
      </c>
      <c r="G190" s="22" t="str">
        <f aca="false">IF(F190=7,IF(B190&gt;=23,"C","Sin turno"),IF(B190&lt;7,"C",IF(B190&lt;14,"A",IF(B190&lt;21,"B",IF(B190&lt;23,"Entre turnos",IF(F190=6,"Sin turno","C"))))))</f>
        <v>B</v>
      </c>
      <c r="H190" s="25" t="n">
        <f aca="false">IF(D190="","",MAX(0,D190-0.5*C190))</f>
        <v>0</v>
      </c>
    </row>
    <row r="191" customFormat="false" ht="15" hidden="false" customHeight="false" outlineLevel="0" collapsed="false">
      <c r="A191" s="21" t="n">
        <v>46225</v>
      </c>
      <c r="B191" s="22" t="n">
        <v>21</v>
      </c>
      <c r="C191" s="25" t="n">
        <v>136.2</v>
      </c>
      <c r="D191" s="25" t="n">
        <v>20.52</v>
      </c>
      <c r="E191" s="25"/>
      <c r="F191" s="22" t="n">
        <f aca="false">WEEKDAY(A191,2)</f>
        <v>3</v>
      </c>
      <c r="G191" s="22" t="str">
        <f aca="false">IF(F191=7,IF(B191&gt;=23,"C","Sin turno"),IF(B191&lt;7,"C",IF(B191&lt;14,"A",IF(B191&lt;21,"B",IF(B191&lt;23,"Entre turnos",IF(F191=6,"Sin turno","C"))))))</f>
        <v>Entre turnos</v>
      </c>
      <c r="H191" s="25" t="n">
        <f aca="false">IF(D191="","",MAX(0,D191-0.5*C191))</f>
        <v>0</v>
      </c>
    </row>
    <row r="192" customFormat="false" ht="15" hidden="false" customHeight="false" outlineLevel="0" collapsed="false">
      <c r="A192" s="21" t="n">
        <v>46225</v>
      </c>
      <c r="B192" s="22" t="n">
        <v>22</v>
      </c>
      <c r="C192" s="25" t="n">
        <v>105.36</v>
      </c>
      <c r="D192" s="25" t="n">
        <v>15.96</v>
      </c>
      <c r="E192" s="25"/>
      <c r="F192" s="22" t="n">
        <f aca="false">WEEKDAY(A192,2)</f>
        <v>3</v>
      </c>
      <c r="G192" s="22" t="str">
        <f aca="false">IF(F192=7,IF(B192&gt;=23,"C","Sin turno"),IF(B192&lt;7,"C",IF(B192&lt;14,"A",IF(B192&lt;21,"B",IF(B192&lt;23,"Entre turnos",IF(F192=6,"Sin turno","C"))))))</f>
        <v>Entre turnos</v>
      </c>
      <c r="H192" s="25" t="n">
        <f aca="false">IF(D192="","",MAX(0,D192-0.5*C192))</f>
        <v>0</v>
      </c>
    </row>
    <row r="193" customFormat="false" ht="15" hidden="false" customHeight="false" outlineLevel="0" collapsed="false">
      <c r="A193" s="21" t="n">
        <v>46225</v>
      </c>
      <c r="B193" s="22" t="n">
        <v>23</v>
      </c>
      <c r="C193" s="25" t="n">
        <v>134.88</v>
      </c>
      <c r="D193" s="25" t="n">
        <v>16.68</v>
      </c>
      <c r="E193" s="25"/>
      <c r="F193" s="22" t="n">
        <f aca="false">WEEKDAY(A193,2)</f>
        <v>3</v>
      </c>
      <c r="G193" s="22" t="str">
        <f aca="false">IF(F193=7,IF(B193&gt;=23,"C","Sin turno"),IF(B193&lt;7,"C",IF(B193&lt;14,"A",IF(B193&lt;21,"B",IF(B193&lt;23,"Entre turnos",IF(F193=6,"Sin turno","C"))))))</f>
        <v>C</v>
      </c>
      <c r="H193" s="25" t="n">
        <f aca="false">IF(D193="","",MAX(0,D193-0.5*C193))</f>
        <v>0</v>
      </c>
    </row>
    <row r="194" customFormat="false" ht="15" hidden="false" customHeight="false" outlineLevel="0" collapsed="false">
      <c r="A194" s="21" t="n">
        <v>46226</v>
      </c>
      <c r="B194" s="22" t="n">
        <v>0</v>
      </c>
      <c r="C194" s="25" t="n">
        <v>147.48</v>
      </c>
      <c r="D194" s="25" t="n">
        <v>14.4</v>
      </c>
      <c r="E194" s="25"/>
      <c r="F194" s="22" t="n">
        <f aca="false">WEEKDAY(A194,2)</f>
        <v>4</v>
      </c>
      <c r="G194" s="22" t="str">
        <f aca="false">IF(F194=7,IF(B194&gt;=23,"C","Sin turno"),IF(B194&lt;7,"C",IF(B194&lt;14,"A",IF(B194&lt;21,"B",IF(B194&lt;23,"Entre turnos",IF(F194=6,"Sin turno","C"))))))</f>
        <v>C</v>
      </c>
      <c r="H194" s="25" t="n">
        <f aca="false">IF(D194="","",MAX(0,D194-0.5*C194))</f>
        <v>0</v>
      </c>
    </row>
    <row r="195" customFormat="false" ht="15" hidden="false" customHeight="false" outlineLevel="0" collapsed="false">
      <c r="A195" s="21" t="n">
        <v>46226</v>
      </c>
      <c r="B195" s="22" t="n">
        <v>1</v>
      </c>
      <c r="C195" s="25" t="n">
        <v>144.24</v>
      </c>
      <c r="D195" s="25" t="n">
        <v>14.88</v>
      </c>
      <c r="E195" s="25"/>
      <c r="F195" s="22" t="n">
        <f aca="false">WEEKDAY(A195,2)</f>
        <v>4</v>
      </c>
      <c r="G195" s="22" t="str">
        <f aca="false">IF(F195=7,IF(B195&gt;=23,"C","Sin turno"),IF(B195&lt;7,"C",IF(B195&lt;14,"A",IF(B195&lt;21,"B",IF(B195&lt;23,"Entre turnos",IF(F195=6,"Sin turno","C"))))))</f>
        <v>C</v>
      </c>
      <c r="H195" s="25" t="n">
        <f aca="false">IF(D195="","",MAX(0,D195-0.5*C195))</f>
        <v>0</v>
      </c>
    </row>
    <row r="196" customFormat="false" ht="15" hidden="false" customHeight="false" outlineLevel="0" collapsed="false">
      <c r="A196" s="21" t="n">
        <v>46226</v>
      </c>
      <c r="B196" s="22" t="n">
        <v>2</v>
      </c>
      <c r="C196" s="25" t="n">
        <v>144.36</v>
      </c>
      <c r="D196" s="25" t="n">
        <v>14.4</v>
      </c>
      <c r="E196" s="25"/>
      <c r="F196" s="22" t="n">
        <f aca="false">WEEKDAY(A196,2)</f>
        <v>4</v>
      </c>
      <c r="G196" s="22" t="str">
        <f aca="false">IF(F196=7,IF(B196&gt;=23,"C","Sin turno"),IF(B196&lt;7,"C",IF(B196&lt;14,"A",IF(B196&lt;21,"B",IF(B196&lt;23,"Entre turnos",IF(F196=6,"Sin turno","C"))))))</f>
        <v>C</v>
      </c>
      <c r="H196" s="25" t="n">
        <f aca="false">IF(D196="","",MAX(0,D196-0.5*C196))</f>
        <v>0</v>
      </c>
    </row>
    <row r="197" customFormat="false" ht="15" hidden="false" customHeight="false" outlineLevel="0" collapsed="false">
      <c r="A197" s="21" t="n">
        <v>46226</v>
      </c>
      <c r="B197" s="22" t="n">
        <v>3</v>
      </c>
      <c r="C197" s="25" t="n">
        <v>142.2</v>
      </c>
      <c r="D197" s="25" t="n">
        <v>15.24</v>
      </c>
      <c r="E197" s="25"/>
      <c r="F197" s="22" t="n">
        <f aca="false">WEEKDAY(A197,2)</f>
        <v>4</v>
      </c>
      <c r="G197" s="22" t="str">
        <f aca="false">IF(F197=7,IF(B197&gt;=23,"C","Sin turno"),IF(B197&lt;7,"C",IF(B197&lt;14,"A",IF(B197&lt;21,"B",IF(B197&lt;23,"Entre turnos",IF(F197=6,"Sin turno","C"))))))</f>
        <v>C</v>
      </c>
      <c r="H197" s="25" t="n">
        <f aca="false">IF(D197="","",MAX(0,D197-0.5*C197))</f>
        <v>0</v>
      </c>
    </row>
    <row r="198" customFormat="false" ht="15" hidden="false" customHeight="false" outlineLevel="0" collapsed="false">
      <c r="A198" s="21" t="n">
        <v>46226</v>
      </c>
      <c r="B198" s="22" t="n">
        <v>4</v>
      </c>
      <c r="C198" s="25" t="n">
        <v>141.36</v>
      </c>
      <c r="D198" s="25" t="n">
        <v>14.88</v>
      </c>
      <c r="E198" s="25"/>
      <c r="F198" s="22" t="n">
        <f aca="false">WEEKDAY(A198,2)</f>
        <v>4</v>
      </c>
      <c r="G198" s="22" t="str">
        <f aca="false">IF(F198=7,IF(B198&gt;=23,"C","Sin turno"),IF(B198&lt;7,"C",IF(B198&lt;14,"A",IF(B198&lt;21,"B",IF(B198&lt;23,"Entre turnos",IF(F198=6,"Sin turno","C"))))))</f>
        <v>C</v>
      </c>
      <c r="H198" s="25" t="n">
        <f aca="false">IF(D198="","",MAX(0,D198-0.5*C198))</f>
        <v>0</v>
      </c>
    </row>
    <row r="199" customFormat="false" ht="15" hidden="false" customHeight="false" outlineLevel="0" collapsed="false">
      <c r="A199" s="21" t="n">
        <v>46226</v>
      </c>
      <c r="B199" s="22" t="n">
        <v>5</v>
      </c>
      <c r="C199" s="25" t="n">
        <v>142.44</v>
      </c>
      <c r="D199" s="25" t="n">
        <v>14.52</v>
      </c>
      <c r="E199" s="25"/>
      <c r="F199" s="22" t="n">
        <f aca="false">WEEKDAY(A199,2)</f>
        <v>4</v>
      </c>
      <c r="G199" s="22" t="str">
        <f aca="false">IF(F199=7,IF(B199&gt;=23,"C","Sin turno"),IF(B199&lt;7,"C",IF(B199&lt;14,"A",IF(B199&lt;21,"B",IF(B199&lt;23,"Entre turnos",IF(F199=6,"Sin turno","C"))))))</f>
        <v>C</v>
      </c>
      <c r="H199" s="25" t="n">
        <f aca="false">IF(D199="","",MAX(0,D199-0.5*C199))</f>
        <v>0</v>
      </c>
    </row>
    <row r="200" customFormat="false" ht="15" hidden="false" customHeight="false" outlineLevel="0" collapsed="false">
      <c r="A200" s="21" t="n">
        <v>46226</v>
      </c>
      <c r="B200" s="22" t="n">
        <v>6</v>
      </c>
      <c r="C200" s="25" t="n">
        <v>149.64</v>
      </c>
      <c r="D200" s="25" t="n">
        <v>12</v>
      </c>
      <c r="E200" s="25"/>
      <c r="F200" s="22" t="n">
        <f aca="false">WEEKDAY(A200,2)</f>
        <v>4</v>
      </c>
      <c r="G200" s="22" t="str">
        <f aca="false">IF(F200=7,IF(B200&gt;=23,"C","Sin turno"),IF(B200&lt;7,"C",IF(B200&lt;14,"A",IF(B200&lt;21,"B",IF(B200&lt;23,"Entre turnos",IF(F200=6,"Sin turno","C"))))))</f>
        <v>C</v>
      </c>
      <c r="H200" s="25" t="n">
        <f aca="false">IF(D200="","",MAX(0,D200-0.5*C200))</f>
        <v>0</v>
      </c>
    </row>
    <row r="201" customFormat="false" ht="15" hidden="false" customHeight="false" outlineLevel="0" collapsed="false">
      <c r="A201" s="21" t="n">
        <v>46226</v>
      </c>
      <c r="B201" s="22" t="n">
        <v>7</v>
      </c>
      <c r="C201" s="25" t="n">
        <v>237.12</v>
      </c>
      <c r="D201" s="25" t="n">
        <v>20.76</v>
      </c>
      <c r="E201" s="25"/>
      <c r="F201" s="22" t="n">
        <f aca="false">WEEKDAY(A201,2)</f>
        <v>4</v>
      </c>
      <c r="G201" s="22" t="str">
        <f aca="false">IF(F201=7,IF(B201&gt;=23,"C","Sin turno"),IF(B201&lt;7,"C",IF(B201&lt;14,"A",IF(B201&lt;21,"B",IF(B201&lt;23,"Entre turnos",IF(F201=6,"Sin turno","C"))))))</f>
        <v>A</v>
      </c>
      <c r="H201" s="25" t="n">
        <f aca="false">IF(D201="","",MAX(0,D201-0.5*C201))</f>
        <v>0</v>
      </c>
    </row>
    <row r="202" customFormat="false" ht="15" hidden="false" customHeight="false" outlineLevel="0" collapsed="false">
      <c r="A202" s="21" t="n">
        <v>46226</v>
      </c>
      <c r="B202" s="22" t="n">
        <v>8</v>
      </c>
      <c r="C202" s="25" t="n">
        <v>273.12</v>
      </c>
      <c r="D202" s="25" t="n">
        <v>20.28</v>
      </c>
      <c r="E202" s="25"/>
      <c r="F202" s="22" t="n">
        <f aca="false">WEEKDAY(A202,2)</f>
        <v>4</v>
      </c>
      <c r="G202" s="22" t="str">
        <f aca="false">IF(F202=7,IF(B202&gt;=23,"C","Sin turno"),IF(B202&lt;7,"C",IF(B202&lt;14,"A",IF(B202&lt;21,"B",IF(B202&lt;23,"Entre turnos",IF(F202=6,"Sin turno","C"))))))</f>
        <v>A</v>
      </c>
      <c r="H202" s="25" t="n">
        <f aca="false">IF(D202="","",MAX(0,D202-0.5*C202))</f>
        <v>0</v>
      </c>
    </row>
    <row r="203" customFormat="false" ht="15" hidden="false" customHeight="false" outlineLevel="0" collapsed="false">
      <c r="A203" s="21" t="n">
        <v>46226</v>
      </c>
      <c r="B203" s="22" t="n">
        <v>9</v>
      </c>
      <c r="C203" s="25" t="n">
        <v>263.28</v>
      </c>
      <c r="D203" s="25" t="n">
        <v>24</v>
      </c>
      <c r="E203" s="25"/>
      <c r="F203" s="22" t="n">
        <f aca="false">WEEKDAY(A203,2)</f>
        <v>4</v>
      </c>
      <c r="G203" s="22" t="str">
        <f aca="false">IF(F203=7,IF(B203&gt;=23,"C","Sin turno"),IF(B203&lt;7,"C",IF(B203&lt;14,"A",IF(B203&lt;21,"B",IF(B203&lt;23,"Entre turnos",IF(F203=6,"Sin turno","C"))))))</f>
        <v>A</v>
      </c>
      <c r="H203" s="25" t="n">
        <f aca="false">IF(D203="","",MAX(0,D203-0.5*C203))</f>
        <v>0</v>
      </c>
    </row>
    <row r="204" customFormat="false" ht="15" hidden="false" customHeight="false" outlineLevel="0" collapsed="false">
      <c r="A204" s="21" t="n">
        <v>46226</v>
      </c>
      <c r="B204" s="22" t="n">
        <v>10</v>
      </c>
      <c r="C204" s="25" t="n">
        <v>204.6</v>
      </c>
      <c r="D204" s="25" t="n">
        <v>19.56</v>
      </c>
      <c r="E204" s="25"/>
      <c r="F204" s="22" t="n">
        <f aca="false">WEEKDAY(A204,2)</f>
        <v>4</v>
      </c>
      <c r="G204" s="22" t="str">
        <f aca="false">IF(F204=7,IF(B204&gt;=23,"C","Sin turno"),IF(B204&lt;7,"C",IF(B204&lt;14,"A",IF(B204&lt;21,"B",IF(B204&lt;23,"Entre turnos",IF(F204=6,"Sin turno","C"))))))</f>
        <v>A</v>
      </c>
      <c r="H204" s="25" t="n">
        <f aca="false">IF(D204="","",MAX(0,D204-0.5*C204))</f>
        <v>0</v>
      </c>
    </row>
    <row r="205" customFormat="false" ht="15" hidden="false" customHeight="false" outlineLevel="0" collapsed="false">
      <c r="A205" s="21" t="n">
        <v>46226</v>
      </c>
      <c r="B205" s="22" t="n">
        <v>11</v>
      </c>
      <c r="C205" s="25" t="n">
        <v>195.12</v>
      </c>
      <c r="D205" s="25" t="n">
        <v>22.92</v>
      </c>
      <c r="E205" s="25"/>
      <c r="F205" s="22" t="n">
        <f aca="false">WEEKDAY(A205,2)</f>
        <v>4</v>
      </c>
      <c r="G205" s="22" t="str">
        <f aca="false">IF(F205=7,IF(B205&gt;=23,"C","Sin turno"),IF(B205&lt;7,"C",IF(B205&lt;14,"A",IF(B205&lt;21,"B",IF(B205&lt;23,"Entre turnos",IF(F205=6,"Sin turno","C"))))))</f>
        <v>A</v>
      </c>
      <c r="H205" s="25" t="n">
        <f aca="false">IF(D205="","",MAX(0,D205-0.5*C205))</f>
        <v>0</v>
      </c>
    </row>
    <row r="206" customFormat="false" ht="15" hidden="false" customHeight="false" outlineLevel="0" collapsed="false">
      <c r="A206" s="21" t="n">
        <v>46226</v>
      </c>
      <c r="B206" s="22" t="n">
        <v>12</v>
      </c>
      <c r="C206" s="25" t="n">
        <v>242.52</v>
      </c>
      <c r="D206" s="25" t="n">
        <v>18.84</v>
      </c>
      <c r="E206" s="25"/>
      <c r="F206" s="22" t="n">
        <f aca="false">WEEKDAY(A206,2)</f>
        <v>4</v>
      </c>
      <c r="G206" s="22" t="str">
        <f aca="false">IF(F206=7,IF(B206&gt;=23,"C","Sin turno"),IF(B206&lt;7,"C",IF(B206&lt;14,"A",IF(B206&lt;21,"B",IF(B206&lt;23,"Entre turnos",IF(F206=6,"Sin turno","C"))))))</f>
        <v>A</v>
      </c>
      <c r="H206" s="25" t="n">
        <f aca="false">IF(D206="","",MAX(0,D206-0.5*C206))</f>
        <v>0</v>
      </c>
    </row>
    <row r="207" customFormat="false" ht="15" hidden="false" customHeight="false" outlineLevel="0" collapsed="false">
      <c r="A207" s="21" t="n">
        <v>46226</v>
      </c>
      <c r="B207" s="22" t="n">
        <v>13</v>
      </c>
      <c r="C207" s="25" t="n">
        <v>269.28</v>
      </c>
      <c r="D207" s="25" t="n">
        <v>21.96</v>
      </c>
      <c r="E207" s="25"/>
      <c r="F207" s="22" t="n">
        <f aca="false">WEEKDAY(A207,2)</f>
        <v>4</v>
      </c>
      <c r="G207" s="22" t="str">
        <f aca="false">IF(F207=7,IF(B207&gt;=23,"C","Sin turno"),IF(B207&lt;7,"C",IF(B207&lt;14,"A",IF(B207&lt;21,"B",IF(B207&lt;23,"Entre turnos",IF(F207=6,"Sin turno","C"))))))</f>
        <v>A</v>
      </c>
      <c r="H207" s="25" t="n">
        <f aca="false">IF(D207="","",MAX(0,D207-0.5*C207))</f>
        <v>0</v>
      </c>
    </row>
    <row r="208" customFormat="false" ht="15" hidden="false" customHeight="false" outlineLevel="0" collapsed="false">
      <c r="A208" s="21" t="n">
        <v>46226</v>
      </c>
      <c r="B208" s="22" t="n">
        <v>14</v>
      </c>
      <c r="C208" s="25" t="n">
        <v>170.88</v>
      </c>
      <c r="D208" s="25" t="n">
        <v>16.68</v>
      </c>
      <c r="E208" s="25"/>
      <c r="F208" s="22" t="n">
        <f aca="false">WEEKDAY(A208,2)</f>
        <v>4</v>
      </c>
      <c r="G208" s="22" t="str">
        <f aca="false">IF(F208=7,IF(B208&gt;=23,"C","Sin turno"),IF(B208&lt;7,"C",IF(B208&lt;14,"A",IF(B208&lt;21,"B",IF(B208&lt;23,"Entre turnos",IF(F208=6,"Sin turno","C"))))))</f>
        <v>B</v>
      </c>
      <c r="H208" s="25" t="n">
        <f aca="false">IF(D208="","",MAX(0,D208-0.5*C208))</f>
        <v>0</v>
      </c>
    </row>
    <row r="209" customFormat="false" ht="15" hidden="false" customHeight="false" outlineLevel="0" collapsed="false">
      <c r="A209" s="21" t="n">
        <v>46226</v>
      </c>
      <c r="B209" s="22" t="n">
        <v>15</v>
      </c>
      <c r="C209" s="25" t="n">
        <v>246.36</v>
      </c>
      <c r="D209" s="25" t="n">
        <v>18.36</v>
      </c>
      <c r="E209" s="25"/>
      <c r="F209" s="22" t="n">
        <f aca="false">WEEKDAY(A209,2)</f>
        <v>4</v>
      </c>
      <c r="G209" s="22" t="str">
        <f aca="false">IF(F209=7,IF(B209&gt;=23,"C","Sin turno"),IF(B209&lt;7,"C",IF(B209&lt;14,"A",IF(B209&lt;21,"B",IF(B209&lt;23,"Entre turnos",IF(F209=6,"Sin turno","C"))))))</f>
        <v>B</v>
      </c>
      <c r="H209" s="25" t="n">
        <f aca="false">IF(D209="","",MAX(0,D209-0.5*C209))</f>
        <v>0</v>
      </c>
    </row>
    <row r="210" customFormat="false" ht="15" hidden="false" customHeight="false" outlineLevel="0" collapsed="false">
      <c r="A210" s="21" t="n">
        <v>46226</v>
      </c>
      <c r="B210" s="22" t="n">
        <v>16</v>
      </c>
      <c r="C210" s="25" t="n">
        <v>257.4</v>
      </c>
      <c r="D210" s="25" t="n">
        <v>18.36</v>
      </c>
      <c r="E210" s="25"/>
      <c r="F210" s="22" t="n">
        <f aca="false">WEEKDAY(A210,2)</f>
        <v>4</v>
      </c>
      <c r="G210" s="22" t="str">
        <f aca="false">IF(F210=7,IF(B210&gt;=23,"C","Sin turno"),IF(B210&lt;7,"C",IF(B210&lt;14,"A",IF(B210&lt;21,"B",IF(B210&lt;23,"Entre turnos",IF(F210=6,"Sin turno","C"))))))</f>
        <v>B</v>
      </c>
      <c r="H210" s="25" t="n">
        <f aca="false">IF(D210="","",MAX(0,D210-0.5*C210))</f>
        <v>0</v>
      </c>
    </row>
    <row r="211" customFormat="false" ht="15" hidden="false" customHeight="false" outlineLevel="0" collapsed="false">
      <c r="A211" s="21" t="n">
        <v>46226</v>
      </c>
      <c r="B211" s="22" t="n">
        <v>17</v>
      </c>
      <c r="C211" s="25" t="n">
        <v>220.2</v>
      </c>
      <c r="D211" s="25" t="n">
        <v>22.92</v>
      </c>
      <c r="E211" s="25"/>
      <c r="F211" s="22" t="n">
        <f aca="false">WEEKDAY(A211,2)</f>
        <v>4</v>
      </c>
      <c r="G211" s="22" t="str">
        <f aca="false">IF(F211=7,IF(B211&gt;=23,"C","Sin turno"),IF(B211&lt;7,"C",IF(B211&lt;14,"A",IF(B211&lt;21,"B",IF(B211&lt;23,"Entre turnos",IF(F211=6,"Sin turno","C"))))))</f>
        <v>B</v>
      </c>
      <c r="H211" s="25" t="n">
        <f aca="false">IF(D211="","",MAX(0,D211-0.5*C211))</f>
        <v>0</v>
      </c>
    </row>
    <row r="212" customFormat="false" ht="15" hidden="false" customHeight="false" outlineLevel="0" collapsed="false">
      <c r="A212" s="21" t="n">
        <v>46226</v>
      </c>
      <c r="B212" s="22" t="n">
        <v>18</v>
      </c>
      <c r="C212" s="25" t="n">
        <v>164.4</v>
      </c>
      <c r="D212" s="25" t="n">
        <v>16.68</v>
      </c>
      <c r="E212" s="25"/>
      <c r="F212" s="22" t="n">
        <f aca="false">WEEKDAY(A212,2)</f>
        <v>4</v>
      </c>
      <c r="G212" s="22" t="str">
        <f aca="false">IF(F212=7,IF(B212&gt;=23,"C","Sin turno"),IF(B212&lt;7,"C",IF(B212&lt;14,"A",IF(B212&lt;21,"B",IF(B212&lt;23,"Entre turnos",IF(F212=6,"Sin turno","C"))))))</f>
        <v>B</v>
      </c>
      <c r="H212" s="25" t="n">
        <f aca="false">IF(D212="","",MAX(0,D212-0.5*C212))</f>
        <v>0</v>
      </c>
    </row>
    <row r="213" customFormat="false" ht="15" hidden="false" customHeight="false" outlineLevel="0" collapsed="false">
      <c r="A213" s="21" t="n">
        <v>46226</v>
      </c>
      <c r="B213" s="22" t="n">
        <v>19</v>
      </c>
      <c r="C213" s="25" t="n">
        <v>184.32</v>
      </c>
      <c r="D213" s="25" t="n">
        <v>21.48</v>
      </c>
      <c r="E213" s="25"/>
      <c r="F213" s="22" t="n">
        <f aca="false">WEEKDAY(A213,2)</f>
        <v>4</v>
      </c>
      <c r="G213" s="22" t="str">
        <f aca="false">IF(F213=7,IF(B213&gt;=23,"C","Sin turno"),IF(B213&lt;7,"C",IF(B213&lt;14,"A",IF(B213&lt;21,"B",IF(B213&lt;23,"Entre turnos",IF(F213=6,"Sin turno","C"))))))</f>
        <v>B</v>
      </c>
      <c r="H213" s="25" t="n">
        <f aca="false">IF(D213="","",MAX(0,D213-0.5*C213))</f>
        <v>0</v>
      </c>
    </row>
    <row r="214" customFormat="false" ht="15" hidden="false" customHeight="false" outlineLevel="0" collapsed="false">
      <c r="A214" s="21" t="n">
        <v>46226</v>
      </c>
      <c r="B214" s="22" t="n">
        <v>20</v>
      </c>
      <c r="C214" s="25" t="n">
        <v>198.48</v>
      </c>
      <c r="D214" s="25" t="n">
        <v>22.56</v>
      </c>
      <c r="E214" s="25"/>
      <c r="F214" s="22" t="n">
        <f aca="false">WEEKDAY(A214,2)</f>
        <v>4</v>
      </c>
      <c r="G214" s="22" t="str">
        <f aca="false">IF(F214=7,IF(B214&gt;=23,"C","Sin turno"),IF(B214&lt;7,"C",IF(B214&lt;14,"A",IF(B214&lt;21,"B",IF(B214&lt;23,"Entre turnos",IF(F214=6,"Sin turno","C"))))))</f>
        <v>B</v>
      </c>
      <c r="H214" s="25" t="n">
        <f aca="false">IF(D214="","",MAX(0,D214-0.5*C214))</f>
        <v>0</v>
      </c>
    </row>
    <row r="215" customFormat="false" ht="15" hidden="false" customHeight="false" outlineLevel="0" collapsed="false">
      <c r="A215" s="21" t="n">
        <v>46226</v>
      </c>
      <c r="B215" s="22" t="n">
        <v>21</v>
      </c>
      <c r="C215" s="25" t="n">
        <v>129.36</v>
      </c>
      <c r="D215" s="25" t="n">
        <v>23.76</v>
      </c>
      <c r="E215" s="25"/>
      <c r="F215" s="22" t="n">
        <f aca="false">WEEKDAY(A215,2)</f>
        <v>4</v>
      </c>
      <c r="G215" s="22" t="str">
        <f aca="false">IF(F215=7,IF(B215&gt;=23,"C","Sin turno"),IF(B215&lt;7,"C",IF(B215&lt;14,"A",IF(B215&lt;21,"B",IF(B215&lt;23,"Entre turnos",IF(F215=6,"Sin turno","C"))))))</f>
        <v>Entre turnos</v>
      </c>
      <c r="H215" s="25" t="n">
        <f aca="false">IF(D215="","",MAX(0,D215-0.5*C215))</f>
        <v>0</v>
      </c>
    </row>
    <row r="216" customFormat="false" ht="15" hidden="false" customHeight="false" outlineLevel="0" collapsed="false">
      <c r="A216" s="21" t="n">
        <v>46226</v>
      </c>
      <c r="B216" s="22" t="n">
        <v>22</v>
      </c>
      <c r="C216" s="25" t="n">
        <v>101.16</v>
      </c>
      <c r="D216" s="25" t="n">
        <v>15.36</v>
      </c>
      <c r="E216" s="25"/>
      <c r="F216" s="22" t="n">
        <f aca="false">WEEKDAY(A216,2)</f>
        <v>4</v>
      </c>
      <c r="G216" s="22" t="str">
        <f aca="false">IF(F216=7,IF(B216&gt;=23,"C","Sin turno"),IF(B216&lt;7,"C",IF(B216&lt;14,"A",IF(B216&lt;21,"B",IF(B216&lt;23,"Entre turnos",IF(F216=6,"Sin turno","C"))))))</f>
        <v>Entre turnos</v>
      </c>
      <c r="H216" s="25" t="n">
        <f aca="false">IF(D216="","",MAX(0,D216-0.5*C216))</f>
        <v>0</v>
      </c>
    </row>
    <row r="217" customFormat="false" ht="15" hidden="false" customHeight="false" outlineLevel="0" collapsed="false">
      <c r="A217" s="21" t="n">
        <v>46226</v>
      </c>
      <c r="B217" s="22" t="n">
        <v>23</v>
      </c>
      <c r="C217" s="25" t="n">
        <v>100.8</v>
      </c>
      <c r="D217" s="25" t="n">
        <v>14.76</v>
      </c>
      <c r="E217" s="25"/>
      <c r="F217" s="22" t="n">
        <f aca="false">WEEKDAY(A217,2)</f>
        <v>4</v>
      </c>
      <c r="G217" s="22" t="str">
        <f aca="false">IF(F217=7,IF(B217&gt;=23,"C","Sin turno"),IF(B217&lt;7,"C",IF(B217&lt;14,"A",IF(B217&lt;21,"B",IF(B217&lt;23,"Entre turnos",IF(F217=6,"Sin turno","C"))))))</f>
        <v>C</v>
      </c>
      <c r="H217" s="25" t="n">
        <f aca="false">IF(D217="","",MAX(0,D217-0.5*C217))</f>
        <v>0</v>
      </c>
    </row>
    <row r="218" customFormat="false" ht="15" hidden="false" customHeight="false" outlineLevel="0" collapsed="false">
      <c r="A218" s="21" t="n">
        <v>46227</v>
      </c>
      <c r="B218" s="22" t="n">
        <v>0</v>
      </c>
      <c r="C218" s="25" t="n">
        <v>113.52</v>
      </c>
      <c r="D218" s="25" t="n">
        <v>15.48</v>
      </c>
      <c r="E218" s="25"/>
      <c r="F218" s="22" t="n">
        <f aca="false">WEEKDAY(A218,2)</f>
        <v>5</v>
      </c>
      <c r="G218" s="22" t="str">
        <f aca="false">IF(F218=7,IF(B218&gt;=23,"C","Sin turno"),IF(B218&lt;7,"C",IF(B218&lt;14,"A",IF(B218&lt;21,"B",IF(B218&lt;23,"Entre turnos",IF(F218=6,"Sin turno","C"))))))</f>
        <v>C</v>
      </c>
      <c r="H218" s="25" t="n">
        <f aca="false">IF(D218="","",MAX(0,D218-0.5*C218))</f>
        <v>0</v>
      </c>
    </row>
    <row r="219" customFormat="false" ht="15" hidden="false" customHeight="false" outlineLevel="0" collapsed="false">
      <c r="A219" s="21" t="n">
        <v>46227</v>
      </c>
      <c r="B219" s="22" t="n">
        <v>1</v>
      </c>
      <c r="C219" s="25" t="n">
        <v>128.76</v>
      </c>
      <c r="D219" s="25" t="n">
        <v>0</v>
      </c>
      <c r="E219" s="25"/>
      <c r="F219" s="22" t="n">
        <f aca="false">WEEKDAY(A219,2)</f>
        <v>5</v>
      </c>
      <c r="G219" s="22" t="str">
        <f aca="false">IF(F219=7,IF(B219&gt;=23,"C","Sin turno"),IF(B219&lt;7,"C",IF(B219&lt;14,"A",IF(B219&lt;21,"B",IF(B219&lt;23,"Entre turnos",IF(F219=6,"Sin turno","C"))))))</f>
        <v>C</v>
      </c>
      <c r="H219" s="25" t="n">
        <f aca="false">IF(D219="","",MAX(0,D219-0.5*C219))</f>
        <v>0</v>
      </c>
    </row>
    <row r="220" customFormat="false" ht="15" hidden="false" customHeight="false" outlineLevel="0" collapsed="false">
      <c r="A220" s="21" t="n">
        <v>46227</v>
      </c>
      <c r="B220" s="22" t="n">
        <v>2</v>
      </c>
      <c r="C220" s="25" t="n">
        <v>133.68</v>
      </c>
      <c r="D220" s="25" t="n">
        <v>0</v>
      </c>
      <c r="E220" s="25"/>
      <c r="F220" s="22" t="n">
        <f aca="false">WEEKDAY(A220,2)</f>
        <v>5</v>
      </c>
      <c r="G220" s="22" t="str">
        <f aca="false">IF(F220=7,IF(B220&gt;=23,"C","Sin turno"),IF(B220&lt;7,"C",IF(B220&lt;14,"A",IF(B220&lt;21,"B",IF(B220&lt;23,"Entre turnos",IF(F220=6,"Sin turno","C"))))))</f>
        <v>C</v>
      </c>
      <c r="H220" s="25" t="n">
        <f aca="false">IF(D220="","",MAX(0,D220-0.5*C220))</f>
        <v>0</v>
      </c>
    </row>
    <row r="221" customFormat="false" ht="15" hidden="false" customHeight="false" outlineLevel="0" collapsed="false">
      <c r="A221" s="21" t="n">
        <v>46227</v>
      </c>
      <c r="B221" s="22" t="n">
        <v>3</v>
      </c>
      <c r="C221" s="25" t="n">
        <v>137.16</v>
      </c>
      <c r="D221" s="25" t="n">
        <v>0</v>
      </c>
      <c r="E221" s="25"/>
      <c r="F221" s="22" t="n">
        <f aca="false">WEEKDAY(A221,2)</f>
        <v>5</v>
      </c>
      <c r="G221" s="22" t="str">
        <f aca="false">IF(F221=7,IF(B221&gt;=23,"C","Sin turno"),IF(B221&lt;7,"C",IF(B221&lt;14,"A",IF(B221&lt;21,"B",IF(B221&lt;23,"Entre turnos",IF(F221=6,"Sin turno","C"))))))</f>
        <v>C</v>
      </c>
      <c r="H221" s="25" t="n">
        <f aca="false">IF(D221="","",MAX(0,D221-0.5*C221))</f>
        <v>0</v>
      </c>
    </row>
    <row r="222" customFormat="false" ht="15" hidden="false" customHeight="false" outlineLevel="0" collapsed="false">
      <c r="A222" s="21" t="n">
        <v>46227</v>
      </c>
      <c r="B222" s="22" t="n">
        <v>4</v>
      </c>
      <c r="C222" s="25" t="n">
        <v>131.04</v>
      </c>
      <c r="D222" s="25" t="n">
        <v>0</v>
      </c>
      <c r="E222" s="25"/>
      <c r="F222" s="22" t="n">
        <f aca="false">WEEKDAY(A222,2)</f>
        <v>5</v>
      </c>
      <c r="G222" s="22" t="str">
        <f aca="false">IF(F222=7,IF(B222&gt;=23,"C","Sin turno"),IF(B222&lt;7,"C",IF(B222&lt;14,"A",IF(B222&lt;21,"B",IF(B222&lt;23,"Entre turnos",IF(F222=6,"Sin turno","C"))))))</f>
        <v>C</v>
      </c>
      <c r="H222" s="25" t="n">
        <f aca="false">IF(D222="","",MAX(0,D222-0.5*C222))</f>
        <v>0</v>
      </c>
    </row>
    <row r="223" customFormat="false" ht="15" hidden="false" customHeight="false" outlineLevel="0" collapsed="false">
      <c r="A223" s="21" t="n">
        <v>46227</v>
      </c>
      <c r="B223" s="22" t="n">
        <v>5</v>
      </c>
      <c r="C223" s="25" t="n">
        <v>133.2</v>
      </c>
      <c r="D223" s="25" t="n">
        <v>0</v>
      </c>
      <c r="E223" s="25"/>
      <c r="F223" s="22" t="n">
        <f aca="false">WEEKDAY(A223,2)</f>
        <v>5</v>
      </c>
      <c r="G223" s="22" t="str">
        <f aca="false">IF(F223=7,IF(B223&gt;=23,"C","Sin turno"),IF(B223&lt;7,"C",IF(B223&lt;14,"A",IF(B223&lt;21,"B",IF(B223&lt;23,"Entre turnos",IF(F223=6,"Sin turno","C"))))))</f>
        <v>C</v>
      </c>
      <c r="H223" s="25" t="n">
        <f aca="false">IF(D223="","",MAX(0,D223-0.5*C223))</f>
        <v>0</v>
      </c>
    </row>
    <row r="224" customFormat="false" ht="15" hidden="false" customHeight="false" outlineLevel="0" collapsed="false">
      <c r="A224" s="21" t="n">
        <v>46227</v>
      </c>
      <c r="B224" s="22" t="n">
        <v>6</v>
      </c>
      <c r="C224" s="25" t="n">
        <v>144.36</v>
      </c>
      <c r="D224" s="25" t="n">
        <v>0</v>
      </c>
      <c r="E224" s="25"/>
      <c r="F224" s="22" t="n">
        <f aca="false">WEEKDAY(A224,2)</f>
        <v>5</v>
      </c>
      <c r="G224" s="22" t="str">
        <f aca="false">IF(F224=7,IF(B224&gt;=23,"C","Sin turno"),IF(B224&lt;7,"C",IF(B224&lt;14,"A",IF(B224&lt;21,"B",IF(B224&lt;23,"Entre turnos",IF(F224=6,"Sin turno","C"))))))</f>
        <v>C</v>
      </c>
      <c r="H224" s="25" t="n">
        <f aca="false">IF(D224="","",MAX(0,D224-0.5*C224))</f>
        <v>0</v>
      </c>
    </row>
    <row r="225" customFormat="false" ht="15" hidden="false" customHeight="false" outlineLevel="0" collapsed="false">
      <c r="A225" s="21" t="n">
        <v>46227</v>
      </c>
      <c r="B225" s="22" t="n">
        <v>7</v>
      </c>
      <c r="C225" s="25" t="n">
        <v>223.92</v>
      </c>
      <c r="D225" s="25" t="n">
        <v>0</v>
      </c>
      <c r="E225" s="25"/>
      <c r="F225" s="22" t="n">
        <f aca="false">WEEKDAY(A225,2)</f>
        <v>5</v>
      </c>
      <c r="G225" s="22" t="str">
        <f aca="false">IF(F225=7,IF(B225&gt;=23,"C","Sin turno"),IF(B225&lt;7,"C",IF(B225&lt;14,"A",IF(B225&lt;21,"B",IF(B225&lt;23,"Entre turnos",IF(F225=6,"Sin turno","C"))))))</f>
        <v>A</v>
      </c>
      <c r="H225" s="25" t="n">
        <f aca="false">IF(D225="","",MAX(0,D225-0.5*C225))</f>
        <v>0</v>
      </c>
    </row>
    <row r="226" customFormat="false" ht="15" hidden="false" customHeight="false" outlineLevel="0" collapsed="false">
      <c r="A226" s="21" t="n">
        <v>46227</v>
      </c>
      <c r="B226" s="22" t="n">
        <v>8</v>
      </c>
      <c r="C226" s="25" t="n">
        <v>260.76</v>
      </c>
      <c r="D226" s="25" t="n">
        <v>0</v>
      </c>
      <c r="E226" s="25"/>
      <c r="F226" s="22" t="n">
        <f aca="false">WEEKDAY(A226,2)</f>
        <v>5</v>
      </c>
      <c r="G226" s="22" t="str">
        <f aca="false">IF(F226=7,IF(B226&gt;=23,"C","Sin turno"),IF(B226&lt;7,"C",IF(B226&lt;14,"A",IF(B226&lt;21,"B",IF(B226&lt;23,"Entre turnos",IF(F226=6,"Sin turno","C"))))))</f>
        <v>A</v>
      </c>
      <c r="H226" s="25" t="n">
        <f aca="false">IF(D226="","",MAX(0,D226-0.5*C226))</f>
        <v>0</v>
      </c>
    </row>
    <row r="227" customFormat="false" ht="15" hidden="false" customHeight="false" outlineLevel="0" collapsed="false">
      <c r="A227" s="21" t="n">
        <v>46227</v>
      </c>
      <c r="B227" s="22" t="n">
        <v>9</v>
      </c>
      <c r="C227" s="25" t="n">
        <v>240.24</v>
      </c>
      <c r="D227" s="25" t="n">
        <v>0</v>
      </c>
      <c r="E227" s="25"/>
      <c r="F227" s="22" t="n">
        <f aca="false">WEEKDAY(A227,2)</f>
        <v>5</v>
      </c>
      <c r="G227" s="22" t="str">
        <f aca="false">IF(F227=7,IF(B227&gt;=23,"C","Sin turno"),IF(B227&lt;7,"C",IF(B227&lt;14,"A",IF(B227&lt;21,"B",IF(B227&lt;23,"Entre turnos",IF(F227=6,"Sin turno","C"))))))</f>
        <v>A</v>
      </c>
      <c r="H227" s="25" t="n">
        <f aca="false">IF(D227="","",MAX(0,D227-0.5*C227))</f>
        <v>0</v>
      </c>
    </row>
    <row r="228" customFormat="false" ht="15" hidden="false" customHeight="false" outlineLevel="0" collapsed="false">
      <c r="A228" s="21" t="n">
        <v>46227</v>
      </c>
      <c r="B228" s="22" t="n">
        <v>10</v>
      </c>
      <c r="C228" s="25" t="n">
        <v>229.2</v>
      </c>
      <c r="D228" s="25" t="n">
        <v>0</v>
      </c>
      <c r="E228" s="25"/>
      <c r="F228" s="22" t="n">
        <f aca="false">WEEKDAY(A228,2)</f>
        <v>5</v>
      </c>
      <c r="G228" s="22" t="str">
        <f aca="false">IF(F228=7,IF(B228&gt;=23,"C","Sin turno"),IF(B228&lt;7,"C",IF(B228&lt;14,"A",IF(B228&lt;21,"B",IF(B228&lt;23,"Entre turnos",IF(F228=6,"Sin turno","C"))))))</f>
        <v>A</v>
      </c>
      <c r="H228" s="25" t="n">
        <f aca="false">IF(D228="","",MAX(0,D228-0.5*C228))</f>
        <v>0</v>
      </c>
    </row>
    <row r="229" customFormat="false" ht="15" hidden="false" customHeight="false" outlineLevel="0" collapsed="false">
      <c r="A229" s="21" t="n">
        <v>46227</v>
      </c>
      <c r="B229" s="22" t="n">
        <v>11</v>
      </c>
      <c r="C229" s="25" t="n">
        <v>171.48</v>
      </c>
      <c r="D229" s="25" t="n">
        <v>0</v>
      </c>
      <c r="E229" s="25"/>
      <c r="F229" s="22" t="n">
        <f aca="false">WEEKDAY(A229,2)</f>
        <v>5</v>
      </c>
      <c r="G229" s="22" t="str">
        <f aca="false">IF(F229=7,IF(B229&gt;=23,"C","Sin turno"),IF(B229&lt;7,"C",IF(B229&lt;14,"A",IF(B229&lt;21,"B",IF(B229&lt;23,"Entre turnos",IF(F229=6,"Sin turno","C"))))))</f>
        <v>A</v>
      </c>
      <c r="H229" s="25" t="n">
        <f aca="false">IF(D229="","",MAX(0,D229-0.5*C229))</f>
        <v>0</v>
      </c>
    </row>
    <row r="230" customFormat="false" ht="15" hidden="false" customHeight="false" outlineLevel="0" collapsed="false">
      <c r="A230" s="21" t="n">
        <v>46227</v>
      </c>
      <c r="B230" s="22" t="n">
        <v>12</v>
      </c>
      <c r="C230" s="25" t="n">
        <v>176.88</v>
      </c>
      <c r="D230" s="25" t="n">
        <v>0</v>
      </c>
      <c r="E230" s="25"/>
      <c r="F230" s="22" t="n">
        <f aca="false">WEEKDAY(A230,2)</f>
        <v>5</v>
      </c>
      <c r="G230" s="22" t="str">
        <f aca="false">IF(F230=7,IF(B230&gt;=23,"C","Sin turno"),IF(B230&lt;7,"C",IF(B230&lt;14,"A",IF(B230&lt;21,"B",IF(B230&lt;23,"Entre turnos",IF(F230=6,"Sin turno","C"))))))</f>
        <v>A</v>
      </c>
      <c r="H230" s="25" t="n">
        <f aca="false">IF(D230="","",MAX(0,D230-0.5*C230))</f>
        <v>0</v>
      </c>
    </row>
    <row r="231" customFormat="false" ht="15" hidden="false" customHeight="false" outlineLevel="0" collapsed="false">
      <c r="A231" s="21" t="n">
        <v>46227</v>
      </c>
      <c r="B231" s="22" t="n">
        <v>13</v>
      </c>
      <c r="C231" s="25" t="n">
        <v>193.08</v>
      </c>
      <c r="D231" s="25" t="n">
        <v>0</v>
      </c>
      <c r="E231" s="25"/>
      <c r="F231" s="22" t="n">
        <f aca="false">WEEKDAY(A231,2)</f>
        <v>5</v>
      </c>
      <c r="G231" s="22" t="str">
        <f aca="false">IF(F231=7,IF(B231&gt;=23,"C","Sin turno"),IF(B231&lt;7,"C",IF(B231&lt;14,"A",IF(B231&lt;21,"B",IF(B231&lt;23,"Entre turnos",IF(F231=6,"Sin turno","C"))))))</f>
        <v>A</v>
      </c>
      <c r="H231" s="25" t="n">
        <f aca="false">IF(D231="","",MAX(0,D231-0.5*C231))</f>
        <v>0</v>
      </c>
    </row>
    <row r="232" customFormat="false" ht="15" hidden="false" customHeight="false" outlineLevel="0" collapsed="false">
      <c r="A232" s="21" t="n">
        <v>46227</v>
      </c>
      <c r="B232" s="22" t="n">
        <v>14</v>
      </c>
      <c r="C232" s="25" t="n">
        <v>174.84</v>
      </c>
      <c r="D232" s="25" t="n">
        <v>0</v>
      </c>
      <c r="E232" s="25"/>
      <c r="F232" s="22" t="n">
        <f aca="false">WEEKDAY(A232,2)</f>
        <v>5</v>
      </c>
      <c r="G232" s="22" t="str">
        <f aca="false">IF(F232=7,IF(B232&gt;=23,"C","Sin turno"),IF(B232&lt;7,"C",IF(B232&lt;14,"A",IF(B232&lt;21,"B",IF(B232&lt;23,"Entre turnos",IF(F232=6,"Sin turno","C"))))))</f>
        <v>B</v>
      </c>
      <c r="H232" s="25" t="n">
        <f aca="false">IF(D232="","",MAX(0,D232-0.5*C232))</f>
        <v>0</v>
      </c>
    </row>
    <row r="233" customFormat="false" ht="15" hidden="false" customHeight="false" outlineLevel="0" collapsed="false">
      <c r="A233" s="21" t="n">
        <v>46227</v>
      </c>
      <c r="B233" s="22" t="n">
        <v>15</v>
      </c>
      <c r="C233" s="25" t="n">
        <v>184.32</v>
      </c>
      <c r="D233" s="25" t="n">
        <v>0</v>
      </c>
      <c r="E233" s="25"/>
      <c r="F233" s="22" t="n">
        <f aca="false">WEEKDAY(A233,2)</f>
        <v>5</v>
      </c>
      <c r="G233" s="22" t="str">
        <f aca="false">IF(F233=7,IF(B233&gt;=23,"C","Sin turno"),IF(B233&lt;7,"C",IF(B233&lt;14,"A",IF(B233&lt;21,"B",IF(B233&lt;23,"Entre turnos",IF(F233=6,"Sin turno","C"))))))</f>
        <v>B</v>
      </c>
      <c r="H233" s="25" t="n">
        <f aca="false">IF(D233="","",MAX(0,D233-0.5*C233))</f>
        <v>0</v>
      </c>
    </row>
    <row r="234" customFormat="false" ht="15" hidden="false" customHeight="false" outlineLevel="0" collapsed="false">
      <c r="A234" s="21" t="n">
        <v>46227</v>
      </c>
      <c r="B234" s="22" t="n">
        <v>16</v>
      </c>
      <c r="C234" s="25" t="n">
        <v>203.4</v>
      </c>
      <c r="D234" s="25" t="n">
        <v>0</v>
      </c>
      <c r="E234" s="25"/>
      <c r="F234" s="22" t="n">
        <f aca="false">WEEKDAY(A234,2)</f>
        <v>5</v>
      </c>
      <c r="G234" s="22" t="str">
        <f aca="false">IF(F234=7,IF(B234&gt;=23,"C","Sin turno"),IF(B234&lt;7,"C",IF(B234&lt;14,"A",IF(B234&lt;21,"B",IF(B234&lt;23,"Entre turnos",IF(F234=6,"Sin turno","C"))))))</f>
        <v>B</v>
      </c>
      <c r="H234" s="25" t="n">
        <f aca="false">IF(D234="","",MAX(0,D234-0.5*C234))</f>
        <v>0</v>
      </c>
    </row>
    <row r="235" customFormat="false" ht="15" hidden="false" customHeight="false" outlineLevel="0" collapsed="false">
      <c r="A235" s="21" t="n">
        <v>46227</v>
      </c>
      <c r="B235" s="22" t="n">
        <v>17</v>
      </c>
      <c r="C235" s="25" t="n">
        <v>199.8</v>
      </c>
      <c r="D235" s="25" t="n">
        <v>0</v>
      </c>
      <c r="E235" s="25"/>
      <c r="F235" s="22" t="n">
        <f aca="false">WEEKDAY(A235,2)</f>
        <v>5</v>
      </c>
      <c r="G235" s="22" t="str">
        <f aca="false">IF(F235=7,IF(B235&gt;=23,"C","Sin turno"),IF(B235&lt;7,"C",IF(B235&lt;14,"A",IF(B235&lt;21,"B",IF(B235&lt;23,"Entre turnos",IF(F235=6,"Sin turno","C"))))))</f>
        <v>B</v>
      </c>
      <c r="H235" s="25" t="n">
        <f aca="false">IF(D235="","",MAX(0,D235-0.5*C235))</f>
        <v>0</v>
      </c>
    </row>
    <row r="236" customFormat="false" ht="15" hidden="false" customHeight="false" outlineLevel="0" collapsed="false">
      <c r="A236" s="21" t="n">
        <v>46227</v>
      </c>
      <c r="B236" s="22" t="n">
        <v>18</v>
      </c>
      <c r="C236" s="25" t="n">
        <v>175.32</v>
      </c>
      <c r="D236" s="25" t="n">
        <v>0</v>
      </c>
      <c r="E236" s="25"/>
      <c r="F236" s="22" t="n">
        <f aca="false">WEEKDAY(A236,2)</f>
        <v>5</v>
      </c>
      <c r="G236" s="22" t="str">
        <f aca="false">IF(F236=7,IF(B236&gt;=23,"C","Sin turno"),IF(B236&lt;7,"C",IF(B236&lt;14,"A",IF(B236&lt;21,"B",IF(B236&lt;23,"Entre turnos",IF(F236=6,"Sin turno","C"))))))</f>
        <v>B</v>
      </c>
      <c r="H236" s="25" t="n">
        <f aca="false">IF(D236="","",MAX(0,D236-0.5*C236))</f>
        <v>0</v>
      </c>
    </row>
    <row r="237" customFormat="false" ht="15" hidden="false" customHeight="false" outlineLevel="0" collapsed="false">
      <c r="A237" s="21" t="n">
        <v>46227</v>
      </c>
      <c r="B237" s="22" t="n">
        <v>19</v>
      </c>
      <c r="C237" s="25" t="n">
        <v>157.68</v>
      </c>
      <c r="D237" s="25" t="n">
        <v>0</v>
      </c>
      <c r="E237" s="25"/>
      <c r="F237" s="22" t="n">
        <f aca="false">WEEKDAY(A237,2)</f>
        <v>5</v>
      </c>
      <c r="G237" s="22" t="str">
        <f aca="false">IF(F237=7,IF(B237&gt;=23,"C","Sin turno"),IF(B237&lt;7,"C",IF(B237&lt;14,"A",IF(B237&lt;21,"B",IF(B237&lt;23,"Entre turnos",IF(F237=6,"Sin turno","C"))))))</f>
        <v>B</v>
      </c>
      <c r="H237" s="25" t="n">
        <f aca="false">IF(D237="","",MAX(0,D237-0.5*C237))</f>
        <v>0</v>
      </c>
    </row>
    <row r="238" customFormat="false" ht="15" hidden="false" customHeight="false" outlineLevel="0" collapsed="false">
      <c r="A238" s="21" t="n">
        <v>46227</v>
      </c>
      <c r="B238" s="22" t="n">
        <v>20</v>
      </c>
      <c r="C238" s="25" t="n">
        <v>172.32</v>
      </c>
      <c r="D238" s="25" t="n">
        <v>0</v>
      </c>
      <c r="E238" s="25"/>
      <c r="F238" s="22" t="n">
        <f aca="false">WEEKDAY(A238,2)</f>
        <v>5</v>
      </c>
      <c r="G238" s="22" t="str">
        <f aca="false">IF(F238=7,IF(B238&gt;=23,"C","Sin turno"),IF(B238&lt;7,"C",IF(B238&lt;14,"A",IF(B238&lt;21,"B",IF(B238&lt;23,"Entre turnos",IF(F238=6,"Sin turno","C"))))))</f>
        <v>B</v>
      </c>
      <c r="H238" s="25" t="n">
        <f aca="false">IF(D238="","",MAX(0,D238-0.5*C238))</f>
        <v>0</v>
      </c>
    </row>
    <row r="239" customFormat="false" ht="15" hidden="false" customHeight="false" outlineLevel="0" collapsed="false">
      <c r="A239" s="21" t="n">
        <v>46227</v>
      </c>
      <c r="B239" s="22" t="n">
        <v>21</v>
      </c>
      <c r="C239" s="25" t="n">
        <v>111.72</v>
      </c>
      <c r="D239" s="25" t="n">
        <v>0</v>
      </c>
      <c r="E239" s="25"/>
      <c r="F239" s="22" t="n">
        <f aca="false">WEEKDAY(A239,2)</f>
        <v>5</v>
      </c>
      <c r="G239" s="22" t="str">
        <f aca="false">IF(F239=7,IF(B239&gt;=23,"C","Sin turno"),IF(B239&lt;7,"C",IF(B239&lt;14,"A",IF(B239&lt;21,"B",IF(B239&lt;23,"Entre turnos",IF(F239=6,"Sin turno","C"))))))</f>
        <v>Entre turnos</v>
      </c>
      <c r="H239" s="25" t="n">
        <f aca="false">IF(D239="","",MAX(0,D239-0.5*C239))</f>
        <v>0</v>
      </c>
    </row>
    <row r="240" customFormat="false" ht="15" hidden="false" customHeight="false" outlineLevel="0" collapsed="false">
      <c r="A240" s="21" t="n">
        <v>46227</v>
      </c>
      <c r="B240" s="22" t="n">
        <v>22</v>
      </c>
      <c r="C240" s="25" t="n">
        <v>81.48</v>
      </c>
      <c r="D240" s="25" t="n">
        <v>0</v>
      </c>
      <c r="E240" s="25"/>
      <c r="F240" s="22" t="n">
        <f aca="false">WEEKDAY(A240,2)</f>
        <v>5</v>
      </c>
      <c r="G240" s="22" t="str">
        <f aca="false">IF(F240=7,IF(B240&gt;=23,"C","Sin turno"),IF(B240&lt;7,"C",IF(B240&lt;14,"A",IF(B240&lt;21,"B",IF(B240&lt;23,"Entre turnos",IF(F240=6,"Sin turno","C"))))))</f>
        <v>Entre turnos</v>
      </c>
      <c r="H240" s="25" t="n">
        <f aca="false">IF(D240="","",MAX(0,D240-0.5*C240))</f>
        <v>0</v>
      </c>
    </row>
    <row r="241" customFormat="false" ht="15" hidden="false" customHeight="false" outlineLevel="0" collapsed="false">
      <c r="A241" s="21" t="n">
        <v>46227</v>
      </c>
      <c r="B241" s="22" t="n">
        <v>23</v>
      </c>
      <c r="C241" s="25" t="n">
        <v>86.64</v>
      </c>
      <c r="D241" s="25" t="n">
        <v>0</v>
      </c>
      <c r="E241" s="25"/>
      <c r="F241" s="22" t="n">
        <f aca="false">WEEKDAY(A241,2)</f>
        <v>5</v>
      </c>
      <c r="G241" s="22" t="str">
        <f aca="false">IF(F241=7,IF(B241&gt;=23,"C","Sin turno"),IF(B241&lt;7,"C",IF(B241&lt;14,"A",IF(B241&lt;21,"B",IF(B241&lt;23,"Entre turnos",IF(F241=6,"Sin turno","C"))))))</f>
        <v>C</v>
      </c>
      <c r="H241" s="25" t="n">
        <f aca="false">IF(D241="","",MAX(0,D241-0.5*C241))</f>
        <v>0</v>
      </c>
    </row>
    <row r="242" customFormat="false" ht="15" hidden="false" customHeight="false" outlineLevel="0" collapsed="false">
      <c r="A242" s="21" t="n">
        <v>46230</v>
      </c>
      <c r="B242" s="22" t="n">
        <v>0</v>
      </c>
      <c r="C242" s="25" t="n">
        <v>94.8</v>
      </c>
      <c r="D242" s="25" t="n">
        <v>12</v>
      </c>
      <c r="E242" s="25"/>
      <c r="F242" s="22" t="n">
        <f aca="false">WEEKDAY(A242,2)</f>
        <v>1</v>
      </c>
      <c r="G242" s="22" t="str">
        <f aca="false">IF(F242=7,IF(B242&gt;=23,"C","Sin turno"),IF(B242&lt;7,"C",IF(B242&lt;14,"A",IF(B242&lt;21,"B",IF(B242&lt;23,"Entre turnos",IF(F242=6,"Sin turno","C"))))))</f>
        <v>C</v>
      </c>
      <c r="H242" s="25" t="n">
        <f aca="false">IF(D242="","",MAX(0,D242-0.5*C242))</f>
        <v>0</v>
      </c>
    </row>
    <row r="243" customFormat="false" ht="15" hidden="false" customHeight="false" outlineLevel="0" collapsed="false">
      <c r="A243" s="21" t="n">
        <v>46230</v>
      </c>
      <c r="B243" s="22" t="n">
        <v>1</v>
      </c>
      <c r="C243" s="25" t="n">
        <v>117.48</v>
      </c>
      <c r="D243" s="25" t="n">
        <v>24.24</v>
      </c>
      <c r="E243" s="25"/>
      <c r="F243" s="22" t="n">
        <f aca="false">WEEKDAY(A243,2)</f>
        <v>1</v>
      </c>
      <c r="G243" s="22" t="str">
        <f aca="false">IF(F243=7,IF(B243&gt;=23,"C","Sin turno"),IF(B243&lt;7,"C",IF(B243&lt;14,"A",IF(B243&lt;21,"B",IF(B243&lt;23,"Entre turnos",IF(F243=6,"Sin turno","C"))))))</f>
        <v>C</v>
      </c>
      <c r="H243" s="25" t="n">
        <f aca="false">IF(D243="","",MAX(0,D243-0.5*C243))</f>
        <v>0</v>
      </c>
    </row>
    <row r="244" customFormat="false" ht="15" hidden="false" customHeight="false" outlineLevel="0" collapsed="false">
      <c r="A244" s="21" t="n">
        <v>46230</v>
      </c>
      <c r="B244" s="22" t="n">
        <v>2</v>
      </c>
      <c r="C244" s="25" t="n">
        <v>124.2</v>
      </c>
      <c r="D244" s="25" t="n">
        <v>24.72</v>
      </c>
      <c r="E244" s="25"/>
      <c r="F244" s="22" t="n">
        <f aca="false">WEEKDAY(A244,2)</f>
        <v>1</v>
      </c>
      <c r="G244" s="22" t="str">
        <f aca="false">IF(F244=7,IF(B244&gt;=23,"C","Sin turno"),IF(B244&lt;7,"C",IF(B244&lt;14,"A",IF(B244&lt;21,"B",IF(B244&lt;23,"Entre turnos",IF(F244=6,"Sin turno","C"))))))</f>
        <v>C</v>
      </c>
      <c r="H244" s="25" t="n">
        <f aca="false">IF(D244="","",MAX(0,D244-0.5*C244))</f>
        <v>0</v>
      </c>
    </row>
    <row r="245" customFormat="false" ht="15" hidden="false" customHeight="false" outlineLevel="0" collapsed="false">
      <c r="A245" s="21" t="n">
        <v>46230</v>
      </c>
      <c r="B245" s="22" t="n">
        <v>3</v>
      </c>
      <c r="C245" s="25" t="n">
        <v>123.12</v>
      </c>
      <c r="D245" s="25" t="n">
        <v>23.52</v>
      </c>
      <c r="E245" s="25"/>
      <c r="F245" s="22" t="n">
        <f aca="false">WEEKDAY(A245,2)</f>
        <v>1</v>
      </c>
      <c r="G245" s="22" t="str">
        <f aca="false">IF(F245=7,IF(B245&gt;=23,"C","Sin turno"),IF(B245&lt;7,"C",IF(B245&lt;14,"A",IF(B245&lt;21,"B",IF(B245&lt;23,"Entre turnos",IF(F245=6,"Sin turno","C"))))))</f>
        <v>C</v>
      </c>
      <c r="H245" s="25" t="n">
        <f aca="false">IF(D245="","",MAX(0,D245-0.5*C245))</f>
        <v>0</v>
      </c>
    </row>
    <row r="246" customFormat="false" ht="15" hidden="false" customHeight="false" outlineLevel="0" collapsed="false">
      <c r="A246" s="21" t="n">
        <v>46230</v>
      </c>
      <c r="B246" s="22" t="n">
        <v>4</v>
      </c>
      <c r="C246" s="25" t="n">
        <v>122.04</v>
      </c>
      <c r="D246" s="25" t="n">
        <v>23.28</v>
      </c>
      <c r="E246" s="25"/>
      <c r="F246" s="22" t="n">
        <f aca="false">WEEKDAY(A246,2)</f>
        <v>1</v>
      </c>
      <c r="G246" s="22" t="str">
        <f aca="false">IF(F246=7,IF(B246&gt;=23,"C","Sin turno"),IF(B246&lt;7,"C",IF(B246&lt;14,"A",IF(B246&lt;21,"B",IF(B246&lt;23,"Entre turnos",IF(F246=6,"Sin turno","C"))))))</f>
        <v>C</v>
      </c>
      <c r="H246" s="25" t="n">
        <f aca="false">IF(D246="","",MAX(0,D246-0.5*C246))</f>
        <v>0</v>
      </c>
    </row>
    <row r="247" customFormat="false" ht="15" hidden="false" customHeight="false" outlineLevel="0" collapsed="false">
      <c r="A247" s="21" t="n">
        <v>46230</v>
      </c>
      <c r="B247" s="22" t="n">
        <v>5</v>
      </c>
      <c r="C247" s="25" t="n">
        <v>130.32</v>
      </c>
      <c r="D247" s="25" t="n">
        <v>25.32</v>
      </c>
      <c r="E247" s="25"/>
      <c r="F247" s="22" t="n">
        <f aca="false">WEEKDAY(A247,2)</f>
        <v>1</v>
      </c>
      <c r="G247" s="22" t="str">
        <f aca="false">IF(F247=7,IF(B247&gt;=23,"C","Sin turno"),IF(B247&lt;7,"C",IF(B247&lt;14,"A",IF(B247&lt;21,"B",IF(B247&lt;23,"Entre turnos",IF(F247=6,"Sin turno","C"))))))</f>
        <v>C</v>
      </c>
      <c r="H247" s="25" t="n">
        <f aca="false">IF(D247="","",MAX(0,D247-0.5*C247))</f>
        <v>0</v>
      </c>
    </row>
    <row r="248" customFormat="false" ht="15" hidden="false" customHeight="false" outlineLevel="0" collapsed="false">
      <c r="A248" s="21" t="n">
        <v>46230</v>
      </c>
      <c r="B248" s="22" t="n">
        <v>6</v>
      </c>
      <c r="C248" s="25" t="n">
        <v>136.32</v>
      </c>
      <c r="D248" s="25" t="n">
        <v>15.48</v>
      </c>
      <c r="E248" s="25"/>
      <c r="F248" s="22" t="n">
        <f aca="false">WEEKDAY(A248,2)</f>
        <v>1</v>
      </c>
      <c r="G248" s="22" t="str">
        <f aca="false">IF(F248=7,IF(B248&gt;=23,"C","Sin turno"),IF(B248&lt;7,"C",IF(B248&lt;14,"A",IF(B248&lt;21,"B",IF(B248&lt;23,"Entre turnos",IF(F248=6,"Sin turno","C"))))))</f>
        <v>C</v>
      </c>
      <c r="H248" s="25" t="n">
        <f aca="false">IF(D248="","",MAX(0,D248-0.5*C248))</f>
        <v>0</v>
      </c>
    </row>
    <row r="249" customFormat="false" ht="15" hidden="false" customHeight="false" outlineLevel="0" collapsed="false">
      <c r="A249" s="21" t="n">
        <v>46230</v>
      </c>
      <c r="B249" s="22" t="n">
        <v>7</v>
      </c>
      <c r="C249" s="25" t="n">
        <v>225</v>
      </c>
      <c r="D249" s="25" t="n">
        <v>25.8</v>
      </c>
      <c r="E249" s="25"/>
      <c r="F249" s="22" t="n">
        <f aca="false">WEEKDAY(A249,2)</f>
        <v>1</v>
      </c>
      <c r="G249" s="22" t="str">
        <f aca="false">IF(F249=7,IF(B249&gt;=23,"C","Sin turno"),IF(B249&lt;7,"C",IF(B249&lt;14,"A",IF(B249&lt;21,"B",IF(B249&lt;23,"Entre turnos",IF(F249=6,"Sin turno","C"))))))</f>
        <v>A</v>
      </c>
      <c r="H249" s="25" t="n">
        <f aca="false">IF(D249="","",MAX(0,D249-0.5*C249))</f>
        <v>0</v>
      </c>
    </row>
    <row r="250" customFormat="false" ht="15" hidden="false" customHeight="false" outlineLevel="0" collapsed="false">
      <c r="A250" s="21" t="n">
        <v>46230</v>
      </c>
      <c r="B250" s="22" t="n">
        <v>8</v>
      </c>
      <c r="C250" s="25" t="n">
        <v>226.32</v>
      </c>
      <c r="D250" s="25" t="n">
        <v>23.52</v>
      </c>
      <c r="E250" s="25"/>
      <c r="F250" s="22" t="n">
        <f aca="false">WEEKDAY(A250,2)</f>
        <v>1</v>
      </c>
      <c r="G250" s="22" t="str">
        <f aca="false">IF(F250=7,IF(B250&gt;=23,"C","Sin turno"),IF(B250&lt;7,"C",IF(B250&lt;14,"A",IF(B250&lt;21,"B",IF(B250&lt;23,"Entre turnos",IF(F250=6,"Sin turno","C"))))))</f>
        <v>A</v>
      </c>
      <c r="H250" s="25" t="n">
        <f aca="false">IF(D250="","",MAX(0,D250-0.5*C250))</f>
        <v>0</v>
      </c>
    </row>
    <row r="251" customFormat="false" ht="15" hidden="false" customHeight="false" outlineLevel="0" collapsed="false">
      <c r="A251" s="21" t="n">
        <v>46230</v>
      </c>
      <c r="B251" s="22" t="n">
        <v>9</v>
      </c>
      <c r="C251" s="25" t="n">
        <v>212.64</v>
      </c>
      <c r="D251" s="25" t="n">
        <v>21.96</v>
      </c>
      <c r="E251" s="25"/>
      <c r="F251" s="22" t="n">
        <f aca="false">WEEKDAY(A251,2)</f>
        <v>1</v>
      </c>
      <c r="G251" s="22" t="str">
        <f aca="false">IF(F251=7,IF(B251&gt;=23,"C","Sin turno"),IF(B251&lt;7,"C",IF(B251&lt;14,"A",IF(B251&lt;21,"B",IF(B251&lt;23,"Entre turnos",IF(F251=6,"Sin turno","C"))))))</f>
        <v>A</v>
      </c>
      <c r="H251" s="25" t="n">
        <f aca="false">IF(D251="","",MAX(0,D251-0.5*C251))</f>
        <v>0</v>
      </c>
    </row>
    <row r="252" customFormat="false" ht="15" hidden="false" customHeight="false" outlineLevel="0" collapsed="false">
      <c r="A252" s="21" t="n">
        <v>46230</v>
      </c>
      <c r="B252" s="22" t="n">
        <v>10</v>
      </c>
      <c r="C252" s="25" t="n">
        <v>176.64</v>
      </c>
      <c r="D252" s="25" t="n">
        <v>15.6</v>
      </c>
      <c r="E252" s="25"/>
      <c r="F252" s="22" t="n">
        <f aca="false">WEEKDAY(A252,2)</f>
        <v>1</v>
      </c>
      <c r="G252" s="22" t="str">
        <f aca="false">IF(F252=7,IF(B252&gt;=23,"C","Sin turno"),IF(B252&lt;7,"C",IF(B252&lt;14,"A",IF(B252&lt;21,"B",IF(B252&lt;23,"Entre turnos",IF(F252=6,"Sin turno","C"))))))</f>
        <v>A</v>
      </c>
      <c r="H252" s="25" t="n">
        <f aca="false">IF(D252="","",MAX(0,D252-0.5*C252))</f>
        <v>0</v>
      </c>
    </row>
    <row r="253" customFormat="false" ht="15" hidden="false" customHeight="false" outlineLevel="0" collapsed="false">
      <c r="A253" s="21" t="n">
        <v>46230</v>
      </c>
      <c r="B253" s="22" t="n">
        <v>11</v>
      </c>
      <c r="C253" s="25" t="n">
        <v>200.4</v>
      </c>
      <c r="D253" s="25" t="n">
        <v>17.28</v>
      </c>
      <c r="E253" s="25"/>
      <c r="F253" s="22" t="n">
        <f aca="false">WEEKDAY(A253,2)</f>
        <v>1</v>
      </c>
      <c r="G253" s="22" t="str">
        <f aca="false">IF(F253=7,IF(B253&gt;=23,"C","Sin turno"),IF(B253&lt;7,"C",IF(B253&lt;14,"A",IF(B253&lt;21,"B",IF(B253&lt;23,"Entre turnos",IF(F253=6,"Sin turno","C"))))))</f>
        <v>A</v>
      </c>
      <c r="H253" s="25" t="n">
        <f aca="false">IF(D253="","",MAX(0,D253-0.5*C253))</f>
        <v>0</v>
      </c>
    </row>
    <row r="254" customFormat="false" ht="15" hidden="false" customHeight="false" outlineLevel="0" collapsed="false">
      <c r="A254" s="21" t="n">
        <v>46230</v>
      </c>
      <c r="B254" s="22" t="n">
        <v>12</v>
      </c>
      <c r="C254" s="25" t="n">
        <v>177.48</v>
      </c>
      <c r="D254" s="25" t="n">
        <v>18.36</v>
      </c>
      <c r="E254" s="25"/>
      <c r="F254" s="22" t="n">
        <f aca="false">WEEKDAY(A254,2)</f>
        <v>1</v>
      </c>
      <c r="G254" s="22" t="str">
        <f aca="false">IF(F254=7,IF(B254&gt;=23,"C","Sin turno"),IF(B254&lt;7,"C",IF(B254&lt;14,"A",IF(B254&lt;21,"B",IF(B254&lt;23,"Entre turnos",IF(F254=6,"Sin turno","C"))))))</f>
        <v>A</v>
      </c>
      <c r="H254" s="25" t="n">
        <f aca="false">IF(D254="","",MAX(0,D254-0.5*C254))</f>
        <v>0</v>
      </c>
    </row>
    <row r="255" customFormat="false" ht="15" hidden="false" customHeight="false" outlineLevel="0" collapsed="false">
      <c r="A255" s="21" t="n">
        <v>46230</v>
      </c>
      <c r="B255" s="22" t="n">
        <v>13</v>
      </c>
      <c r="C255" s="25" t="n">
        <v>228.24</v>
      </c>
      <c r="D255" s="25" t="n">
        <v>21.96</v>
      </c>
      <c r="E255" s="25"/>
      <c r="F255" s="22" t="n">
        <f aca="false">WEEKDAY(A255,2)</f>
        <v>1</v>
      </c>
      <c r="G255" s="22" t="str">
        <f aca="false">IF(F255=7,IF(B255&gt;=23,"C","Sin turno"),IF(B255&lt;7,"C",IF(B255&lt;14,"A",IF(B255&lt;21,"B",IF(B255&lt;23,"Entre turnos",IF(F255=6,"Sin turno","C"))))))</f>
        <v>A</v>
      </c>
      <c r="H255" s="25" t="n">
        <f aca="false">IF(D255="","",MAX(0,D255-0.5*C255))</f>
        <v>0</v>
      </c>
    </row>
    <row r="256" customFormat="false" ht="15" hidden="false" customHeight="false" outlineLevel="0" collapsed="false">
      <c r="A256" s="21" t="n">
        <v>46230</v>
      </c>
      <c r="B256" s="22" t="n">
        <v>14</v>
      </c>
      <c r="C256" s="25" t="n">
        <v>190.32</v>
      </c>
      <c r="D256" s="25" t="n">
        <v>21.12</v>
      </c>
      <c r="E256" s="25"/>
      <c r="F256" s="22" t="n">
        <f aca="false">WEEKDAY(A256,2)</f>
        <v>1</v>
      </c>
      <c r="G256" s="22" t="str">
        <f aca="false">IF(F256=7,IF(B256&gt;=23,"C","Sin turno"),IF(B256&lt;7,"C",IF(B256&lt;14,"A",IF(B256&lt;21,"B",IF(B256&lt;23,"Entre turnos",IF(F256=6,"Sin turno","C"))))))</f>
        <v>B</v>
      </c>
      <c r="H256" s="25" t="n">
        <f aca="false">IF(D256="","",MAX(0,D256-0.5*C256))</f>
        <v>0</v>
      </c>
    </row>
    <row r="257" customFormat="false" ht="15" hidden="false" customHeight="false" outlineLevel="0" collapsed="false">
      <c r="A257" s="21" t="n">
        <v>46230</v>
      </c>
      <c r="B257" s="22" t="n">
        <v>15</v>
      </c>
      <c r="C257" s="25" t="n">
        <v>190.08</v>
      </c>
      <c r="D257" s="25" t="n">
        <v>17.16</v>
      </c>
      <c r="E257" s="25"/>
      <c r="F257" s="22" t="n">
        <f aca="false">WEEKDAY(A257,2)</f>
        <v>1</v>
      </c>
      <c r="G257" s="22" t="str">
        <f aca="false">IF(F257=7,IF(B257&gt;=23,"C","Sin turno"),IF(B257&lt;7,"C",IF(B257&lt;14,"A",IF(B257&lt;21,"B",IF(B257&lt;23,"Entre turnos",IF(F257=6,"Sin turno","C"))))))</f>
        <v>B</v>
      </c>
      <c r="H257" s="25" t="n">
        <f aca="false">IF(D257="","",MAX(0,D257-0.5*C257))</f>
        <v>0</v>
      </c>
    </row>
    <row r="258" customFormat="false" ht="15" hidden="false" customHeight="false" outlineLevel="0" collapsed="false">
      <c r="A258" s="21" t="n">
        <v>46230</v>
      </c>
      <c r="B258" s="22" t="n">
        <v>16</v>
      </c>
      <c r="C258" s="25" t="n">
        <v>219.12</v>
      </c>
      <c r="D258" s="25" t="n">
        <v>22.2</v>
      </c>
      <c r="E258" s="25"/>
      <c r="F258" s="22" t="n">
        <f aca="false">WEEKDAY(A258,2)</f>
        <v>1</v>
      </c>
      <c r="G258" s="22" t="str">
        <f aca="false">IF(F258=7,IF(B258&gt;=23,"C","Sin turno"),IF(B258&lt;7,"C",IF(B258&lt;14,"A",IF(B258&lt;21,"B",IF(B258&lt;23,"Entre turnos",IF(F258=6,"Sin turno","C"))))))</f>
        <v>B</v>
      </c>
      <c r="H258" s="25" t="n">
        <f aca="false">IF(D258="","",MAX(0,D258-0.5*C258))</f>
        <v>0</v>
      </c>
    </row>
    <row r="259" customFormat="false" ht="15" hidden="false" customHeight="false" outlineLevel="0" collapsed="false">
      <c r="A259" s="21" t="n">
        <v>46230</v>
      </c>
      <c r="B259" s="22" t="n">
        <v>17</v>
      </c>
      <c r="C259" s="25" t="n">
        <v>212.4</v>
      </c>
      <c r="D259" s="25" t="n">
        <v>26.88</v>
      </c>
      <c r="E259" s="25"/>
      <c r="F259" s="22" t="n">
        <f aca="false">WEEKDAY(A259,2)</f>
        <v>1</v>
      </c>
      <c r="G259" s="22" t="str">
        <f aca="false">IF(F259=7,IF(B259&gt;=23,"C","Sin turno"),IF(B259&lt;7,"C",IF(B259&lt;14,"A",IF(B259&lt;21,"B",IF(B259&lt;23,"Entre turnos",IF(F259=6,"Sin turno","C"))))))</f>
        <v>B</v>
      </c>
      <c r="H259" s="25" t="n">
        <f aca="false">IF(D259="","",MAX(0,D259-0.5*C259))</f>
        <v>0</v>
      </c>
    </row>
    <row r="260" customFormat="false" ht="15" hidden="false" customHeight="false" outlineLevel="0" collapsed="false">
      <c r="A260" s="21" t="n">
        <v>46230</v>
      </c>
      <c r="B260" s="22" t="n">
        <v>18</v>
      </c>
      <c r="C260" s="25" t="n">
        <v>174.96</v>
      </c>
      <c r="D260" s="25" t="n">
        <v>26.4</v>
      </c>
      <c r="E260" s="25"/>
      <c r="F260" s="22" t="n">
        <f aca="false">WEEKDAY(A260,2)</f>
        <v>1</v>
      </c>
      <c r="G260" s="22" t="str">
        <f aca="false">IF(F260=7,IF(B260&gt;=23,"C","Sin turno"),IF(B260&lt;7,"C",IF(B260&lt;14,"A",IF(B260&lt;21,"B",IF(B260&lt;23,"Entre turnos",IF(F260=6,"Sin turno","C"))))))</f>
        <v>B</v>
      </c>
      <c r="H260" s="25" t="n">
        <f aca="false">IF(D260="","",MAX(0,D260-0.5*C260))</f>
        <v>0</v>
      </c>
    </row>
    <row r="261" customFormat="false" ht="15" hidden="false" customHeight="false" outlineLevel="0" collapsed="false">
      <c r="A261" s="21" t="n">
        <v>46230</v>
      </c>
      <c r="B261" s="22" t="n">
        <v>19</v>
      </c>
      <c r="C261" s="25" t="n">
        <v>195.24</v>
      </c>
      <c r="D261" s="25" t="n">
        <v>20.16</v>
      </c>
      <c r="E261" s="25"/>
      <c r="F261" s="22" t="n">
        <f aca="false">WEEKDAY(A261,2)</f>
        <v>1</v>
      </c>
      <c r="G261" s="22" t="str">
        <f aca="false">IF(F261=7,IF(B261&gt;=23,"C","Sin turno"),IF(B261&lt;7,"C",IF(B261&lt;14,"A",IF(B261&lt;21,"B",IF(B261&lt;23,"Entre turnos",IF(F261=6,"Sin turno","C"))))))</f>
        <v>B</v>
      </c>
      <c r="H261" s="25" t="n">
        <f aca="false">IF(D261="","",MAX(0,D261-0.5*C261))</f>
        <v>0</v>
      </c>
    </row>
    <row r="262" customFormat="false" ht="15" hidden="false" customHeight="false" outlineLevel="0" collapsed="false">
      <c r="A262" s="21" t="n">
        <v>46230</v>
      </c>
      <c r="B262" s="22" t="n">
        <v>20</v>
      </c>
      <c r="C262" s="25" t="n">
        <v>185.76</v>
      </c>
      <c r="D262" s="25" t="n">
        <v>20.04</v>
      </c>
      <c r="E262" s="25"/>
      <c r="F262" s="22" t="n">
        <f aca="false">WEEKDAY(A262,2)</f>
        <v>1</v>
      </c>
      <c r="G262" s="22" t="str">
        <f aca="false">IF(F262=7,IF(B262&gt;=23,"C","Sin turno"),IF(B262&lt;7,"C",IF(B262&lt;14,"A",IF(B262&lt;21,"B",IF(B262&lt;23,"Entre turnos",IF(F262=6,"Sin turno","C"))))))</f>
        <v>B</v>
      </c>
      <c r="H262" s="25" t="n">
        <f aca="false">IF(D262="","",MAX(0,D262-0.5*C262))</f>
        <v>0</v>
      </c>
    </row>
    <row r="263" customFormat="false" ht="15" hidden="false" customHeight="false" outlineLevel="0" collapsed="false">
      <c r="A263" s="21" t="n">
        <v>46230</v>
      </c>
      <c r="B263" s="22" t="n">
        <v>21</v>
      </c>
      <c r="C263" s="25" t="n">
        <v>151.08</v>
      </c>
      <c r="D263" s="25" t="n">
        <v>18.36</v>
      </c>
      <c r="E263" s="25"/>
      <c r="F263" s="22" t="n">
        <f aca="false">WEEKDAY(A263,2)</f>
        <v>1</v>
      </c>
      <c r="G263" s="22" t="str">
        <f aca="false">IF(F263=7,IF(B263&gt;=23,"C","Sin turno"),IF(B263&lt;7,"C",IF(B263&lt;14,"A",IF(B263&lt;21,"B",IF(B263&lt;23,"Entre turnos",IF(F263=6,"Sin turno","C"))))))</f>
        <v>Entre turnos</v>
      </c>
      <c r="H263" s="25" t="n">
        <f aca="false">IF(D263="","",MAX(0,D263-0.5*C263))</f>
        <v>0</v>
      </c>
    </row>
    <row r="264" customFormat="false" ht="15" hidden="false" customHeight="false" outlineLevel="0" collapsed="false">
      <c r="A264" s="21" t="n">
        <v>46230</v>
      </c>
      <c r="B264" s="22" t="n">
        <v>22</v>
      </c>
      <c r="C264" s="25" t="n">
        <v>134.28</v>
      </c>
      <c r="D264" s="25" t="n">
        <v>10.08</v>
      </c>
      <c r="E264" s="25"/>
      <c r="F264" s="22" t="n">
        <f aca="false">WEEKDAY(A264,2)</f>
        <v>1</v>
      </c>
      <c r="G264" s="22" t="str">
        <f aca="false">IF(F264=7,IF(B264&gt;=23,"C","Sin turno"),IF(B264&lt;7,"C",IF(B264&lt;14,"A",IF(B264&lt;21,"B",IF(B264&lt;23,"Entre turnos",IF(F264=6,"Sin turno","C"))))))</f>
        <v>Entre turnos</v>
      </c>
      <c r="H264" s="25" t="n">
        <f aca="false">IF(D264="","",MAX(0,D264-0.5*C264))</f>
        <v>0</v>
      </c>
    </row>
    <row r="265" customFormat="false" ht="15" hidden="false" customHeight="false" outlineLevel="0" collapsed="false">
      <c r="A265" s="21" t="n">
        <v>46230</v>
      </c>
      <c r="B265" s="22" t="n">
        <v>23</v>
      </c>
      <c r="C265" s="25" t="n">
        <v>117.24</v>
      </c>
      <c r="D265" s="25" t="n">
        <v>12.12</v>
      </c>
      <c r="E265" s="25"/>
      <c r="F265" s="22" t="n">
        <f aca="false">WEEKDAY(A265,2)</f>
        <v>1</v>
      </c>
      <c r="G265" s="22" t="str">
        <f aca="false">IF(F265=7,IF(B265&gt;=23,"C","Sin turno"),IF(B265&lt;7,"C",IF(B265&lt;14,"A",IF(B265&lt;21,"B",IF(B265&lt;23,"Entre turnos",IF(F265=6,"Sin turno","C"))))))</f>
        <v>C</v>
      </c>
      <c r="H265" s="25" t="n">
        <f aca="false">IF(D265="","",MAX(0,D265-0.5*C265))</f>
        <v>0</v>
      </c>
    </row>
    <row r="266" customFormat="false" ht="15" hidden="false" customHeight="false" outlineLevel="0" collapsed="false">
      <c r="A266" s="21" t="n">
        <v>46231</v>
      </c>
      <c r="B266" s="22" t="n">
        <v>0</v>
      </c>
      <c r="C266" s="25" t="n">
        <v>116.4</v>
      </c>
      <c r="D266" s="25" t="n">
        <v>14.76</v>
      </c>
      <c r="E266" s="25"/>
      <c r="F266" s="22" t="n">
        <f aca="false">WEEKDAY(A266,2)</f>
        <v>2</v>
      </c>
      <c r="G266" s="22" t="str">
        <f aca="false">IF(F266=7,IF(B266&gt;=23,"C","Sin turno"),IF(B266&lt;7,"C",IF(B266&lt;14,"A",IF(B266&lt;21,"B",IF(B266&lt;23,"Entre turnos",IF(F266=6,"Sin turno","C"))))))</f>
        <v>C</v>
      </c>
      <c r="H266" s="25" t="n">
        <f aca="false">IF(D266="","",MAX(0,D266-0.5*C266))</f>
        <v>0</v>
      </c>
    </row>
    <row r="267" customFormat="false" ht="15" hidden="false" customHeight="false" outlineLevel="0" collapsed="false">
      <c r="A267" s="21" t="n">
        <v>46231</v>
      </c>
      <c r="B267" s="22" t="n">
        <v>1</v>
      </c>
      <c r="C267" s="25" t="n">
        <v>121.08</v>
      </c>
      <c r="D267" s="25" t="n">
        <v>10.68</v>
      </c>
      <c r="E267" s="25"/>
      <c r="F267" s="22" t="n">
        <f aca="false">WEEKDAY(A267,2)</f>
        <v>2</v>
      </c>
      <c r="G267" s="22" t="str">
        <f aca="false">IF(F267=7,IF(B267&gt;=23,"C","Sin turno"),IF(B267&lt;7,"C",IF(B267&lt;14,"A",IF(B267&lt;21,"B",IF(B267&lt;23,"Entre turnos",IF(F267=6,"Sin turno","C"))))))</f>
        <v>C</v>
      </c>
      <c r="H267" s="25" t="n">
        <f aca="false">IF(D267="","",MAX(0,D267-0.5*C267))</f>
        <v>0</v>
      </c>
    </row>
    <row r="268" customFormat="false" ht="15" hidden="false" customHeight="false" outlineLevel="0" collapsed="false">
      <c r="A268" s="21" t="n">
        <v>46231</v>
      </c>
      <c r="B268" s="22" t="n">
        <v>2</v>
      </c>
      <c r="C268" s="25" t="n">
        <v>115.2</v>
      </c>
      <c r="D268" s="25" t="n">
        <v>14.88</v>
      </c>
      <c r="E268" s="25"/>
      <c r="F268" s="22" t="n">
        <f aca="false">WEEKDAY(A268,2)</f>
        <v>2</v>
      </c>
      <c r="G268" s="22" t="str">
        <f aca="false">IF(F268=7,IF(B268&gt;=23,"C","Sin turno"),IF(B268&lt;7,"C",IF(B268&lt;14,"A",IF(B268&lt;21,"B",IF(B268&lt;23,"Entre turnos",IF(F268=6,"Sin turno","C"))))))</f>
        <v>C</v>
      </c>
      <c r="H268" s="25" t="n">
        <f aca="false">IF(D268="","",MAX(0,D268-0.5*C268))</f>
        <v>0</v>
      </c>
    </row>
    <row r="269" customFormat="false" ht="15" hidden="false" customHeight="false" outlineLevel="0" collapsed="false">
      <c r="A269" s="21" t="n">
        <v>46231</v>
      </c>
      <c r="B269" s="22" t="n">
        <v>3</v>
      </c>
      <c r="C269" s="25" t="n">
        <v>115.44</v>
      </c>
      <c r="D269" s="25" t="n">
        <v>11.76</v>
      </c>
      <c r="E269" s="25"/>
      <c r="F269" s="22" t="n">
        <f aca="false">WEEKDAY(A269,2)</f>
        <v>2</v>
      </c>
      <c r="G269" s="22" t="str">
        <f aca="false">IF(F269=7,IF(B269&gt;=23,"C","Sin turno"),IF(B269&lt;7,"C",IF(B269&lt;14,"A",IF(B269&lt;21,"B",IF(B269&lt;23,"Entre turnos",IF(F269=6,"Sin turno","C"))))))</f>
        <v>C</v>
      </c>
      <c r="H269" s="25" t="n">
        <f aca="false">IF(D269="","",MAX(0,D269-0.5*C269))</f>
        <v>0</v>
      </c>
    </row>
    <row r="270" customFormat="false" ht="15" hidden="false" customHeight="false" outlineLevel="0" collapsed="false">
      <c r="A270" s="21" t="n">
        <v>46231</v>
      </c>
      <c r="B270" s="22" t="n">
        <v>4</v>
      </c>
      <c r="C270" s="25" t="n">
        <v>116.16</v>
      </c>
      <c r="D270" s="25" t="n">
        <v>13.44</v>
      </c>
      <c r="E270" s="25"/>
      <c r="F270" s="22" t="n">
        <f aca="false">WEEKDAY(A270,2)</f>
        <v>2</v>
      </c>
      <c r="G270" s="22" t="str">
        <f aca="false">IF(F270=7,IF(B270&gt;=23,"C","Sin turno"),IF(B270&lt;7,"C",IF(B270&lt;14,"A",IF(B270&lt;21,"B",IF(B270&lt;23,"Entre turnos",IF(F270=6,"Sin turno","C"))))))</f>
        <v>C</v>
      </c>
      <c r="H270" s="25" t="n">
        <f aca="false">IF(D270="","",MAX(0,D270-0.5*C270))</f>
        <v>0</v>
      </c>
    </row>
    <row r="271" customFormat="false" ht="15" hidden="false" customHeight="false" outlineLevel="0" collapsed="false">
      <c r="A271" s="21" t="n">
        <v>46231</v>
      </c>
      <c r="B271" s="22" t="n">
        <v>5</v>
      </c>
      <c r="C271" s="25" t="n">
        <v>110.64</v>
      </c>
      <c r="D271" s="25" t="n">
        <v>14.88</v>
      </c>
      <c r="E271" s="25"/>
      <c r="F271" s="22" t="n">
        <f aca="false">WEEKDAY(A271,2)</f>
        <v>2</v>
      </c>
      <c r="G271" s="22" t="str">
        <f aca="false">IF(F271=7,IF(B271&gt;=23,"C","Sin turno"),IF(B271&lt;7,"C",IF(B271&lt;14,"A",IF(B271&lt;21,"B",IF(B271&lt;23,"Entre turnos",IF(F271=6,"Sin turno","C"))))))</f>
        <v>C</v>
      </c>
      <c r="H271" s="25" t="n">
        <f aca="false">IF(D271="","",MAX(0,D271-0.5*C271))</f>
        <v>0</v>
      </c>
    </row>
    <row r="272" customFormat="false" ht="15" hidden="false" customHeight="false" outlineLevel="0" collapsed="false">
      <c r="A272" s="21" t="n">
        <v>46231</v>
      </c>
      <c r="B272" s="22" t="n">
        <v>6</v>
      </c>
      <c r="C272" s="25" t="n">
        <v>127.68</v>
      </c>
      <c r="D272" s="25" t="n">
        <v>15.36</v>
      </c>
      <c r="E272" s="25"/>
      <c r="F272" s="22" t="n">
        <f aca="false">WEEKDAY(A272,2)</f>
        <v>2</v>
      </c>
      <c r="G272" s="22" t="str">
        <f aca="false">IF(F272=7,IF(B272&gt;=23,"C","Sin turno"),IF(B272&lt;7,"C",IF(B272&lt;14,"A",IF(B272&lt;21,"B",IF(B272&lt;23,"Entre turnos",IF(F272=6,"Sin turno","C"))))))</f>
        <v>C</v>
      </c>
      <c r="H272" s="25" t="n">
        <f aca="false">IF(D272="","",MAX(0,D272-0.5*C272))</f>
        <v>0</v>
      </c>
    </row>
    <row r="273" customFormat="false" ht="15" hidden="false" customHeight="false" outlineLevel="0" collapsed="false">
      <c r="A273" s="21" t="n">
        <v>46231</v>
      </c>
      <c r="B273" s="22" t="n">
        <v>7</v>
      </c>
      <c r="C273" s="25" t="n">
        <v>229.08</v>
      </c>
      <c r="D273" s="25" t="n">
        <v>23.16</v>
      </c>
      <c r="E273" s="25"/>
      <c r="F273" s="22" t="n">
        <f aca="false">WEEKDAY(A273,2)</f>
        <v>2</v>
      </c>
      <c r="G273" s="22" t="str">
        <f aca="false">IF(F273=7,IF(B273&gt;=23,"C","Sin turno"),IF(B273&lt;7,"C",IF(B273&lt;14,"A",IF(B273&lt;21,"B",IF(B273&lt;23,"Entre turnos",IF(F273=6,"Sin turno","C"))))))</f>
        <v>A</v>
      </c>
      <c r="H273" s="25" t="n">
        <f aca="false">IF(D273="","",MAX(0,D273-0.5*C273))</f>
        <v>0</v>
      </c>
    </row>
    <row r="274" customFormat="false" ht="15" hidden="false" customHeight="false" outlineLevel="0" collapsed="false">
      <c r="A274" s="21" t="n">
        <v>46231</v>
      </c>
      <c r="B274" s="22" t="n">
        <v>8</v>
      </c>
      <c r="C274" s="25" t="n">
        <v>218.28</v>
      </c>
      <c r="D274" s="25" t="n">
        <v>26.4</v>
      </c>
      <c r="E274" s="25"/>
      <c r="F274" s="22" t="n">
        <f aca="false">WEEKDAY(A274,2)</f>
        <v>2</v>
      </c>
      <c r="G274" s="22" t="str">
        <f aca="false">IF(F274=7,IF(B274&gt;=23,"C","Sin turno"),IF(B274&lt;7,"C",IF(B274&lt;14,"A",IF(B274&lt;21,"B",IF(B274&lt;23,"Entre turnos",IF(F274=6,"Sin turno","C"))))))</f>
        <v>A</v>
      </c>
      <c r="H274" s="25" t="n">
        <f aca="false">IF(D274="","",MAX(0,D274-0.5*C274))</f>
        <v>0</v>
      </c>
    </row>
    <row r="275" customFormat="false" ht="15" hidden="false" customHeight="false" outlineLevel="0" collapsed="false">
      <c r="A275" s="21" t="n">
        <v>46231</v>
      </c>
      <c r="B275" s="22" t="n">
        <v>9</v>
      </c>
      <c r="C275" s="25" t="n">
        <v>178.44</v>
      </c>
      <c r="D275" s="25" t="n">
        <v>24.84</v>
      </c>
      <c r="E275" s="25"/>
      <c r="F275" s="22" t="n">
        <f aca="false">WEEKDAY(A275,2)</f>
        <v>2</v>
      </c>
      <c r="G275" s="22" t="str">
        <f aca="false">IF(F275=7,IF(B275&gt;=23,"C","Sin turno"),IF(B275&lt;7,"C",IF(B275&lt;14,"A",IF(B275&lt;21,"B",IF(B275&lt;23,"Entre turnos",IF(F275=6,"Sin turno","C"))))))</f>
        <v>A</v>
      </c>
      <c r="H275" s="25" t="n">
        <f aca="false">IF(D275="","",MAX(0,D275-0.5*C275))</f>
        <v>0</v>
      </c>
    </row>
    <row r="276" customFormat="false" ht="15" hidden="false" customHeight="false" outlineLevel="0" collapsed="false">
      <c r="A276" s="21" t="n">
        <v>46231</v>
      </c>
      <c r="B276" s="22" t="n">
        <v>10</v>
      </c>
      <c r="C276" s="25" t="n">
        <v>145.68</v>
      </c>
      <c r="D276" s="25" t="n">
        <v>19.08</v>
      </c>
      <c r="E276" s="25"/>
      <c r="F276" s="22" t="n">
        <f aca="false">WEEKDAY(A276,2)</f>
        <v>2</v>
      </c>
      <c r="G276" s="22" t="str">
        <f aca="false">IF(F276=7,IF(B276&gt;=23,"C","Sin turno"),IF(B276&lt;7,"C",IF(B276&lt;14,"A",IF(B276&lt;21,"B",IF(B276&lt;23,"Entre turnos",IF(F276=6,"Sin turno","C"))))))</f>
        <v>A</v>
      </c>
      <c r="H276" s="25" t="n">
        <f aca="false">IF(D276="","",MAX(0,D276-0.5*C276))</f>
        <v>0</v>
      </c>
    </row>
    <row r="277" customFormat="false" ht="15" hidden="false" customHeight="false" outlineLevel="0" collapsed="false">
      <c r="A277" s="21" t="n">
        <v>46231</v>
      </c>
      <c r="B277" s="22" t="n">
        <v>11</v>
      </c>
      <c r="C277" s="25" t="n">
        <v>169.2</v>
      </c>
      <c r="D277" s="25" t="n">
        <v>17.64</v>
      </c>
      <c r="E277" s="25"/>
      <c r="F277" s="22" t="n">
        <f aca="false">WEEKDAY(A277,2)</f>
        <v>2</v>
      </c>
      <c r="G277" s="22" t="str">
        <f aca="false">IF(F277=7,IF(B277&gt;=23,"C","Sin turno"),IF(B277&lt;7,"C",IF(B277&lt;14,"A",IF(B277&lt;21,"B",IF(B277&lt;23,"Entre turnos",IF(F277=6,"Sin turno","C"))))))</f>
        <v>A</v>
      </c>
      <c r="H277" s="25" t="n">
        <f aca="false">IF(D277="","",MAX(0,D277-0.5*C277))</f>
        <v>0</v>
      </c>
    </row>
    <row r="278" customFormat="false" ht="15" hidden="false" customHeight="false" outlineLevel="0" collapsed="false">
      <c r="A278" s="21" t="n">
        <v>46231</v>
      </c>
      <c r="B278" s="22" t="n">
        <v>12</v>
      </c>
      <c r="C278" s="25" t="n">
        <v>181.08</v>
      </c>
      <c r="D278" s="25" t="n">
        <v>19.44</v>
      </c>
      <c r="E278" s="25"/>
      <c r="F278" s="22" t="n">
        <f aca="false">WEEKDAY(A278,2)</f>
        <v>2</v>
      </c>
      <c r="G278" s="22" t="str">
        <f aca="false">IF(F278=7,IF(B278&gt;=23,"C","Sin turno"),IF(B278&lt;7,"C",IF(B278&lt;14,"A",IF(B278&lt;21,"B",IF(B278&lt;23,"Entre turnos",IF(F278=6,"Sin turno","C"))))))</f>
        <v>A</v>
      </c>
      <c r="H278" s="25" t="n">
        <f aca="false">IF(D278="","",MAX(0,D278-0.5*C278))</f>
        <v>0</v>
      </c>
    </row>
    <row r="279" customFormat="false" ht="15" hidden="false" customHeight="false" outlineLevel="0" collapsed="false">
      <c r="A279" s="21" t="n">
        <v>46231</v>
      </c>
      <c r="B279" s="22" t="n">
        <v>13</v>
      </c>
      <c r="C279" s="25" t="n">
        <v>204.24</v>
      </c>
      <c r="D279" s="25" t="n">
        <v>19.32</v>
      </c>
      <c r="E279" s="25"/>
      <c r="F279" s="22" t="n">
        <f aca="false">WEEKDAY(A279,2)</f>
        <v>2</v>
      </c>
      <c r="G279" s="22" t="str">
        <f aca="false">IF(F279=7,IF(B279&gt;=23,"C","Sin turno"),IF(B279&lt;7,"C",IF(B279&lt;14,"A",IF(B279&lt;21,"B",IF(B279&lt;23,"Entre turnos",IF(F279=6,"Sin turno","C"))))))</f>
        <v>A</v>
      </c>
      <c r="H279" s="25" t="n">
        <f aca="false">IF(D279="","",MAX(0,D279-0.5*C279))</f>
        <v>0</v>
      </c>
    </row>
    <row r="280" customFormat="false" ht="15" hidden="false" customHeight="false" outlineLevel="0" collapsed="false">
      <c r="A280" s="21" t="n">
        <v>46231</v>
      </c>
      <c r="B280" s="22" t="n">
        <v>14</v>
      </c>
      <c r="C280" s="25" t="n">
        <v>191.16</v>
      </c>
      <c r="D280" s="25" t="n">
        <v>28.56</v>
      </c>
      <c r="E280" s="25"/>
      <c r="F280" s="22" t="n">
        <f aca="false">WEEKDAY(A280,2)</f>
        <v>2</v>
      </c>
      <c r="G280" s="22" t="str">
        <f aca="false">IF(F280=7,IF(B280&gt;=23,"C","Sin turno"),IF(B280&lt;7,"C",IF(B280&lt;14,"A",IF(B280&lt;21,"B",IF(B280&lt;23,"Entre turnos",IF(F280=6,"Sin turno","C"))))))</f>
        <v>B</v>
      </c>
      <c r="H280" s="25" t="n">
        <f aca="false">IF(D280="","",MAX(0,D280-0.5*C280))</f>
        <v>0</v>
      </c>
    </row>
    <row r="281" customFormat="false" ht="15" hidden="false" customHeight="false" outlineLevel="0" collapsed="false">
      <c r="A281" s="21" t="n">
        <v>46231</v>
      </c>
      <c r="B281" s="22" t="n">
        <v>15</v>
      </c>
      <c r="C281" s="25" t="n">
        <v>213.84</v>
      </c>
      <c r="D281" s="25" t="n">
        <v>24.72</v>
      </c>
      <c r="E281" s="25"/>
      <c r="F281" s="22" t="n">
        <f aca="false">WEEKDAY(A281,2)</f>
        <v>2</v>
      </c>
      <c r="G281" s="22" t="str">
        <f aca="false">IF(F281=7,IF(B281&gt;=23,"C","Sin turno"),IF(B281&lt;7,"C",IF(B281&lt;14,"A",IF(B281&lt;21,"B",IF(B281&lt;23,"Entre turnos",IF(F281=6,"Sin turno","C"))))))</f>
        <v>B</v>
      </c>
      <c r="H281" s="25" t="n">
        <f aca="false">IF(D281="","",MAX(0,D281-0.5*C281))</f>
        <v>0</v>
      </c>
    </row>
    <row r="282" customFormat="false" ht="15" hidden="false" customHeight="false" outlineLevel="0" collapsed="false">
      <c r="A282" s="21" t="n">
        <v>46231</v>
      </c>
      <c r="B282" s="22" t="n">
        <v>16</v>
      </c>
      <c r="C282" s="25" t="n">
        <v>267.48</v>
      </c>
      <c r="D282" s="25" t="n">
        <v>29.16</v>
      </c>
      <c r="E282" s="25"/>
      <c r="F282" s="22" t="n">
        <f aca="false">WEEKDAY(A282,2)</f>
        <v>2</v>
      </c>
      <c r="G282" s="22" t="str">
        <f aca="false">IF(F282=7,IF(B282&gt;=23,"C","Sin turno"),IF(B282&lt;7,"C",IF(B282&lt;14,"A",IF(B282&lt;21,"B",IF(B282&lt;23,"Entre turnos",IF(F282=6,"Sin turno","C"))))))</f>
        <v>B</v>
      </c>
      <c r="H282" s="25" t="n">
        <f aca="false">IF(D282="","",MAX(0,D282-0.5*C282))</f>
        <v>0</v>
      </c>
    </row>
    <row r="283" customFormat="false" ht="15" hidden="false" customHeight="false" outlineLevel="0" collapsed="false">
      <c r="A283" s="21" t="n">
        <v>46231</v>
      </c>
      <c r="B283" s="22" t="n">
        <v>17</v>
      </c>
      <c r="C283" s="25" t="n">
        <v>220.92</v>
      </c>
      <c r="D283" s="25" t="n">
        <v>20.52</v>
      </c>
      <c r="E283" s="25"/>
      <c r="F283" s="22" t="n">
        <f aca="false">WEEKDAY(A283,2)</f>
        <v>2</v>
      </c>
      <c r="G283" s="22" t="str">
        <f aca="false">IF(F283=7,IF(B283&gt;=23,"C","Sin turno"),IF(B283&lt;7,"C",IF(B283&lt;14,"A",IF(B283&lt;21,"B",IF(B283&lt;23,"Entre turnos",IF(F283=6,"Sin turno","C"))))))</f>
        <v>B</v>
      </c>
      <c r="H283" s="25" t="n">
        <f aca="false">IF(D283="","",MAX(0,D283-0.5*C283))</f>
        <v>0</v>
      </c>
    </row>
    <row r="284" customFormat="false" ht="15" hidden="false" customHeight="false" outlineLevel="0" collapsed="false">
      <c r="A284" s="21" t="n">
        <v>46231</v>
      </c>
      <c r="B284" s="22" t="n">
        <v>18</v>
      </c>
      <c r="C284" s="25" t="n">
        <v>199.92</v>
      </c>
      <c r="D284" s="25" t="n">
        <v>15.24</v>
      </c>
      <c r="E284" s="25"/>
      <c r="F284" s="22" t="n">
        <f aca="false">WEEKDAY(A284,2)</f>
        <v>2</v>
      </c>
      <c r="G284" s="22" t="str">
        <f aca="false">IF(F284=7,IF(B284&gt;=23,"C","Sin turno"),IF(B284&lt;7,"C",IF(B284&lt;14,"A",IF(B284&lt;21,"B",IF(B284&lt;23,"Entre turnos",IF(F284=6,"Sin turno","C"))))))</f>
        <v>B</v>
      </c>
      <c r="H284" s="25" t="n">
        <f aca="false">IF(D284="","",MAX(0,D284-0.5*C284))</f>
        <v>0</v>
      </c>
    </row>
    <row r="285" customFormat="false" ht="15" hidden="false" customHeight="false" outlineLevel="0" collapsed="false">
      <c r="A285" s="21" t="n">
        <v>46231</v>
      </c>
      <c r="B285" s="22" t="n">
        <v>19</v>
      </c>
      <c r="C285" s="25" t="n">
        <v>184.32</v>
      </c>
      <c r="D285" s="25" t="n">
        <v>27.36</v>
      </c>
      <c r="E285" s="25"/>
      <c r="F285" s="22" t="n">
        <f aca="false">WEEKDAY(A285,2)</f>
        <v>2</v>
      </c>
      <c r="G285" s="22" t="str">
        <f aca="false">IF(F285=7,IF(B285&gt;=23,"C","Sin turno"),IF(B285&lt;7,"C",IF(B285&lt;14,"A",IF(B285&lt;21,"B",IF(B285&lt;23,"Entre turnos",IF(F285=6,"Sin turno","C"))))))</f>
        <v>B</v>
      </c>
      <c r="H285" s="25" t="n">
        <f aca="false">IF(D285="","",MAX(0,D285-0.5*C285))</f>
        <v>0</v>
      </c>
    </row>
    <row r="286" customFormat="false" ht="15" hidden="false" customHeight="false" outlineLevel="0" collapsed="false">
      <c r="A286" s="21" t="n">
        <v>46231</v>
      </c>
      <c r="B286" s="22" t="n">
        <v>20</v>
      </c>
      <c r="C286" s="25" t="n">
        <v>148.92</v>
      </c>
      <c r="D286" s="25" t="n">
        <v>18.48</v>
      </c>
      <c r="E286" s="25"/>
      <c r="F286" s="22" t="n">
        <f aca="false">WEEKDAY(A286,2)</f>
        <v>2</v>
      </c>
      <c r="G286" s="22" t="str">
        <f aca="false">IF(F286=7,IF(B286&gt;=23,"C","Sin turno"),IF(B286&lt;7,"C",IF(B286&lt;14,"A",IF(B286&lt;21,"B",IF(B286&lt;23,"Entre turnos",IF(F286=6,"Sin turno","C"))))))</f>
        <v>B</v>
      </c>
      <c r="H286" s="25" t="n">
        <f aca="false">IF(D286="","",MAX(0,D286-0.5*C286))</f>
        <v>0</v>
      </c>
    </row>
    <row r="287" customFormat="false" ht="15" hidden="false" customHeight="false" outlineLevel="0" collapsed="false">
      <c r="A287" s="21" t="n">
        <v>46231</v>
      </c>
      <c r="B287" s="22" t="n">
        <v>21</v>
      </c>
      <c r="C287" s="25" t="n">
        <v>141.24</v>
      </c>
      <c r="D287" s="25" t="n">
        <v>17.4</v>
      </c>
      <c r="E287" s="25"/>
      <c r="F287" s="22" t="n">
        <f aca="false">WEEKDAY(A287,2)</f>
        <v>2</v>
      </c>
      <c r="G287" s="22" t="str">
        <f aca="false">IF(F287=7,IF(B287&gt;=23,"C","Sin turno"),IF(B287&lt;7,"C",IF(B287&lt;14,"A",IF(B287&lt;21,"B",IF(B287&lt;23,"Entre turnos",IF(F287=6,"Sin turno","C"))))))</f>
        <v>Entre turnos</v>
      </c>
      <c r="H287" s="25" t="n">
        <f aca="false">IF(D287="","",MAX(0,D287-0.5*C287))</f>
        <v>0</v>
      </c>
    </row>
    <row r="288" customFormat="false" ht="15" hidden="false" customHeight="false" outlineLevel="0" collapsed="false">
      <c r="A288" s="21" t="n">
        <v>46231</v>
      </c>
      <c r="B288" s="22" t="n">
        <v>22</v>
      </c>
      <c r="C288" s="25" t="n">
        <v>129.48</v>
      </c>
      <c r="D288" s="25" t="n">
        <v>16.32</v>
      </c>
      <c r="E288" s="25"/>
      <c r="F288" s="22" t="n">
        <f aca="false">WEEKDAY(A288,2)</f>
        <v>2</v>
      </c>
      <c r="G288" s="22" t="str">
        <f aca="false">IF(F288=7,IF(B288&gt;=23,"C","Sin turno"),IF(B288&lt;7,"C",IF(B288&lt;14,"A",IF(B288&lt;21,"B",IF(B288&lt;23,"Entre turnos",IF(F288=6,"Sin turno","C"))))))</f>
        <v>Entre turnos</v>
      </c>
      <c r="H288" s="25" t="n">
        <f aca="false">IF(D288="","",MAX(0,D288-0.5*C288))</f>
        <v>0</v>
      </c>
    </row>
    <row r="289" customFormat="false" ht="15" hidden="false" customHeight="false" outlineLevel="0" collapsed="false">
      <c r="A289" s="21" t="n">
        <v>46231</v>
      </c>
      <c r="B289" s="22" t="n">
        <v>23</v>
      </c>
      <c r="C289" s="25" t="n">
        <v>121.32</v>
      </c>
      <c r="D289" s="25" t="n">
        <v>15.84</v>
      </c>
      <c r="E289" s="25"/>
      <c r="F289" s="22" t="n">
        <f aca="false">WEEKDAY(A289,2)</f>
        <v>2</v>
      </c>
      <c r="G289" s="22" t="str">
        <f aca="false">IF(F289=7,IF(B289&gt;=23,"C","Sin turno"),IF(B289&lt;7,"C",IF(B289&lt;14,"A",IF(B289&lt;21,"B",IF(B289&lt;23,"Entre turnos",IF(F289=6,"Sin turno","C"))))))</f>
        <v>C</v>
      </c>
      <c r="H289" s="25" t="n">
        <f aca="false">IF(D289="","",MAX(0,D289-0.5*C289))</f>
        <v>0</v>
      </c>
    </row>
    <row r="290" customFormat="false" ht="15" hidden="false" customHeight="false" outlineLevel="0" collapsed="false">
      <c r="A290" s="21" t="n">
        <v>46232</v>
      </c>
      <c r="B290" s="22" t="n">
        <v>0</v>
      </c>
      <c r="C290" s="25" t="n">
        <v>121.8</v>
      </c>
      <c r="D290" s="25" t="n">
        <v>16.8</v>
      </c>
      <c r="E290" s="25"/>
      <c r="F290" s="22" t="n">
        <f aca="false">WEEKDAY(A290,2)</f>
        <v>3</v>
      </c>
      <c r="G290" s="22" t="str">
        <f aca="false">IF(F290=7,IF(B290&gt;=23,"C","Sin turno"),IF(B290&lt;7,"C",IF(B290&lt;14,"A",IF(B290&lt;21,"B",IF(B290&lt;23,"Entre turnos",IF(F290=6,"Sin turno","C"))))))</f>
        <v>C</v>
      </c>
      <c r="H290" s="25" t="n">
        <f aca="false">IF(D290="","",MAX(0,D290-0.5*C290))</f>
        <v>0</v>
      </c>
    </row>
    <row r="291" customFormat="false" ht="15" hidden="false" customHeight="false" outlineLevel="0" collapsed="false">
      <c r="A291" s="21" t="n">
        <v>46232</v>
      </c>
      <c r="B291" s="22" t="n">
        <v>1</v>
      </c>
      <c r="C291" s="25" t="n">
        <v>116.64</v>
      </c>
      <c r="D291" s="25" t="n">
        <v>15.72</v>
      </c>
      <c r="E291" s="25"/>
      <c r="F291" s="22" t="n">
        <f aca="false">WEEKDAY(A291,2)</f>
        <v>3</v>
      </c>
      <c r="G291" s="22" t="str">
        <f aca="false">IF(F291=7,IF(B291&gt;=23,"C","Sin turno"),IF(B291&lt;7,"C",IF(B291&lt;14,"A",IF(B291&lt;21,"B",IF(B291&lt;23,"Entre turnos",IF(F291=6,"Sin turno","C"))))))</f>
        <v>C</v>
      </c>
      <c r="H291" s="25" t="n">
        <f aca="false">IF(D291="","",MAX(0,D291-0.5*C291))</f>
        <v>0</v>
      </c>
    </row>
    <row r="292" customFormat="false" ht="15" hidden="false" customHeight="false" outlineLevel="0" collapsed="false">
      <c r="A292" s="21" t="n">
        <v>46232</v>
      </c>
      <c r="B292" s="22" t="n">
        <v>2</v>
      </c>
      <c r="C292" s="25" t="n">
        <v>117.12</v>
      </c>
      <c r="D292" s="25" t="n">
        <v>15</v>
      </c>
      <c r="E292" s="25"/>
      <c r="F292" s="22" t="n">
        <f aca="false">WEEKDAY(A292,2)</f>
        <v>3</v>
      </c>
      <c r="G292" s="22" t="str">
        <f aca="false">IF(F292=7,IF(B292&gt;=23,"C","Sin turno"),IF(B292&lt;7,"C",IF(B292&lt;14,"A",IF(B292&lt;21,"B",IF(B292&lt;23,"Entre turnos",IF(F292=6,"Sin turno","C"))))))</f>
        <v>C</v>
      </c>
      <c r="H292" s="25" t="n">
        <f aca="false">IF(D292="","",MAX(0,D292-0.5*C292))</f>
        <v>0</v>
      </c>
    </row>
    <row r="293" customFormat="false" ht="15" hidden="false" customHeight="false" outlineLevel="0" collapsed="false">
      <c r="A293" s="21" t="n">
        <v>46232</v>
      </c>
      <c r="B293" s="22" t="n">
        <v>3</v>
      </c>
      <c r="C293" s="25" t="n">
        <v>105.96</v>
      </c>
      <c r="D293" s="25" t="n">
        <v>13.68</v>
      </c>
      <c r="E293" s="25"/>
      <c r="F293" s="22" t="n">
        <f aca="false">WEEKDAY(A293,2)</f>
        <v>3</v>
      </c>
      <c r="G293" s="22" t="str">
        <f aca="false">IF(F293=7,IF(B293&gt;=23,"C","Sin turno"),IF(B293&lt;7,"C",IF(B293&lt;14,"A",IF(B293&lt;21,"B",IF(B293&lt;23,"Entre turnos",IF(F293=6,"Sin turno","C"))))))</f>
        <v>C</v>
      </c>
      <c r="H293" s="25" t="n">
        <f aca="false">IF(D293="","",MAX(0,D293-0.5*C293))</f>
        <v>0</v>
      </c>
    </row>
    <row r="294" customFormat="false" ht="15" hidden="false" customHeight="false" outlineLevel="0" collapsed="false">
      <c r="A294" s="21" t="n">
        <v>46232</v>
      </c>
      <c r="B294" s="22" t="n">
        <v>4</v>
      </c>
      <c r="C294" s="25" t="n">
        <v>102.48</v>
      </c>
      <c r="D294" s="25" t="n">
        <v>11.28</v>
      </c>
      <c r="E294" s="25"/>
      <c r="F294" s="22" t="n">
        <f aca="false">WEEKDAY(A294,2)</f>
        <v>3</v>
      </c>
      <c r="G294" s="22" t="str">
        <f aca="false">IF(F294=7,IF(B294&gt;=23,"C","Sin turno"),IF(B294&lt;7,"C",IF(B294&lt;14,"A",IF(B294&lt;21,"B",IF(B294&lt;23,"Entre turnos",IF(F294=6,"Sin turno","C"))))))</f>
        <v>C</v>
      </c>
      <c r="H294" s="25" t="n">
        <f aca="false">IF(D294="","",MAX(0,D294-0.5*C294))</f>
        <v>0</v>
      </c>
    </row>
    <row r="295" customFormat="false" ht="15" hidden="false" customHeight="false" outlineLevel="0" collapsed="false">
      <c r="A295" s="21" t="n">
        <v>46232</v>
      </c>
      <c r="B295" s="22" t="n">
        <v>5</v>
      </c>
      <c r="C295" s="25" t="n">
        <v>111.96</v>
      </c>
      <c r="D295" s="25" t="n">
        <v>12.6</v>
      </c>
      <c r="E295" s="25"/>
      <c r="F295" s="22" t="n">
        <f aca="false">WEEKDAY(A295,2)</f>
        <v>3</v>
      </c>
      <c r="G295" s="22" t="str">
        <f aca="false">IF(F295=7,IF(B295&gt;=23,"C","Sin turno"),IF(B295&lt;7,"C",IF(B295&lt;14,"A",IF(B295&lt;21,"B",IF(B295&lt;23,"Entre turnos",IF(F295=6,"Sin turno","C"))))))</f>
        <v>C</v>
      </c>
      <c r="H295" s="25" t="n">
        <f aca="false">IF(D295="","",MAX(0,D295-0.5*C295))</f>
        <v>0</v>
      </c>
    </row>
    <row r="296" customFormat="false" ht="15" hidden="false" customHeight="false" outlineLevel="0" collapsed="false">
      <c r="A296" s="21" t="n">
        <v>46232</v>
      </c>
      <c r="B296" s="22" t="n">
        <v>6</v>
      </c>
      <c r="C296" s="25" t="n">
        <v>119.64</v>
      </c>
      <c r="D296" s="25" t="n">
        <v>21.36</v>
      </c>
      <c r="E296" s="25"/>
      <c r="F296" s="22" t="n">
        <f aca="false">WEEKDAY(A296,2)</f>
        <v>3</v>
      </c>
      <c r="G296" s="22" t="str">
        <f aca="false">IF(F296=7,IF(B296&gt;=23,"C","Sin turno"),IF(B296&lt;7,"C",IF(B296&lt;14,"A",IF(B296&lt;21,"B",IF(B296&lt;23,"Entre turnos",IF(F296=6,"Sin turno","C"))))))</f>
        <v>C</v>
      </c>
      <c r="H296" s="25" t="n">
        <f aca="false">IF(D296="","",MAX(0,D296-0.5*C296))</f>
        <v>0</v>
      </c>
    </row>
    <row r="297" customFormat="false" ht="15" hidden="false" customHeight="false" outlineLevel="0" collapsed="false">
      <c r="A297" s="21" t="n">
        <v>46232</v>
      </c>
      <c r="B297" s="22" t="n">
        <v>7</v>
      </c>
      <c r="C297" s="25" t="n">
        <v>195</v>
      </c>
      <c r="D297" s="25" t="n">
        <v>16.68</v>
      </c>
      <c r="E297" s="25"/>
      <c r="F297" s="22" t="n">
        <f aca="false">WEEKDAY(A297,2)</f>
        <v>3</v>
      </c>
      <c r="G297" s="22" t="str">
        <f aca="false">IF(F297=7,IF(B297&gt;=23,"C","Sin turno"),IF(B297&lt;7,"C",IF(B297&lt;14,"A",IF(B297&lt;21,"B",IF(B297&lt;23,"Entre turnos",IF(F297=6,"Sin turno","C"))))))</f>
        <v>A</v>
      </c>
      <c r="H297" s="25" t="n">
        <f aca="false">IF(D297="","",MAX(0,D297-0.5*C297))</f>
        <v>0</v>
      </c>
    </row>
    <row r="298" customFormat="false" ht="15" hidden="false" customHeight="false" outlineLevel="0" collapsed="false">
      <c r="A298" s="21" t="n">
        <v>46232</v>
      </c>
      <c r="B298" s="22" t="n">
        <v>8</v>
      </c>
      <c r="C298" s="25" t="n">
        <v>238.44</v>
      </c>
      <c r="D298" s="25" t="n">
        <v>20.28</v>
      </c>
      <c r="E298" s="25"/>
      <c r="F298" s="22" t="n">
        <f aca="false">WEEKDAY(A298,2)</f>
        <v>3</v>
      </c>
      <c r="G298" s="22" t="str">
        <f aca="false">IF(F298=7,IF(B298&gt;=23,"C","Sin turno"),IF(B298&lt;7,"C",IF(B298&lt;14,"A",IF(B298&lt;21,"B",IF(B298&lt;23,"Entre turnos",IF(F298=6,"Sin turno","C"))))))</f>
        <v>A</v>
      </c>
      <c r="H298" s="25" t="n">
        <f aca="false">IF(D298="","",MAX(0,D298-0.5*C298))</f>
        <v>0</v>
      </c>
    </row>
    <row r="299" customFormat="false" ht="15" hidden="false" customHeight="false" outlineLevel="0" collapsed="false">
      <c r="A299" s="21" t="n">
        <v>46232</v>
      </c>
      <c r="B299" s="22" t="n">
        <v>9</v>
      </c>
      <c r="C299" s="25" t="n">
        <v>222.36</v>
      </c>
      <c r="D299" s="25" t="n">
        <v>15.72</v>
      </c>
      <c r="E299" s="25"/>
      <c r="F299" s="22" t="n">
        <f aca="false">WEEKDAY(A299,2)</f>
        <v>3</v>
      </c>
      <c r="G299" s="22" t="str">
        <f aca="false">IF(F299=7,IF(B299&gt;=23,"C","Sin turno"),IF(B299&lt;7,"C",IF(B299&lt;14,"A",IF(B299&lt;21,"B",IF(B299&lt;23,"Entre turnos",IF(F299=6,"Sin turno","C"))))))</f>
        <v>A</v>
      </c>
      <c r="H299" s="25" t="n">
        <f aca="false">IF(D299="","",MAX(0,D299-0.5*C299))</f>
        <v>0</v>
      </c>
    </row>
    <row r="300" customFormat="false" ht="15" hidden="false" customHeight="false" outlineLevel="0" collapsed="false">
      <c r="A300" s="21" t="n">
        <v>46232</v>
      </c>
      <c r="B300" s="22" t="n">
        <v>10</v>
      </c>
      <c r="C300" s="25" t="n">
        <v>190.68</v>
      </c>
      <c r="D300" s="25" t="n">
        <v>16.68</v>
      </c>
      <c r="E300" s="25"/>
      <c r="F300" s="22" t="n">
        <f aca="false">WEEKDAY(A300,2)</f>
        <v>3</v>
      </c>
      <c r="G300" s="22" t="str">
        <f aca="false">IF(F300=7,IF(B300&gt;=23,"C","Sin turno"),IF(B300&lt;7,"C",IF(B300&lt;14,"A",IF(B300&lt;21,"B",IF(B300&lt;23,"Entre turnos",IF(F300=6,"Sin turno","C"))))))</f>
        <v>A</v>
      </c>
      <c r="H300" s="25" t="n">
        <f aca="false">IF(D300="","",MAX(0,D300-0.5*C300))</f>
        <v>0</v>
      </c>
    </row>
    <row r="301" customFormat="false" ht="15" hidden="false" customHeight="false" outlineLevel="0" collapsed="false">
      <c r="A301" s="21" t="n">
        <v>46232</v>
      </c>
      <c r="B301" s="22" t="n">
        <v>11</v>
      </c>
      <c r="C301" s="25" t="n">
        <v>172.44</v>
      </c>
      <c r="D301" s="25" t="n">
        <v>15.6</v>
      </c>
      <c r="E301" s="25"/>
      <c r="F301" s="22" t="n">
        <f aca="false">WEEKDAY(A301,2)</f>
        <v>3</v>
      </c>
      <c r="G301" s="22" t="str">
        <f aca="false">IF(F301=7,IF(B301&gt;=23,"C","Sin turno"),IF(B301&lt;7,"C",IF(B301&lt;14,"A",IF(B301&lt;21,"B",IF(B301&lt;23,"Entre turnos",IF(F301=6,"Sin turno","C"))))))</f>
        <v>A</v>
      </c>
      <c r="H301" s="25" t="n">
        <f aca="false">IF(D301="","",MAX(0,D301-0.5*C301))</f>
        <v>0</v>
      </c>
    </row>
    <row r="302" customFormat="false" ht="15" hidden="false" customHeight="false" outlineLevel="0" collapsed="false">
      <c r="A302" s="21" t="n">
        <v>46232</v>
      </c>
      <c r="B302" s="22" t="n">
        <v>12</v>
      </c>
      <c r="C302" s="25" t="n">
        <v>188.52</v>
      </c>
      <c r="D302" s="25" t="n">
        <v>15.6</v>
      </c>
      <c r="E302" s="25"/>
      <c r="F302" s="22" t="n">
        <f aca="false">WEEKDAY(A302,2)</f>
        <v>3</v>
      </c>
      <c r="G302" s="22" t="str">
        <f aca="false">IF(F302=7,IF(B302&gt;=23,"C","Sin turno"),IF(B302&lt;7,"C",IF(B302&lt;14,"A",IF(B302&lt;21,"B",IF(B302&lt;23,"Entre turnos",IF(F302=6,"Sin turno","C"))))))</f>
        <v>A</v>
      </c>
      <c r="H302" s="25" t="n">
        <f aca="false">IF(D302="","",MAX(0,D302-0.5*C302))</f>
        <v>0</v>
      </c>
    </row>
    <row r="303" customFormat="false" ht="15" hidden="false" customHeight="false" outlineLevel="0" collapsed="false">
      <c r="A303" s="21" t="n">
        <v>46232</v>
      </c>
      <c r="B303" s="22" t="n">
        <v>13</v>
      </c>
      <c r="C303" s="25" t="n">
        <v>189.12</v>
      </c>
      <c r="D303" s="25" t="n">
        <v>21.96</v>
      </c>
      <c r="E303" s="25"/>
      <c r="F303" s="22" t="n">
        <f aca="false">WEEKDAY(A303,2)</f>
        <v>3</v>
      </c>
      <c r="G303" s="22" t="str">
        <f aca="false">IF(F303=7,IF(B303&gt;=23,"C","Sin turno"),IF(B303&lt;7,"C",IF(B303&lt;14,"A",IF(B303&lt;21,"B",IF(B303&lt;23,"Entre turnos",IF(F303=6,"Sin turno","C"))))))</f>
        <v>A</v>
      </c>
      <c r="H303" s="25" t="n">
        <f aca="false">IF(D303="","",MAX(0,D303-0.5*C303))</f>
        <v>0</v>
      </c>
    </row>
    <row r="304" customFormat="false" ht="15" hidden="false" customHeight="false" outlineLevel="0" collapsed="false">
      <c r="A304" s="21" t="n">
        <v>46232</v>
      </c>
      <c r="B304" s="22" t="n">
        <v>14</v>
      </c>
      <c r="C304" s="25" t="n">
        <v>193.2</v>
      </c>
      <c r="D304" s="25" t="n">
        <v>20.4</v>
      </c>
      <c r="E304" s="25"/>
      <c r="F304" s="22" t="n">
        <f aca="false">WEEKDAY(A304,2)</f>
        <v>3</v>
      </c>
      <c r="G304" s="22" t="str">
        <f aca="false">IF(F304=7,IF(B304&gt;=23,"C","Sin turno"),IF(B304&lt;7,"C",IF(B304&lt;14,"A",IF(B304&lt;21,"B",IF(B304&lt;23,"Entre turnos",IF(F304=6,"Sin turno","C"))))))</f>
        <v>B</v>
      </c>
      <c r="H304" s="25" t="n">
        <f aca="false">IF(D304="","",MAX(0,D304-0.5*C304))</f>
        <v>0</v>
      </c>
    </row>
    <row r="305" customFormat="false" ht="15" hidden="false" customHeight="false" outlineLevel="0" collapsed="false">
      <c r="A305" s="21" t="n">
        <v>46232</v>
      </c>
      <c r="B305" s="22" t="n">
        <v>15</v>
      </c>
      <c r="C305" s="25" t="n">
        <v>211.2</v>
      </c>
      <c r="D305" s="25" t="n">
        <v>25.32</v>
      </c>
      <c r="E305" s="25"/>
      <c r="F305" s="22" t="n">
        <f aca="false">WEEKDAY(A305,2)</f>
        <v>3</v>
      </c>
      <c r="G305" s="22" t="str">
        <f aca="false">IF(F305=7,IF(B305&gt;=23,"C","Sin turno"),IF(B305&lt;7,"C",IF(B305&lt;14,"A",IF(B305&lt;21,"B",IF(B305&lt;23,"Entre turnos",IF(F305=6,"Sin turno","C"))))))</f>
        <v>B</v>
      </c>
      <c r="H305" s="25" t="n">
        <f aca="false">IF(D305="","",MAX(0,D305-0.5*C305))</f>
        <v>0</v>
      </c>
    </row>
    <row r="306" customFormat="false" ht="15" hidden="false" customHeight="false" outlineLevel="0" collapsed="false">
      <c r="A306" s="21" t="n">
        <v>46232</v>
      </c>
      <c r="B306" s="22" t="n">
        <v>16</v>
      </c>
      <c r="C306" s="25" t="n">
        <v>236.28</v>
      </c>
      <c r="D306" s="25" t="n">
        <v>27</v>
      </c>
      <c r="E306" s="25"/>
      <c r="F306" s="22" t="n">
        <f aca="false">WEEKDAY(A306,2)</f>
        <v>3</v>
      </c>
      <c r="G306" s="22" t="str">
        <f aca="false">IF(F306=7,IF(B306&gt;=23,"C","Sin turno"),IF(B306&lt;7,"C",IF(B306&lt;14,"A",IF(B306&lt;21,"B",IF(B306&lt;23,"Entre turnos",IF(F306=6,"Sin turno","C"))))))</f>
        <v>B</v>
      </c>
      <c r="H306" s="25" t="n">
        <f aca="false">IF(D306="","",MAX(0,D306-0.5*C306))</f>
        <v>0</v>
      </c>
    </row>
    <row r="307" customFormat="false" ht="15" hidden="false" customHeight="false" outlineLevel="0" collapsed="false">
      <c r="A307" s="21" t="n">
        <v>46232</v>
      </c>
      <c r="B307" s="22" t="n">
        <v>17</v>
      </c>
      <c r="C307" s="25" t="n">
        <v>205.08</v>
      </c>
      <c r="D307" s="25" t="n">
        <v>17.28</v>
      </c>
      <c r="E307" s="25"/>
      <c r="F307" s="22" t="n">
        <f aca="false">WEEKDAY(A307,2)</f>
        <v>3</v>
      </c>
      <c r="G307" s="22" t="str">
        <f aca="false">IF(F307=7,IF(B307&gt;=23,"C","Sin turno"),IF(B307&lt;7,"C",IF(B307&lt;14,"A",IF(B307&lt;21,"B",IF(B307&lt;23,"Entre turnos",IF(F307=6,"Sin turno","C"))))))</f>
        <v>B</v>
      </c>
      <c r="H307" s="25" t="n">
        <f aca="false">IF(D307="","",MAX(0,D307-0.5*C307))</f>
        <v>0</v>
      </c>
    </row>
    <row r="308" customFormat="false" ht="15" hidden="false" customHeight="false" outlineLevel="0" collapsed="false">
      <c r="A308" s="21" t="n">
        <v>46232</v>
      </c>
      <c r="B308" s="22" t="n">
        <v>18</v>
      </c>
      <c r="C308" s="25" t="n">
        <v>200.88</v>
      </c>
      <c r="D308" s="25" t="n">
        <v>27.24</v>
      </c>
      <c r="E308" s="25"/>
      <c r="F308" s="22" t="n">
        <f aca="false">WEEKDAY(A308,2)</f>
        <v>3</v>
      </c>
      <c r="G308" s="22" t="str">
        <f aca="false">IF(F308=7,IF(B308&gt;=23,"C","Sin turno"),IF(B308&lt;7,"C",IF(B308&lt;14,"A",IF(B308&lt;21,"B",IF(B308&lt;23,"Entre turnos",IF(F308=6,"Sin turno","C"))))))</f>
        <v>B</v>
      </c>
      <c r="H308" s="25" t="n">
        <f aca="false">IF(D308="","",MAX(0,D308-0.5*C308))</f>
        <v>0</v>
      </c>
    </row>
    <row r="309" customFormat="false" ht="15" hidden="false" customHeight="false" outlineLevel="0" collapsed="false">
      <c r="A309" s="21" t="n">
        <v>46232</v>
      </c>
      <c r="B309" s="22" t="n">
        <v>19</v>
      </c>
      <c r="C309" s="25" t="n">
        <v>204</v>
      </c>
      <c r="D309" s="25" t="n">
        <v>28.08</v>
      </c>
      <c r="E309" s="25"/>
      <c r="F309" s="22" t="n">
        <f aca="false">WEEKDAY(A309,2)</f>
        <v>3</v>
      </c>
      <c r="G309" s="22" t="str">
        <f aca="false">IF(F309=7,IF(B309&gt;=23,"C","Sin turno"),IF(B309&lt;7,"C",IF(B309&lt;14,"A",IF(B309&lt;21,"B",IF(B309&lt;23,"Entre turnos",IF(F309=6,"Sin turno","C"))))))</f>
        <v>B</v>
      </c>
      <c r="H309" s="25" t="n">
        <f aca="false">IF(D309="","",MAX(0,D309-0.5*C309))</f>
        <v>0</v>
      </c>
    </row>
    <row r="310" customFormat="false" ht="15" hidden="false" customHeight="false" outlineLevel="0" collapsed="false">
      <c r="A310" s="21" t="n">
        <v>46232</v>
      </c>
      <c r="B310" s="22" t="n">
        <v>20</v>
      </c>
      <c r="C310" s="25" t="n">
        <v>183.24</v>
      </c>
      <c r="D310" s="25" t="n">
        <v>26.16</v>
      </c>
      <c r="E310" s="25"/>
      <c r="F310" s="22" t="n">
        <f aca="false">WEEKDAY(A310,2)</f>
        <v>3</v>
      </c>
      <c r="G310" s="22" t="str">
        <f aca="false">IF(F310=7,IF(B310&gt;=23,"C","Sin turno"),IF(B310&lt;7,"C",IF(B310&lt;14,"A",IF(B310&lt;21,"B",IF(B310&lt;23,"Entre turnos",IF(F310=6,"Sin turno","C"))))))</f>
        <v>B</v>
      </c>
      <c r="H310" s="25" t="n">
        <f aca="false">IF(D310="","",MAX(0,D310-0.5*C310))</f>
        <v>0</v>
      </c>
    </row>
    <row r="311" customFormat="false" ht="15" hidden="false" customHeight="false" outlineLevel="0" collapsed="false">
      <c r="A311" s="21" t="n">
        <v>46232</v>
      </c>
      <c r="B311" s="22" t="n">
        <v>21</v>
      </c>
      <c r="C311" s="25" t="n">
        <v>144.84</v>
      </c>
      <c r="D311" s="25" t="n">
        <v>16.8</v>
      </c>
      <c r="E311" s="25"/>
      <c r="F311" s="22" t="n">
        <f aca="false">WEEKDAY(A311,2)</f>
        <v>3</v>
      </c>
      <c r="G311" s="22" t="str">
        <f aca="false">IF(F311=7,IF(B311&gt;=23,"C","Sin turno"),IF(B311&lt;7,"C",IF(B311&lt;14,"A",IF(B311&lt;21,"B",IF(B311&lt;23,"Entre turnos",IF(F311=6,"Sin turno","C"))))))</f>
        <v>Entre turnos</v>
      </c>
      <c r="H311" s="25" t="n">
        <f aca="false">IF(D311="","",MAX(0,D311-0.5*C311))</f>
        <v>0</v>
      </c>
    </row>
    <row r="312" customFormat="false" ht="15" hidden="false" customHeight="false" outlineLevel="0" collapsed="false">
      <c r="A312" s="21" t="n">
        <v>46232</v>
      </c>
      <c r="B312" s="22" t="n">
        <v>22</v>
      </c>
      <c r="C312" s="25" t="n">
        <v>130.2</v>
      </c>
      <c r="D312" s="25" t="n">
        <v>12.36</v>
      </c>
      <c r="E312" s="25"/>
      <c r="F312" s="22" t="n">
        <f aca="false">WEEKDAY(A312,2)</f>
        <v>3</v>
      </c>
      <c r="G312" s="22" t="str">
        <f aca="false">IF(F312=7,IF(B312&gt;=23,"C","Sin turno"),IF(B312&lt;7,"C",IF(B312&lt;14,"A",IF(B312&lt;21,"B",IF(B312&lt;23,"Entre turnos",IF(F312=6,"Sin turno","C"))))))</f>
        <v>Entre turnos</v>
      </c>
      <c r="H312" s="25" t="n">
        <f aca="false">IF(D312="","",MAX(0,D312-0.5*C312))</f>
        <v>0</v>
      </c>
    </row>
    <row r="313" customFormat="false" ht="15" hidden="false" customHeight="false" outlineLevel="0" collapsed="false">
      <c r="A313" s="21" t="n">
        <v>46232</v>
      </c>
      <c r="B313" s="22" t="n">
        <v>23</v>
      </c>
      <c r="C313" s="25" t="n">
        <v>113.28</v>
      </c>
      <c r="D313" s="25" t="n">
        <v>16.2</v>
      </c>
      <c r="E313" s="25"/>
      <c r="F313" s="22" t="n">
        <f aca="false">WEEKDAY(A313,2)</f>
        <v>3</v>
      </c>
      <c r="G313" s="22" t="str">
        <f aca="false">IF(F313=7,IF(B313&gt;=23,"C","Sin turno"),IF(B313&lt;7,"C",IF(B313&lt;14,"A",IF(B313&lt;21,"B",IF(B313&lt;23,"Entre turnos",IF(F313=6,"Sin turno","C"))))))</f>
        <v>C</v>
      </c>
      <c r="H313" s="25" t="n">
        <f aca="false">IF(D313="","",MAX(0,D313-0.5*C313))</f>
        <v>0</v>
      </c>
    </row>
    <row r="314" customFormat="false" ht="15" hidden="false" customHeight="false" outlineLevel="0" collapsed="false">
      <c r="A314" s="21" t="n">
        <v>46233</v>
      </c>
      <c r="B314" s="22" t="n">
        <v>0</v>
      </c>
      <c r="C314" s="25" t="n">
        <v>121.32</v>
      </c>
      <c r="D314" s="25" t="n">
        <v>14.52</v>
      </c>
      <c r="E314" s="25"/>
      <c r="F314" s="22" t="n">
        <f aca="false">WEEKDAY(A314,2)</f>
        <v>4</v>
      </c>
      <c r="G314" s="22" t="str">
        <f aca="false">IF(F314=7,IF(B314&gt;=23,"C","Sin turno"),IF(B314&lt;7,"C",IF(B314&lt;14,"A",IF(B314&lt;21,"B",IF(B314&lt;23,"Entre turnos",IF(F314=6,"Sin turno","C"))))))</f>
        <v>C</v>
      </c>
      <c r="H314" s="25" t="n">
        <f aca="false">IF(D314="","",MAX(0,D314-0.5*C314))</f>
        <v>0</v>
      </c>
    </row>
    <row r="315" customFormat="false" ht="15" hidden="false" customHeight="false" outlineLevel="0" collapsed="false">
      <c r="A315" s="21" t="n">
        <v>46233</v>
      </c>
      <c r="B315" s="22" t="n">
        <v>1</v>
      </c>
      <c r="C315" s="25" t="n">
        <v>124.08</v>
      </c>
      <c r="D315" s="25" t="n">
        <v>14.88</v>
      </c>
      <c r="E315" s="25"/>
      <c r="F315" s="22" t="n">
        <f aca="false">WEEKDAY(A315,2)</f>
        <v>4</v>
      </c>
      <c r="G315" s="22" t="str">
        <f aca="false">IF(F315=7,IF(B315&gt;=23,"C","Sin turno"),IF(B315&lt;7,"C",IF(B315&lt;14,"A",IF(B315&lt;21,"B",IF(B315&lt;23,"Entre turnos",IF(F315=6,"Sin turno","C"))))))</f>
        <v>C</v>
      </c>
      <c r="H315" s="25" t="n">
        <f aca="false">IF(D315="","",MAX(0,D315-0.5*C315))</f>
        <v>0</v>
      </c>
    </row>
    <row r="316" customFormat="false" ht="15" hidden="false" customHeight="false" outlineLevel="0" collapsed="false">
      <c r="A316" s="21" t="n">
        <v>46233</v>
      </c>
      <c r="B316" s="22" t="n">
        <v>2</v>
      </c>
      <c r="C316" s="25" t="n">
        <v>126.24</v>
      </c>
      <c r="D316" s="25" t="n">
        <v>13.2</v>
      </c>
      <c r="E316" s="25"/>
      <c r="F316" s="22" t="n">
        <f aca="false">WEEKDAY(A316,2)</f>
        <v>4</v>
      </c>
      <c r="G316" s="22" t="str">
        <f aca="false">IF(F316=7,IF(B316&gt;=23,"C","Sin turno"),IF(B316&lt;7,"C",IF(B316&lt;14,"A",IF(B316&lt;21,"B",IF(B316&lt;23,"Entre turnos",IF(F316=6,"Sin turno","C"))))))</f>
        <v>C</v>
      </c>
      <c r="H316" s="25" t="n">
        <f aca="false">IF(D316="","",MAX(0,D316-0.5*C316))</f>
        <v>0</v>
      </c>
    </row>
    <row r="317" customFormat="false" ht="15" hidden="false" customHeight="false" outlineLevel="0" collapsed="false">
      <c r="A317" s="21" t="n">
        <v>46233</v>
      </c>
      <c r="B317" s="22" t="n">
        <v>3</v>
      </c>
      <c r="C317" s="25" t="n">
        <v>132.84</v>
      </c>
      <c r="D317" s="25" t="n">
        <v>14.04</v>
      </c>
      <c r="E317" s="25"/>
      <c r="F317" s="22" t="n">
        <f aca="false">WEEKDAY(A317,2)</f>
        <v>4</v>
      </c>
      <c r="G317" s="22" t="str">
        <f aca="false">IF(F317=7,IF(B317&gt;=23,"C","Sin turno"),IF(B317&lt;7,"C",IF(B317&lt;14,"A",IF(B317&lt;21,"B",IF(B317&lt;23,"Entre turnos",IF(F317=6,"Sin turno","C"))))))</f>
        <v>C</v>
      </c>
      <c r="H317" s="25" t="n">
        <f aca="false">IF(D317="","",MAX(0,D317-0.5*C317))</f>
        <v>0</v>
      </c>
    </row>
    <row r="318" customFormat="false" ht="15" hidden="false" customHeight="false" outlineLevel="0" collapsed="false">
      <c r="A318" s="21" t="n">
        <v>46233</v>
      </c>
      <c r="B318" s="22" t="n">
        <v>4</v>
      </c>
      <c r="C318" s="25" t="n">
        <v>113.16</v>
      </c>
      <c r="D318" s="25" t="n">
        <v>12.84</v>
      </c>
      <c r="E318" s="25"/>
      <c r="F318" s="22" t="n">
        <f aca="false">WEEKDAY(A318,2)</f>
        <v>4</v>
      </c>
      <c r="G318" s="22" t="str">
        <f aca="false">IF(F318=7,IF(B318&gt;=23,"C","Sin turno"),IF(B318&lt;7,"C",IF(B318&lt;14,"A",IF(B318&lt;21,"B",IF(B318&lt;23,"Entre turnos",IF(F318=6,"Sin turno","C"))))))</f>
        <v>C</v>
      </c>
      <c r="H318" s="25" t="n">
        <f aca="false">IF(D318="","",MAX(0,D318-0.5*C318))</f>
        <v>0</v>
      </c>
    </row>
    <row r="319" customFormat="false" ht="15" hidden="false" customHeight="false" outlineLevel="0" collapsed="false">
      <c r="A319" s="21" t="n">
        <v>46233</v>
      </c>
      <c r="B319" s="22" t="n">
        <v>5</v>
      </c>
      <c r="C319" s="25" t="n">
        <v>113.76</v>
      </c>
      <c r="D319" s="25" t="n">
        <v>12</v>
      </c>
      <c r="E319" s="25"/>
      <c r="F319" s="22" t="n">
        <f aca="false">WEEKDAY(A319,2)</f>
        <v>4</v>
      </c>
      <c r="G319" s="22" t="str">
        <f aca="false">IF(F319=7,IF(B319&gt;=23,"C","Sin turno"),IF(B319&lt;7,"C",IF(B319&lt;14,"A",IF(B319&lt;21,"B",IF(B319&lt;23,"Entre turnos",IF(F319=6,"Sin turno","C"))))))</f>
        <v>C</v>
      </c>
      <c r="H319" s="25" t="n">
        <f aca="false">IF(D319="","",MAX(0,D319-0.5*C319))</f>
        <v>0</v>
      </c>
    </row>
    <row r="320" customFormat="false" ht="15" hidden="false" customHeight="false" outlineLevel="0" collapsed="false">
      <c r="A320" s="21" t="n">
        <v>46233</v>
      </c>
      <c r="B320" s="22" t="n">
        <v>6</v>
      </c>
      <c r="C320" s="25" t="n">
        <v>120.96</v>
      </c>
      <c r="D320" s="25" t="n">
        <v>19.68</v>
      </c>
      <c r="E320" s="25"/>
      <c r="F320" s="22" t="n">
        <f aca="false">WEEKDAY(A320,2)</f>
        <v>4</v>
      </c>
      <c r="G320" s="22" t="str">
        <f aca="false">IF(F320=7,IF(B320&gt;=23,"C","Sin turno"),IF(B320&lt;7,"C",IF(B320&lt;14,"A",IF(B320&lt;21,"B",IF(B320&lt;23,"Entre turnos",IF(F320=6,"Sin turno","C"))))))</f>
        <v>C</v>
      </c>
      <c r="H320" s="25" t="n">
        <f aca="false">IF(D320="","",MAX(0,D320-0.5*C320))</f>
        <v>0</v>
      </c>
    </row>
    <row r="321" customFormat="false" ht="15" hidden="false" customHeight="false" outlineLevel="0" collapsed="false">
      <c r="A321" s="21" t="n">
        <v>46233</v>
      </c>
      <c r="B321" s="22" t="n">
        <v>7</v>
      </c>
      <c r="C321" s="25" t="n">
        <v>217.32</v>
      </c>
      <c r="D321" s="25" t="n">
        <v>17.76</v>
      </c>
      <c r="E321" s="25"/>
      <c r="F321" s="22" t="n">
        <f aca="false">WEEKDAY(A321,2)</f>
        <v>4</v>
      </c>
      <c r="G321" s="22" t="str">
        <f aca="false">IF(F321=7,IF(B321&gt;=23,"C","Sin turno"),IF(B321&lt;7,"C",IF(B321&lt;14,"A",IF(B321&lt;21,"B",IF(B321&lt;23,"Entre turnos",IF(F321=6,"Sin turno","C"))))))</f>
        <v>A</v>
      </c>
      <c r="H321" s="25" t="n">
        <f aca="false">IF(D321="","",MAX(0,D321-0.5*C321))</f>
        <v>0</v>
      </c>
    </row>
    <row r="322" customFormat="false" ht="15" hidden="false" customHeight="false" outlineLevel="0" collapsed="false">
      <c r="A322" s="21" t="n">
        <v>46233</v>
      </c>
      <c r="B322" s="22" t="n">
        <v>8</v>
      </c>
      <c r="C322" s="25" t="n">
        <v>224.04</v>
      </c>
      <c r="D322" s="25" t="n">
        <v>26.52</v>
      </c>
      <c r="E322" s="25"/>
      <c r="F322" s="22" t="n">
        <f aca="false">WEEKDAY(A322,2)</f>
        <v>4</v>
      </c>
      <c r="G322" s="22" t="str">
        <f aca="false">IF(F322=7,IF(B322&gt;=23,"C","Sin turno"),IF(B322&lt;7,"C",IF(B322&lt;14,"A",IF(B322&lt;21,"B",IF(B322&lt;23,"Entre turnos",IF(F322=6,"Sin turno","C"))))))</f>
        <v>A</v>
      </c>
      <c r="H322" s="25" t="n">
        <f aca="false">IF(D322="","",MAX(0,D322-0.5*C322))</f>
        <v>0</v>
      </c>
    </row>
    <row r="323" customFormat="false" ht="15" hidden="false" customHeight="false" outlineLevel="0" collapsed="false">
      <c r="A323" s="21" t="n">
        <v>46233</v>
      </c>
      <c r="B323" s="22" t="n">
        <v>9</v>
      </c>
      <c r="C323" s="25" t="n">
        <v>198.84</v>
      </c>
      <c r="D323" s="25" t="n">
        <v>22.44</v>
      </c>
      <c r="E323" s="25"/>
      <c r="F323" s="22" t="n">
        <f aca="false">WEEKDAY(A323,2)</f>
        <v>4</v>
      </c>
      <c r="G323" s="22" t="str">
        <f aca="false">IF(F323=7,IF(B323&gt;=23,"C","Sin turno"),IF(B323&lt;7,"C",IF(B323&lt;14,"A",IF(B323&lt;21,"B",IF(B323&lt;23,"Entre turnos",IF(F323=6,"Sin turno","C"))))))</f>
        <v>A</v>
      </c>
      <c r="H323" s="25" t="n">
        <f aca="false">IF(D323="","",MAX(0,D323-0.5*C323))</f>
        <v>0</v>
      </c>
    </row>
    <row r="324" customFormat="false" ht="15" hidden="false" customHeight="false" outlineLevel="0" collapsed="false">
      <c r="A324" s="21" t="n">
        <v>46233</v>
      </c>
      <c r="B324" s="22" t="n">
        <v>10</v>
      </c>
      <c r="C324" s="25" t="n">
        <v>142.2</v>
      </c>
      <c r="D324" s="25" t="n">
        <v>15.48</v>
      </c>
      <c r="E324" s="25"/>
      <c r="F324" s="22" t="n">
        <f aca="false">WEEKDAY(A324,2)</f>
        <v>4</v>
      </c>
      <c r="G324" s="22" t="str">
        <f aca="false">IF(F324=7,IF(B324&gt;=23,"C","Sin turno"),IF(B324&lt;7,"C",IF(B324&lt;14,"A",IF(B324&lt;21,"B",IF(B324&lt;23,"Entre turnos",IF(F324=6,"Sin turno","C"))))))</f>
        <v>A</v>
      </c>
      <c r="H324" s="25" t="n">
        <f aca="false">IF(D324="","",MAX(0,D324-0.5*C324))</f>
        <v>0</v>
      </c>
    </row>
    <row r="325" customFormat="false" ht="15" hidden="false" customHeight="false" outlineLevel="0" collapsed="false">
      <c r="A325" s="21" t="n">
        <v>46233</v>
      </c>
      <c r="B325" s="22" t="n">
        <v>11</v>
      </c>
      <c r="C325" s="25" t="n">
        <v>143.52</v>
      </c>
      <c r="D325" s="25" t="n">
        <v>18</v>
      </c>
      <c r="E325" s="25"/>
      <c r="F325" s="22" t="n">
        <f aca="false">WEEKDAY(A325,2)</f>
        <v>4</v>
      </c>
      <c r="G325" s="22" t="str">
        <f aca="false">IF(F325=7,IF(B325&gt;=23,"C","Sin turno"),IF(B325&lt;7,"C",IF(B325&lt;14,"A",IF(B325&lt;21,"B",IF(B325&lt;23,"Entre turnos",IF(F325=6,"Sin turno","C"))))))</f>
        <v>A</v>
      </c>
      <c r="H325" s="25" t="n">
        <f aca="false">IF(D325="","",MAX(0,D325-0.5*C325))</f>
        <v>0</v>
      </c>
    </row>
    <row r="326" customFormat="false" ht="15" hidden="false" customHeight="false" outlineLevel="0" collapsed="false">
      <c r="A326" s="21" t="n">
        <v>46233</v>
      </c>
      <c r="B326" s="22" t="n">
        <v>12</v>
      </c>
      <c r="C326" s="25" t="n">
        <v>179.88</v>
      </c>
      <c r="D326" s="25" t="n">
        <v>19.08</v>
      </c>
      <c r="E326" s="25"/>
      <c r="F326" s="22" t="n">
        <f aca="false">WEEKDAY(A326,2)</f>
        <v>4</v>
      </c>
      <c r="G326" s="22" t="str">
        <f aca="false">IF(F326=7,IF(B326&gt;=23,"C","Sin turno"),IF(B326&lt;7,"C",IF(B326&lt;14,"A",IF(B326&lt;21,"B",IF(B326&lt;23,"Entre turnos",IF(F326=6,"Sin turno","C"))))))</f>
        <v>A</v>
      </c>
      <c r="H326" s="25" t="n">
        <f aca="false">IF(D326="","",MAX(0,D326-0.5*C326))</f>
        <v>0</v>
      </c>
    </row>
    <row r="327" customFormat="false" ht="15" hidden="false" customHeight="false" outlineLevel="0" collapsed="false">
      <c r="A327" s="21" t="n">
        <v>46233</v>
      </c>
      <c r="B327" s="22" t="n">
        <v>13</v>
      </c>
      <c r="C327" s="25" t="n">
        <v>220.92</v>
      </c>
      <c r="D327" s="25" t="n">
        <v>22.8</v>
      </c>
      <c r="E327" s="25"/>
      <c r="F327" s="22" t="n">
        <f aca="false">WEEKDAY(A327,2)</f>
        <v>4</v>
      </c>
      <c r="G327" s="22" t="str">
        <f aca="false">IF(F327=7,IF(B327&gt;=23,"C","Sin turno"),IF(B327&lt;7,"C",IF(B327&lt;14,"A",IF(B327&lt;21,"B",IF(B327&lt;23,"Entre turnos",IF(F327=6,"Sin turno","C"))))))</f>
        <v>A</v>
      </c>
      <c r="H327" s="25" t="n">
        <f aca="false">IF(D327="","",MAX(0,D327-0.5*C327))</f>
        <v>0</v>
      </c>
    </row>
    <row r="328" customFormat="false" ht="15" hidden="false" customHeight="false" outlineLevel="0" collapsed="false">
      <c r="A328" s="21" t="n">
        <v>46233</v>
      </c>
      <c r="B328" s="22" t="n">
        <v>14</v>
      </c>
      <c r="C328" s="25" t="n">
        <v>188.04</v>
      </c>
      <c r="D328" s="25" t="n">
        <v>19.92</v>
      </c>
      <c r="E328" s="25"/>
      <c r="F328" s="22" t="n">
        <f aca="false">WEEKDAY(A328,2)</f>
        <v>4</v>
      </c>
      <c r="G328" s="22" t="str">
        <f aca="false">IF(F328=7,IF(B328&gt;=23,"C","Sin turno"),IF(B328&lt;7,"C",IF(B328&lt;14,"A",IF(B328&lt;21,"B",IF(B328&lt;23,"Entre turnos",IF(F328=6,"Sin turno","C"))))))</f>
        <v>B</v>
      </c>
      <c r="H328" s="25" t="n">
        <f aca="false">IF(D328="","",MAX(0,D328-0.5*C328))</f>
        <v>0</v>
      </c>
    </row>
    <row r="329" customFormat="false" ht="15" hidden="false" customHeight="false" outlineLevel="0" collapsed="false">
      <c r="A329" s="21" t="n">
        <v>46233</v>
      </c>
      <c r="B329" s="22" t="n">
        <v>15</v>
      </c>
      <c r="C329" s="25"/>
      <c r="D329" s="25"/>
      <c r="E329" s="25"/>
      <c r="F329" s="22" t="n">
        <f aca="false">WEEKDAY(A329,2)</f>
        <v>4</v>
      </c>
      <c r="G329" s="22" t="str">
        <f aca="false">IF(F329=7,IF(B329&gt;=23,"C","Sin turno"),IF(B329&lt;7,"C",IF(B329&lt;14,"A",IF(B329&lt;21,"B",IF(B329&lt;23,"Entre turnos",IF(F329=6,"Sin turno","C"))))))</f>
        <v>B</v>
      </c>
      <c r="H329" s="25" t="str">
        <f aca="false">IF(D329="","",MAX(0,D329-0.5*C329))</f>
        <v/>
      </c>
    </row>
    <row r="330" customFormat="false" ht="15" hidden="false" customHeight="false" outlineLevel="0" collapsed="false">
      <c r="A330" s="21" t="n">
        <v>46233</v>
      </c>
      <c r="B330" s="22" t="n">
        <v>16</v>
      </c>
      <c r="C330" s="25"/>
      <c r="D330" s="25"/>
      <c r="E330" s="25"/>
      <c r="F330" s="22" t="n">
        <f aca="false">WEEKDAY(A330,2)</f>
        <v>4</v>
      </c>
      <c r="G330" s="22" t="str">
        <f aca="false">IF(F330=7,IF(B330&gt;=23,"C","Sin turno"),IF(B330&lt;7,"C",IF(B330&lt;14,"A",IF(B330&lt;21,"B",IF(B330&lt;23,"Entre turnos",IF(F330=6,"Sin turno","C"))))))</f>
        <v>B</v>
      </c>
      <c r="H330" s="25" t="str">
        <f aca="false">IF(D330="","",MAX(0,D330-0.5*C330))</f>
        <v/>
      </c>
    </row>
    <row r="331" customFormat="false" ht="15" hidden="false" customHeight="false" outlineLevel="0" collapsed="false">
      <c r="A331" s="21" t="n">
        <v>46233</v>
      </c>
      <c r="B331" s="22" t="n">
        <v>17</v>
      </c>
      <c r="C331" s="25"/>
      <c r="D331" s="25"/>
      <c r="E331" s="25"/>
      <c r="F331" s="22" t="n">
        <f aca="false">WEEKDAY(A331,2)</f>
        <v>4</v>
      </c>
      <c r="G331" s="22" t="str">
        <f aca="false">IF(F331=7,IF(B331&gt;=23,"C","Sin turno"),IF(B331&lt;7,"C",IF(B331&lt;14,"A",IF(B331&lt;21,"B",IF(B331&lt;23,"Entre turnos",IF(F331=6,"Sin turno","C"))))))</f>
        <v>B</v>
      </c>
      <c r="H331" s="25" t="str">
        <f aca="false">IF(D331="","",MAX(0,D331-0.5*C331))</f>
        <v/>
      </c>
    </row>
    <row r="332" customFormat="false" ht="15" hidden="false" customHeight="false" outlineLevel="0" collapsed="false">
      <c r="A332" s="21" t="n">
        <v>46233</v>
      </c>
      <c r="B332" s="22" t="n">
        <v>18</v>
      </c>
      <c r="C332" s="25"/>
      <c r="D332" s="25"/>
      <c r="E332" s="25"/>
      <c r="F332" s="22" t="n">
        <f aca="false">WEEKDAY(A332,2)</f>
        <v>4</v>
      </c>
      <c r="G332" s="22" t="str">
        <f aca="false">IF(F332=7,IF(B332&gt;=23,"C","Sin turno"),IF(B332&lt;7,"C",IF(B332&lt;14,"A",IF(B332&lt;21,"B",IF(B332&lt;23,"Entre turnos",IF(F332=6,"Sin turno","C"))))))</f>
        <v>B</v>
      </c>
      <c r="H332" s="25" t="str">
        <f aca="false">IF(D332="","",MAX(0,D332-0.5*C332))</f>
        <v/>
      </c>
    </row>
    <row r="333" customFormat="false" ht="15" hidden="false" customHeight="false" outlineLevel="0" collapsed="false">
      <c r="A333" s="21" t="n">
        <v>46233</v>
      </c>
      <c r="B333" s="22" t="n">
        <v>19</v>
      </c>
      <c r="C333" s="25"/>
      <c r="D333" s="25"/>
      <c r="E333" s="25"/>
      <c r="F333" s="22" t="n">
        <f aca="false">WEEKDAY(A333,2)</f>
        <v>4</v>
      </c>
      <c r="G333" s="22" t="str">
        <f aca="false">IF(F333=7,IF(B333&gt;=23,"C","Sin turno"),IF(B333&lt;7,"C",IF(B333&lt;14,"A",IF(B333&lt;21,"B",IF(B333&lt;23,"Entre turnos",IF(F333=6,"Sin turno","C"))))))</f>
        <v>B</v>
      </c>
      <c r="H333" s="25" t="str">
        <f aca="false">IF(D333="","",MAX(0,D333-0.5*C333))</f>
        <v/>
      </c>
    </row>
    <row r="334" customFormat="false" ht="15" hidden="false" customHeight="false" outlineLevel="0" collapsed="false">
      <c r="A334" s="21" t="n">
        <v>46233</v>
      </c>
      <c r="B334" s="22" t="n">
        <v>20</v>
      </c>
      <c r="C334" s="25"/>
      <c r="D334" s="25"/>
      <c r="E334" s="25"/>
      <c r="F334" s="22" t="n">
        <f aca="false">WEEKDAY(A334,2)</f>
        <v>4</v>
      </c>
      <c r="G334" s="22" t="str">
        <f aca="false">IF(F334=7,IF(B334&gt;=23,"C","Sin turno"),IF(B334&lt;7,"C",IF(B334&lt;14,"A",IF(B334&lt;21,"B",IF(B334&lt;23,"Entre turnos",IF(F334=6,"Sin turno","C"))))))</f>
        <v>B</v>
      </c>
      <c r="H334" s="25" t="str">
        <f aca="false">IF(D334="","",MAX(0,D334-0.5*C334))</f>
        <v/>
      </c>
    </row>
    <row r="335" customFormat="false" ht="15" hidden="false" customHeight="false" outlineLevel="0" collapsed="false">
      <c r="A335" s="21" t="n">
        <v>46233</v>
      </c>
      <c r="B335" s="22" t="n">
        <v>21</v>
      </c>
      <c r="C335" s="25"/>
      <c r="D335" s="25"/>
      <c r="E335" s="25"/>
      <c r="F335" s="22" t="n">
        <f aca="false">WEEKDAY(A335,2)</f>
        <v>4</v>
      </c>
      <c r="G335" s="22" t="str">
        <f aca="false">IF(F335=7,IF(B335&gt;=23,"C","Sin turno"),IF(B335&lt;7,"C",IF(B335&lt;14,"A",IF(B335&lt;21,"B",IF(B335&lt;23,"Entre turnos",IF(F335=6,"Sin turno","C"))))))</f>
        <v>Entre turnos</v>
      </c>
      <c r="H335" s="25" t="str">
        <f aca="false">IF(D335="","",MAX(0,D335-0.5*C335))</f>
        <v/>
      </c>
    </row>
    <row r="336" customFormat="false" ht="15" hidden="false" customHeight="false" outlineLevel="0" collapsed="false">
      <c r="A336" s="21" t="n">
        <v>46233</v>
      </c>
      <c r="B336" s="22" t="n">
        <v>22</v>
      </c>
      <c r="C336" s="25"/>
      <c r="D336" s="25"/>
      <c r="E336" s="25"/>
      <c r="F336" s="22" t="n">
        <f aca="false">WEEKDAY(A336,2)</f>
        <v>4</v>
      </c>
      <c r="G336" s="22" t="str">
        <f aca="false">IF(F336=7,IF(B336&gt;=23,"C","Sin turno"),IF(B336&lt;7,"C",IF(B336&lt;14,"A",IF(B336&lt;21,"B",IF(B336&lt;23,"Entre turnos",IF(F336=6,"Sin turno","C"))))))</f>
        <v>Entre turnos</v>
      </c>
      <c r="H336" s="25" t="str">
        <f aca="false">IF(D336="","",MAX(0,D336-0.5*C336))</f>
        <v/>
      </c>
    </row>
    <row r="337" customFormat="false" ht="15" hidden="false" customHeight="false" outlineLevel="0" collapsed="false">
      <c r="A337" s="21" t="n">
        <v>46233</v>
      </c>
      <c r="B337" s="22" t="n">
        <v>23</v>
      </c>
      <c r="C337" s="25"/>
      <c r="D337" s="25"/>
      <c r="E337" s="25"/>
      <c r="F337" s="22" t="n">
        <f aca="false">WEEKDAY(A337,2)</f>
        <v>4</v>
      </c>
      <c r="G337" s="22" t="str">
        <f aca="false">IF(F337=7,IF(B337&gt;=23,"C","Sin turno"),IF(B337&lt;7,"C",IF(B337&lt;14,"A",IF(B337&lt;21,"B",IF(B337&lt;23,"Entre turnos",IF(F337=6,"Sin turno","C"))))))</f>
        <v>C</v>
      </c>
      <c r="H337" s="25" t="str">
        <f aca="false">IF(D337="","",MAX(0,D337-0.5*C337))</f>
        <v/>
      </c>
    </row>
    <row r="338" customFormat="false" ht="15" hidden="false" customHeight="false" outlineLevel="0" collapsed="false">
      <c r="A338" s="21" t="n">
        <v>46235</v>
      </c>
      <c r="B338" s="22" t="n">
        <v>0</v>
      </c>
      <c r="C338" s="25" t="n">
        <v>104.4</v>
      </c>
      <c r="D338" s="25" t="n">
        <v>17.28</v>
      </c>
      <c r="E338" s="25" t="n">
        <v>0</v>
      </c>
      <c r="F338" s="22" t="n">
        <f aca="false">WEEKDAY(A338,2)</f>
        <v>6</v>
      </c>
      <c r="G338" s="22" t="str">
        <f aca="false">IF(F338=7,IF(B338&gt;=23,"C","Sin turno"),IF(B338&lt;7,"C",IF(B338&lt;14,"A",IF(B338&lt;21,"B",IF(B338&lt;23,"Entre turnos",IF(F338=6,"Sin turno","C"))))))</f>
        <v>C</v>
      </c>
      <c r="H338" s="25" t="n">
        <f aca="false">IF(D338="","",MAX(0,D338-0.5*C338))</f>
        <v>0</v>
      </c>
    </row>
    <row r="339" customFormat="false" ht="15" hidden="false" customHeight="false" outlineLevel="0" collapsed="false">
      <c r="A339" s="21" t="n">
        <v>46235</v>
      </c>
      <c r="B339" s="22" t="n">
        <v>1</v>
      </c>
      <c r="C339" s="25" t="n">
        <v>106.32</v>
      </c>
      <c r="D339" s="25" t="n">
        <v>17.76</v>
      </c>
      <c r="E339" s="25" t="n">
        <v>0</v>
      </c>
      <c r="F339" s="22" t="n">
        <f aca="false">WEEKDAY(A339,2)</f>
        <v>6</v>
      </c>
      <c r="G339" s="22" t="str">
        <f aca="false">IF(F339=7,IF(B339&gt;=23,"C","Sin turno"),IF(B339&lt;7,"C",IF(B339&lt;14,"A",IF(B339&lt;21,"B",IF(B339&lt;23,"Entre turnos",IF(F339=6,"Sin turno","C"))))))</f>
        <v>C</v>
      </c>
      <c r="H339" s="25" t="n">
        <f aca="false">IF(D339="","",MAX(0,D339-0.5*C339))</f>
        <v>0</v>
      </c>
    </row>
    <row r="340" customFormat="false" ht="15" hidden="false" customHeight="false" outlineLevel="0" collapsed="false">
      <c r="A340" s="21" t="n">
        <v>46235</v>
      </c>
      <c r="B340" s="22" t="n">
        <v>2</v>
      </c>
      <c r="C340" s="25" t="n">
        <v>107.76</v>
      </c>
      <c r="D340" s="25" t="n">
        <v>18</v>
      </c>
      <c r="E340" s="25" t="n">
        <v>0.12</v>
      </c>
      <c r="F340" s="22" t="n">
        <f aca="false">WEEKDAY(A340,2)</f>
        <v>6</v>
      </c>
      <c r="G340" s="22" t="str">
        <f aca="false">IF(F340=7,IF(B340&gt;=23,"C","Sin turno"),IF(B340&lt;7,"C",IF(B340&lt;14,"A",IF(B340&lt;21,"B",IF(B340&lt;23,"Entre turnos",IF(F340=6,"Sin turno","C"))))))</f>
        <v>C</v>
      </c>
      <c r="H340" s="25" t="n">
        <f aca="false">IF(D340="","",MAX(0,D340-0.5*C340))</f>
        <v>0</v>
      </c>
    </row>
    <row r="341" customFormat="false" ht="15" hidden="false" customHeight="false" outlineLevel="0" collapsed="false">
      <c r="A341" s="21" t="n">
        <v>46235</v>
      </c>
      <c r="B341" s="22" t="n">
        <v>3</v>
      </c>
      <c r="C341" s="25" t="n">
        <v>107.52</v>
      </c>
      <c r="D341" s="25" t="n">
        <v>18.12</v>
      </c>
      <c r="E341" s="25" t="n">
        <v>0</v>
      </c>
      <c r="F341" s="22" t="n">
        <f aca="false">WEEKDAY(A341,2)</f>
        <v>6</v>
      </c>
      <c r="G341" s="22" t="str">
        <f aca="false">IF(F341=7,IF(B341&gt;=23,"C","Sin turno"),IF(B341&lt;7,"C",IF(B341&lt;14,"A",IF(B341&lt;21,"B",IF(B341&lt;23,"Entre turnos",IF(F341=6,"Sin turno","C"))))))</f>
        <v>C</v>
      </c>
      <c r="H341" s="25" t="n">
        <f aca="false">IF(D341="","",MAX(0,D341-0.5*C341))</f>
        <v>0</v>
      </c>
    </row>
    <row r="342" customFormat="false" ht="15" hidden="false" customHeight="false" outlineLevel="0" collapsed="false">
      <c r="A342" s="21" t="n">
        <v>46235</v>
      </c>
      <c r="B342" s="22" t="n">
        <v>4</v>
      </c>
      <c r="C342" s="25" t="n">
        <v>106.08</v>
      </c>
      <c r="D342" s="25" t="n">
        <v>17.28</v>
      </c>
      <c r="E342" s="25" t="n">
        <v>0</v>
      </c>
      <c r="F342" s="22" t="n">
        <f aca="false">WEEKDAY(A342,2)</f>
        <v>6</v>
      </c>
      <c r="G342" s="22" t="str">
        <f aca="false">IF(F342=7,IF(B342&gt;=23,"C","Sin turno"),IF(B342&lt;7,"C",IF(B342&lt;14,"A",IF(B342&lt;21,"B",IF(B342&lt;23,"Entre turnos",IF(F342=6,"Sin turno","C"))))))</f>
        <v>C</v>
      </c>
      <c r="H342" s="25" t="n">
        <f aca="false">IF(D342="","",MAX(0,D342-0.5*C342))</f>
        <v>0</v>
      </c>
    </row>
    <row r="343" customFormat="false" ht="15" hidden="false" customHeight="false" outlineLevel="0" collapsed="false">
      <c r="A343" s="21" t="n">
        <v>46235</v>
      </c>
      <c r="B343" s="22" t="n">
        <v>5</v>
      </c>
      <c r="C343" s="25" t="n">
        <v>107.28</v>
      </c>
      <c r="D343" s="25" t="n">
        <v>17.64</v>
      </c>
      <c r="E343" s="25" t="n">
        <v>0</v>
      </c>
      <c r="F343" s="22" t="n">
        <f aca="false">WEEKDAY(A343,2)</f>
        <v>6</v>
      </c>
      <c r="G343" s="22" t="str">
        <f aca="false">IF(F343=7,IF(B343&gt;=23,"C","Sin turno"),IF(B343&lt;7,"C",IF(B343&lt;14,"A",IF(B343&lt;21,"B",IF(B343&lt;23,"Entre turnos",IF(F343=6,"Sin turno","C"))))))</f>
        <v>C</v>
      </c>
      <c r="H343" s="25" t="n">
        <f aca="false">IF(D343="","",MAX(0,D343-0.5*C343))</f>
        <v>0</v>
      </c>
    </row>
    <row r="344" customFormat="false" ht="15" hidden="false" customHeight="false" outlineLevel="0" collapsed="false">
      <c r="A344" s="21" t="n">
        <v>46235</v>
      </c>
      <c r="B344" s="22" t="n">
        <v>6</v>
      </c>
      <c r="C344" s="25" t="n">
        <v>117.84</v>
      </c>
      <c r="D344" s="25" t="n">
        <v>22.44</v>
      </c>
      <c r="E344" s="25" t="n">
        <v>0.12</v>
      </c>
      <c r="F344" s="22" t="n">
        <f aca="false">WEEKDAY(A344,2)</f>
        <v>6</v>
      </c>
      <c r="G344" s="22" t="str">
        <f aca="false">IF(F344=7,IF(B344&gt;=23,"C","Sin turno"),IF(B344&lt;7,"C",IF(B344&lt;14,"A",IF(B344&lt;21,"B",IF(B344&lt;23,"Entre turnos",IF(F344=6,"Sin turno","C"))))))</f>
        <v>C</v>
      </c>
      <c r="H344" s="25" t="n">
        <f aca="false">IF(D344="","",MAX(0,D344-0.5*C344))</f>
        <v>0</v>
      </c>
    </row>
    <row r="345" customFormat="false" ht="15" hidden="false" customHeight="false" outlineLevel="0" collapsed="false">
      <c r="A345" s="21" t="n">
        <v>46235</v>
      </c>
      <c r="B345" s="22" t="n">
        <v>7</v>
      </c>
      <c r="C345" s="25" t="n">
        <v>142.08</v>
      </c>
      <c r="D345" s="25" t="n">
        <v>18.72</v>
      </c>
      <c r="E345" s="25" t="n">
        <v>0.72</v>
      </c>
      <c r="F345" s="22" t="n">
        <f aca="false">WEEKDAY(A345,2)</f>
        <v>6</v>
      </c>
      <c r="G345" s="22" t="str">
        <f aca="false">IF(F345=7,IF(B345&gt;=23,"C","Sin turno"),IF(B345&lt;7,"C",IF(B345&lt;14,"A",IF(B345&lt;21,"B",IF(B345&lt;23,"Entre turnos",IF(F345=6,"Sin turno","C"))))))</f>
        <v>A</v>
      </c>
      <c r="H345" s="25" t="n">
        <f aca="false">IF(D345="","",MAX(0,D345-0.5*C345))</f>
        <v>0</v>
      </c>
    </row>
    <row r="346" customFormat="false" ht="15" hidden="false" customHeight="false" outlineLevel="0" collapsed="false">
      <c r="A346" s="21" t="n">
        <v>46235</v>
      </c>
      <c r="B346" s="22" t="n">
        <v>8</v>
      </c>
      <c r="C346" s="25" t="n">
        <v>142.44</v>
      </c>
      <c r="D346" s="25" t="n">
        <v>12</v>
      </c>
      <c r="E346" s="25" t="n">
        <v>0.6</v>
      </c>
      <c r="F346" s="22" t="n">
        <f aca="false">WEEKDAY(A346,2)</f>
        <v>6</v>
      </c>
      <c r="G346" s="22" t="str">
        <f aca="false">IF(F346=7,IF(B346&gt;=23,"C","Sin turno"),IF(B346&lt;7,"C",IF(B346&lt;14,"A",IF(B346&lt;21,"B",IF(B346&lt;23,"Entre turnos",IF(F346=6,"Sin turno","C"))))))</f>
        <v>A</v>
      </c>
      <c r="H346" s="25" t="n">
        <f aca="false">IF(D346="","",MAX(0,D346-0.5*C346))</f>
        <v>0</v>
      </c>
    </row>
    <row r="347" customFormat="false" ht="15" hidden="false" customHeight="false" outlineLevel="0" collapsed="false">
      <c r="A347" s="21" t="n">
        <v>46235</v>
      </c>
      <c r="B347" s="22" t="n">
        <v>9</v>
      </c>
      <c r="C347" s="25" t="n">
        <v>123.84</v>
      </c>
      <c r="D347" s="25" t="n">
        <v>11.52</v>
      </c>
      <c r="E347" s="25" t="n">
        <v>0.72</v>
      </c>
      <c r="F347" s="22" t="n">
        <f aca="false">WEEKDAY(A347,2)</f>
        <v>6</v>
      </c>
      <c r="G347" s="22" t="str">
        <f aca="false">IF(F347=7,IF(B347&gt;=23,"C","Sin turno"),IF(B347&lt;7,"C",IF(B347&lt;14,"A",IF(B347&lt;21,"B",IF(B347&lt;23,"Entre turnos",IF(F347=6,"Sin turno","C"))))))</f>
        <v>A</v>
      </c>
      <c r="H347" s="25" t="n">
        <f aca="false">IF(D347="","",MAX(0,D347-0.5*C347))</f>
        <v>0</v>
      </c>
    </row>
    <row r="348" customFormat="false" ht="15" hidden="false" customHeight="false" outlineLevel="0" collapsed="false">
      <c r="A348" s="21" t="n">
        <v>46235</v>
      </c>
      <c r="B348" s="22" t="n">
        <v>10</v>
      </c>
      <c r="C348" s="25" t="n">
        <v>90.96</v>
      </c>
      <c r="D348" s="25" t="n">
        <v>19.08</v>
      </c>
      <c r="E348" s="25" t="n">
        <v>0.6</v>
      </c>
      <c r="F348" s="22" t="n">
        <f aca="false">WEEKDAY(A348,2)</f>
        <v>6</v>
      </c>
      <c r="G348" s="22" t="str">
        <f aca="false">IF(F348=7,IF(B348&gt;=23,"C","Sin turno"),IF(B348&lt;7,"C",IF(B348&lt;14,"A",IF(B348&lt;21,"B",IF(B348&lt;23,"Entre turnos",IF(F348=6,"Sin turno","C"))))))</f>
        <v>A</v>
      </c>
      <c r="H348" s="25" t="n">
        <f aca="false">IF(D348="","",MAX(0,D348-0.5*C348))</f>
        <v>0</v>
      </c>
    </row>
    <row r="349" customFormat="false" ht="15" hidden="false" customHeight="false" outlineLevel="0" collapsed="false">
      <c r="A349" s="21" t="n">
        <v>46235</v>
      </c>
      <c r="B349" s="22" t="n">
        <v>11</v>
      </c>
      <c r="C349" s="25" t="n">
        <v>95.4</v>
      </c>
      <c r="D349" s="25" t="n">
        <v>15.84</v>
      </c>
      <c r="E349" s="25" t="n">
        <v>0.84</v>
      </c>
      <c r="F349" s="22" t="n">
        <f aca="false">WEEKDAY(A349,2)</f>
        <v>6</v>
      </c>
      <c r="G349" s="22" t="str">
        <f aca="false">IF(F349=7,IF(B349&gt;=23,"C","Sin turno"),IF(B349&lt;7,"C",IF(B349&lt;14,"A",IF(B349&lt;21,"B",IF(B349&lt;23,"Entre turnos",IF(F349=6,"Sin turno","C"))))))</f>
        <v>A</v>
      </c>
      <c r="H349" s="25" t="n">
        <f aca="false">IF(D349="","",MAX(0,D349-0.5*C349))</f>
        <v>0</v>
      </c>
    </row>
    <row r="350" customFormat="false" ht="15" hidden="false" customHeight="false" outlineLevel="0" collapsed="false">
      <c r="A350" s="21" t="n">
        <v>46235</v>
      </c>
      <c r="B350" s="22" t="n">
        <v>12</v>
      </c>
      <c r="C350" s="25" t="n">
        <v>73.44</v>
      </c>
      <c r="D350" s="25" t="n">
        <v>16.92</v>
      </c>
      <c r="E350" s="25" t="n">
        <v>1.2</v>
      </c>
      <c r="F350" s="22" t="n">
        <f aca="false">WEEKDAY(A350,2)</f>
        <v>6</v>
      </c>
      <c r="G350" s="22" t="str">
        <f aca="false">IF(F350=7,IF(B350&gt;=23,"C","Sin turno"),IF(B350&lt;7,"C",IF(B350&lt;14,"A",IF(B350&lt;21,"B",IF(B350&lt;23,"Entre turnos",IF(F350=6,"Sin turno","C"))))))</f>
        <v>A</v>
      </c>
      <c r="H350" s="25" t="n">
        <f aca="false">IF(D350="","",MAX(0,D350-0.5*C350))</f>
        <v>0</v>
      </c>
    </row>
    <row r="351" customFormat="false" ht="15" hidden="false" customHeight="false" outlineLevel="0" collapsed="false">
      <c r="A351" s="21" t="n">
        <v>46235</v>
      </c>
      <c r="B351" s="22" t="n">
        <v>13</v>
      </c>
      <c r="C351" s="25" t="n">
        <v>69.24</v>
      </c>
      <c r="D351" s="25" t="n">
        <v>22.08</v>
      </c>
      <c r="E351" s="25" t="n">
        <v>0.36</v>
      </c>
      <c r="F351" s="22" t="n">
        <f aca="false">WEEKDAY(A351,2)</f>
        <v>6</v>
      </c>
      <c r="G351" s="22" t="str">
        <f aca="false">IF(F351=7,IF(B351&gt;=23,"C","Sin turno"),IF(B351&lt;7,"C",IF(B351&lt;14,"A",IF(B351&lt;21,"B",IF(B351&lt;23,"Entre turnos",IF(F351=6,"Sin turno","C"))))))</f>
        <v>A</v>
      </c>
      <c r="H351" s="25" t="n">
        <f aca="false">IF(D351="","",MAX(0,D351-0.5*C351))</f>
        <v>0</v>
      </c>
    </row>
    <row r="352" customFormat="false" ht="15" hidden="false" customHeight="false" outlineLevel="0" collapsed="false">
      <c r="A352" s="21" t="n">
        <v>46235</v>
      </c>
      <c r="B352" s="22" t="n">
        <v>14</v>
      </c>
      <c r="C352" s="25" t="n">
        <v>73.68</v>
      </c>
      <c r="D352" s="25" t="n">
        <v>21.48</v>
      </c>
      <c r="E352" s="25" t="n">
        <v>0.6</v>
      </c>
      <c r="F352" s="22" t="n">
        <f aca="false">WEEKDAY(A352,2)</f>
        <v>6</v>
      </c>
      <c r="G352" s="22" t="str">
        <f aca="false">IF(F352=7,IF(B352&gt;=23,"C","Sin turno"),IF(B352&lt;7,"C",IF(B352&lt;14,"A",IF(B352&lt;21,"B",IF(B352&lt;23,"Entre turnos",IF(F352=6,"Sin turno","C"))))))</f>
        <v>B</v>
      </c>
      <c r="H352" s="25" t="n">
        <f aca="false">IF(D352="","",MAX(0,D352-0.5*C352))</f>
        <v>0</v>
      </c>
    </row>
    <row r="353" customFormat="false" ht="15" hidden="false" customHeight="false" outlineLevel="0" collapsed="false">
      <c r="A353" s="21" t="n">
        <v>46235</v>
      </c>
      <c r="B353" s="22" t="n">
        <v>15</v>
      </c>
      <c r="C353" s="25" t="n">
        <v>113.64</v>
      </c>
      <c r="D353" s="25" t="n">
        <v>16.68</v>
      </c>
      <c r="E353" s="25" t="n">
        <v>0.12</v>
      </c>
      <c r="F353" s="22" t="n">
        <f aca="false">WEEKDAY(A353,2)</f>
        <v>6</v>
      </c>
      <c r="G353" s="22" t="str">
        <f aca="false">IF(F353=7,IF(B353&gt;=23,"C","Sin turno"),IF(B353&lt;7,"C",IF(B353&lt;14,"A",IF(B353&lt;21,"B",IF(B353&lt;23,"Entre turnos",IF(F353=6,"Sin turno","C"))))))</f>
        <v>B</v>
      </c>
      <c r="H353" s="25" t="n">
        <f aca="false">IF(D353="","",MAX(0,D353-0.5*C353))</f>
        <v>0</v>
      </c>
    </row>
    <row r="354" customFormat="false" ht="15" hidden="false" customHeight="false" outlineLevel="0" collapsed="false">
      <c r="A354" s="21" t="n">
        <v>46235</v>
      </c>
      <c r="B354" s="22" t="n">
        <v>16</v>
      </c>
      <c r="C354" s="25" t="n">
        <v>156</v>
      </c>
      <c r="D354" s="25" t="n">
        <v>17.88</v>
      </c>
      <c r="E354" s="25" t="n">
        <v>0.24</v>
      </c>
      <c r="F354" s="22" t="n">
        <f aca="false">WEEKDAY(A354,2)</f>
        <v>6</v>
      </c>
      <c r="G354" s="22" t="str">
        <f aca="false">IF(F354=7,IF(B354&gt;=23,"C","Sin turno"),IF(B354&lt;7,"C",IF(B354&lt;14,"A",IF(B354&lt;21,"B",IF(B354&lt;23,"Entre turnos",IF(F354=6,"Sin turno","C"))))))</f>
        <v>B</v>
      </c>
      <c r="H354" s="25" t="n">
        <f aca="false">IF(D354="","",MAX(0,D354-0.5*C354))</f>
        <v>0</v>
      </c>
    </row>
    <row r="355" customFormat="false" ht="15" hidden="false" customHeight="false" outlineLevel="0" collapsed="false">
      <c r="A355" s="21" t="n">
        <v>46235</v>
      </c>
      <c r="B355" s="22" t="n">
        <v>17</v>
      </c>
      <c r="C355" s="25" t="n">
        <v>167.4</v>
      </c>
      <c r="D355" s="25" t="n">
        <v>26.04</v>
      </c>
      <c r="E355" s="25" t="n">
        <v>0.12</v>
      </c>
      <c r="F355" s="22" t="n">
        <f aca="false">WEEKDAY(A355,2)</f>
        <v>6</v>
      </c>
      <c r="G355" s="22" t="str">
        <f aca="false">IF(F355=7,IF(B355&gt;=23,"C","Sin turno"),IF(B355&lt;7,"C",IF(B355&lt;14,"A",IF(B355&lt;21,"B",IF(B355&lt;23,"Entre turnos",IF(F355=6,"Sin turno","C"))))))</f>
        <v>B</v>
      </c>
      <c r="H355" s="25" t="n">
        <f aca="false">IF(D355="","",MAX(0,D355-0.5*C355))</f>
        <v>0</v>
      </c>
    </row>
    <row r="356" customFormat="false" ht="15" hidden="false" customHeight="false" outlineLevel="0" collapsed="false">
      <c r="A356" s="21" t="n">
        <v>46235</v>
      </c>
      <c r="B356" s="22" t="n">
        <v>18</v>
      </c>
      <c r="C356" s="25" t="n">
        <v>149.16</v>
      </c>
      <c r="D356" s="25" t="n">
        <v>25.32</v>
      </c>
      <c r="E356" s="25" t="n">
        <v>0.12</v>
      </c>
      <c r="F356" s="22" t="n">
        <f aca="false">WEEKDAY(A356,2)</f>
        <v>6</v>
      </c>
      <c r="G356" s="22" t="str">
        <f aca="false">IF(F356=7,IF(B356&gt;=23,"C","Sin turno"),IF(B356&lt;7,"C",IF(B356&lt;14,"A",IF(B356&lt;21,"B",IF(B356&lt;23,"Entre turnos",IF(F356=6,"Sin turno","C"))))))</f>
        <v>B</v>
      </c>
      <c r="H356" s="25" t="n">
        <f aca="false">IF(D356="","",MAX(0,D356-0.5*C356))</f>
        <v>0</v>
      </c>
    </row>
    <row r="357" customFormat="false" ht="15" hidden="false" customHeight="false" outlineLevel="0" collapsed="false">
      <c r="A357" s="21" t="n">
        <v>46235</v>
      </c>
      <c r="B357" s="22" t="n">
        <v>19</v>
      </c>
      <c r="C357" s="25" t="n">
        <v>162.48</v>
      </c>
      <c r="D357" s="25" t="n">
        <v>21.36</v>
      </c>
      <c r="E357" s="25" t="n">
        <v>0.6</v>
      </c>
      <c r="F357" s="22" t="n">
        <f aca="false">WEEKDAY(A357,2)</f>
        <v>6</v>
      </c>
      <c r="G357" s="22" t="str">
        <f aca="false">IF(F357=7,IF(B357&gt;=23,"C","Sin turno"),IF(B357&lt;7,"C",IF(B357&lt;14,"A",IF(B357&lt;21,"B",IF(B357&lt;23,"Entre turnos",IF(F357=6,"Sin turno","C"))))))</f>
        <v>B</v>
      </c>
      <c r="H357" s="25" t="n">
        <f aca="false">IF(D357="","",MAX(0,D357-0.5*C357))</f>
        <v>0</v>
      </c>
    </row>
    <row r="358" customFormat="false" ht="15" hidden="false" customHeight="false" outlineLevel="0" collapsed="false">
      <c r="A358" s="21" t="n">
        <v>46235</v>
      </c>
      <c r="B358" s="22" t="n">
        <v>20</v>
      </c>
      <c r="C358" s="25" t="n">
        <v>157.56</v>
      </c>
      <c r="D358" s="25" t="n">
        <v>15.24</v>
      </c>
      <c r="E358" s="25" t="n">
        <v>0.72</v>
      </c>
      <c r="F358" s="22" t="n">
        <f aca="false">WEEKDAY(A358,2)</f>
        <v>6</v>
      </c>
      <c r="G358" s="22" t="str">
        <f aca="false">IF(F358=7,IF(B358&gt;=23,"C","Sin turno"),IF(B358&lt;7,"C",IF(B358&lt;14,"A",IF(B358&lt;21,"B",IF(B358&lt;23,"Entre turnos",IF(F358=6,"Sin turno","C"))))))</f>
        <v>B</v>
      </c>
      <c r="H358" s="25" t="n">
        <f aca="false">IF(D358="","",MAX(0,D358-0.5*C358))</f>
        <v>0</v>
      </c>
    </row>
    <row r="359" customFormat="false" ht="15" hidden="false" customHeight="false" outlineLevel="0" collapsed="false">
      <c r="A359" s="21" t="n">
        <v>46235</v>
      </c>
      <c r="B359" s="22" t="n">
        <v>21</v>
      </c>
      <c r="C359" s="25" t="n">
        <v>124.44</v>
      </c>
      <c r="D359" s="25" t="n">
        <v>15.36</v>
      </c>
      <c r="E359" s="25" t="n">
        <v>0.6</v>
      </c>
      <c r="F359" s="22" t="n">
        <f aca="false">WEEKDAY(A359,2)</f>
        <v>6</v>
      </c>
      <c r="G359" s="22" t="str">
        <f aca="false">IF(F359=7,IF(B359&gt;=23,"C","Sin turno"),IF(B359&lt;7,"C",IF(B359&lt;14,"A",IF(B359&lt;21,"B",IF(B359&lt;23,"Entre turnos",IF(F359=6,"Sin turno","C"))))))</f>
        <v>Entre turnos</v>
      </c>
      <c r="H359" s="25" t="n">
        <f aca="false">IF(D359="","",MAX(0,D359-0.5*C359))</f>
        <v>0</v>
      </c>
    </row>
    <row r="360" customFormat="false" ht="15" hidden="false" customHeight="false" outlineLevel="0" collapsed="false">
      <c r="A360" s="21" t="n">
        <v>46235</v>
      </c>
      <c r="B360" s="22" t="n">
        <v>22</v>
      </c>
      <c r="C360" s="25" t="n">
        <v>86.16</v>
      </c>
      <c r="D360" s="25" t="n">
        <v>9.36</v>
      </c>
      <c r="E360" s="25" t="n">
        <v>1.44</v>
      </c>
      <c r="F360" s="22" t="n">
        <f aca="false">WEEKDAY(A360,2)</f>
        <v>6</v>
      </c>
      <c r="G360" s="22" t="str">
        <f aca="false">IF(F360=7,IF(B360&gt;=23,"C","Sin turno"),IF(B360&lt;7,"C",IF(B360&lt;14,"A",IF(B360&lt;21,"B",IF(B360&lt;23,"Entre turnos",IF(F360=6,"Sin turno","C"))))))</f>
        <v>Entre turnos</v>
      </c>
      <c r="H360" s="25" t="n">
        <f aca="false">IF(D360="","",MAX(0,D360-0.5*C360))</f>
        <v>0</v>
      </c>
    </row>
    <row r="361" customFormat="false" ht="15" hidden="false" customHeight="false" outlineLevel="0" collapsed="false">
      <c r="A361" s="21" t="n">
        <v>46235</v>
      </c>
      <c r="B361" s="22" t="n">
        <v>23</v>
      </c>
      <c r="C361" s="25" t="n">
        <v>82.08</v>
      </c>
      <c r="D361" s="25" t="n">
        <v>8.88</v>
      </c>
      <c r="E361" s="25" t="n">
        <v>1.56</v>
      </c>
      <c r="F361" s="22" t="n">
        <f aca="false">WEEKDAY(A361,2)</f>
        <v>6</v>
      </c>
      <c r="G361" s="22" t="str">
        <f aca="false">IF(F361=7,IF(B361&gt;=23,"C","Sin turno"),IF(B361&lt;7,"C",IF(B361&lt;14,"A",IF(B361&lt;21,"B",IF(B361&lt;23,"Entre turnos",IF(F361=6,"Sin turno","C"))))))</f>
        <v>Sin turno</v>
      </c>
      <c r="H361" s="25" t="n">
        <f aca="false">IF(D361="","",MAX(0,D361-0.5*C361))</f>
        <v>0</v>
      </c>
    </row>
    <row r="362" customFormat="false" ht="15" hidden="false" customHeight="false" outlineLevel="0" collapsed="false">
      <c r="A362" s="21" t="n">
        <v>46236</v>
      </c>
      <c r="B362" s="22" t="n">
        <v>0</v>
      </c>
      <c r="C362" s="25" t="n">
        <v>82.56</v>
      </c>
      <c r="D362" s="25" t="n">
        <v>8.76</v>
      </c>
      <c r="E362" s="25" t="n">
        <v>1.2</v>
      </c>
      <c r="F362" s="22" t="n">
        <f aca="false">WEEKDAY(A362,2)</f>
        <v>7</v>
      </c>
      <c r="G362" s="22" t="str">
        <f aca="false">IF(F362=7,IF(B362&gt;=23,"C","Sin turno"),IF(B362&lt;7,"C",IF(B362&lt;14,"A",IF(B362&lt;21,"B",IF(B362&lt;23,"Entre turnos",IF(F362=6,"Sin turno","C"))))))</f>
        <v>Sin turno</v>
      </c>
      <c r="H362" s="25" t="n">
        <f aca="false">IF(D362="","",MAX(0,D362-0.5*C362))</f>
        <v>0</v>
      </c>
    </row>
    <row r="363" customFormat="false" ht="15" hidden="false" customHeight="false" outlineLevel="0" collapsed="false">
      <c r="A363" s="21" t="n">
        <v>46236</v>
      </c>
      <c r="B363" s="22" t="n">
        <v>1</v>
      </c>
      <c r="C363" s="25" t="n">
        <v>73.08</v>
      </c>
      <c r="D363" s="25" t="n">
        <v>7.08</v>
      </c>
      <c r="E363" s="25" t="n">
        <v>1.32</v>
      </c>
      <c r="F363" s="22" t="n">
        <f aca="false">WEEKDAY(A363,2)</f>
        <v>7</v>
      </c>
      <c r="G363" s="22" t="str">
        <f aca="false">IF(F363=7,IF(B363&gt;=23,"C","Sin turno"),IF(B363&lt;7,"C",IF(B363&lt;14,"A",IF(B363&lt;21,"B",IF(B363&lt;23,"Entre turnos",IF(F363=6,"Sin turno","C"))))))</f>
        <v>Sin turno</v>
      </c>
      <c r="H363" s="25" t="n">
        <f aca="false">IF(D363="","",MAX(0,D363-0.5*C363))</f>
        <v>0</v>
      </c>
    </row>
    <row r="364" customFormat="false" ht="15" hidden="false" customHeight="false" outlineLevel="0" collapsed="false">
      <c r="A364" s="21" t="n">
        <v>46236</v>
      </c>
      <c r="B364" s="22" t="n">
        <v>2</v>
      </c>
      <c r="C364" s="25" t="n">
        <v>75.36</v>
      </c>
      <c r="D364" s="25" t="n">
        <v>8.52</v>
      </c>
      <c r="E364" s="25" t="n">
        <v>1.32</v>
      </c>
      <c r="F364" s="22" t="n">
        <f aca="false">WEEKDAY(A364,2)</f>
        <v>7</v>
      </c>
      <c r="G364" s="22" t="str">
        <f aca="false">IF(F364=7,IF(B364&gt;=23,"C","Sin turno"),IF(B364&lt;7,"C",IF(B364&lt;14,"A",IF(B364&lt;21,"B",IF(B364&lt;23,"Entre turnos",IF(F364=6,"Sin turno","C"))))))</f>
        <v>Sin turno</v>
      </c>
      <c r="H364" s="25" t="n">
        <f aca="false">IF(D364="","",MAX(0,D364-0.5*C364))</f>
        <v>0</v>
      </c>
    </row>
    <row r="365" customFormat="false" ht="15" hidden="false" customHeight="false" outlineLevel="0" collapsed="false">
      <c r="A365" s="21" t="n">
        <v>46236</v>
      </c>
      <c r="B365" s="22" t="n">
        <v>3</v>
      </c>
      <c r="C365" s="25" t="n">
        <v>73.56</v>
      </c>
      <c r="D365" s="25" t="n">
        <v>8.88</v>
      </c>
      <c r="E365" s="25" t="n">
        <v>1.2</v>
      </c>
      <c r="F365" s="22" t="n">
        <f aca="false">WEEKDAY(A365,2)</f>
        <v>7</v>
      </c>
      <c r="G365" s="22" t="str">
        <f aca="false">IF(F365=7,IF(B365&gt;=23,"C","Sin turno"),IF(B365&lt;7,"C",IF(B365&lt;14,"A",IF(B365&lt;21,"B",IF(B365&lt;23,"Entre turnos",IF(F365=6,"Sin turno","C"))))))</f>
        <v>Sin turno</v>
      </c>
      <c r="H365" s="25" t="n">
        <f aca="false">IF(D365="","",MAX(0,D365-0.5*C365))</f>
        <v>0</v>
      </c>
    </row>
    <row r="366" customFormat="false" ht="15" hidden="false" customHeight="false" outlineLevel="0" collapsed="false">
      <c r="A366" s="21" t="n">
        <v>46236</v>
      </c>
      <c r="B366" s="22" t="n">
        <v>4</v>
      </c>
      <c r="C366" s="25" t="n">
        <v>70.44</v>
      </c>
      <c r="D366" s="25" t="n">
        <v>8.4</v>
      </c>
      <c r="E366" s="25" t="n">
        <v>1.56</v>
      </c>
      <c r="F366" s="22" t="n">
        <f aca="false">WEEKDAY(A366,2)</f>
        <v>7</v>
      </c>
      <c r="G366" s="22" t="str">
        <f aca="false">IF(F366=7,IF(B366&gt;=23,"C","Sin turno"),IF(B366&lt;7,"C",IF(B366&lt;14,"A",IF(B366&lt;21,"B",IF(B366&lt;23,"Entre turnos",IF(F366=6,"Sin turno","C"))))))</f>
        <v>Sin turno</v>
      </c>
      <c r="H366" s="25" t="n">
        <f aca="false">IF(D366="","",MAX(0,D366-0.5*C366))</f>
        <v>0</v>
      </c>
    </row>
    <row r="367" customFormat="false" ht="15" hidden="false" customHeight="false" outlineLevel="0" collapsed="false">
      <c r="A367" s="21" t="n">
        <v>46236</v>
      </c>
      <c r="B367" s="22" t="n">
        <v>5</v>
      </c>
      <c r="C367" s="25" t="n">
        <v>76.08</v>
      </c>
      <c r="D367" s="25" t="n">
        <v>8.52</v>
      </c>
      <c r="E367" s="25" t="n">
        <v>1.56</v>
      </c>
      <c r="F367" s="22" t="n">
        <f aca="false">WEEKDAY(A367,2)</f>
        <v>7</v>
      </c>
      <c r="G367" s="22" t="str">
        <f aca="false">IF(F367=7,IF(B367&gt;=23,"C","Sin turno"),IF(B367&lt;7,"C",IF(B367&lt;14,"A",IF(B367&lt;21,"B",IF(B367&lt;23,"Entre turnos",IF(F367=6,"Sin turno","C"))))))</f>
        <v>Sin turno</v>
      </c>
      <c r="H367" s="25" t="n">
        <f aca="false">IF(D367="","",MAX(0,D367-0.5*C367))</f>
        <v>0</v>
      </c>
    </row>
    <row r="368" customFormat="false" ht="15" hidden="false" customHeight="false" outlineLevel="0" collapsed="false">
      <c r="A368" s="21" t="n">
        <v>46236</v>
      </c>
      <c r="B368" s="22" t="n">
        <v>6</v>
      </c>
      <c r="C368" s="25" t="n">
        <v>61.68</v>
      </c>
      <c r="D368" s="25" t="n">
        <v>9.96</v>
      </c>
      <c r="E368" s="25" t="n">
        <v>1.08</v>
      </c>
      <c r="F368" s="22" t="n">
        <f aca="false">WEEKDAY(A368,2)</f>
        <v>7</v>
      </c>
      <c r="G368" s="22" t="str">
        <f aca="false">IF(F368=7,IF(B368&gt;=23,"C","Sin turno"),IF(B368&lt;7,"C",IF(B368&lt;14,"A",IF(B368&lt;21,"B",IF(B368&lt;23,"Entre turnos",IF(F368=6,"Sin turno","C"))))))</f>
        <v>Sin turno</v>
      </c>
      <c r="H368" s="25" t="n">
        <f aca="false">IF(D368="","",MAX(0,D368-0.5*C368))</f>
        <v>0</v>
      </c>
    </row>
    <row r="369" customFormat="false" ht="15" hidden="false" customHeight="false" outlineLevel="0" collapsed="false">
      <c r="A369" s="21" t="n">
        <v>46236</v>
      </c>
      <c r="B369" s="22" t="n">
        <v>7</v>
      </c>
      <c r="C369" s="25" t="n">
        <v>54.48</v>
      </c>
      <c r="D369" s="25" t="n">
        <v>9.36</v>
      </c>
      <c r="E369" s="25" t="n">
        <v>0.84</v>
      </c>
      <c r="F369" s="22" t="n">
        <f aca="false">WEEKDAY(A369,2)</f>
        <v>7</v>
      </c>
      <c r="G369" s="22" t="str">
        <f aca="false">IF(F369=7,IF(B369&gt;=23,"C","Sin turno"),IF(B369&lt;7,"C",IF(B369&lt;14,"A",IF(B369&lt;21,"B",IF(B369&lt;23,"Entre turnos",IF(F369=6,"Sin turno","C"))))))</f>
        <v>Sin turno</v>
      </c>
      <c r="H369" s="25" t="n">
        <f aca="false">IF(D369="","",MAX(0,D369-0.5*C369))</f>
        <v>0</v>
      </c>
    </row>
    <row r="370" customFormat="false" ht="15" hidden="false" customHeight="false" outlineLevel="0" collapsed="false">
      <c r="A370" s="21" t="n">
        <v>46236</v>
      </c>
      <c r="B370" s="22" t="n">
        <v>8</v>
      </c>
      <c r="C370" s="25" t="n">
        <v>33.36</v>
      </c>
      <c r="D370" s="25" t="n">
        <v>10.32</v>
      </c>
      <c r="E370" s="25" t="n">
        <v>0.36</v>
      </c>
      <c r="F370" s="22" t="n">
        <f aca="false">WEEKDAY(A370,2)</f>
        <v>7</v>
      </c>
      <c r="G370" s="22" t="str">
        <f aca="false">IF(F370=7,IF(B370&gt;=23,"C","Sin turno"),IF(B370&lt;7,"C",IF(B370&lt;14,"A",IF(B370&lt;21,"B",IF(B370&lt;23,"Entre turnos",IF(F370=6,"Sin turno","C"))))))</f>
        <v>Sin turno</v>
      </c>
      <c r="H370" s="25" t="n">
        <f aca="false">IF(D370="","",MAX(0,D370-0.5*C370))</f>
        <v>0</v>
      </c>
    </row>
    <row r="371" customFormat="false" ht="15" hidden="false" customHeight="false" outlineLevel="0" collapsed="false">
      <c r="A371" s="21" t="n">
        <v>46236</v>
      </c>
      <c r="B371" s="22" t="n">
        <v>9</v>
      </c>
      <c r="C371" s="25" t="n">
        <v>18.48</v>
      </c>
      <c r="D371" s="25" t="n">
        <v>10.08</v>
      </c>
      <c r="E371" s="25" t="n">
        <v>0.12</v>
      </c>
      <c r="F371" s="22" t="n">
        <f aca="false">WEEKDAY(A371,2)</f>
        <v>7</v>
      </c>
      <c r="G371" s="22" t="str">
        <f aca="false">IF(F371=7,IF(B371&gt;=23,"C","Sin turno"),IF(B371&lt;7,"C",IF(B371&lt;14,"A",IF(B371&lt;21,"B",IF(B371&lt;23,"Entre turnos",IF(F371=6,"Sin turno","C"))))))</f>
        <v>Sin turno</v>
      </c>
      <c r="H371" s="25" t="n">
        <f aca="false">IF(D371="","",MAX(0,D371-0.5*C371))</f>
        <v>0.84</v>
      </c>
    </row>
    <row r="372" customFormat="false" ht="15" hidden="false" customHeight="false" outlineLevel="0" collapsed="false">
      <c r="A372" s="21" t="n">
        <v>46236</v>
      </c>
      <c r="B372" s="22" t="n">
        <v>10</v>
      </c>
      <c r="C372" s="25" t="n">
        <v>0</v>
      </c>
      <c r="D372" s="25" t="n">
        <v>10.32</v>
      </c>
      <c r="E372" s="25" t="n">
        <v>0.12</v>
      </c>
      <c r="F372" s="22" t="n">
        <f aca="false">WEEKDAY(A372,2)</f>
        <v>7</v>
      </c>
      <c r="G372" s="22" t="str">
        <f aca="false">IF(F372=7,IF(B372&gt;=23,"C","Sin turno"),IF(B372&lt;7,"C",IF(B372&lt;14,"A",IF(B372&lt;21,"B",IF(B372&lt;23,"Entre turnos",IF(F372=6,"Sin turno","C"))))))</f>
        <v>Sin turno</v>
      </c>
      <c r="H372" s="25" t="n">
        <f aca="false">IF(D372="","",MAX(0,D372-0.5*C372))</f>
        <v>10.32</v>
      </c>
    </row>
    <row r="373" customFormat="false" ht="15" hidden="false" customHeight="false" outlineLevel="0" collapsed="false">
      <c r="A373" s="21" t="n">
        <v>46236</v>
      </c>
      <c r="B373" s="22" t="n">
        <v>11</v>
      </c>
      <c r="C373" s="25" t="n">
        <v>0.48</v>
      </c>
      <c r="D373" s="25" t="n">
        <v>10.92</v>
      </c>
      <c r="E373" s="25" t="n">
        <v>0.48</v>
      </c>
      <c r="F373" s="22" t="n">
        <f aca="false">WEEKDAY(A373,2)</f>
        <v>7</v>
      </c>
      <c r="G373" s="22" t="str">
        <f aca="false">IF(F373=7,IF(B373&gt;=23,"C","Sin turno"),IF(B373&lt;7,"C",IF(B373&lt;14,"A",IF(B373&lt;21,"B",IF(B373&lt;23,"Entre turnos",IF(F373=6,"Sin turno","C"))))))</f>
        <v>Sin turno</v>
      </c>
      <c r="H373" s="25" t="n">
        <f aca="false">IF(D373="","",MAX(0,D373-0.5*C373))</f>
        <v>10.68</v>
      </c>
    </row>
    <row r="374" customFormat="false" ht="15" hidden="false" customHeight="false" outlineLevel="0" collapsed="false">
      <c r="A374" s="21" t="n">
        <v>46236</v>
      </c>
      <c r="B374" s="22" t="n">
        <v>12</v>
      </c>
      <c r="C374" s="25" t="n">
        <v>7.32</v>
      </c>
      <c r="D374" s="25" t="n">
        <v>11.52</v>
      </c>
      <c r="E374" s="25" t="n">
        <v>0.24</v>
      </c>
      <c r="F374" s="22" t="n">
        <f aca="false">WEEKDAY(A374,2)</f>
        <v>7</v>
      </c>
      <c r="G374" s="22" t="str">
        <f aca="false">IF(F374=7,IF(B374&gt;=23,"C","Sin turno"),IF(B374&lt;7,"C",IF(B374&lt;14,"A",IF(B374&lt;21,"B",IF(B374&lt;23,"Entre turnos",IF(F374=6,"Sin turno","C"))))))</f>
        <v>Sin turno</v>
      </c>
      <c r="H374" s="25" t="n">
        <f aca="false">IF(D374="","",MAX(0,D374-0.5*C374))</f>
        <v>7.86</v>
      </c>
    </row>
    <row r="375" customFormat="false" ht="15" hidden="false" customHeight="false" outlineLevel="0" collapsed="false">
      <c r="A375" s="21" t="n">
        <v>46236</v>
      </c>
      <c r="B375" s="22" t="n">
        <v>13</v>
      </c>
      <c r="C375" s="25" t="n">
        <v>2.88</v>
      </c>
      <c r="D375" s="25" t="n">
        <v>11.52</v>
      </c>
      <c r="E375" s="25" t="n">
        <v>0.36</v>
      </c>
      <c r="F375" s="22" t="n">
        <f aca="false">WEEKDAY(A375,2)</f>
        <v>7</v>
      </c>
      <c r="G375" s="22" t="str">
        <f aca="false">IF(F375=7,IF(B375&gt;=23,"C","Sin turno"),IF(B375&lt;7,"C",IF(B375&lt;14,"A",IF(B375&lt;21,"B",IF(B375&lt;23,"Entre turnos",IF(F375=6,"Sin turno","C"))))))</f>
        <v>Sin turno</v>
      </c>
      <c r="H375" s="25" t="n">
        <f aca="false">IF(D375="","",MAX(0,D375-0.5*C375))</f>
        <v>10.08</v>
      </c>
    </row>
    <row r="376" customFormat="false" ht="15" hidden="false" customHeight="false" outlineLevel="0" collapsed="false">
      <c r="A376" s="21" t="n">
        <v>46236</v>
      </c>
      <c r="B376" s="22" t="n">
        <v>14</v>
      </c>
      <c r="C376" s="25" t="n">
        <v>7.68</v>
      </c>
      <c r="D376" s="25" t="n">
        <v>11.64</v>
      </c>
      <c r="E376" s="25" t="n">
        <v>0.96</v>
      </c>
      <c r="F376" s="22" t="n">
        <f aca="false">WEEKDAY(A376,2)</f>
        <v>7</v>
      </c>
      <c r="G376" s="22" t="str">
        <f aca="false">IF(F376=7,IF(B376&gt;=23,"C","Sin turno"),IF(B376&lt;7,"C",IF(B376&lt;14,"A",IF(B376&lt;21,"B",IF(B376&lt;23,"Entre turnos",IF(F376=6,"Sin turno","C"))))))</f>
        <v>Sin turno</v>
      </c>
      <c r="H376" s="25" t="n">
        <f aca="false">IF(D376="","",MAX(0,D376-0.5*C376))</f>
        <v>7.8</v>
      </c>
    </row>
    <row r="377" customFormat="false" ht="15" hidden="false" customHeight="false" outlineLevel="0" collapsed="false">
      <c r="A377" s="21" t="n">
        <v>46236</v>
      </c>
      <c r="B377" s="22" t="n">
        <v>15</v>
      </c>
      <c r="C377" s="25" t="n">
        <v>28.32</v>
      </c>
      <c r="D377" s="25" t="n">
        <v>11.04</v>
      </c>
      <c r="E377" s="25" t="n">
        <v>1.2</v>
      </c>
      <c r="F377" s="22" t="n">
        <f aca="false">WEEKDAY(A377,2)</f>
        <v>7</v>
      </c>
      <c r="G377" s="22" t="str">
        <f aca="false">IF(F377=7,IF(B377&gt;=23,"C","Sin turno"),IF(B377&lt;7,"C",IF(B377&lt;14,"A",IF(B377&lt;21,"B",IF(B377&lt;23,"Entre turnos",IF(F377=6,"Sin turno","C"))))))</f>
        <v>Sin turno</v>
      </c>
      <c r="H377" s="25" t="n">
        <f aca="false">IF(D377="","",MAX(0,D377-0.5*C377))</f>
        <v>0</v>
      </c>
    </row>
    <row r="378" customFormat="false" ht="15" hidden="false" customHeight="false" outlineLevel="0" collapsed="false">
      <c r="A378" s="21" t="n">
        <v>46236</v>
      </c>
      <c r="B378" s="22" t="n">
        <v>16</v>
      </c>
      <c r="C378" s="25" t="n">
        <v>64.92</v>
      </c>
      <c r="D378" s="25" t="n">
        <v>10.92</v>
      </c>
      <c r="E378" s="25" t="n">
        <v>1.08</v>
      </c>
      <c r="F378" s="22" t="n">
        <f aca="false">WEEKDAY(A378,2)</f>
        <v>7</v>
      </c>
      <c r="G378" s="22" t="str">
        <f aca="false">IF(F378=7,IF(B378&gt;=23,"C","Sin turno"),IF(B378&lt;7,"C",IF(B378&lt;14,"A",IF(B378&lt;21,"B",IF(B378&lt;23,"Entre turnos",IF(F378=6,"Sin turno","C"))))))</f>
        <v>Sin turno</v>
      </c>
      <c r="H378" s="25" t="n">
        <f aca="false">IF(D378="","",MAX(0,D378-0.5*C378))</f>
        <v>0</v>
      </c>
    </row>
    <row r="379" customFormat="false" ht="15" hidden="false" customHeight="false" outlineLevel="0" collapsed="false">
      <c r="A379" s="21" t="n">
        <v>46236</v>
      </c>
      <c r="B379" s="22" t="n">
        <v>17</v>
      </c>
      <c r="C379" s="25" t="n">
        <v>81</v>
      </c>
      <c r="D379" s="25" t="n">
        <v>11.76</v>
      </c>
      <c r="E379" s="25" t="n">
        <v>1.08</v>
      </c>
      <c r="F379" s="22" t="n">
        <f aca="false">WEEKDAY(A379,2)</f>
        <v>7</v>
      </c>
      <c r="G379" s="22" t="str">
        <f aca="false">IF(F379=7,IF(B379&gt;=23,"C","Sin turno"),IF(B379&lt;7,"C",IF(B379&lt;14,"A",IF(B379&lt;21,"B",IF(B379&lt;23,"Entre turnos",IF(F379=6,"Sin turno","C"))))))</f>
        <v>Sin turno</v>
      </c>
      <c r="H379" s="25" t="n">
        <f aca="false">IF(D379="","",MAX(0,D379-0.5*C379))</f>
        <v>0</v>
      </c>
    </row>
    <row r="380" customFormat="false" ht="15" hidden="false" customHeight="false" outlineLevel="0" collapsed="false">
      <c r="A380" s="21" t="n">
        <v>46236</v>
      </c>
      <c r="B380" s="22" t="n">
        <v>18</v>
      </c>
      <c r="C380" s="25" t="n">
        <v>84.96</v>
      </c>
      <c r="D380" s="25" t="n">
        <v>10.32</v>
      </c>
      <c r="E380" s="25" t="n">
        <v>1.32</v>
      </c>
      <c r="F380" s="22" t="n">
        <f aca="false">WEEKDAY(A380,2)</f>
        <v>7</v>
      </c>
      <c r="G380" s="22" t="str">
        <f aca="false">IF(F380=7,IF(B380&gt;=23,"C","Sin turno"),IF(B380&lt;7,"C",IF(B380&lt;14,"A",IF(B380&lt;21,"B",IF(B380&lt;23,"Entre turnos",IF(F380=6,"Sin turno","C"))))))</f>
        <v>Sin turno</v>
      </c>
      <c r="H380" s="25" t="n">
        <f aca="false">IF(D380="","",MAX(0,D380-0.5*C380))</f>
        <v>0</v>
      </c>
    </row>
    <row r="381" customFormat="false" ht="15" hidden="false" customHeight="false" outlineLevel="0" collapsed="false">
      <c r="A381" s="21" t="n">
        <v>46236</v>
      </c>
      <c r="B381" s="22" t="n">
        <v>19</v>
      </c>
      <c r="C381" s="25" t="n">
        <v>82.32</v>
      </c>
      <c r="D381" s="25" t="n">
        <v>8.4</v>
      </c>
      <c r="E381" s="25" t="n">
        <v>1.92</v>
      </c>
      <c r="F381" s="22" t="n">
        <f aca="false">WEEKDAY(A381,2)</f>
        <v>7</v>
      </c>
      <c r="G381" s="22" t="str">
        <f aca="false">IF(F381=7,IF(B381&gt;=23,"C","Sin turno"),IF(B381&lt;7,"C",IF(B381&lt;14,"A",IF(B381&lt;21,"B",IF(B381&lt;23,"Entre turnos",IF(F381=6,"Sin turno","C"))))))</f>
        <v>Sin turno</v>
      </c>
      <c r="H381" s="25" t="n">
        <f aca="false">IF(D381="","",MAX(0,D381-0.5*C381))</f>
        <v>0</v>
      </c>
    </row>
    <row r="382" customFormat="false" ht="15" hidden="false" customHeight="false" outlineLevel="0" collapsed="false">
      <c r="A382" s="21" t="n">
        <v>46236</v>
      </c>
      <c r="B382" s="22" t="n">
        <v>20</v>
      </c>
      <c r="C382" s="25" t="n">
        <v>82.44</v>
      </c>
      <c r="D382" s="25" t="n">
        <v>9</v>
      </c>
      <c r="E382" s="25" t="n">
        <v>1.92</v>
      </c>
      <c r="F382" s="22" t="n">
        <f aca="false">WEEKDAY(A382,2)</f>
        <v>7</v>
      </c>
      <c r="G382" s="22" t="str">
        <f aca="false">IF(F382=7,IF(B382&gt;=23,"C","Sin turno"),IF(B382&lt;7,"C",IF(B382&lt;14,"A",IF(B382&lt;21,"B",IF(B382&lt;23,"Entre turnos",IF(F382=6,"Sin turno","C"))))))</f>
        <v>Sin turno</v>
      </c>
      <c r="H382" s="25" t="n">
        <f aca="false">IF(D382="","",MAX(0,D382-0.5*C382))</f>
        <v>0</v>
      </c>
    </row>
    <row r="383" customFormat="false" ht="15" hidden="false" customHeight="false" outlineLevel="0" collapsed="false">
      <c r="A383" s="21" t="n">
        <v>46236</v>
      </c>
      <c r="B383" s="22" t="n">
        <v>21</v>
      </c>
      <c r="C383" s="25" t="n">
        <v>81.96</v>
      </c>
      <c r="D383" s="25" t="n">
        <v>9.12</v>
      </c>
      <c r="E383" s="25" t="n">
        <v>2.04</v>
      </c>
      <c r="F383" s="22" t="n">
        <f aca="false">WEEKDAY(A383,2)</f>
        <v>7</v>
      </c>
      <c r="G383" s="22" t="str">
        <f aca="false">IF(F383=7,IF(B383&gt;=23,"C","Sin turno"),IF(B383&lt;7,"C",IF(B383&lt;14,"A",IF(B383&lt;21,"B",IF(B383&lt;23,"Entre turnos",IF(F383=6,"Sin turno","C"))))))</f>
        <v>Sin turno</v>
      </c>
      <c r="H383" s="25" t="n">
        <f aca="false">IF(D383="","",MAX(0,D383-0.5*C383))</f>
        <v>0</v>
      </c>
    </row>
    <row r="384" customFormat="false" ht="15" hidden="false" customHeight="false" outlineLevel="0" collapsed="false">
      <c r="A384" s="21" t="n">
        <v>46236</v>
      </c>
      <c r="B384" s="22" t="n">
        <v>22</v>
      </c>
      <c r="C384" s="25" t="n">
        <v>79.56</v>
      </c>
      <c r="D384" s="25" t="n">
        <v>9</v>
      </c>
      <c r="E384" s="25" t="n">
        <v>2.04</v>
      </c>
      <c r="F384" s="22" t="n">
        <f aca="false">WEEKDAY(A384,2)</f>
        <v>7</v>
      </c>
      <c r="G384" s="22" t="str">
        <f aca="false">IF(F384=7,IF(B384&gt;=23,"C","Sin turno"),IF(B384&lt;7,"C",IF(B384&lt;14,"A",IF(B384&lt;21,"B",IF(B384&lt;23,"Entre turnos",IF(F384=6,"Sin turno","C"))))))</f>
        <v>Sin turno</v>
      </c>
      <c r="H384" s="25" t="n">
        <f aca="false">IF(D384="","",MAX(0,D384-0.5*C384))</f>
        <v>0</v>
      </c>
    </row>
    <row r="385" customFormat="false" ht="15" hidden="false" customHeight="false" outlineLevel="0" collapsed="false">
      <c r="A385" s="21" t="n">
        <v>46236</v>
      </c>
      <c r="B385" s="22" t="n">
        <v>23</v>
      </c>
      <c r="C385" s="25" t="n">
        <v>93.48</v>
      </c>
      <c r="D385" s="25" t="n">
        <v>10.32</v>
      </c>
      <c r="E385" s="25" t="n">
        <v>1.68</v>
      </c>
      <c r="F385" s="22" t="n">
        <f aca="false">WEEKDAY(A385,2)</f>
        <v>7</v>
      </c>
      <c r="G385" s="22" t="str">
        <f aca="false">IF(F385=7,IF(B385&gt;=23,"C","Sin turno"),IF(B385&lt;7,"C",IF(B385&lt;14,"A",IF(B385&lt;21,"B",IF(B385&lt;23,"Entre turnos",IF(F385=6,"Sin turno","C"))))))</f>
        <v>C</v>
      </c>
      <c r="H385" s="25" t="n">
        <f aca="false">IF(D385="","",MAX(0,D385-0.5*C385))</f>
        <v>0</v>
      </c>
    </row>
    <row r="386" customFormat="false" ht="15" hidden="false" customHeight="false" outlineLevel="0" collapsed="false">
      <c r="A386" s="21" t="n">
        <v>46237</v>
      </c>
      <c r="B386" s="22" t="n">
        <v>0</v>
      </c>
      <c r="C386" s="25" t="n">
        <v>133.8</v>
      </c>
      <c r="D386" s="25" t="n">
        <v>11.28</v>
      </c>
      <c r="E386" s="25" t="n">
        <v>0.6</v>
      </c>
      <c r="F386" s="22" t="n">
        <f aca="false">WEEKDAY(A386,2)</f>
        <v>1</v>
      </c>
      <c r="G386" s="22" t="str">
        <f aca="false">IF(F386=7,IF(B386&gt;=23,"C","Sin turno"),IF(B386&lt;7,"C",IF(B386&lt;14,"A",IF(B386&lt;21,"B",IF(B386&lt;23,"Entre turnos",IF(F386=6,"Sin turno","C"))))))</f>
        <v>C</v>
      </c>
      <c r="H386" s="25" t="n">
        <f aca="false">IF(D386="","",MAX(0,D386-0.5*C386))</f>
        <v>0</v>
      </c>
    </row>
    <row r="387" customFormat="false" ht="15" hidden="false" customHeight="false" outlineLevel="0" collapsed="false">
      <c r="A387" s="21" t="n">
        <v>46237</v>
      </c>
      <c r="B387" s="22" t="n">
        <v>1</v>
      </c>
      <c r="C387" s="25" t="n">
        <v>114.48</v>
      </c>
      <c r="D387" s="25" t="n">
        <v>20.64</v>
      </c>
      <c r="E387" s="25" t="n">
        <v>0.12</v>
      </c>
      <c r="F387" s="22" t="n">
        <f aca="false">WEEKDAY(A387,2)</f>
        <v>1</v>
      </c>
      <c r="G387" s="22" t="str">
        <f aca="false">IF(F387=7,IF(B387&gt;=23,"C","Sin turno"),IF(B387&lt;7,"C",IF(B387&lt;14,"A",IF(B387&lt;21,"B",IF(B387&lt;23,"Entre turnos",IF(F387=6,"Sin turno","C"))))))</f>
        <v>C</v>
      </c>
      <c r="H387" s="25" t="n">
        <f aca="false">IF(D387="","",MAX(0,D387-0.5*C387))</f>
        <v>0</v>
      </c>
    </row>
    <row r="388" customFormat="false" ht="15" hidden="false" customHeight="false" outlineLevel="0" collapsed="false">
      <c r="A388" s="21" t="n">
        <v>46237</v>
      </c>
      <c r="B388" s="22" t="n">
        <v>2</v>
      </c>
      <c r="C388" s="25" t="n">
        <v>127.44</v>
      </c>
      <c r="D388" s="25" t="n">
        <v>25.56</v>
      </c>
      <c r="E388" s="25" t="n">
        <v>0.36</v>
      </c>
      <c r="F388" s="22" t="n">
        <f aca="false">WEEKDAY(A388,2)</f>
        <v>1</v>
      </c>
      <c r="G388" s="22" t="str">
        <f aca="false">IF(F388=7,IF(B388&gt;=23,"C","Sin turno"),IF(B388&lt;7,"C",IF(B388&lt;14,"A",IF(B388&lt;21,"B",IF(B388&lt;23,"Entre turnos",IF(F388=6,"Sin turno","C"))))))</f>
        <v>C</v>
      </c>
      <c r="H388" s="25" t="n">
        <f aca="false">IF(D388="","",MAX(0,D388-0.5*C388))</f>
        <v>0</v>
      </c>
    </row>
    <row r="389" customFormat="false" ht="15" hidden="false" customHeight="false" outlineLevel="0" collapsed="false">
      <c r="A389" s="21" t="n">
        <v>46237</v>
      </c>
      <c r="B389" s="22" t="n">
        <v>3</v>
      </c>
      <c r="C389" s="25" t="n">
        <v>121.8</v>
      </c>
      <c r="D389" s="25" t="n">
        <v>25.8</v>
      </c>
      <c r="E389" s="25" t="n">
        <v>0.24</v>
      </c>
      <c r="F389" s="22" t="n">
        <f aca="false">WEEKDAY(A389,2)</f>
        <v>1</v>
      </c>
      <c r="G389" s="22" t="str">
        <f aca="false">IF(F389=7,IF(B389&gt;=23,"C","Sin turno"),IF(B389&lt;7,"C",IF(B389&lt;14,"A",IF(B389&lt;21,"B",IF(B389&lt;23,"Entre turnos",IF(F389=6,"Sin turno","C"))))))</f>
        <v>C</v>
      </c>
      <c r="H389" s="25" t="n">
        <f aca="false">IF(D389="","",MAX(0,D389-0.5*C389))</f>
        <v>0</v>
      </c>
    </row>
    <row r="390" customFormat="false" ht="15" hidden="false" customHeight="false" outlineLevel="0" collapsed="false">
      <c r="A390" s="21" t="n">
        <v>46237</v>
      </c>
      <c r="B390" s="22" t="n">
        <v>4</v>
      </c>
      <c r="C390" s="25" t="n">
        <v>116.88</v>
      </c>
      <c r="D390" s="25" t="n">
        <v>25.32</v>
      </c>
      <c r="E390" s="25" t="n">
        <v>0.12</v>
      </c>
      <c r="F390" s="22" t="n">
        <f aca="false">WEEKDAY(A390,2)</f>
        <v>1</v>
      </c>
      <c r="G390" s="22" t="str">
        <f aca="false">IF(F390=7,IF(B390&gt;=23,"C","Sin turno"),IF(B390&lt;7,"C",IF(B390&lt;14,"A",IF(B390&lt;21,"B",IF(B390&lt;23,"Entre turnos",IF(F390=6,"Sin turno","C"))))))</f>
        <v>C</v>
      </c>
      <c r="H390" s="25" t="n">
        <f aca="false">IF(D390="","",MAX(0,D390-0.5*C390))</f>
        <v>0</v>
      </c>
    </row>
    <row r="391" customFormat="false" ht="15" hidden="false" customHeight="false" outlineLevel="0" collapsed="false">
      <c r="A391" s="21" t="n">
        <v>46237</v>
      </c>
      <c r="B391" s="22" t="n">
        <v>5</v>
      </c>
      <c r="C391" s="25" t="n">
        <v>129.36</v>
      </c>
      <c r="D391" s="25" t="n">
        <v>26.4</v>
      </c>
      <c r="E391" s="25" t="n">
        <v>0.12</v>
      </c>
      <c r="F391" s="22" t="n">
        <f aca="false">WEEKDAY(A391,2)</f>
        <v>1</v>
      </c>
      <c r="G391" s="22" t="str">
        <f aca="false">IF(F391=7,IF(B391&gt;=23,"C","Sin turno"),IF(B391&lt;7,"C",IF(B391&lt;14,"A",IF(B391&lt;21,"B",IF(B391&lt;23,"Entre turnos",IF(F391=6,"Sin turno","C"))))))</f>
        <v>C</v>
      </c>
      <c r="H391" s="25" t="n">
        <f aca="false">IF(D391="","",MAX(0,D391-0.5*C391))</f>
        <v>0</v>
      </c>
    </row>
    <row r="392" customFormat="false" ht="15" hidden="false" customHeight="false" outlineLevel="0" collapsed="false">
      <c r="A392" s="21" t="n">
        <v>46237</v>
      </c>
      <c r="B392" s="22" t="n">
        <v>6</v>
      </c>
      <c r="C392" s="25" t="n">
        <v>133.08</v>
      </c>
      <c r="D392" s="25" t="n">
        <v>20.04</v>
      </c>
      <c r="E392" s="25" t="n">
        <v>0.72</v>
      </c>
      <c r="F392" s="22" t="n">
        <f aca="false">WEEKDAY(A392,2)</f>
        <v>1</v>
      </c>
      <c r="G392" s="22" t="str">
        <f aca="false">IF(F392=7,IF(B392&gt;=23,"C","Sin turno"),IF(B392&lt;7,"C",IF(B392&lt;14,"A",IF(B392&lt;21,"B",IF(B392&lt;23,"Entre turnos",IF(F392=6,"Sin turno","C"))))))</f>
        <v>C</v>
      </c>
      <c r="H392" s="25" t="n">
        <f aca="false">IF(D392="","",MAX(0,D392-0.5*C392))</f>
        <v>0</v>
      </c>
    </row>
    <row r="393" customFormat="false" ht="15" hidden="false" customHeight="false" outlineLevel="0" collapsed="false">
      <c r="A393" s="21" t="n">
        <v>46237</v>
      </c>
      <c r="B393" s="22" t="n">
        <v>7</v>
      </c>
      <c r="C393" s="25" t="n">
        <v>223.56</v>
      </c>
      <c r="D393" s="25" t="n">
        <v>14.28</v>
      </c>
      <c r="E393" s="25" t="n">
        <v>0.12</v>
      </c>
      <c r="F393" s="22" t="n">
        <f aca="false">WEEKDAY(A393,2)</f>
        <v>1</v>
      </c>
      <c r="G393" s="22" t="str">
        <f aca="false">IF(F393=7,IF(B393&gt;=23,"C","Sin turno"),IF(B393&lt;7,"C",IF(B393&lt;14,"A",IF(B393&lt;21,"B",IF(B393&lt;23,"Entre turnos",IF(F393=6,"Sin turno","C"))))))</f>
        <v>A</v>
      </c>
      <c r="H393" s="25" t="n">
        <f aca="false">IF(D393="","",MAX(0,D393-0.5*C393))</f>
        <v>0</v>
      </c>
    </row>
    <row r="394" customFormat="false" ht="15" hidden="false" customHeight="false" outlineLevel="0" collapsed="false">
      <c r="A394" s="21" t="n">
        <v>46237</v>
      </c>
      <c r="B394" s="22" t="n">
        <v>8</v>
      </c>
      <c r="C394" s="25" t="n">
        <v>221.4</v>
      </c>
      <c r="D394" s="25" t="n">
        <v>15</v>
      </c>
      <c r="E394" s="25" t="n">
        <v>0.12</v>
      </c>
      <c r="F394" s="22" t="n">
        <f aca="false">WEEKDAY(A394,2)</f>
        <v>1</v>
      </c>
      <c r="G394" s="22" t="str">
        <f aca="false">IF(F394=7,IF(B394&gt;=23,"C","Sin turno"),IF(B394&lt;7,"C",IF(B394&lt;14,"A",IF(B394&lt;21,"B",IF(B394&lt;23,"Entre turnos",IF(F394=6,"Sin turno","C"))))))</f>
        <v>A</v>
      </c>
      <c r="H394" s="25" t="n">
        <f aca="false">IF(D394="","",MAX(0,D394-0.5*C394))</f>
        <v>0</v>
      </c>
    </row>
    <row r="395" customFormat="false" ht="15" hidden="false" customHeight="false" outlineLevel="0" collapsed="false">
      <c r="A395" s="21" t="n">
        <v>46237</v>
      </c>
      <c r="B395" s="22" t="n">
        <v>9</v>
      </c>
      <c r="C395" s="25" t="n">
        <v>243.48</v>
      </c>
      <c r="D395" s="25" t="n">
        <v>20.88</v>
      </c>
      <c r="E395" s="25" t="n">
        <v>0</v>
      </c>
      <c r="F395" s="22" t="n">
        <f aca="false">WEEKDAY(A395,2)</f>
        <v>1</v>
      </c>
      <c r="G395" s="22" t="str">
        <f aca="false">IF(F395=7,IF(B395&gt;=23,"C","Sin turno"),IF(B395&lt;7,"C",IF(B395&lt;14,"A",IF(B395&lt;21,"B",IF(B395&lt;23,"Entre turnos",IF(F395=6,"Sin turno","C"))))))</f>
        <v>A</v>
      </c>
      <c r="H395" s="25" t="n">
        <f aca="false">IF(D395="","",MAX(0,D395-0.5*C395))</f>
        <v>0</v>
      </c>
    </row>
    <row r="396" customFormat="false" ht="15" hidden="false" customHeight="false" outlineLevel="0" collapsed="false">
      <c r="A396" s="21" t="n">
        <v>46237</v>
      </c>
      <c r="B396" s="22" t="n">
        <v>10</v>
      </c>
      <c r="C396" s="25" t="n">
        <v>225.12</v>
      </c>
      <c r="D396" s="25" t="n">
        <v>19.32</v>
      </c>
      <c r="E396" s="25" t="n">
        <v>0</v>
      </c>
      <c r="F396" s="22" t="n">
        <f aca="false">WEEKDAY(A396,2)</f>
        <v>1</v>
      </c>
      <c r="G396" s="22" t="str">
        <f aca="false">IF(F396=7,IF(B396&gt;=23,"C","Sin turno"),IF(B396&lt;7,"C",IF(B396&lt;14,"A",IF(B396&lt;21,"B",IF(B396&lt;23,"Entre turnos",IF(F396=6,"Sin turno","C"))))))</f>
        <v>A</v>
      </c>
      <c r="H396" s="25" t="n">
        <f aca="false">IF(D396="","",MAX(0,D396-0.5*C396))</f>
        <v>0</v>
      </c>
    </row>
    <row r="397" customFormat="false" ht="15" hidden="false" customHeight="false" outlineLevel="0" collapsed="false">
      <c r="A397" s="21" t="n">
        <v>46237</v>
      </c>
      <c r="B397" s="22" t="n">
        <v>11</v>
      </c>
      <c r="C397" s="25" t="n">
        <v>228.12</v>
      </c>
      <c r="D397" s="25" t="n">
        <v>22.8</v>
      </c>
      <c r="E397" s="25" t="n">
        <v>0</v>
      </c>
      <c r="F397" s="22" t="n">
        <f aca="false">WEEKDAY(A397,2)</f>
        <v>1</v>
      </c>
      <c r="G397" s="22" t="str">
        <f aca="false">IF(F397=7,IF(B397&gt;=23,"C","Sin turno"),IF(B397&lt;7,"C",IF(B397&lt;14,"A",IF(B397&lt;21,"B",IF(B397&lt;23,"Entre turnos",IF(F397=6,"Sin turno","C"))))))</f>
        <v>A</v>
      </c>
      <c r="H397" s="25" t="n">
        <f aca="false">IF(D397="","",MAX(0,D397-0.5*C397))</f>
        <v>0</v>
      </c>
    </row>
    <row r="398" customFormat="false" ht="15" hidden="false" customHeight="false" outlineLevel="0" collapsed="false">
      <c r="A398" s="21" t="n">
        <v>46237</v>
      </c>
      <c r="B398" s="22" t="n">
        <v>12</v>
      </c>
      <c r="C398" s="25" t="n">
        <v>225.24</v>
      </c>
      <c r="D398" s="25" t="n">
        <v>25.56</v>
      </c>
      <c r="E398" s="25" t="n">
        <v>0</v>
      </c>
      <c r="F398" s="22" t="n">
        <f aca="false">WEEKDAY(A398,2)</f>
        <v>1</v>
      </c>
      <c r="G398" s="22" t="str">
        <f aca="false">IF(F398=7,IF(B398&gt;=23,"C","Sin turno"),IF(B398&lt;7,"C",IF(B398&lt;14,"A",IF(B398&lt;21,"B",IF(B398&lt;23,"Entre turnos",IF(F398=6,"Sin turno","C"))))))</f>
        <v>A</v>
      </c>
      <c r="H398" s="25" t="n">
        <f aca="false">IF(D398="","",MAX(0,D398-0.5*C398))</f>
        <v>0</v>
      </c>
    </row>
    <row r="399" customFormat="false" ht="15" hidden="false" customHeight="false" outlineLevel="0" collapsed="false">
      <c r="A399" s="21" t="n">
        <v>46237</v>
      </c>
      <c r="B399" s="22" t="n">
        <v>13</v>
      </c>
      <c r="C399" s="25" t="n">
        <v>257.4</v>
      </c>
      <c r="D399" s="25" t="n">
        <v>22.56</v>
      </c>
      <c r="E399" s="25" t="n">
        <v>0</v>
      </c>
      <c r="F399" s="22" t="n">
        <f aca="false">WEEKDAY(A399,2)</f>
        <v>1</v>
      </c>
      <c r="G399" s="22" t="str">
        <f aca="false">IF(F399=7,IF(B399&gt;=23,"C","Sin turno"),IF(B399&lt;7,"C",IF(B399&lt;14,"A",IF(B399&lt;21,"B",IF(B399&lt;23,"Entre turnos",IF(F399=6,"Sin turno","C"))))))</f>
        <v>A</v>
      </c>
      <c r="H399" s="25" t="n">
        <f aca="false">IF(D399="","",MAX(0,D399-0.5*C399))</f>
        <v>0</v>
      </c>
    </row>
    <row r="400" customFormat="false" ht="15" hidden="false" customHeight="false" outlineLevel="0" collapsed="false">
      <c r="A400" s="21" t="n">
        <v>46237</v>
      </c>
      <c r="B400" s="22" t="n">
        <v>14</v>
      </c>
      <c r="C400" s="25" t="n">
        <v>216</v>
      </c>
      <c r="D400" s="25" t="n">
        <v>17.88</v>
      </c>
      <c r="E400" s="25" t="n">
        <v>0.12</v>
      </c>
      <c r="F400" s="22" t="n">
        <f aca="false">WEEKDAY(A400,2)</f>
        <v>1</v>
      </c>
      <c r="G400" s="22" t="str">
        <f aca="false">IF(F400=7,IF(B400&gt;=23,"C","Sin turno"),IF(B400&lt;7,"C",IF(B400&lt;14,"A",IF(B400&lt;21,"B",IF(B400&lt;23,"Entre turnos",IF(F400=6,"Sin turno","C"))))))</f>
        <v>B</v>
      </c>
      <c r="H400" s="25" t="n">
        <f aca="false">IF(D400="","",MAX(0,D400-0.5*C400))</f>
        <v>0</v>
      </c>
    </row>
    <row r="401" customFormat="false" ht="15" hidden="false" customHeight="false" outlineLevel="0" collapsed="false">
      <c r="A401" s="21" t="n">
        <v>46237</v>
      </c>
      <c r="B401" s="22" t="n">
        <v>15</v>
      </c>
      <c r="C401" s="25" t="n">
        <v>202.92</v>
      </c>
      <c r="D401" s="25" t="n">
        <v>16.8</v>
      </c>
      <c r="E401" s="25" t="n">
        <v>0.12</v>
      </c>
      <c r="F401" s="22" t="n">
        <f aca="false">WEEKDAY(A401,2)</f>
        <v>1</v>
      </c>
      <c r="G401" s="22" t="str">
        <f aca="false">IF(F401=7,IF(B401&gt;=23,"C","Sin turno"),IF(B401&lt;7,"C",IF(B401&lt;14,"A",IF(B401&lt;21,"B",IF(B401&lt;23,"Entre turnos",IF(F401=6,"Sin turno","C"))))))</f>
        <v>B</v>
      </c>
      <c r="H401" s="25" t="n">
        <f aca="false">IF(D401="","",MAX(0,D401-0.5*C401))</f>
        <v>0</v>
      </c>
    </row>
    <row r="402" customFormat="false" ht="15" hidden="false" customHeight="false" outlineLevel="0" collapsed="false">
      <c r="A402" s="21" t="n">
        <v>46237</v>
      </c>
      <c r="B402" s="22" t="n">
        <v>16</v>
      </c>
      <c r="C402" s="25" t="n">
        <v>204</v>
      </c>
      <c r="D402" s="25" t="n">
        <v>24</v>
      </c>
      <c r="E402" s="25" t="n">
        <v>0</v>
      </c>
      <c r="F402" s="22" t="n">
        <f aca="false">WEEKDAY(A402,2)</f>
        <v>1</v>
      </c>
      <c r="G402" s="22" t="str">
        <f aca="false">IF(F402=7,IF(B402&gt;=23,"C","Sin turno"),IF(B402&lt;7,"C",IF(B402&lt;14,"A",IF(B402&lt;21,"B",IF(B402&lt;23,"Entre turnos",IF(F402=6,"Sin turno","C"))))))</f>
        <v>B</v>
      </c>
      <c r="H402" s="25" t="n">
        <f aca="false">IF(D402="","",MAX(0,D402-0.5*C402))</f>
        <v>0</v>
      </c>
    </row>
    <row r="403" customFormat="false" ht="15" hidden="false" customHeight="false" outlineLevel="0" collapsed="false">
      <c r="A403" s="21" t="n">
        <v>46237</v>
      </c>
      <c r="B403" s="22" t="n">
        <v>17</v>
      </c>
      <c r="C403" s="25" t="n">
        <v>181.44</v>
      </c>
      <c r="D403" s="25" t="n">
        <v>13.56</v>
      </c>
      <c r="E403" s="25" t="n">
        <v>0</v>
      </c>
      <c r="F403" s="22" t="n">
        <f aca="false">WEEKDAY(A403,2)</f>
        <v>1</v>
      </c>
      <c r="G403" s="22" t="str">
        <f aca="false">IF(F403=7,IF(B403&gt;=23,"C","Sin turno"),IF(B403&lt;7,"C",IF(B403&lt;14,"A",IF(B403&lt;21,"B",IF(B403&lt;23,"Entre turnos",IF(F403=6,"Sin turno","C"))))))</f>
        <v>B</v>
      </c>
      <c r="H403" s="25" t="n">
        <f aca="false">IF(D403="","",MAX(0,D403-0.5*C403))</f>
        <v>0</v>
      </c>
    </row>
    <row r="404" customFormat="false" ht="15" hidden="false" customHeight="false" outlineLevel="0" collapsed="false">
      <c r="A404" s="21" t="n">
        <v>46237</v>
      </c>
      <c r="B404" s="22" t="n">
        <v>18</v>
      </c>
      <c r="C404" s="25" t="n">
        <v>162.96</v>
      </c>
      <c r="D404" s="25" t="n">
        <v>24.48</v>
      </c>
      <c r="E404" s="25" t="n">
        <v>0.12</v>
      </c>
      <c r="F404" s="22" t="n">
        <f aca="false">WEEKDAY(A404,2)</f>
        <v>1</v>
      </c>
      <c r="G404" s="22" t="str">
        <f aca="false">IF(F404=7,IF(B404&gt;=23,"C","Sin turno"),IF(B404&lt;7,"C",IF(B404&lt;14,"A",IF(B404&lt;21,"B",IF(B404&lt;23,"Entre turnos",IF(F404=6,"Sin turno","C"))))))</f>
        <v>B</v>
      </c>
      <c r="H404" s="25" t="n">
        <f aca="false">IF(D404="","",MAX(0,D404-0.5*C404))</f>
        <v>0</v>
      </c>
    </row>
    <row r="405" customFormat="false" ht="15" hidden="false" customHeight="false" outlineLevel="0" collapsed="false">
      <c r="A405" s="21" t="n">
        <v>46237</v>
      </c>
      <c r="B405" s="22" t="n">
        <v>19</v>
      </c>
      <c r="C405" s="25" t="n">
        <v>171.12</v>
      </c>
      <c r="D405" s="25" t="n">
        <v>21.84</v>
      </c>
      <c r="E405" s="25" t="n">
        <v>0.12</v>
      </c>
      <c r="F405" s="22" t="n">
        <f aca="false">WEEKDAY(A405,2)</f>
        <v>1</v>
      </c>
      <c r="G405" s="22" t="str">
        <f aca="false">IF(F405=7,IF(B405&gt;=23,"C","Sin turno"),IF(B405&lt;7,"C",IF(B405&lt;14,"A",IF(B405&lt;21,"B",IF(B405&lt;23,"Entre turnos",IF(F405=6,"Sin turno","C"))))))</f>
        <v>B</v>
      </c>
      <c r="H405" s="25" t="n">
        <f aca="false">IF(D405="","",MAX(0,D405-0.5*C405))</f>
        <v>0</v>
      </c>
    </row>
    <row r="406" customFormat="false" ht="15" hidden="false" customHeight="false" outlineLevel="0" collapsed="false">
      <c r="A406" s="21" t="n">
        <v>46237</v>
      </c>
      <c r="B406" s="22" t="n">
        <v>20</v>
      </c>
      <c r="C406" s="25" t="n">
        <v>173.88</v>
      </c>
      <c r="D406" s="25" t="n">
        <v>22.8</v>
      </c>
      <c r="E406" s="25" t="n">
        <v>0</v>
      </c>
      <c r="F406" s="22" t="n">
        <f aca="false">WEEKDAY(A406,2)</f>
        <v>1</v>
      </c>
      <c r="G406" s="22" t="str">
        <f aca="false">IF(F406=7,IF(B406&gt;=23,"C","Sin turno"),IF(B406&lt;7,"C",IF(B406&lt;14,"A",IF(B406&lt;21,"B",IF(B406&lt;23,"Entre turnos",IF(F406=6,"Sin turno","C"))))))</f>
        <v>B</v>
      </c>
      <c r="H406" s="25" t="n">
        <f aca="false">IF(D406="","",MAX(0,D406-0.5*C406))</f>
        <v>0</v>
      </c>
    </row>
    <row r="407" customFormat="false" ht="15" hidden="false" customHeight="false" outlineLevel="0" collapsed="false">
      <c r="A407" s="21" t="n">
        <v>46237</v>
      </c>
      <c r="B407" s="22" t="n">
        <v>21</v>
      </c>
      <c r="C407" s="25" t="n">
        <v>130.08</v>
      </c>
      <c r="D407" s="25" t="n">
        <v>20.76</v>
      </c>
      <c r="E407" s="25" t="n">
        <v>0</v>
      </c>
      <c r="F407" s="22" t="n">
        <f aca="false">WEEKDAY(A407,2)</f>
        <v>1</v>
      </c>
      <c r="G407" s="22" t="str">
        <f aca="false">IF(F407=7,IF(B407&gt;=23,"C","Sin turno"),IF(B407&lt;7,"C",IF(B407&lt;14,"A",IF(B407&lt;21,"B",IF(B407&lt;23,"Entre turnos",IF(F407=6,"Sin turno","C"))))))</f>
        <v>Entre turnos</v>
      </c>
      <c r="H407" s="25" t="n">
        <f aca="false">IF(D407="","",MAX(0,D407-0.5*C407))</f>
        <v>0</v>
      </c>
    </row>
    <row r="408" customFormat="false" ht="15" hidden="false" customHeight="false" outlineLevel="0" collapsed="false">
      <c r="A408" s="21" t="n">
        <v>46237</v>
      </c>
      <c r="B408" s="22" t="n">
        <v>22</v>
      </c>
      <c r="C408" s="25" t="n">
        <v>104.52</v>
      </c>
      <c r="D408" s="25" t="n">
        <v>14.64</v>
      </c>
      <c r="E408" s="25" t="n">
        <v>0.12</v>
      </c>
      <c r="F408" s="22" t="n">
        <f aca="false">WEEKDAY(A408,2)</f>
        <v>1</v>
      </c>
      <c r="G408" s="22" t="str">
        <f aca="false">IF(F408=7,IF(B408&gt;=23,"C","Sin turno"),IF(B408&lt;7,"C",IF(B408&lt;14,"A",IF(B408&lt;21,"B",IF(B408&lt;23,"Entre turnos",IF(F408=6,"Sin turno","C"))))))</f>
        <v>Entre turnos</v>
      </c>
      <c r="H408" s="25" t="n">
        <f aca="false">IF(D408="","",MAX(0,D408-0.5*C408))</f>
        <v>0</v>
      </c>
    </row>
    <row r="409" customFormat="false" ht="15" hidden="false" customHeight="false" outlineLevel="0" collapsed="false">
      <c r="A409" s="21" t="n">
        <v>46237</v>
      </c>
      <c r="B409" s="22" t="n">
        <v>23</v>
      </c>
      <c r="C409" s="25" t="n">
        <v>103.68</v>
      </c>
      <c r="D409" s="25" t="n">
        <v>15.48</v>
      </c>
      <c r="E409" s="25" t="n">
        <v>0</v>
      </c>
      <c r="F409" s="22" t="n">
        <f aca="false">WEEKDAY(A409,2)</f>
        <v>1</v>
      </c>
      <c r="G409" s="22" t="str">
        <f aca="false">IF(F409=7,IF(B409&gt;=23,"C","Sin turno"),IF(B409&lt;7,"C",IF(B409&lt;14,"A",IF(B409&lt;21,"B",IF(B409&lt;23,"Entre turnos",IF(F409=6,"Sin turno","C"))))))</f>
        <v>C</v>
      </c>
      <c r="H409" s="25" t="n">
        <f aca="false">IF(D409="","",MAX(0,D409-0.5*C409))</f>
        <v>0</v>
      </c>
    </row>
    <row r="410" customFormat="false" ht="15" hidden="false" customHeight="false" outlineLevel="0" collapsed="false">
      <c r="A410" s="21" t="n">
        <v>46238</v>
      </c>
      <c r="B410" s="22" t="n">
        <v>0</v>
      </c>
      <c r="C410" s="25" t="n">
        <v>112.8</v>
      </c>
      <c r="D410" s="25" t="n">
        <v>17.52</v>
      </c>
      <c r="E410" s="25" t="n">
        <v>0</v>
      </c>
      <c r="F410" s="22" t="n">
        <f aca="false">WEEKDAY(A410,2)</f>
        <v>2</v>
      </c>
      <c r="G410" s="22" t="str">
        <f aca="false">IF(F410=7,IF(B410&gt;=23,"C","Sin turno"),IF(B410&lt;7,"C",IF(B410&lt;14,"A",IF(B410&lt;21,"B",IF(B410&lt;23,"Entre turnos",IF(F410=6,"Sin turno","C"))))))</f>
        <v>C</v>
      </c>
      <c r="H410" s="25" t="n">
        <f aca="false">IF(D410="","",MAX(0,D410-0.5*C410))</f>
        <v>0</v>
      </c>
    </row>
    <row r="411" customFormat="false" ht="15" hidden="false" customHeight="false" outlineLevel="0" collapsed="false">
      <c r="A411" s="21" t="n">
        <v>46238</v>
      </c>
      <c r="B411" s="22" t="n">
        <v>1</v>
      </c>
      <c r="C411" s="25" t="n">
        <v>101.04</v>
      </c>
      <c r="D411" s="25" t="n">
        <v>15.12</v>
      </c>
      <c r="E411" s="25" t="n">
        <v>0</v>
      </c>
      <c r="F411" s="22" t="n">
        <f aca="false">WEEKDAY(A411,2)</f>
        <v>2</v>
      </c>
      <c r="G411" s="22" t="str">
        <f aca="false">IF(F411=7,IF(B411&gt;=23,"C","Sin turno"),IF(B411&lt;7,"C",IF(B411&lt;14,"A",IF(B411&lt;21,"B",IF(B411&lt;23,"Entre turnos",IF(F411=6,"Sin turno","C"))))))</f>
        <v>C</v>
      </c>
      <c r="H411" s="25" t="n">
        <f aca="false">IF(D411="","",MAX(0,D411-0.5*C411))</f>
        <v>0</v>
      </c>
    </row>
    <row r="412" customFormat="false" ht="15" hidden="false" customHeight="false" outlineLevel="0" collapsed="false">
      <c r="A412" s="21" t="n">
        <v>46238</v>
      </c>
      <c r="B412" s="22" t="n">
        <v>2</v>
      </c>
      <c r="C412" s="25" t="n">
        <v>100.56</v>
      </c>
      <c r="D412" s="25" t="n">
        <v>14.04</v>
      </c>
      <c r="E412" s="25" t="n">
        <v>0</v>
      </c>
      <c r="F412" s="22" t="n">
        <f aca="false">WEEKDAY(A412,2)</f>
        <v>2</v>
      </c>
      <c r="G412" s="22" t="str">
        <f aca="false">IF(F412=7,IF(B412&gt;=23,"C","Sin turno"),IF(B412&lt;7,"C",IF(B412&lt;14,"A",IF(B412&lt;21,"B",IF(B412&lt;23,"Entre turnos",IF(F412=6,"Sin turno","C"))))))</f>
        <v>C</v>
      </c>
      <c r="H412" s="25" t="n">
        <f aca="false">IF(D412="","",MAX(0,D412-0.5*C412))</f>
        <v>0</v>
      </c>
    </row>
    <row r="413" customFormat="false" ht="15" hidden="false" customHeight="false" outlineLevel="0" collapsed="false">
      <c r="A413" s="21" t="n">
        <v>46238</v>
      </c>
      <c r="B413" s="22" t="n">
        <v>3</v>
      </c>
      <c r="C413" s="25" t="n">
        <v>102.84</v>
      </c>
      <c r="D413" s="25" t="n">
        <v>16.2</v>
      </c>
      <c r="E413" s="25" t="n">
        <v>0</v>
      </c>
      <c r="F413" s="22" t="n">
        <f aca="false">WEEKDAY(A413,2)</f>
        <v>2</v>
      </c>
      <c r="G413" s="22" t="str">
        <f aca="false">IF(F413=7,IF(B413&gt;=23,"C","Sin turno"),IF(B413&lt;7,"C",IF(B413&lt;14,"A",IF(B413&lt;21,"B",IF(B413&lt;23,"Entre turnos",IF(F413=6,"Sin turno","C"))))))</f>
        <v>C</v>
      </c>
      <c r="H413" s="25" t="n">
        <f aca="false">IF(D413="","",MAX(0,D413-0.5*C413))</f>
        <v>0</v>
      </c>
    </row>
    <row r="414" customFormat="false" ht="15" hidden="false" customHeight="false" outlineLevel="0" collapsed="false">
      <c r="A414" s="21" t="n">
        <v>46238</v>
      </c>
      <c r="B414" s="22" t="n">
        <v>4</v>
      </c>
      <c r="C414" s="25" t="n">
        <v>114.24</v>
      </c>
      <c r="D414" s="25" t="n">
        <v>24.24</v>
      </c>
      <c r="E414" s="25" t="n">
        <v>0</v>
      </c>
      <c r="F414" s="22" t="n">
        <f aca="false">WEEKDAY(A414,2)</f>
        <v>2</v>
      </c>
      <c r="G414" s="22" t="str">
        <f aca="false">IF(F414=7,IF(B414&gt;=23,"C","Sin turno"),IF(B414&lt;7,"C",IF(B414&lt;14,"A",IF(B414&lt;21,"B",IF(B414&lt;23,"Entre turnos",IF(F414=6,"Sin turno","C"))))))</f>
        <v>C</v>
      </c>
      <c r="H414" s="25" t="n">
        <f aca="false">IF(D414="","",MAX(0,D414-0.5*C414))</f>
        <v>0</v>
      </c>
    </row>
    <row r="415" customFormat="false" ht="15" hidden="false" customHeight="false" outlineLevel="0" collapsed="false">
      <c r="A415" s="21" t="n">
        <v>46238</v>
      </c>
      <c r="B415" s="22" t="n">
        <v>5</v>
      </c>
      <c r="C415" s="25" t="n">
        <v>120.84</v>
      </c>
      <c r="D415" s="25" t="n">
        <v>23.88</v>
      </c>
      <c r="E415" s="25" t="n">
        <v>0</v>
      </c>
      <c r="F415" s="22" t="n">
        <f aca="false">WEEKDAY(A415,2)</f>
        <v>2</v>
      </c>
      <c r="G415" s="22" t="str">
        <f aca="false">IF(F415=7,IF(B415&gt;=23,"C","Sin turno"),IF(B415&lt;7,"C",IF(B415&lt;14,"A",IF(B415&lt;21,"B",IF(B415&lt;23,"Entre turnos",IF(F415=6,"Sin turno","C"))))))</f>
        <v>C</v>
      </c>
      <c r="H415" s="25" t="n">
        <f aca="false">IF(D415="","",MAX(0,D415-0.5*C415))</f>
        <v>0</v>
      </c>
    </row>
    <row r="416" customFormat="false" ht="15" hidden="false" customHeight="false" outlineLevel="0" collapsed="false">
      <c r="A416" s="21" t="n">
        <v>46238</v>
      </c>
      <c r="B416" s="22" t="n">
        <v>6</v>
      </c>
      <c r="C416" s="25" t="n">
        <v>134.52</v>
      </c>
      <c r="D416" s="25" t="n">
        <v>16.56</v>
      </c>
      <c r="E416" s="25" t="n">
        <v>0.96</v>
      </c>
      <c r="F416" s="22" t="n">
        <f aca="false">WEEKDAY(A416,2)</f>
        <v>2</v>
      </c>
      <c r="G416" s="22" t="str">
        <f aca="false">IF(F416=7,IF(B416&gt;=23,"C","Sin turno"),IF(B416&lt;7,"C",IF(B416&lt;14,"A",IF(B416&lt;21,"B",IF(B416&lt;23,"Entre turnos",IF(F416=6,"Sin turno","C"))))))</f>
        <v>C</v>
      </c>
      <c r="H416" s="25" t="n">
        <f aca="false">IF(D416="","",MAX(0,D416-0.5*C416))</f>
        <v>0</v>
      </c>
    </row>
    <row r="417" customFormat="false" ht="15" hidden="false" customHeight="false" outlineLevel="0" collapsed="false">
      <c r="A417" s="21" t="n">
        <v>46238</v>
      </c>
      <c r="B417" s="22" t="n">
        <v>7</v>
      </c>
      <c r="C417" s="25" t="n">
        <v>235.56</v>
      </c>
      <c r="D417" s="25" t="n">
        <v>19.44</v>
      </c>
      <c r="E417" s="25" t="n">
        <v>0</v>
      </c>
      <c r="F417" s="22" t="n">
        <f aca="false">WEEKDAY(A417,2)</f>
        <v>2</v>
      </c>
      <c r="G417" s="22" t="str">
        <f aca="false">IF(F417=7,IF(B417&gt;=23,"C","Sin turno"),IF(B417&lt;7,"C",IF(B417&lt;14,"A",IF(B417&lt;21,"B",IF(B417&lt;23,"Entre turnos",IF(F417=6,"Sin turno","C"))))))</f>
        <v>A</v>
      </c>
      <c r="H417" s="25" t="n">
        <f aca="false">IF(D417="","",MAX(0,D417-0.5*C417))</f>
        <v>0</v>
      </c>
    </row>
    <row r="418" customFormat="false" ht="15" hidden="false" customHeight="false" outlineLevel="0" collapsed="false">
      <c r="A418" s="21" t="n">
        <v>46238</v>
      </c>
      <c r="B418" s="22" t="n">
        <v>8</v>
      </c>
      <c r="C418" s="25" t="n">
        <v>215.88</v>
      </c>
      <c r="D418" s="25" t="n">
        <v>22.92</v>
      </c>
      <c r="E418" s="25" t="n">
        <v>0.12</v>
      </c>
      <c r="F418" s="22" t="n">
        <f aca="false">WEEKDAY(A418,2)</f>
        <v>2</v>
      </c>
      <c r="G418" s="22" t="str">
        <f aca="false">IF(F418=7,IF(B418&gt;=23,"C","Sin turno"),IF(B418&lt;7,"C",IF(B418&lt;14,"A",IF(B418&lt;21,"B",IF(B418&lt;23,"Entre turnos",IF(F418=6,"Sin turno","C"))))))</f>
        <v>A</v>
      </c>
      <c r="H418" s="25" t="n">
        <f aca="false">IF(D418="","",MAX(0,D418-0.5*C418))</f>
        <v>0</v>
      </c>
    </row>
    <row r="419" customFormat="false" ht="15" hidden="false" customHeight="false" outlineLevel="0" collapsed="false">
      <c r="A419" s="21" t="n">
        <v>46238</v>
      </c>
      <c r="B419" s="22" t="n">
        <v>9</v>
      </c>
      <c r="C419" s="25" t="n">
        <v>190.8</v>
      </c>
      <c r="D419" s="25" t="n">
        <v>20.64</v>
      </c>
      <c r="E419" s="25" t="n">
        <v>0</v>
      </c>
      <c r="F419" s="22" t="n">
        <f aca="false">WEEKDAY(A419,2)</f>
        <v>2</v>
      </c>
      <c r="G419" s="22" t="str">
        <f aca="false">IF(F419=7,IF(B419&gt;=23,"C","Sin turno"),IF(B419&lt;7,"C",IF(B419&lt;14,"A",IF(B419&lt;21,"B",IF(B419&lt;23,"Entre turnos",IF(F419=6,"Sin turno","C"))))))</f>
        <v>A</v>
      </c>
      <c r="H419" s="25" t="n">
        <f aca="false">IF(D419="","",MAX(0,D419-0.5*C419))</f>
        <v>0</v>
      </c>
    </row>
    <row r="420" customFormat="false" ht="15" hidden="false" customHeight="false" outlineLevel="0" collapsed="false">
      <c r="A420" s="21" t="n">
        <v>46238</v>
      </c>
      <c r="B420" s="22" t="n">
        <v>10</v>
      </c>
      <c r="C420" s="25" t="n">
        <v>162.24</v>
      </c>
      <c r="D420" s="25" t="n">
        <v>18.24</v>
      </c>
      <c r="E420" s="25" t="n">
        <v>0.36</v>
      </c>
      <c r="F420" s="22" t="n">
        <f aca="false">WEEKDAY(A420,2)</f>
        <v>2</v>
      </c>
      <c r="G420" s="22" t="str">
        <f aca="false">IF(F420=7,IF(B420&gt;=23,"C","Sin turno"),IF(B420&lt;7,"C",IF(B420&lt;14,"A",IF(B420&lt;21,"B",IF(B420&lt;23,"Entre turnos",IF(F420=6,"Sin turno","C"))))))</f>
        <v>A</v>
      </c>
      <c r="H420" s="25" t="n">
        <f aca="false">IF(D420="","",MAX(0,D420-0.5*C420))</f>
        <v>0</v>
      </c>
    </row>
    <row r="421" customFormat="false" ht="15" hidden="false" customHeight="false" outlineLevel="0" collapsed="false">
      <c r="A421" s="21" t="n">
        <v>46238</v>
      </c>
      <c r="B421" s="22" t="n">
        <v>11</v>
      </c>
      <c r="C421" s="25" t="n">
        <v>170.52</v>
      </c>
      <c r="D421" s="25" t="n">
        <v>19.2</v>
      </c>
      <c r="E421" s="25" t="n">
        <v>0</v>
      </c>
      <c r="F421" s="22" t="n">
        <f aca="false">WEEKDAY(A421,2)</f>
        <v>2</v>
      </c>
      <c r="G421" s="22" t="str">
        <f aca="false">IF(F421=7,IF(B421&gt;=23,"C","Sin turno"),IF(B421&lt;7,"C",IF(B421&lt;14,"A",IF(B421&lt;21,"B",IF(B421&lt;23,"Entre turnos",IF(F421=6,"Sin turno","C"))))))</f>
        <v>A</v>
      </c>
      <c r="H421" s="25" t="n">
        <f aca="false">IF(D421="","",MAX(0,D421-0.5*C421))</f>
        <v>0</v>
      </c>
    </row>
    <row r="422" customFormat="false" ht="15" hidden="false" customHeight="false" outlineLevel="0" collapsed="false">
      <c r="A422" s="21" t="n">
        <v>46238</v>
      </c>
      <c r="B422" s="22" t="n">
        <v>12</v>
      </c>
      <c r="C422" s="25" t="n">
        <v>200.28</v>
      </c>
      <c r="D422" s="25" t="n">
        <v>23.64</v>
      </c>
      <c r="E422" s="25" t="n">
        <v>0.12</v>
      </c>
      <c r="F422" s="22" t="n">
        <f aca="false">WEEKDAY(A422,2)</f>
        <v>2</v>
      </c>
      <c r="G422" s="22" t="str">
        <f aca="false">IF(F422=7,IF(B422&gt;=23,"C","Sin turno"),IF(B422&lt;7,"C",IF(B422&lt;14,"A",IF(B422&lt;21,"B",IF(B422&lt;23,"Entre turnos",IF(F422=6,"Sin turno","C"))))))</f>
        <v>A</v>
      </c>
      <c r="H422" s="25" t="n">
        <f aca="false">IF(D422="","",MAX(0,D422-0.5*C422))</f>
        <v>0</v>
      </c>
    </row>
    <row r="423" customFormat="false" ht="15" hidden="false" customHeight="false" outlineLevel="0" collapsed="false">
      <c r="A423" s="21" t="n">
        <v>46238</v>
      </c>
      <c r="B423" s="22" t="n">
        <v>13</v>
      </c>
      <c r="C423" s="25" t="n">
        <v>223.32</v>
      </c>
      <c r="D423" s="25" t="n">
        <v>22.44</v>
      </c>
      <c r="E423" s="25" t="n">
        <v>0</v>
      </c>
      <c r="F423" s="22" t="n">
        <f aca="false">WEEKDAY(A423,2)</f>
        <v>2</v>
      </c>
      <c r="G423" s="22" t="str">
        <f aca="false">IF(F423=7,IF(B423&gt;=23,"C","Sin turno"),IF(B423&lt;7,"C",IF(B423&lt;14,"A",IF(B423&lt;21,"B",IF(B423&lt;23,"Entre turnos",IF(F423=6,"Sin turno","C"))))))</f>
        <v>A</v>
      </c>
      <c r="H423" s="25" t="n">
        <f aca="false">IF(D423="","",MAX(0,D423-0.5*C423))</f>
        <v>0</v>
      </c>
    </row>
    <row r="424" customFormat="false" ht="15" hidden="false" customHeight="false" outlineLevel="0" collapsed="false">
      <c r="A424" s="21" t="n">
        <v>46238</v>
      </c>
      <c r="B424" s="22" t="n">
        <v>14</v>
      </c>
      <c r="C424" s="25" t="n">
        <v>217.32</v>
      </c>
      <c r="D424" s="25" t="n">
        <v>22.44</v>
      </c>
      <c r="E424" s="25" t="n">
        <v>0</v>
      </c>
      <c r="F424" s="22" t="n">
        <f aca="false">WEEKDAY(A424,2)</f>
        <v>2</v>
      </c>
      <c r="G424" s="22" t="str">
        <f aca="false">IF(F424=7,IF(B424&gt;=23,"C","Sin turno"),IF(B424&lt;7,"C",IF(B424&lt;14,"A",IF(B424&lt;21,"B",IF(B424&lt;23,"Entre turnos",IF(F424=6,"Sin turno","C"))))))</f>
        <v>B</v>
      </c>
      <c r="H424" s="25" t="n">
        <f aca="false">IF(D424="","",MAX(0,D424-0.5*C424))</f>
        <v>0</v>
      </c>
    </row>
    <row r="425" customFormat="false" ht="15" hidden="false" customHeight="false" outlineLevel="0" collapsed="false">
      <c r="A425" s="21" t="n">
        <v>46238</v>
      </c>
      <c r="B425" s="22" t="n">
        <v>15</v>
      </c>
      <c r="C425" s="25" t="n">
        <v>237.6</v>
      </c>
      <c r="D425" s="25" t="n">
        <v>22.92</v>
      </c>
      <c r="E425" s="25" t="n">
        <v>0</v>
      </c>
      <c r="F425" s="22" t="n">
        <f aca="false">WEEKDAY(A425,2)</f>
        <v>2</v>
      </c>
      <c r="G425" s="22" t="str">
        <f aca="false">IF(F425=7,IF(B425&gt;=23,"C","Sin turno"),IF(B425&lt;7,"C",IF(B425&lt;14,"A",IF(B425&lt;21,"B",IF(B425&lt;23,"Entre turnos",IF(F425=6,"Sin turno","C"))))))</f>
        <v>B</v>
      </c>
      <c r="H425" s="25" t="n">
        <f aca="false">IF(D425="","",MAX(0,D425-0.5*C425))</f>
        <v>0</v>
      </c>
    </row>
    <row r="426" customFormat="false" ht="15" hidden="false" customHeight="false" outlineLevel="0" collapsed="false">
      <c r="A426" s="21" t="n">
        <v>46238</v>
      </c>
      <c r="B426" s="22" t="n">
        <v>16</v>
      </c>
      <c r="C426" s="25" t="n">
        <v>223.56</v>
      </c>
      <c r="D426" s="25" t="n">
        <v>22.68</v>
      </c>
      <c r="E426" s="25" t="n">
        <v>0</v>
      </c>
      <c r="F426" s="22" t="n">
        <f aca="false">WEEKDAY(A426,2)</f>
        <v>2</v>
      </c>
      <c r="G426" s="22" t="str">
        <f aca="false">IF(F426=7,IF(B426&gt;=23,"C","Sin turno"),IF(B426&lt;7,"C",IF(B426&lt;14,"A",IF(B426&lt;21,"B",IF(B426&lt;23,"Entre turnos",IF(F426=6,"Sin turno","C"))))))</f>
        <v>B</v>
      </c>
      <c r="H426" s="25" t="n">
        <f aca="false">IF(D426="","",MAX(0,D426-0.5*C426))</f>
        <v>0</v>
      </c>
    </row>
    <row r="427" customFormat="false" ht="15" hidden="false" customHeight="false" outlineLevel="0" collapsed="false">
      <c r="A427" s="21" t="n">
        <v>46238</v>
      </c>
      <c r="B427" s="22" t="n">
        <v>17</v>
      </c>
      <c r="C427" s="25" t="n">
        <v>189.36</v>
      </c>
      <c r="D427" s="25" t="n">
        <v>24.36</v>
      </c>
      <c r="E427" s="25" t="n">
        <v>0.12</v>
      </c>
      <c r="F427" s="22" t="n">
        <f aca="false">WEEKDAY(A427,2)</f>
        <v>2</v>
      </c>
      <c r="G427" s="22" t="str">
        <f aca="false">IF(F427=7,IF(B427&gt;=23,"C","Sin turno"),IF(B427&lt;7,"C",IF(B427&lt;14,"A",IF(B427&lt;21,"B",IF(B427&lt;23,"Entre turnos",IF(F427=6,"Sin turno","C"))))))</f>
        <v>B</v>
      </c>
      <c r="H427" s="25" t="n">
        <f aca="false">IF(D427="","",MAX(0,D427-0.5*C427))</f>
        <v>0</v>
      </c>
    </row>
    <row r="428" customFormat="false" ht="15" hidden="false" customHeight="false" outlineLevel="0" collapsed="false">
      <c r="A428" s="21" t="n">
        <v>46238</v>
      </c>
      <c r="B428" s="22" t="n">
        <v>18</v>
      </c>
      <c r="C428" s="25" t="n">
        <v>186.36</v>
      </c>
      <c r="D428" s="25" t="n">
        <v>18.6</v>
      </c>
      <c r="E428" s="25" t="n">
        <v>0</v>
      </c>
      <c r="F428" s="22" t="n">
        <f aca="false">WEEKDAY(A428,2)</f>
        <v>2</v>
      </c>
      <c r="G428" s="22" t="str">
        <f aca="false">IF(F428=7,IF(B428&gt;=23,"C","Sin turno"),IF(B428&lt;7,"C",IF(B428&lt;14,"A",IF(B428&lt;21,"B",IF(B428&lt;23,"Entre turnos",IF(F428=6,"Sin turno","C"))))))</f>
        <v>B</v>
      </c>
      <c r="H428" s="25" t="n">
        <f aca="false">IF(D428="","",MAX(0,D428-0.5*C428))</f>
        <v>0</v>
      </c>
    </row>
    <row r="429" customFormat="false" ht="15" hidden="false" customHeight="false" outlineLevel="0" collapsed="false">
      <c r="A429" s="21" t="n">
        <v>46238</v>
      </c>
      <c r="B429" s="22" t="n">
        <v>19</v>
      </c>
      <c r="C429" s="25" t="n">
        <v>190.92</v>
      </c>
      <c r="D429" s="25" t="n">
        <v>18.48</v>
      </c>
      <c r="E429" s="25" t="n">
        <v>0</v>
      </c>
      <c r="F429" s="22" t="n">
        <f aca="false">WEEKDAY(A429,2)</f>
        <v>2</v>
      </c>
      <c r="G429" s="22" t="str">
        <f aca="false">IF(F429=7,IF(B429&gt;=23,"C","Sin turno"),IF(B429&lt;7,"C",IF(B429&lt;14,"A",IF(B429&lt;21,"B",IF(B429&lt;23,"Entre turnos",IF(F429=6,"Sin turno","C"))))))</f>
        <v>B</v>
      </c>
      <c r="H429" s="25" t="n">
        <f aca="false">IF(D429="","",MAX(0,D429-0.5*C429))</f>
        <v>0</v>
      </c>
    </row>
    <row r="430" customFormat="false" ht="15" hidden="false" customHeight="false" outlineLevel="0" collapsed="false">
      <c r="A430" s="21" t="n">
        <v>46238</v>
      </c>
      <c r="B430" s="22" t="n">
        <v>20</v>
      </c>
      <c r="C430" s="25" t="n">
        <v>184.08</v>
      </c>
      <c r="D430" s="25" t="n">
        <v>17.76</v>
      </c>
      <c r="E430" s="25" t="n">
        <v>0</v>
      </c>
      <c r="F430" s="22" t="n">
        <f aca="false">WEEKDAY(A430,2)</f>
        <v>2</v>
      </c>
      <c r="G430" s="22" t="str">
        <f aca="false">IF(F430=7,IF(B430&gt;=23,"C","Sin turno"),IF(B430&lt;7,"C",IF(B430&lt;14,"A",IF(B430&lt;21,"B",IF(B430&lt;23,"Entre turnos",IF(F430=6,"Sin turno","C"))))))</f>
        <v>B</v>
      </c>
      <c r="H430" s="25" t="n">
        <f aca="false">IF(D430="","",MAX(0,D430-0.5*C430))</f>
        <v>0</v>
      </c>
    </row>
    <row r="431" customFormat="false" ht="15" hidden="false" customHeight="false" outlineLevel="0" collapsed="false">
      <c r="A431" s="21" t="n">
        <v>46238</v>
      </c>
      <c r="B431" s="22" t="n">
        <v>21</v>
      </c>
      <c r="C431" s="25" t="n">
        <v>142.08</v>
      </c>
      <c r="D431" s="25" t="n">
        <v>23.04</v>
      </c>
      <c r="E431" s="25" t="n">
        <v>0</v>
      </c>
      <c r="F431" s="22" t="n">
        <f aca="false">WEEKDAY(A431,2)</f>
        <v>2</v>
      </c>
      <c r="G431" s="22" t="str">
        <f aca="false">IF(F431=7,IF(B431&gt;=23,"C","Sin turno"),IF(B431&lt;7,"C",IF(B431&lt;14,"A",IF(B431&lt;21,"B",IF(B431&lt;23,"Entre turnos",IF(F431=6,"Sin turno","C"))))))</f>
        <v>Entre turnos</v>
      </c>
      <c r="H431" s="25" t="n">
        <f aca="false">IF(D431="","",MAX(0,D431-0.5*C431))</f>
        <v>0</v>
      </c>
    </row>
    <row r="432" customFormat="false" ht="15" hidden="false" customHeight="false" outlineLevel="0" collapsed="false">
      <c r="A432" s="21" t="n">
        <v>46238</v>
      </c>
      <c r="B432" s="22" t="n">
        <v>22</v>
      </c>
      <c r="C432" s="25" t="n">
        <v>119.16</v>
      </c>
      <c r="D432" s="25" t="n">
        <v>23.28</v>
      </c>
      <c r="E432" s="25" t="n">
        <v>0.12</v>
      </c>
      <c r="F432" s="22" t="n">
        <f aca="false">WEEKDAY(A432,2)</f>
        <v>2</v>
      </c>
      <c r="G432" s="22" t="str">
        <f aca="false">IF(F432=7,IF(B432&gt;=23,"C","Sin turno"),IF(B432&lt;7,"C",IF(B432&lt;14,"A",IF(B432&lt;21,"B",IF(B432&lt;23,"Entre turnos",IF(F432=6,"Sin turno","C"))))))</f>
        <v>Entre turnos</v>
      </c>
      <c r="H432" s="25" t="n">
        <f aca="false">IF(D432="","",MAX(0,D432-0.5*C432))</f>
        <v>0</v>
      </c>
    </row>
    <row r="433" customFormat="false" ht="15" hidden="false" customHeight="false" outlineLevel="0" collapsed="false">
      <c r="A433" s="21" t="n">
        <v>46238</v>
      </c>
      <c r="B433" s="22" t="n">
        <v>23</v>
      </c>
      <c r="C433" s="25" t="n">
        <v>124.2</v>
      </c>
      <c r="D433" s="25" t="n">
        <v>25.2</v>
      </c>
      <c r="E433" s="25" t="n">
        <v>0</v>
      </c>
      <c r="F433" s="22" t="n">
        <f aca="false">WEEKDAY(A433,2)</f>
        <v>2</v>
      </c>
      <c r="G433" s="22" t="str">
        <f aca="false">IF(F433=7,IF(B433&gt;=23,"C","Sin turno"),IF(B433&lt;7,"C",IF(B433&lt;14,"A",IF(B433&lt;21,"B",IF(B433&lt;23,"Entre turnos",IF(F433=6,"Sin turno","C"))))))</f>
        <v>C</v>
      </c>
      <c r="H433" s="25" t="n">
        <f aca="false">IF(D433="","",MAX(0,D433-0.5*C433))</f>
        <v>0</v>
      </c>
    </row>
    <row r="434" customFormat="false" ht="15" hidden="false" customHeight="false" outlineLevel="0" collapsed="false">
      <c r="A434" s="21" t="n">
        <v>46239</v>
      </c>
      <c r="B434" s="22" t="n">
        <v>0</v>
      </c>
      <c r="C434" s="25" t="n">
        <v>123.96</v>
      </c>
      <c r="D434" s="25" t="n">
        <v>25.8</v>
      </c>
      <c r="E434" s="25" t="n">
        <v>0</v>
      </c>
      <c r="F434" s="22" t="n">
        <f aca="false">WEEKDAY(A434,2)</f>
        <v>3</v>
      </c>
      <c r="G434" s="22" t="str">
        <f aca="false">IF(F434=7,IF(B434&gt;=23,"C","Sin turno"),IF(B434&lt;7,"C",IF(B434&lt;14,"A",IF(B434&lt;21,"B",IF(B434&lt;23,"Entre turnos",IF(F434=6,"Sin turno","C"))))))</f>
        <v>C</v>
      </c>
      <c r="H434" s="25" t="n">
        <f aca="false">IF(D434="","",MAX(0,D434-0.5*C434))</f>
        <v>0</v>
      </c>
    </row>
    <row r="435" customFormat="false" ht="15" hidden="false" customHeight="false" outlineLevel="0" collapsed="false">
      <c r="A435" s="21" t="n">
        <v>46239</v>
      </c>
      <c r="B435" s="22" t="n">
        <v>1</v>
      </c>
      <c r="C435" s="25" t="n">
        <v>123.6</v>
      </c>
      <c r="D435" s="25" t="n">
        <v>25.68</v>
      </c>
      <c r="E435" s="25" t="n">
        <v>0</v>
      </c>
      <c r="F435" s="22" t="n">
        <f aca="false">WEEKDAY(A435,2)</f>
        <v>3</v>
      </c>
      <c r="G435" s="22" t="str">
        <f aca="false">IF(F435=7,IF(B435&gt;=23,"C","Sin turno"),IF(B435&lt;7,"C",IF(B435&lt;14,"A",IF(B435&lt;21,"B",IF(B435&lt;23,"Entre turnos",IF(F435=6,"Sin turno","C"))))))</f>
        <v>C</v>
      </c>
      <c r="H435" s="25" t="n">
        <f aca="false">IF(D435="","",MAX(0,D435-0.5*C435))</f>
        <v>0</v>
      </c>
    </row>
    <row r="436" customFormat="false" ht="15" hidden="false" customHeight="false" outlineLevel="0" collapsed="false">
      <c r="A436" s="21" t="n">
        <v>46239</v>
      </c>
      <c r="B436" s="22" t="n">
        <v>2</v>
      </c>
      <c r="C436" s="25" t="n">
        <v>122.04</v>
      </c>
      <c r="D436" s="25" t="n">
        <v>26.16</v>
      </c>
      <c r="E436" s="25" t="n">
        <v>0</v>
      </c>
      <c r="F436" s="22" t="n">
        <f aca="false">WEEKDAY(A436,2)</f>
        <v>3</v>
      </c>
      <c r="G436" s="22" t="str">
        <f aca="false">IF(F436=7,IF(B436&gt;=23,"C","Sin turno"),IF(B436&lt;7,"C",IF(B436&lt;14,"A",IF(B436&lt;21,"B",IF(B436&lt;23,"Entre turnos",IF(F436=6,"Sin turno","C"))))))</f>
        <v>C</v>
      </c>
      <c r="H436" s="25" t="n">
        <f aca="false">IF(D436="","",MAX(0,D436-0.5*C436))</f>
        <v>0</v>
      </c>
    </row>
    <row r="437" customFormat="false" ht="15" hidden="false" customHeight="false" outlineLevel="0" collapsed="false">
      <c r="A437" s="21" t="n">
        <v>46239</v>
      </c>
      <c r="B437" s="22" t="n">
        <v>3</v>
      </c>
      <c r="C437" s="25" t="n">
        <v>118.32</v>
      </c>
      <c r="D437" s="25" t="n">
        <v>25.44</v>
      </c>
      <c r="E437" s="25" t="n">
        <v>0.12</v>
      </c>
      <c r="F437" s="22" t="n">
        <f aca="false">WEEKDAY(A437,2)</f>
        <v>3</v>
      </c>
      <c r="G437" s="22" t="str">
        <f aca="false">IF(F437=7,IF(B437&gt;=23,"C","Sin turno"),IF(B437&lt;7,"C",IF(B437&lt;14,"A",IF(B437&lt;21,"B",IF(B437&lt;23,"Entre turnos",IF(F437=6,"Sin turno","C"))))))</f>
        <v>C</v>
      </c>
      <c r="H437" s="25" t="n">
        <f aca="false">IF(D437="","",MAX(0,D437-0.5*C437))</f>
        <v>0</v>
      </c>
    </row>
    <row r="438" customFormat="false" ht="15" hidden="false" customHeight="false" outlineLevel="0" collapsed="false">
      <c r="A438" s="21" t="n">
        <v>46239</v>
      </c>
      <c r="B438" s="22" t="n">
        <v>4</v>
      </c>
      <c r="C438" s="25" t="n">
        <v>117.12</v>
      </c>
      <c r="D438" s="25" t="n">
        <v>26.88</v>
      </c>
      <c r="E438" s="25" t="n">
        <v>0</v>
      </c>
      <c r="F438" s="22" t="n">
        <f aca="false">WEEKDAY(A438,2)</f>
        <v>3</v>
      </c>
      <c r="G438" s="22" t="str">
        <f aca="false">IF(F438=7,IF(B438&gt;=23,"C","Sin turno"),IF(B438&lt;7,"C",IF(B438&lt;14,"A",IF(B438&lt;21,"B",IF(B438&lt;23,"Entre turnos",IF(F438=6,"Sin turno","C"))))))</f>
        <v>C</v>
      </c>
      <c r="H438" s="25" t="n">
        <f aca="false">IF(D438="","",MAX(0,D438-0.5*C438))</f>
        <v>0</v>
      </c>
    </row>
    <row r="439" customFormat="false" ht="15" hidden="false" customHeight="false" outlineLevel="0" collapsed="false">
      <c r="A439" s="21" t="n">
        <v>46239</v>
      </c>
      <c r="B439" s="22" t="n">
        <v>5</v>
      </c>
      <c r="C439" s="25" t="n">
        <v>120.24</v>
      </c>
      <c r="D439" s="25" t="n">
        <v>25.44</v>
      </c>
      <c r="E439" s="25" t="n">
        <v>0</v>
      </c>
      <c r="F439" s="22" t="n">
        <f aca="false">WEEKDAY(A439,2)</f>
        <v>3</v>
      </c>
      <c r="G439" s="22" t="str">
        <f aca="false">IF(F439=7,IF(B439&gt;=23,"C","Sin turno"),IF(B439&lt;7,"C",IF(B439&lt;14,"A",IF(B439&lt;21,"B",IF(B439&lt;23,"Entre turnos",IF(F439=6,"Sin turno","C"))))))</f>
        <v>C</v>
      </c>
      <c r="H439" s="25" t="n">
        <f aca="false">IF(D439="","",MAX(0,D439-0.5*C439))</f>
        <v>0</v>
      </c>
    </row>
    <row r="440" customFormat="false" ht="15" hidden="false" customHeight="false" outlineLevel="0" collapsed="false">
      <c r="A440" s="21" t="n">
        <v>46239</v>
      </c>
      <c r="B440" s="22" t="n">
        <v>6</v>
      </c>
      <c r="C440" s="25" t="n">
        <v>136.56</v>
      </c>
      <c r="D440" s="25" t="n">
        <v>15.84</v>
      </c>
      <c r="E440" s="25" t="n">
        <v>0.84</v>
      </c>
      <c r="F440" s="22" t="n">
        <f aca="false">WEEKDAY(A440,2)</f>
        <v>3</v>
      </c>
      <c r="G440" s="22" t="str">
        <f aca="false">IF(F440=7,IF(B440&gt;=23,"C","Sin turno"),IF(B440&lt;7,"C",IF(B440&lt;14,"A",IF(B440&lt;21,"B",IF(B440&lt;23,"Entre turnos",IF(F440=6,"Sin turno","C"))))))</f>
        <v>C</v>
      </c>
      <c r="H440" s="25" t="n">
        <f aca="false">IF(D440="","",MAX(0,D440-0.5*C440))</f>
        <v>0</v>
      </c>
    </row>
    <row r="441" customFormat="false" ht="15" hidden="false" customHeight="false" outlineLevel="0" collapsed="false">
      <c r="A441" s="21" t="n">
        <v>46239</v>
      </c>
      <c r="B441" s="22" t="n">
        <v>7</v>
      </c>
      <c r="C441" s="25" t="n">
        <v>240.12</v>
      </c>
      <c r="D441" s="25" t="n">
        <v>21.84</v>
      </c>
      <c r="E441" s="25" t="n">
        <v>0</v>
      </c>
      <c r="F441" s="22" t="n">
        <f aca="false">WEEKDAY(A441,2)</f>
        <v>3</v>
      </c>
      <c r="G441" s="22" t="str">
        <f aca="false">IF(F441=7,IF(B441&gt;=23,"C","Sin turno"),IF(B441&lt;7,"C",IF(B441&lt;14,"A",IF(B441&lt;21,"B",IF(B441&lt;23,"Entre turnos",IF(F441=6,"Sin turno","C"))))))</f>
        <v>A</v>
      </c>
      <c r="H441" s="25" t="n">
        <f aca="false">IF(D441="","",MAX(0,D441-0.5*C441))</f>
        <v>0</v>
      </c>
    </row>
    <row r="442" customFormat="false" ht="15" hidden="false" customHeight="false" outlineLevel="0" collapsed="false">
      <c r="A442" s="21" t="n">
        <v>46239</v>
      </c>
      <c r="B442" s="22" t="n">
        <v>8</v>
      </c>
      <c r="C442" s="25" t="n">
        <v>252.84</v>
      </c>
      <c r="D442" s="25" t="n">
        <v>25.92</v>
      </c>
      <c r="E442" s="25" t="n">
        <v>0</v>
      </c>
      <c r="F442" s="22" t="n">
        <f aca="false">WEEKDAY(A442,2)</f>
        <v>3</v>
      </c>
      <c r="G442" s="22" t="str">
        <f aca="false">IF(F442=7,IF(B442&gt;=23,"C","Sin turno"),IF(B442&lt;7,"C",IF(B442&lt;14,"A",IF(B442&lt;21,"B",IF(B442&lt;23,"Entre turnos",IF(F442=6,"Sin turno","C"))))))</f>
        <v>A</v>
      </c>
      <c r="H442" s="25" t="n">
        <f aca="false">IF(D442="","",MAX(0,D442-0.5*C442))</f>
        <v>0</v>
      </c>
    </row>
    <row r="443" customFormat="false" ht="15" hidden="false" customHeight="false" outlineLevel="0" collapsed="false">
      <c r="A443" s="21" t="n">
        <v>46239</v>
      </c>
      <c r="B443" s="22" t="n">
        <v>9</v>
      </c>
      <c r="C443" s="25" t="n">
        <v>266.16</v>
      </c>
      <c r="D443" s="25" t="n">
        <v>27.24</v>
      </c>
      <c r="E443" s="25" t="n">
        <v>0</v>
      </c>
      <c r="F443" s="22" t="n">
        <f aca="false">WEEKDAY(A443,2)</f>
        <v>3</v>
      </c>
      <c r="G443" s="22" t="str">
        <f aca="false">IF(F443=7,IF(B443&gt;=23,"C","Sin turno"),IF(B443&lt;7,"C",IF(B443&lt;14,"A",IF(B443&lt;21,"B",IF(B443&lt;23,"Entre turnos",IF(F443=6,"Sin turno","C"))))))</f>
        <v>A</v>
      </c>
      <c r="H443" s="25" t="n">
        <f aca="false">IF(D443="","",MAX(0,D443-0.5*C443))</f>
        <v>0</v>
      </c>
    </row>
    <row r="444" customFormat="false" ht="15" hidden="false" customHeight="false" outlineLevel="0" collapsed="false">
      <c r="A444" s="21" t="n">
        <v>46239</v>
      </c>
      <c r="B444" s="22" t="n">
        <v>10</v>
      </c>
      <c r="C444" s="25" t="n">
        <v>236.4</v>
      </c>
      <c r="D444" s="25" t="n">
        <v>18</v>
      </c>
      <c r="E444" s="25" t="n">
        <v>0.12</v>
      </c>
      <c r="F444" s="22" t="n">
        <f aca="false">WEEKDAY(A444,2)</f>
        <v>3</v>
      </c>
      <c r="G444" s="22" t="str">
        <f aca="false">IF(F444=7,IF(B444&gt;=23,"C","Sin turno"),IF(B444&lt;7,"C",IF(B444&lt;14,"A",IF(B444&lt;21,"B",IF(B444&lt;23,"Entre turnos",IF(F444=6,"Sin turno","C"))))))</f>
        <v>A</v>
      </c>
      <c r="H444" s="25" t="n">
        <f aca="false">IF(D444="","",MAX(0,D444-0.5*C444))</f>
        <v>0</v>
      </c>
    </row>
    <row r="445" customFormat="false" ht="15" hidden="false" customHeight="false" outlineLevel="0" collapsed="false">
      <c r="A445" s="21" t="n">
        <v>46239</v>
      </c>
      <c r="B445" s="22" t="n">
        <v>11</v>
      </c>
      <c r="C445" s="25" t="n">
        <v>231.36</v>
      </c>
      <c r="D445" s="25" t="n">
        <v>27</v>
      </c>
      <c r="E445" s="25" t="n">
        <v>0</v>
      </c>
      <c r="F445" s="22" t="n">
        <f aca="false">WEEKDAY(A445,2)</f>
        <v>3</v>
      </c>
      <c r="G445" s="22" t="str">
        <f aca="false">IF(F445=7,IF(B445&gt;=23,"C","Sin turno"),IF(B445&lt;7,"C",IF(B445&lt;14,"A",IF(B445&lt;21,"B",IF(B445&lt;23,"Entre turnos",IF(F445=6,"Sin turno","C"))))))</f>
        <v>A</v>
      </c>
      <c r="H445" s="25" t="n">
        <f aca="false">IF(D445="","",MAX(0,D445-0.5*C445))</f>
        <v>0</v>
      </c>
    </row>
    <row r="446" customFormat="false" ht="15" hidden="false" customHeight="false" outlineLevel="0" collapsed="false">
      <c r="A446" s="21" t="n">
        <v>46239</v>
      </c>
      <c r="B446" s="22" t="n">
        <v>12</v>
      </c>
      <c r="C446" s="25" t="n">
        <v>240.6</v>
      </c>
      <c r="D446" s="25" t="n">
        <v>24.12</v>
      </c>
      <c r="E446" s="25" t="n">
        <v>0</v>
      </c>
      <c r="F446" s="22" t="n">
        <f aca="false">WEEKDAY(A446,2)</f>
        <v>3</v>
      </c>
      <c r="G446" s="22" t="str">
        <f aca="false">IF(F446=7,IF(B446&gt;=23,"C","Sin turno"),IF(B446&lt;7,"C",IF(B446&lt;14,"A",IF(B446&lt;21,"B",IF(B446&lt;23,"Entre turnos",IF(F446=6,"Sin turno","C"))))))</f>
        <v>A</v>
      </c>
      <c r="H446" s="25" t="n">
        <f aca="false">IF(D446="","",MAX(0,D446-0.5*C446))</f>
        <v>0</v>
      </c>
    </row>
    <row r="447" customFormat="false" ht="15" hidden="false" customHeight="false" outlineLevel="0" collapsed="false">
      <c r="A447" s="21" t="n">
        <v>46239</v>
      </c>
      <c r="B447" s="22" t="n">
        <v>13</v>
      </c>
      <c r="C447" s="25" t="n">
        <v>253.68</v>
      </c>
      <c r="D447" s="25" t="n">
        <v>28.44</v>
      </c>
      <c r="E447" s="25" t="n">
        <v>0</v>
      </c>
      <c r="F447" s="22" t="n">
        <f aca="false">WEEKDAY(A447,2)</f>
        <v>3</v>
      </c>
      <c r="G447" s="22" t="str">
        <f aca="false">IF(F447=7,IF(B447&gt;=23,"C","Sin turno"),IF(B447&lt;7,"C",IF(B447&lt;14,"A",IF(B447&lt;21,"B",IF(B447&lt;23,"Entre turnos",IF(F447=6,"Sin turno","C"))))))</f>
        <v>A</v>
      </c>
      <c r="H447" s="25" t="n">
        <f aca="false">IF(D447="","",MAX(0,D447-0.5*C447))</f>
        <v>0</v>
      </c>
    </row>
    <row r="448" customFormat="false" ht="15" hidden="false" customHeight="false" outlineLevel="0" collapsed="false">
      <c r="A448" s="21" t="n">
        <v>46239</v>
      </c>
      <c r="B448" s="22" t="n">
        <v>14</v>
      </c>
      <c r="C448" s="25" t="n">
        <v>217.56</v>
      </c>
      <c r="D448" s="25" t="n">
        <v>19.32</v>
      </c>
      <c r="E448" s="25" t="n">
        <v>0</v>
      </c>
      <c r="F448" s="22" t="n">
        <f aca="false">WEEKDAY(A448,2)</f>
        <v>3</v>
      </c>
      <c r="G448" s="22" t="str">
        <f aca="false">IF(F448=7,IF(B448&gt;=23,"C","Sin turno"),IF(B448&lt;7,"C",IF(B448&lt;14,"A",IF(B448&lt;21,"B",IF(B448&lt;23,"Entre turnos",IF(F448=6,"Sin turno","C"))))))</f>
        <v>B</v>
      </c>
      <c r="H448" s="25" t="n">
        <f aca="false">IF(D448="","",MAX(0,D448-0.5*C448))</f>
        <v>0</v>
      </c>
    </row>
    <row r="449" customFormat="false" ht="15" hidden="false" customHeight="false" outlineLevel="0" collapsed="false">
      <c r="A449" s="21" t="n">
        <v>46239</v>
      </c>
      <c r="B449" s="22" t="n">
        <v>15</v>
      </c>
      <c r="C449" s="25" t="n">
        <v>207.36</v>
      </c>
      <c r="D449" s="25" t="n">
        <v>15.96</v>
      </c>
      <c r="E449" s="25" t="n">
        <v>0</v>
      </c>
      <c r="F449" s="22" t="n">
        <f aca="false">WEEKDAY(A449,2)</f>
        <v>3</v>
      </c>
      <c r="G449" s="22" t="str">
        <f aca="false">IF(F449=7,IF(B449&gt;=23,"C","Sin turno"),IF(B449&lt;7,"C",IF(B449&lt;14,"A",IF(B449&lt;21,"B",IF(B449&lt;23,"Entre turnos",IF(F449=6,"Sin turno","C"))))))</f>
        <v>B</v>
      </c>
      <c r="H449" s="25" t="n">
        <f aca="false">IF(D449="","",MAX(0,D449-0.5*C449))</f>
        <v>0</v>
      </c>
    </row>
    <row r="450" customFormat="false" ht="15" hidden="false" customHeight="false" outlineLevel="0" collapsed="false">
      <c r="A450" s="21" t="n">
        <v>46239</v>
      </c>
      <c r="B450" s="22" t="n">
        <v>16</v>
      </c>
      <c r="C450" s="25" t="n">
        <v>218.76</v>
      </c>
      <c r="D450" s="25" t="n">
        <v>15.48</v>
      </c>
      <c r="E450" s="25" t="n">
        <v>0</v>
      </c>
      <c r="F450" s="22" t="n">
        <f aca="false">WEEKDAY(A450,2)</f>
        <v>3</v>
      </c>
      <c r="G450" s="22" t="str">
        <f aca="false">IF(F450=7,IF(B450&gt;=23,"C","Sin turno"),IF(B450&lt;7,"C",IF(B450&lt;14,"A",IF(B450&lt;21,"B",IF(B450&lt;23,"Entre turnos",IF(F450=6,"Sin turno","C"))))))</f>
        <v>B</v>
      </c>
      <c r="H450" s="25" t="n">
        <f aca="false">IF(D450="","",MAX(0,D450-0.5*C450))</f>
        <v>0</v>
      </c>
    </row>
    <row r="451" customFormat="false" ht="15" hidden="false" customHeight="false" outlineLevel="0" collapsed="false">
      <c r="A451" s="21" t="n">
        <v>46239</v>
      </c>
      <c r="B451" s="22" t="n">
        <v>17</v>
      </c>
      <c r="C451" s="25" t="n">
        <v>216</v>
      </c>
      <c r="D451" s="25" t="n">
        <v>26.52</v>
      </c>
      <c r="E451" s="25" t="n">
        <v>0</v>
      </c>
      <c r="F451" s="22" t="n">
        <f aca="false">WEEKDAY(A451,2)</f>
        <v>3</v>
      </c>
      <c r="G451" s="22" t="str">
        <f aca="false">IF(F451=7,IF(B451&gt;=23,"C","Sin turno"),IF(B451&lt;7,"C",IF(B451&lt;14,"A",IF(B451&lt;21,"B",IF(B451&lt;23,"Entre turnos",IF(F451=6,"Sin turno","C"))))))</f>
        <v>B</v>
      </c>
      <c r="H451" s="25" t="n">
        <f aca="false">IF(D451="","",MAX(0,D451-0.5*C451))</f>
        <v>0</v>
      </c>
    </row>
    <row r="452" customFormat="false" ht="15" hidden="false" customHeight="false" outlineLevel="0" collapsed="false">
      <c r="A452" s="21" t="n">
        <v>46239</v>
      </c>
      <c r="B452" s="22" t="n">
        <v>18</v>
      </c>
      <c r="C452" s="25" t="n">
        <v>189</v>
      </c>
      <c r="D452" s="25" t="n">
        <v>22.08</v>
      </c>
      <c r="E452" s="25" t="n">
        <v>0</v>
      </c>
      <c r="F452" s="22" t="n">
        <f aca="false">WEEKDAY(A452,2)</f>
        <v>3</v>
      </c>
      <c r="G452" s="22" t="str">
        <f aca="false">IF(F452=7,IF(B452&gt;=23,"C","Sin turno"),IF(B452&lt;7,"C",IF(B452&lt;14,"A",IF(B452&lt;21,"B",IF(B452&lt;23,"Entre turnos",IF(F452=6,"Sin turno","C"))))))</f>
        <v>B</v>
      </c>
      <c r="H452" s="25" t="n">
        <f aca="false">IF(D452="","",MAX(0,D452-0.5*C452))</f>
        <v>0</v>
      </c>
    </row>
    <row r="453" customFormat="false" ht="15" hidden="false" customHeight="false" outlineLevel="0" collapsed="false">
      <c r="A453" s="21" t="n">
        <v>46239</v>
      </c>
      <c r="B453" s="22" t="n">
        <v>19</v>
      </c>
      <c r="C453" s="25" t="n">
        <v>176.52</v>
      </c>
      <c r="D453" s="25" t="n">
        <v>15.6</v>
      </c>
      <c r="E453" s="25" t="n">
        <v>0</v>
      </c>
      <c r="F453" s="22" t="n">
        <f aca="false">WEEKDAY(A453,2)</f>
        <v>3</v>
      </c>
      <c r="G453" s="22" t="str">
        <f aca="false">IF(F453=7,IF(B453&gt;=23,"C","Sin turno"),IF(B453&lt;7,"C",IF(B453&lt;14,"A",IF(B453&lt;21,"B",IF(B453&lt;23,"Entre turnos",IF(F453=6,"Sin turno","C"))))))</f>
        <v>B</v>
      </c>
      <c r="H453" s="25" t="n">
        <f aca="false">IF(D453="","",MAX(0,D453-0.5*C453))</f>
        <v>0</v>
      </c>
    </row>
    <row r="454" customFormat="false" ht="15" hidden="false" customHeight="false" outlineLevel="0" collapsed="false">
      <c r="A454" s="21" t="n">
        <v>46239</v>
      </c>
      <c r="B454" s="22" t="n">
        <v>20</v>
      </c>
      <c r="C454" s="25" t="n">
        <v>178.68</v>
      </c>
      <c r="D454" s="25" t="n">
        <v>15.36</v>
      </c>
      <c r="E454" s="25" t="n">
        <v>0</v>
      </c>
      <c r="F454" s="22" t="n">
        <f aca="false">WEEKDAY(A454,2)</f>
        <v>3</v>
      </c>
      <c r="G454" s="22" t="str">
        <f aca="false">IF(F454=7,IF(B454&gt;=23,"C","Sin turno"),IF(B454&lt;7,"C",IF(B454&lt;14,"A",IF(B454&lt;21,"B",IF(B454&lt;23,"Entre turnos",IF(F454=6,"Sin turno","C"))))))</f>
        <v>B</v>
      </c>
      <c r="H454" s="25" t="n">
        <f aca="false">IF(D454="","",MAX(0,D454-0.5*C454))</f>
        <v>0</v>
      </c>
    </row>
    <row r="455" customFormat="false" ht="15" hidden="false" customHeight="false" outlineLevel="0" collapsed="false">
      <c r="A455" s="21" t="n">
        <v>46239</v>
      </c>
      <c r="B455" s="22" t="n">
        <v>21</v>
      </c>
      <c r="C455" s="25" t="n">
        <v>143.88</v>
      </c>
      <c r="D455" s="25" t="n">
        <v>24.24</v>
      </c>
      <c r="E455" s="25" t="n">
        <v>0.12</v>
      </c>
      <c r="F455" s="22" t="n">
        <f aca="false">WEEKDAY(A455,2)</f>
        <v>3</v>
      </c>
      <c r="G455" s="22" t="str">
        <f aca="false">IF(F455=7,IF(B455&gt;=23,"C","Sin turno"),IF(B455&lt;7,"C",IF(B455&lt;14,"A",IF(B455&lt;21,"B",IF(B455&lt;23,"Entre turnos",IF(F455=6,"Sin turno","C"))))))</f>
        <v>Entre turnos</v>
      </c>
      <c r="H455" s="25" t="n">
        <f aca="false">IF(D455="","",MAX(0,D455-0.5*C455))</f>
        <v>0</v>
      </c>
    </row>
    <row r="456" customFormat="false" ht="15" hidden="false" customHeight="false" outlineLevel="0" collapsed="false">
      <c r="A456" s="21" t="n">
        <v>46239</v>
      </c>
      <c r="B456" s="22" t="n">
        <v>22</v>
      </c>
      <c r="C456" s="25" t="n">
        <v>113.52</v>
      </c>
      <c r="D456" s="25" t="n">
        <v>17.52</v>
      </c>
      <c r="E456" s="25" t="n">
        <v>0.12</v>
      </c>
      <c r="F456" s="22" t="n">
        <f aca="false">WEEKDAY(A456,2)</f>
        <v>3</v>
      </c>
      <c r="G456" s="22" t="str">
        <f aca="false">IF(F456=7,IF(B456&gt;=23,"C","Sin turno"),IF(B456&lt;7,"C",IF(B456&lt;14,"A",IF(B456&lt;21,"B",IF(B456&lt;23,"Entre turnos",IF(F456=6,"Sin turno","C"))))))</f>
        <v>Entre turnos</v>
      </c>
      <c r="H456" s="25" t="n">
        <f aca="false">IF(D456="","",MAX(0,D456-0.5*C456))</f>
        <v>0</v>
      </c>
    </row>
    <row r="457" customFormat="false" ht="15" hidden="false" customHeight="false" outlineLevel="0" collapsed="false">
      <c r="A457" s="21" t="n">
        <v>46239</v>
      </c>
      <c r="B457" s="22" t="n">
        <v>23</v>
      </c>
      <c r="C457" s="25" t="n">
        <v>105.36</v>
      </c>
      <c r="D457" s="25" t="n">
        <v>10.56</v>
      </c>
      <c r="E457" s="25" t="n">
        <v>0.72</v>
      </c>
      <c r="F457" s="22" t="n">
        <f aca="false">WEEKDAY(A457,2)</f>
        <v>3</v>
      </c>
      <c r="G457" s="22" t="str">
        <f aca="false">IF(F457=7,IF(B457&gt;=23,"C","Sin turno"),IF(B457&lt;7,"C",IF(B457&lt;14,"A",IF(B457&lt;21,"B",IF(B457&lt;23,"Entre turnos",IF(F457=6,"Sin turno","C"))))))</f>
        <v>C</v>
      </c>
      <c r="H457" s="25" t="n">
        <f aca="false">IF(D457="","",MAX(0,D457-0.5*C457))</f>
        <v>0</v>
      </c>
    </row>
    <row r="458" customFormat="false" ht="15" hidden="false" customHeight="false" outlineLevel="0" collapsed="false">
      <c r="A458" s="21" t="n">
        <v>46240</v>
      </c>
      <c r="B458" s="22" t="n">
        <v>0</v>
      </c>
      <c r="C458" s="25" t="n">
        <v>107.4</v>
      </c>
      <c r="D458" s="25" t="n">
        <v>10.32</v>
      </c>
      <c r="E458" s="25" t="n">
        <v>0.48</v>
      </c>
      <c r="F458" s="22" t="n">
        <f aca="false">WEEKDAY(A458,2)</f>
        <v>4</v>
      </c>
      <c r="G458" s="22" t="str">
        <f aca="false">IF(F458=7,IF(B458&gt;=23,"C","Sin turno"),IF(B458&lt;7,"C",IF(B458&lt;14,"A",IF(B458&lt;21,"B",IF(B458&lt;23,"Entre turnos",IF(F458=6,"Sin turno","C"))))))</f>
        <v>C</v>
      </c>
      <c r="H458" s="25" t="n">
        <f aca="false">IF(D458="","",MAX(0,D458-0.5*C458))</f>
        <v>0</v>
      </c>
    </row>
    <row r="459" customFormat="false" ht="15" hidden="false" customHeight="false" outlineLevel="0" collapsed="false">
      <c r="A459" s="21" t="n">
        <v>46240</v>
      </c>
      <c r="B459" s="22" t="n">
        <v>1</v>
      </c>
      <c r="C459" s="25" t="n">
        <v>115.44</v>
      </c>
      <c r="D459" s="25" t="n">
        <v>13.92</v>
      </c>
      <c r="E459" s="25" t="n">
        <v>0</v>
      </c>
      <c r="F459" s="22" t="n">
        <f aca="false">WEEKDAY(A459,2)</f>
        <v>4</v>
      </c>
      <c r="G459" s="22" t="str">
        <f aca="false">IF(F459=7,IF(B459&gt;=23,"C","Sin turno"),IF(B459&lt;7,"C",IF(B459&lt;14,"A",IF(B459&lt;21,"B",IF(B459&lt;23,"Entre turnos",IF(F459=6,"Sin turno","C"))))))</f>
        <v>C</v>
      </c>
      <c r="H459" s="25" t="n">
        <f aca="false">IF(D459="","",MAX(0,D459-0.5*C459))</f>
        <v>0</v>
      </c>
    </row>
    <row r="460" customFormat="false" ht="15" hidden="false" customHeight="false" outlineLevel="0" collapsed="false">
      <c r="A460" s="21" t="n">
        <v>46240</v>
      </c>
      <c r="B460" s="22" t="n">
        <v>2</v>
      </c>
      <c r="C460" s="25" t="n">
        <v>113.4</v>
      </c>
      <c r="D460" s="25" t="n">
        <v>15.96</v>
      </c>
      <c r="E460" s="25" t="n">
        <v>0</v>
      </c>
      <c r="F460" s="22" t="n">
        <f aca="false">WEEKDAY(A460,2)</f>
        <v>4</v>
      </c>
      <c r="G460" s="22" t="str">
        <f aca="false">IF(F460=7,IF(B460&gt;=23,"C","Sin turno"),IF(B460&lt;7,"C",IF(B460&lt;14,"A",IF(B460&lt;21,"B",IF(B460&lt;23,"Entre turnos",IF(F460=6,"Sin turno","C"))))))</f>
        <v>C</v>
      </c>
      <c r="H460" s="25" t="n">
        <f aca="false">IF(D460="","",MAX(0,D460-0.5*C460))</f>
        <v>0</v>
      </c>
    </row>
    <row r="461" customFormat="false" ht="15" hidden="false" customHeight="false" outlineLevel="0" collapsed="false">
      <c r="A461" s="21" t="n">
        <v>46240</v>
      </c>
      <c r="B461" s="22" t="n">
        <v>3</v>
      </c>
      <c r="C461" s="25" t="n">
        <v>106.08</v>
      </c>
      <c r="D461" s="25" t="n">
        <v>13.2</v>
      </c>
      <c r="E461" s="25" t="n">
        <v>0.12</v>
      </c>
      <c r="F461" s="22" t="n">
        <f aca="false">WEEKDAY(A461,2)</f>
        <v>4</v>
      </c>
      <c r="G461" s="22" t="str">
        <f aca="false">IF(F461=7,IF(B461&gt;=23,"C","Sin turno"),IF(B461&lt;7,"C",IF(B461&lt;14,"A",IF(B461&lt;21,"B",IF(B461&lt;23,"Entre turnos",IF(F461=6,"Sin turno","C"))))))</f>
        <v>C</v>
      </c>
      <c r="H461" s="25" t="n">
        <f aca="false">IF(D461="","",MAX(0,D461-0.5*C461))</f>
        <v>0</v>
      </c>
    </row>
    <row r="462" customFormat="false" ht="15" hidden="false" customHeight="false" outlineLevel="0" collapsed="false">
      <c r="A462" s="21" t="n">
        <v>46240</v>
      </c>
      <c r="B462" s="22" t="n">
        <v>4</v>
      </c>
      <c r="C462" s="25" t="n">
        <v>107.52</v>
      </c>
      <c r="D462" s="25" t="n">
        <v>15.12</v>
      </c>
      <c r="E462" s="25" t="n">
        <v>0.12</v>
      </c>
      <c r="F462" s="22" t="n">
        <f aca="false">WEEKDAY(A462,2)</f>
        <v>4</v>
      </c>
      <c r="G462" s="22" t="str">
        <f aca="false">IF(F462=7,IF(B462&gt;=23,"C","Sin turno"),IF(B462&lt;7,"C",IF(B462&lt;14,"A",IF(B462&lt;21,"B",IF(B462&lt;23,"Entre turnos",IF(F462=6,"Sin turno","C"))))))</f>
        <v>C</v>
      </c>
      <c r="H462" s="25" t="n">
        <f aca="false">IF(D462="","",MAX(0,D462-0.5*C462))</f>
        <v>0</v>
      </c>
    </row>
    <row r="463" customFormat="false" ht="15" hidden="false" customHeight="false" outlineLevel="0" collapsed="false">
      <c r="A463" s="21" t="n">
        <v>46240</v>
      </c>
      <c r="B463" s="22" t="n">
        <v>5</v>
      </c>
      <c r="C463" s="25" t="n">
        <v>106.68</v>
      </c>
      <c r="D463" s="25" t="n">
        <v>12.84</v>
      </c>
      <c r="E463" s="25" t="n">
        <v>0</v>
      </c>
      <c r="F463" s="22" t="n">
        <f aca="false">WEEKDAY(A463,2)</f>
        <v>4</v>
      </c>
      <c r="G463" s="22" t="str">
        <f aca="false">IF(F463=7,IF(B463&gt;=23,"C","Sin turno"),IF(B463&lt;7,"C",IF(B463&lt;14,"A",IF(B463&lt;21,"B",IF(B463&lt;23,"Entre turnos",IF(F463=6,"Sin turno","C"))))))</f>
        <v>C</v>
      </c>
      <c r="H463" s="25" t="n">
        <f aca="false">IF(D463="","",MAX(0,D463-0.5*C463))</f>
        <v>0</v>
      </c>
    </row>
    <row r="464" customFormat="false" ht="15" hidden="false" customHeight="false" outlineLevel="0" collapsed="false">
      <c r="A464" s="21" t="n">
        <v>46240</v>
      </c>
      <c r="B464" s="22" t="n">
        <v>6</v>
      </c>
      <c r="C464" s="25" t="n">
        <v>135.48</v>
      </c>
      <c r="D464" s="25" t="n">
        <v>24.48</v>
      </c>
      <c r="E464" s="25" t="n">
        <v>0.12</v>
      </c>
      <c r="F464" s="22" t="n">
        <f aca="false">WEEKDAY(A464,2)</f>
        <v>4</v>
      </c>
      <c r="G464" s="22" t="str">
        <f aca="false">IF(F464=7,IF(B464&gt;=23,"C","Sin turno"),IF(B464&lt;7,"C",IF(B464&lt;14,"A",IF(B464&lt;21,"B",IF(B464&lt;23,"Entre turnos",IF(F464=6,"Sin turno","C"))))))</f>
        <v>C</v>
      </c>
      <c r="H464" s="25" t="n">
        <f aca="false">IF(D464="","",MAX(0,D464-0.5*C464))</f>
        <v>0</v>
      </c>
    </row>
    <row r="465" customFormat="false" ht="15" hidden="false" customHeight="false" outlineLevel="0" collapsed="false">
      <c r="A465" s="21" t="n">
        <v>46240</v>
      </c>
      <c r="B465" s="22" t="n">
        <v>7</v>
      </c>
      <c r="C465" s="25" t="n">
        <v>268.08</v>
      </c>
      <c r="D465" s="25" t="n">
        <v>25.44</v>
      </c>
      <c r="E465" s="25" t="n">
        <v>0.12</v>
      </c>
      <c r="F465" s="22" t="n">
        <f aca="false">WEEKDAY(A465,2)</f>
        <v>4</v>
      </c>
      <c r="G465" s="22" t="str">
        <f aca="false">IF(F465=7,IF(B465&gt;=23,"C","Sin turno"),IF(B465&lt;7,"C",IF(B465&lt;14,"A",IF(B465&lt;21,"B",IF(B465&lt;23,"Entre turnos",IF(F465=6,"Sin turno","C"))))))</f>
        <v>A</v>
      </c>
      <c r="H465" s="25" t="n">
        <f aca="false">IF(D465="","",MAX(0,D465-0.5*C465))</f>
        <v>0</v>
      </c>
    </row>
    <row r="466" customFormat="false" ht="15" hidden="false" customHeight="false" outlineLevel="0" collapsed="false">
      <c r="A466" s="21" t="n">
        <v>46240</v>
      </c>
      <c r="B466" s="22" t="n">
        <v>8</v>
      </c>
      <c r="C466" s="25" t="n">
        <v>299.76</v>
      </c>
      <c r="D466" s="25" t="n">
        <v>20.28</v>
      </c>
      <c r="E466" s="25" t="n">
        <v>0</v>
      </c>
      <c r="F466" s="22" t="n">
        <f aca="false">WEEKDAY(A466,2)</f>
        <v>4</v>
      </c>
      <c r="G466" s="22" t="str">
        <f aca="false">IF(F466=7,IF(B466&gt;=23,"C","Sin turno"),IF(B466&lt;7,"C",IF(B466&lt;14,"A",IF(B466&lt;21,"B",IF(B466&lt;23,"Entre turnos",IF(F466=6,"Sin turno","C"))))))</f>
        <v>A</v>
      </c>
      <c r="H466" s="25" t="n">
        <f aca="false">IF(D466="","",MAX(0,D466-0.5*C466))</f>
        <v>0</v>
      </c>
    </row>
    <row r="467" customFormat="false" ht="15" hidden="false" customHeight="false" outlineLevel="0" collapsed="false">
      <c r="A467" s="21" t="n">
        <v>46240</v>
      </c>
      <c r="B467" s="22" t="n">
        <v>9</v>
      </c>
      <c r="C467" s="25" t="n">
        <v>252</v>
      </c>
      <c r="D467" s="25" t="n">
        <v>20.28</v>
      </c>
      <c r="E467" s="25" t="n">
        <v>0</v>
      </c>
      <c r="F467" s="22" t="n">
        <f aca="false">WEEKDAY(A467,2)</f>
        <v>4</v>
      </c>
      <c r="G467" s="22" t="str">
        <f aca="false">IF(F467=7,IF(B467&gt;=23,"C","Sin turno"),IF(B467&lt;7,"C",IF(B467&lt;14,"A",IF(B467&lt;21,"B",IF(B467&lt;23,"Entre turnos",IF(F467=6,"Sin turno","C"))))))</f>
        <v>A</v>
      </c>
      <c r="H467" s="25" t="n">
        <f aca="false">IF(D467="","",MAX(0,D467-0.5*C467))</f>
        <v>0</v>
      </c>
    </row>
    <row r="468" customFormat="false" ht="15" hidden="false" customHeight="false" outlineLevel="0" collapsed="false">
      <c r="A468" s="21" t="n">
        <v>46240</v>
      </c>
      <c r="B468" s="22" t="n">
        <v>10</v>
      </c>
      <c r="C468" s="25" t="n">
        <v>210.36</v>
      </c>
      <c r="D468" s="25" t="n">
        <v>22.56</v>
      </c>
      <c r="E468" s="25" t="n">
        <v>0.12</v>
      </c>
      <c r="F468" s="22" t="n">
        <f aca="false">WEEKDAY(A468,2)</f>
        <v>4</v>
      </c>
      <c r="G468" s="22" t="str">
        <f aca="false">IF(F468=7,IF(B468&gt;=23,"C","Sin turno"),IF(B468&lt;7,"C",IF(B468&lt;14,"A",IF(B468&lt;21,"B",IF(B468&lt;23,"Entre turnos",IF(F468=6,"Sin turno","C"))))))</f>
        <v>A</v>
      </c>
      <c r="H468" s="25" t="n">
        <f aca="false">IF(D468="","",MAX(0,D468-0.5*C468))</f>
        <v>0</v>
      </c>
    </row>
    <row r="469" customFormat="false" ht="15" hidden="false" customHeight="false" outlineLevel="0" collapsed="false">
      <c r="A469" s="21" t="n">
        <v>46240</v>
      </c>
      <c r="B469" s="22" t="n">
        <v>11</v>
      </c>
      <c r="C469" s="25" t="n">
        <v>223.8</v>
      </c>
      <c r="D469" s="25" t="n">
        <v>17.64</v>
      </c>
      <c r="E469" s="25" t="n">
        <v>0</v>
      </c>
      <c r="F469" s="22" t="n">
        <f aca="false">WEEKDAY(A469,2)</f>
        <v>4</v>
      </c>
      <c r="G469" s="22" t="str">
        <f aca="false">IF(F469=7,IF(B469&gt;=23,"C","Sin turno"),IF(B469&lt;7,"C",IF(B469&lt;14,"A",IF(B469&lt;21,"B",IF(B469&lt;23,"Entre turnos",IF(F469=6,"Sin turno","C"))))))</f>
        <v>A</v>
      </c>
      <c r="H469" s="25" t="n">
        <f aca="false">IF(D469="","",MAX(0,D469-0.5*C469))</f>
        <v>0</v>
      </c>
    </row>
    <row r="470" customFormat="false" ht="15" hidden="false" customHeight="false" outlineLevel="0" collapsed="false">
      <c r="A470" s="21" t="n">
        <v>46240</v>
      </c>
      <c r="B470" s="22" t="n">
        <v>12</v>
      </c>
      <c r="C470" s="25" t="n">
        <v>175.92</v>
      </c>
      <c r="D470" s="25" t="n">
        <v>22.8</v>
      </c>
      <c r="E470" s="25" t="n">
        <v>0</v>
      </c>
      <c r="F470" s="22" t="n">
        <f aca="false">WEEKDAY(A470,2)</f>
        <v>4</v>
      </c>
      <c r="G470" s="22" t="str">
        <f aca="false">IF(F470=7,IF(B470&gt;=23,"C","Sin turno"),IF(B470&lt;7,"C",IF(B470&lt;14,"A",IF(B470&lt;21,"B",IF(B470&lt;23,"Entre turnos",IF(F470=6,"Sin turno","C"))))))</f>
        <v>A</v>
      </c>
      <c r="H470" s="25" t="n">
        <f aca="false">IF(D470="","",MAX(0,D470-0.5*C470))</f>
        <v>0</v>
      </c>
    </row>
    <row r="471" customFormat="false" ht="15" hidden="false" customHeight="false" outlineLevel="0" collapsed="false">
      <c r="A471" s="21" t="n">
        <v>46240</v>
      </c>
      <c r="B471" s="22" t="n">
        <v>13</v>
      </c>
      <c r="C471" s="25" t="n">
        <v>210</v>
      </c>
      <c r="D471" s="25" t="n">
        <v>22.32</v>
      </c>
      <c r="E471" s="25" t="n">
        <v>0</v>
      </c>
      <c r="F471" s="22" t="n">
        <f aca="false">WEEKDAY(A471,2)</f>
        <v>4</v>
      </c>
      <c r="G471" s="22" t="str">
        <f aca="false">IF(F471=7,IF(B471&gt;=23,"C","Sin turno"),IF(B471&lt;7,"C",IF(B471&lt;14,"A",IF(B471&lt;21,"B",IF(B471&lt;23,"Entre turnos",IF(F471=6,"Sin turno","C"))))))</f>
        <v>A</v>
      </c>
      <c r="H471" s="25" t="n">
        <f aca="false">IF(D471="","",MAX(0,D471-0.5*C471))</f>
        <v>0</v>
      </c>
    </row>
    <row r="472" customFormat="false" ht="15" hidden="false" customHeight="false" outlineLevel="0" collapsed="false">
      <c r="A472" s="21" t="n">
        <v>46240</v>
      </c>
      <c r="B472" s="22" t="n">
        <v>14</v>
      </c>
      <c r="C472" s="25" t="n">
        <v>154.32</v>
      </c>
      <c r="D472" s="25" t="n">
        <v>10.44</v>
      </c>
      <c r="E472" s="25" t="n">
        <v>0.84</v>
      </c>
      <c r="F472" s="22" t="n">
        <f aca="false">WEEKDAY(A472,2)</f>
        <v>4</v>
      </c>
      <c r="G472" s="22" t="str">
        <f aca="false">IF(F472=7,IF(B472&gt;=23,"C","Sin turno"),IF(B472&lt;7,"C",IF(B472&lt;14,"A",IF(B472&lt;21,"B",IF(B472&lt;23,"Entre turnos",IF(F472=6,"Sin turno","C"))))))</f>
        <v>B</v>
      </c>
      <c r="H472" s="25" t="n">
        <f aca="false">IF(D472="","",MAX(0,D472-0.5*C472))</f>
        <v>0</v>
      </c>
    </row>
    <row r="473" customFormat="false" ht="15" hidden="false" customHeight="false" outlineLevel="0" collapsed="false">
      <c r="A473" s="21" t="n">
        <v>46240</v>
      </c>
      <c r="B473" s="22" t="n">
        <v>15</v>
      </c>
      <c r="C473" s="25" t="n">
        <v>212.28</v>
      </c>
      <c r="D473" s="25" t="n">
        <v>18.72</v>
      </c>
      <c r="E473" s="25" t="n">
        <v>0.12</v>
      </c>
      <c r="F473" s="22" t="n">
        <f aca="false">WEEKDAY(A473,2)</f>
        <v>4</v>
      </c>
      <c r="G473" s="22" t="str">
        <f aca="false">IF(F473=7,IF(B473&gt;=23,"C","Sin turno"),IF(B473&lt;7,"C",IF(B473&lt;14,"A",IF(B473&lt;21,"B",IF(B473&lt;23,"Entre turnos",IF(F473=6,"Sin turno","C"))))))</f>
        <v>B</v>
      </c>
      <c r="H473" s="25" t="n">
        <f aca="false">IF(D473="","",MAX(0,D473-0.5*C473))</f>
        <v>0</v>
      </c>
    </row>
    <row r="474" customFormat="false" ht="15" hidden="false" customHeight="false" outlineLevel="0" collapsed="false">
      <c r="A474" s="21" t="n">
        <v>46240</v>
      </c>
      <c r="B474" s="22" t="n">
        <v>16</v>
      </c>
      <c r="C474" s="25" t="n">
        <v>209.04</v>
      </c>
      <c r="D474" s="25" t="n">
        <v>14.88</v>
      </c>
      <c r="E474" s="25" t="n">
        <v>0.12</v>
      </c>
      <c r="F474" s="22" t="n">
        <f aca="false">WEEKDAY(A474,2)</f>
        <v>4</v>
      </c>
      <c r="G474" s="22" t="str">
        <f aca="false">IF(F474=7,IF(B474&gt;=23,"C","Sin turno"),IF(B474&lt;7,"C",IF(B474&lt;14,"A",IF(B474&lt;21,"B",IF(B474&lt;23,"Entre turnos",IF(F474=6,"Sin turno","C"))))))</f>
        <v>B</v>
      </c>
      <c r="H474" s="25" t="n">
        <f aca="false">IF(D474="","",MAX(0,D474-0.5*C474))</f>
        <v>0</v>
      </c>
    </row>
    <row r="475" customFormat="false" ht="15" hidden="false" customHeight="false" outlineLevel="0" collapsed="false">
      <c r="A475" s="21" t="n">
        <v>46240</v>
      </c>
      <c r="B475" s="22" t="n">
        <v>17</v>
      </c>
      <c r="C475" s="25" t="n">
        <v>172.08</v>
      </c>
      <c r="D475" s="25" t="n">
        <v>24.72</v>
      </c>
      <c r="E475" s="25" t="n">
        <v>0</v>
      </c>
      <c r="F475" s="22" t="n">
        <f aca="false">WEEKDAY(A475,2)</f>
        <v>4</v>
      </c>
      <c r="G475" s="22" t="str">
        <f aca="false">IF(F475=7,IF(B475&gt;=23,"C","Sin turno"),IF(B475&lt;7,"C",IF(B475&lt;14,"A",IF(B475&lt;21,"B",IF(B475&lt;23,"Entre turnos",IF(F475=6,"Sin turno","C"))))))</f>
        <v>B</v>
      </c>
      <c r="H475" s="25" t="n">
        <f aca="false">IF(D475="","",MAX(0,D475-0.5*C475))</f>
        <v>0</v>
      </c>
    </row>
    <row r="476" customFormat="false" ht="15" hidden="false" customHeight="false" outlineLevel="0" collapsed="false">
      <c r="A476" s="21" t="n">
        <v>46240</v>
      </c>
      <c r="B476" s="22" t="n">
        <v>18</v>
      </c>
      <c r="C476" s="25" t="n">
        <v>161.4</v>
      </c>
      <c r="D476" s="25" t="n">
        <v>19.56</v>
      </c>
      <c r="E476" s="25" t="n">
        <v>0</v>
      </c>
      <c r="F476" s="22" t="n">
        <f aca="false">WEEKDAY(A476,2)</f>
        <v>4</v>
      </c>
      <c r="G476" s="22" t="str">
        <f aca="false">IF(F476=7,IF(B476&gt;=23,"C","Sin turno"),IF(B476&lt;7,"C",IF(B476&lt;14,"A",IF(B476&lt;21,"B",IF(B476&lt;23,"Entre turnos",IF(F476=6,"Sin turno","C"))))))</f>
        <v>B</v>
      </c>
      <c r="H476" s="25" t="n">
        <f aca="false">IF(D476="","",MAX(0,D476-0.5*C476))</f>
        <v>0</v>
      </c>
    </row>
    <row r="477" customFormat="false" ht="15" hidden="false" customHeight="false" outlineLevel="0" collapsed="false">
      <c r="A477" s="21" t="n">
        <v>46240</v>
      </c>
      <c r="B477" s="22" t="n">
        <v>19</v>
      </c>
      <c r="C477" s="25" t="n">
        <v>164.4</v>
      </c>
      <c r="D477" s="25" t="n">
        <v>24.36</v>
      </c>
      <c r="E477" s="25" t="n">
        <v>0.12</v>
      </c>
      <c r="F477" s="22" t="n">
        <f aca="false">WEEKDAY(A477,2)</f>
        <v>4</v>
      </c>
      <c r="G477" s="22" t="str">
        <f aca="false">IF(F477=7,IF(B477&gt;=23,"C","Sin turno"),IF(B477&lt;7,"C",IF(B477&lt;14,"A",IF(B477&lt;21,"B",IF(B477&lt;23,"Entre turnos",IF(F477=6,"Sin turno","C"))))))</f>
        <v>B</v>
      </c>
      <c r="H477" s="25" t="n">
        <f aca="false">IF(D477="","",MAX(0,D477-0.5*C477))</f>
        <v>0</v>
      </c>
    </row>
    <row r="478" customFormat="false" ht="15" hidden="false" customHeight="false" outlineLevel="0" collapsed="false">
      <c r="A478" s="21" t="n">
        <v>46240</v>
      </c>
      <c r="B478" s="22" t="n">
        <v>20</v>
      </c>
      <c r="C478" s="25" t="n">
        <v>151.32</v>
      </c>
      <c r="D478" s="25" t="n">
        <v>21.24</v>
      </c>
      <c r="E478" s="25" t="n">
        <v>0</v>
      </c>
      <c r="F478" s="22" t="n">
        <f aca="false">WEEKDAY(A478,2)</f>
        <v>4</v>
      </c>
      <c r="G478" s="22" t="str">
        <f aca="false">IF(F478=7,IF(B478&gt;=23,"C","Sin turno"),IF(B478&lt;7,"C",IF(B478&lt;14,"A",IF(B478&lt;21,"B",IF(B478&lt;23,"Entre turnos",IF(F478=6,"Sin turno","C"))))))</f>
        <v>B</v>
      </c>
      <c r="H478" s="25" t="n">
        <f aca="false">IF(D478="","",MAX(0,D478-0.5*C478))</f>
        <v>0</v>
      </c>
    </row>
    <row r="479" customFormat="false" ht="15" hidden="false" customHeight="false" outlineLevel="0" collapsed="false">
      <c r="A479" s="21" t="n">
        <v>46240</v>
      </c>
      <c r="B479" s="22" t="n">
        <v>21</v>
      </c>
      <c r="C479" s="25" t="n">
        <v>87.36</v>
      </c>
      <c r="D479" s="25" t="n">
        <v>20.88</v>
      </c>
      <c r="E479" s="25" t="n">
        <v>0.12</v>
      </c>
      <c r="F479" s="22" t="n">
        <f aca="false">WEEKDAY(A479,2)</f>
        <v>4</v>
      </c>
      <c r="G479" s="22" t="str">
        <f aca="false">IF(F479=7,IF(B479&gt;=23,"C","Sin turno"),IF(B479&lt;7,"C",IF(B479&lt;14,"A",IF(B479&lt;21,"B",IF(B479&lt;23,"Entre turnos",IF(F479=6,"Sin turno","C"))))))</f>
        <v>Entre turnos</v>
      </c>
      <c r="H479" s="25" t="n">
        <f aca="false">IF(D479="","",MAX(0,D479-0.5*C479))</f>
        <v>0</v>
      </c>
    </row>
    <row r="480" customFormat="false" ht="15" hidden="false" customHeight="false" outlineLevel="0" collapsed="false">
      <c r="A480" s="21" t="n">
        <v>46240</v>
      </c>
      <c r="B480" s="22" t="n">
        <v>22</v>
      </c>
      <c r="C480" s="25" t="n">
        <v>48.84</v>
      </c>
      <c r="D480" s="25" t="n">
        <v>20.4</v>
      </c>
      <c r="E480" s="25" t="n">
        <v>0</v>
      </c>
      <c r="F480" s="22" t="n">
        <f aca="false">WEEKDAY(A480,2)</f>
        <v>4</v>
      </c>
      <c r="G480" s="22" t="str">
        <f aca="false">IF(F480=7,IF(B480&gt;=23,"C","Sin turno"),IF(B480&lt;7,"C",IF(B480&lt;14,"A",IF(B480&lt;21,"B",IF(B480&lt;23,"Entre turnos",IF(F480=6,"Sin turno","C"))))))</f>
        <v>Entre turnos</v>
      </c>
      <c r="H480" s="25" t="n">
        <f aca="false">IF(D480="","",MAX(0,D480-0.5*C480))</f>
        <v>0</v>
      </c>
    </row>
    <row r="481" customFormat="false" ht="15" hidden="false" customHeight="false" outlineLevel="0" collapsed="false">
      <c r="A481" s="21" t="n">
        <v>46240</v>
      </c>
      <c r="B481" s="22" t="n">
        <v>23</v>
      </c>
      <c r="C481" s="25" t="n">
        <v>46.08</v>
      </c>
      <c r="D481" s="25" t="n">
        <v>19.92</v>
      </c>
      <c r="E481" s="25" t="n">
        <v>0</v>
      </c>
      <c r="F481" s="22" t="n">
        <f aca="false">WEEKDAY(A481,2)</f>
        <v>4</v>
      </c>
      <c r="G481" s="22" t="str">
        <f aca="false">IF(F481=7,IF(B481&gt;=23,"C","Sin turno"),IF(B481&lt;7,"C",IF(B481&lt;14,"A",IF(B481&lt;21,"B",IF(B481&lt;23,"Entre turnos",IF(F481=6,"Sin turno","C"))))))</f>
        <v>C</v>
      </c>
      <c r="H481" s="25" t="n">
        <f aca="false">IF(D481="","",MAX(0,D481-0.5*C481))</f>
        <v>0</v>
      </c>
    </row>
    <row r="482" customFormat="false" ht="15" hidden="false" customHeight="false" outlineLevel="0" collapsed="false">
      <c r="A482" s="21" t="n">
        <v>46241</v>
      </c>
      <c r="B482" s="22" t="n">
        <v>0</v>
      </c>
      <c r="C482" s="25" t="n">
        <v>44.52</v>
      </c>
      <c r="D482" s="25" t="n">
        <v>19.08</v>
      </c>
      <c r="E482" s="25" t="n">
        <v>0</v>
      </c>
      <c r="F482" s="22" t="n">
        <f aca="false">WEEKDAY(A482,2)</f>
        <v>5</v>
      </c>
      <c r="G482" s="22" t="str">
        <f aca="false">IF(F482=7,IF(B482&gt;=23,"C","Sin turno"),IF(B482&lt;7,"C",IF(B482&lt;14,"A",IF(B482&lt;21,"B",IF(B482&lt;23,"Entre turnos",IF(F482=6,"Sin turno","C"))))))</f>
        <v>C</v>
      </c>
      <c r="H482" s="25" t="n">
        <f aca="false">IF(D482="","",MAX(0,D482-0.5*C482))</f>
        <v>0</v>
      </c>
    </row>
    <row r="483" customFormat="false" ht="15" hidden="false" customHeight="false" outlineLevel="0" collapsed="false">
      <c r="A483" s="21" t="n">
        <v>46241</v>
      </c>
      <c r="B483" s="22" t="n">
        <v>1</v>
      </c>
      <c r="C483" s="25" t="n">
        <v>44.04</v>
      </c>
      <c r="D483" s="25" t="n">
        <v>19.2</v>
      </c>
      <c r="E483" s="25" t="n">
        <v>0</v>
      </c>
      <c r="F483" s="22" t="n">
        <f aca="false">WEEKDAY(A483,2)</f>
        <v>5</v>
      </c>
      <c r="G483" s="22" t="str">
        <f aca="false">IF(F483=7,IF(B483&gt;=23,"C","Sin turno"),IF(B483&lt;7,"C",IF(B483&lt;14,"A",IF(B483&lt;21,"B",IF(B483&lt;23,"Entre turnos",IF(F483=6,"Sin turno","C"))))))</f>
        <v>C</v>
      </c>
      <c r="H483" s="25" t="n">
        <f aca="false">IF(D483="","",MAX(0,D483-0.5*C483))</f>
        <v>0</v>
      </c>
    </row>
    <row r="484" customFormat="false" ht="15" hidden="false" customHeight="false" outlineLevel="0" collapsed="false">
      <c r="A484" s="21" t="n">
        <v>46241</v>
      </c>
      <c r="B484" s="22" t="n">
        <v>2</v>
      </c>
      <c r="C484" s="25" t="n">
        <v>41.4</v>
      </c>
      <c r="D484" s="25" t="n">
        <v>18.36</v>
      </c>
      <c r="E484" s="25" t="n">
        <v>0</v>
      </c>
      <c r="F484" s="22" t="n">
        <f aca="false">WEEKDAY(A484,2)</f>
        <v>5</v>
      </c>
      <c r="G484" s="22" t="str">
        <f aca="false">IF(F484=7,IF(B484&gt;=23,"C","Sin turno"),IF(B484&lt;7,"C",IF(B484&lt;14,"A",IF(B484&lt;21,"B",IF(B484&lt;23,"Entre turnos",IF(F484=6,"Sin turno","C"))))))</f>
        <v>C</v>
      </c>
      <c r="H484" s="25" t="n">
        <f aca="false">IF(D484="","",MAX(0,D484-0.5*C484))</f>
        <v>0</v>
      </c>
    </row>
    <row r="485" customFormat="false" ht="15" hidden="false" customHeight="false" outlineLevel="0" collapsed="false">
      <c r="A485" s="21" t="n">
        <v>46241</v>
      </c>
      <c r="B485" s="22" t="n">
        <v>3</v>
      </c>
      <c r="C485" s="25" t="n">
        <v>41.64</v>
      </c>
      <c r="D485" s="25" t="n">
        <v>17.4</v>
      </c>
      <c r="E485" s="25" t="n">
        <v>0</v>
      </c>
      <c r="F485" s="22" t="n">
        <f aca="false">WEEKDAY(A485,2)</f>
        <v>5</v>
      </c>
      <c r="G485" s="22" t="str">
        <f aca="false">IF(F485=7,IF(B485&gt;=23,"C","Sin turno"),IF(B485&lt;7,"C",IF(B485&lt;14,"A",IF(B485&lt;21,"B",IF(B485&lt;23,"Entre turnos",IF(F485=6,"Sin turno","C"))))))</f>
        <v>C</v>
      </c>
      <c r="H485" s="25" t="n">
        <f aca="false">IF(D485="","",MAX(0,D485-0.5*C485))</f>
        <v>0</v>
      </c>
    </row>
    <row r="486" customFormat="false" ht="15" hidden="false" customHeight="false" outlineLevel="0" collapsed="false">
      <c r="A486" s="21" t="n">
        <v>46241</v>
      </c>
      <c r="B486" s="22" t="n">
        <v>4</v>
      </c>
      <c r="C486" s="25" t="n">
        <v>42</v>
      </c>
      <c r="D486" s="25" t="n">
        <v>17.16</v>
      </c>
      <c r="E486" s="25" t="n">
        <v>0</v>
      </c>
      <c r="F486" s="22" t="n">
        <f aca="false">WEEKDAY(A486,2)</f>
        <v>5</v>
      </c>
      <c r="G486" s="22" t="str">
        <f aca="false">IF(F486=7,IF(B486&gt;=23,"C","Sin turno"),IF(B486&lt;7,"C",IF(B486&lt;14,"A",IF(B486&lt;21,"B",IF(B486&lt;23,"Entre turnos",IF(F486=6,"Sin turno","C"))))))</f>
        <v>C</v>
      </c>
      <c r="H486" s="25" t="n">
        <f aca="false">IF(D486="","",MAX(0,D486-0.5*C486))</f>
        <v>0</v>
      </c>
    </row>
    <row r="487" customFormat="false" ht="15" hidden="false" customHeight="false" outlineLevel="0" collapsed="false">
      <c r="A487" s="21" t="n">
        <v>46241</v>
      </c>
      <c r="B487" s="22" t="n">
        <v>5</v>
      </c>
      <c r="C487" s="25" t="n">
        <v>42.72</v>
      </c>
      <c r="D487" s="25" t="n">
        <v>17.16</v>
      </c>
      <c r="E487" s="25" t="n">
        <v>0</v>
      </c>
      <c r="F487" s="22" t="n">
        <f aca="false">WEEKDAY(A487,2)</f>
        <v>5</v>
      </c>
      <c r="G487" s="22" t="str">
        <f aca="false">IF(F487=7,IF(B487&gt;=23,"C","Sin turno"),IF(B487&lt;7,"C",IF(B487&lt;14,"A",IF(B487&lt;21,"B",IF(B487&lt;23,"Entre turnos",IF(F487=6,"Sin turno","C"))))))</f>
        <v>C</v>
      </c>
      <c r="H487" s="25" t="n">
        <f aca="false">IF(D487="","",MAX(0,D487-0.5*C487))</f>
        <v>0</v>
      </c>
    </row>
    <row r="488" customFormat="false" ht="15" hidden="false" customHeight="false" outlineLevel="0" collapsed="false">
      <c r="A488" s="21" t="n">
        <v>46241</v>
      </c>
      <c r="B488" s="22" t="n">
        <v>6</v>
      </c>
      <c r="C488" s="25" t="n">
        <v>37.68</v>
      </c>
      <c r="D488" s="25" t="n">
        <v>20.4</v>
      </c>
      <c r="E488" s="25" t="n">
        <v>0</v>
      </c>
      <c r="F488" s="22" t="n">
        <f aca="false">WEEKDAY(A488,2)</f>
        <v>5</v>
      </c>
      <c r="G488" s="22" t="str">
        <f aca="false">IF(F488=7,IF(B488&gt;=23,"C","Sin turno"),IF(B488&lt;7,"C",IF(B488&lt;14,"A",IF(B488&lt;21,"B",IF(B488&lt;23,"Entre turnos",IF(F488=6,"Sin turno","C"))))))</f>
        <v>C</v>
      </c>
      <c r="H488" s="25" t="n">
        <f aca="false">IF(D488="","",MAX(0,D488-0.5*C488))</f>
        <v>1.56</v>
      </c>
    </row>
    <row r="489" customFormat="false" ht="15" hidden="false" customHeight="false" outlineLevel="0" collapsed="false">
      <c r="A489" s="21" t="n">
        <v>46241</v>
      </c>
      <c r="B489" s="22" t="n">
        <v>7</v>
      </c>
      <c r="C489" s="25" t="n">
        <v>14.16</v>
      </c>
      <c r="D489" s="25" t="n">
        <v>29.04</v>
      </c>
      <c r="E489" s="25" t="n">
        <v>0</v>
      </c>
      <c r="F489" s="22" t="n">
        <f aca="false">WEEKDAY(A489,2)</f>
        <v>5</v>
      </c>
      <c r="G489" s="22" t="str">
        <f aca="false">IF(F489=7,IF(B489&gt;=23,"C","Sin turno"),IF(B489&lt;7,"C",IF(B489&lt;14,"A",IF(B489&lt;21,"B",IF(B489&lt;23,"Entre turnos",IF(F489=6,"Sin turno","C"))))))</f>
        <v>A</v>
      </c>
      <c r="H489" s="25" t="n">
        <f aca="false">IF(D489="","",MAX(0,D489-0.5*C489))</f>
        <v>21.96</v>
      </c>
    </row>
    <row r="490" customFormat="false" ht="15" hidden="false" customHeight="false" outlineLevel="0" collapsed="false">
      <c r="A490" s="21" t="n">
        <v>46241</v>
      </c>
      <c r="B490" s="22" t="n">
        <v>8</v>
      </c>
      <c r="C490" s="25" t="n">
        <v>10.2</v>
      </c>
      <c r="D490" s="25" t="n">
        <v>28.2</v>
      </c>
      <c r="E490" s="25" t="n">
        <v>0</v>
      </c>
      <c r="F490" s="22" t="n">
        <f aca="false">WEEKDAY(A490,2)</f>
        <v>5</v>
      </c>
      <c r="G490" s="22" t="str">
        <f aca="false">IF(F490=7,IF(B490&gt;=23,"C","Sin turno"),IF(B490&lt;7,"C",IF(B490&lt;14,"A",IF(B490&lt;21,"B",IF(B490&lt;23,"Entre turnos",IF(F490=6,"Sin turno","C"))))))</f>
        <v>A</v>
      </c>
      <c r="H490" s="25" t="n">
        <f aca="false">IF(D490="","",MAX(0,D490-0.5*C490))</f>
        <v>23.1</v>
      </c>
    </row>
    <row r="491" customFormat="false" ht="15" hidden="false" customHeight="false" outlineLevel="0" collapsed="false">
      <c r="A491" s="21" t="n">
        <v>46241</v>
      </c>
      <c r="B491" s="22" t="n">
        <v>9</v>
      </c>
      <c r="C491" s="25" t="n">
        <v>0.36</v>
      </c>
      <c r="D491" s="25" t="n">
        <v>27.96</v>
      </c>
      <c r="E491" s="25" t="n">
        <v>0</v>
      </c>
      <c r="F491" s="22" t="n">
        <f aca="false">WEEKDAY(A491,2)</f>
        <v>5</v>
      </c>
      <c r="G491" s="22" t="str">
        <f aca="false">IF(F491=7,IF(B491&gt;=23,"C","Sin turno"),IF(B491&lt;7,"C",IF(B491&lt;14,"A",IF(B491&lt;21,"B",IF(B491&lt;23,"Entre turnos",IF(F491=6,"Sin turno","C"))))))</f>
        <v>A</v>
      </c>
      <c r="H491" s="25" t="n">
        <f aca="false">IF(D491="","",MAX(0,D491-0.5*C491))</f>
        <v>27.78</v>
      </c>
    </row>
    <row r="492" customFormat="false" ht="15" hidden="false" customHeight="false" outlineLevel="0" collapsed="false">
      <c r="A492" s="21" t="n">
        <v>46241</v>
      </c>
      <c r="B492" s="22" t="n">
        <v>10</v>
      </c>
      <c r="C492" s="25" t="n">
        <v>0</v>
      </c>
      <c r="D492" s="25" t="n">
        <v>27.72</v>
      </c>
      <c r="E492" s="25" t="n">
        <v>0.12</v>
      </c>
      <c r="F492" s="22" t="n">
        <f aca="false">WEEKDAY(A492,2)</f>
        <v>5</v>
      </c>
      <c r="G492" s="22" t="str">
        <f aca="false">IF(F492=7,IF(B492&gt;=23,"C","Sin turno"),IF(B492&lt;7,"C",IF(B492&lt;14,"A",IF(B492&lt;21,"B",IF(B492&lt;23,"Entre turnos",IF(F492=6,"Sin turno","C"))))))</f>
        <v>A</v>
      </c>
      <c r="H492" s="25" t="n">
        <f aca="false">IF(D492="","",MAX(0,D492-0.5*C492))</f>
        <v>27.72</v>
      </c>
    </row>
    <row r="493" customFormat="false" ht="15" hidden="false" customHeight="false" outlineLevel="0" collapsed="false">
      <c r="A493" s="21" t="n">
        <v>46241</v>
      </c>
      <c r="B493" s="22" t="n">
        <v>11</v>
      </c>
      <c r="C493" s="25" t="n">
        <v>0</v>
      </c>
      <c r="D493" s="25" t="n">
        <v>29.04</v>
      </c>
      <c r="E493" s="25" t="n">
        <v>0</v>
      </c>
      <c r="F493" s="22" t="n">
        <f aca="false">WEEKDAY(A493,2)</f>
        <v>5</v>
      </c>
      <c r="G493" s="22" t="str">
        <f aca="false">IF(F493=7,IF(B493&gt;=23,"C","Sin turno"),IF(B493&lt;7,"C",IF(B493&lt;14,"A",IF(B493&lt;21,"B",IF(B493&lt;23,"Entre turnos",IF(F493=6,"Sin turno","C"))))))</f>
        <v>A</v>
      </c>
      <c r="H493" s="25" t="n">
        <f aca="false">IF(D493="","",MAX(0,D493-0.5*C493))</f>
        <v>29.04</v>
      </c>
    </row>
    <row r="494" customFormat="false" ht="15" hidden="false" customHeight="false" outlineLevel="0" collapsed="false">
      <c r="A494" s="21" t="n">
        <v>46241</v>
      </c>
      <c r="B494" s="22" t="n">
        <v>12</v>
      </c>
      <c r="C494" s="25" t="n">
        <v>0.24</v>
      </c>
      <c r="D494" s="25" t="n">
        <v>29.04</v>
      </c>
      <c r="E494" s="25" t="n">
        <v>0</v>
      </c>
      <c r="F494" s="22" t="n">
        <f aca="false">WEEKDAY(A494,2)</f>
        <v>5</v>
      </c>
      <c r="G494" s="22" t="str">
        <f aca="false">IF(F494=7,IF(B494&gt;=23,"C","Sin turno"),IF(B494&lt;7,"C",IF(B494&lt;14,"A",IF(B494&lt;21,"B",IF(B494&lt;23,"Entre turnos",IF(F494=6,"Sin turno","C"))))))</f>
        <v>A</v>
      </c>
      <c r="H494" s="25" t="n">
        <f aca="false">IF(D494="","",MAX(0,D494-0.5*C494))</f>
        <v>28.92</v>
      </c>
    </row>
    <row r="495" customFormat="false" ht="15" hidden="false" customHeight="false" outlineLevel="0" collapsed="false">
      <c r="A495" s="21" t="n">
        <v>46241</v>
      </c>
      <c r="B495" s="22" t="n">
        <v>13</v>
      </c>
      <c r="C495" s="25" t="n">
        <v>0.96</v>
      </c>
      <c r="D495" s="25" t="n">
        <v>29.28</v>
      </c>
      <c r="E495" s="25" t="n">
        <v>0</v>
      </c>
      <c r="F495" s="22" t="n">
        <f aca="false">WEEKDAY(A495,2)</f>
        <v>5</v>
      </c>
      <c r="G495" s="22" t="str">
        <f aca="false">IF(F495=7,IF(B495&gt;=23,"C","Sin turno"),IF(B495&lt;7,"C",IF(B495&lt;14,"A",IF(B495&lt;21,"B",IF(B495&lt;23,"Entre turnos",IF(F495=6,"Sin turno","C"))))))</f>
        <v>A</v>
      </c>
      <c r="H495" s="25" t="n">
        <f aca="false">IF(D495="","",MAX(0,D495-0.5*C495))</f>
        <v>28.8</v>
      </c>
    </row>
    <row r="496" customFormat="false" ht="15" hidden="false" customHeight="false" outlineLevel="0" collapsed="false">
      <c r="A496" s="21" t="n">
        <v>46241</v>
      </c>
      <c r="B496" s="22" t="n">
        <v>14</v>
      </c>
      <c r="C496" s="25" t="n">
        <v>0.48</v>
      </c>
      <c r="D496" s="25" t="n">
        <v>28.44</v>
      </c>
      <c r="E496" s="25" t="n">
        <v>0.12</v>
      </c>
      <c r="F496" s="22" t="n">
        <f aca="false">WEEKDAY(A496,2)</f>
        <v>5</v>
      </c>
      <c r="G496" s="22" t="str">
        <f aca="false">IF(F496=7,IF(B496&gt;=23,"C","Sin turno"),IF(B496&lt;7,"C",IF(B496&lt;14,"A",IF(B496&lt;21,"B",IF(B496&lt;23,"Entre turnos",IF(F496=6,"Sin turno","C"))))))</f>
        <v>B</v>
      </c>
      <c r="H496" s="25" t="n">
        <f aca="false">IF(D496="","",MAX(0,D496-0.5*C496))</f>
        <v>28.2</v>
      </c>
    </row>
    <row r="497" customFormat="false" ht="15" hidden="false" customHeight="false" outlineLevel="0" collapsed="false">
      <c r="A497" s="21" t="n">
        <v>46241</v>
      </c>
      <c r="B497" s="22" t="n">
        <v>15</v>
      </c>
      <c r="C497" s="25" t="n">
        <v>35.76</v>
      </c>
      <c r="D497" s="25" t="n">
        <v>29.52</v>
      </c>
      <c r="E497" s="25" t="n">
        <v>0</v>
      </c>
      <c r="F497" s="22" t="n">
        <f aca="false">WEEKDAY(A497,2)</f>
        <v>5</v>
      </c>
      <c r="G497" s="22" t="str">
        <f aca="false">IF(F497=7,IF(B497&gt;=23,"C","Sin turno"),IF(B497&lt;7,"C",IF(B497&lt;14,"A",IF(B497&lt;21,"B",IF(B497&lt;23,"Entre turnos",IF(F497=6,"Sin turno","C"))))))</f>
        <v>B</v>
      </c>
      <c r="H497" s="25" t="n">
        <f aca="false">IF(D497="","",MAX(0,D497-0.5*C497))</f>
        <v>11.64</v>
      </c>
    </row>
    <row r="498" customFormat="false" ht="15" hidden="false" customHeight="false" outlineLevel="0" collapsed="false">
      <c r="A498" s="21" t="n">
        <v>46241</v>
      </c>
      <c r="B498" s="22" t="n">
        <v>16</v>
      </c>
      <c r="C498" s="25" t="n">
        <v>20.16</v>
      </c>
      <c r="D498" s="25" t="n">
        <v>29.4</v>
      </c>
      <c r="E498" s="25" t="n">
        <v>0</v>
      </c>
      <c r="F498" s="22" t="n">
        <f aca="false">WEEKDAY(A498,2)</f>
        <v>5</v>
      </c>
      <c r="G498" s="22" t="str">
        <f aca="false">IF(F498=7,IF(B498&gt;=23,"C","Sin turno"),IF(B498&lt;7,"C",IF(B498&lt;14,"A",IF(B498&lt;21,"B",IF(B498&lt;23,"Entre turnos",IF(F498=6,"Sin turno","C"))))))</f>
        <v>B</v>
      </c>
      <c r="H498" s="25" t="n">
        <f aca="false">IF(D498="","",MAX(0,D498-0.5*C498))</f>
        <v>19.32</v>
      </c>
    </row>
    <row r="499" customFormat="false" ht="15" hidden="false" customHeight="false" outlineLevel="0" collapsed="false">
      <c r="A499" s="21" t="n">
        <v>46241</v>
      </c>
      <c r="B499" s="22" t="n">
        <v>17</v>
      </c>
      <c r="C499" s="25" t="n">
        <v>50.88</v>
      </c>
      <c r="D499" s="25" t="n">
        <v>30.24</v>
      </c>
      <c r="E499" s="25" t="n">
        <v>0.12</v>
      </c>
      <c r="F499" s="22" t="n">
        <f aca="false">WEEKDAY(A499,2)</f>
        <v>5</v>
      </c>
      <c r="G499" s="22" t="str">
        <f aca="false">IF(F499=7,IF(B499&gt;=23,"C","Sin turno"),IF(B499&lt;7,"C",IF(B499&lt;14,"A",IF(B499&lt;21,"B",IF(B499&lt;23,"Entre turnos",IF(F499=6,"Sin turno","C"))))))</f>
        <v>B</v>
      </c>
      <c r="H499" s="25" t="n">
        <f aca="false">IF(D499="","",MAX(0,D499-0.5*C499))</f>
        <v>4.8</v>
      </c>
    </row>
    <row r="500" customFormat="false" ht="15" hidden="false" customHeight="false" outlineLevel="0" collapsed="false">
      <c r="A500" s="21" t="n">
        <v>46241</v>
      </c>
      <c r="B500" s="22" t="n">
        <v>18</v>
      </c>
      <c r="C500" s="25" t="n">
        <v>56.04</v>
      </c>
      <c r="D500" s="25" t="n">
        <v>29.16</v>
      </c>
      <c r="E500" s="25" t="n">
        <v>0</v>
      </c>
      <c r="F500" s="22" t="n">
        <f aca="false">WEEKDAY(A500,2)</f>
        <v>5</v>
      </c>
      <c r="G500" s="22" t="str">
        <f aca="false">IF(F500=7,IF(B500&gt;=23,"C","Sin turno"),IF(B500&lt;7,"C",IF(B500&lt;14,"A",IF(B500&lt;21,"B",IF(B500&lt;23,"Entre turnos",IF(F500=6,"Sin turno","C"))))))</f>
        <v>B</v>
      </c>
      <c r="H500" s="25" t="n">
        <f aca="false">IF(D500="","",MAX(0,D500-0.5*C500))</f>
        <v>1.14</v>
      </c>
    </row>
    <row r="501" customFormat="false" ht="15" hidden="false" customHeight="false" outlineLevel="0" collapsed="false">
      <c r="A501" s="21" t="n">
        <v>46241</v>
      </c>
      <c r="B501" s="22" t="n">
        <v>19</v>
      </c>
      <c r="C501" s="25" t="n">
        <v>53.88</v>
      </c>
      <c r="D501" s="25" t="n">
        <v>25.56</v>
      </c>
      <c r="E501" s="25" t="n">
        <v>0</v>
      </c>
      <c r="F501" s="22" t="n">
        <f aca="false">WEEKDAY(A501,2)</f>
        <v>5</v>
      </c>
      <c r="G501" s="22" t="str">
        <f aca="false">IF(F501=7,IF(B501&gt;=23,"C","Sin turno"),IF(B501&lt;7,"C",IF(B501&lt;14,"A",IF(B501&lt;21,"B",IF(B501&lt;23,"Entre turnos",IF(F501=6,"Sin turno","C"))))))</f>
        <v>B</v>
      </c>
      <c r="H501" s="25" t="n">
        <f aca="false">IF(D501="","",MAX(0,D501-0.5*C501))</f>
        <v>0</v>
      </c>
    </row>
    <row r="502" customFormat="false" ht="15" hidden="false" customHeight="false" outlineLevel="0" collapsed="false">
      <c r="A502" s="21" t="n">
        <v>46241</v>
      </c>
      <c r="B502" s="22" t="n">
        <v>20</v>
      </c>
      <c r="C502" s="25" t="n">
        <v>51.96</v>
      </c>
      <c r="D502" s="25" t="n">
        <v>25.44</v>
      </c>
      <c r="E502" s="25" t="n">
        <v>0</v>
      </c>
      <c r="F502" s="22" t="n">
        <f aca="false">WEEKDAY(A502,2)</f>
        <v>5</v>
      </c>
      <c r="G502" s="22" t="str">
        <f aca="false">IF(F502=7,IF(B502&gt;=23,"C","Sin turno"),IF(B502&lt;7,"C",IF(B502&lt;14,"A",IF(B502&lt;21,"B",IF(B502&lt;23,"Entre turnos",IF(F502=6,"Sin turno","C"))))))</f>
        <v>B</v>
      </c>
      <c r="H502" s="25" t="n">
        <f aca="false">IF(D502="","",MAX(0,D502-0.5*C502))</f>
        <v>0</v>
      </c>
    </row>
    <row r="503" customFormat="false" ht="15" hidden="false" customHeight="false" outlineLevel="0" collapsed="false">
      <c r="A503" s="21" t="n">
        <v>46241</v>
      </c>
      <c r="B503" s="22" t="n">
        <v>21</v>
      </c>
      <c r="C503" s="25" t="n">
        <v>51.72</v>
      </c>
      <c r="D503" s="25" t="n">
        <v>25.08</v>
      </c>
      <c r="E503" s="25" t="n">
        <v>0</v>
      </c>
      <c r="F503" s="22" t="n">
        <f aca="false">WEEKDAY(A503,2)</f>
        <v>5</v>
      </c>
      <c r="G503" s="22" t="str">
        <f aca="false">IF(F503=7,IF(B503&gt;=23,"C","Sin turno"),IF(B503&lt;7,"C",IF(B503&lt;14,"A",IF(B503&lt;21,"B",IF(B503&lt;23,"Entre turnos",IF(F503=6,"Sin turno","C"))))))</f>
        <v>Entre turnos</v>
      </c>
      <c r="H503" s="25" t="n">
        <f aca="false">IF(D503="","",MAX(0,D503-0.5*C503))</f>
        <v>0</v>
      </c>
    </row>
    <row r="504" customFormat="false" ht="15" hidden="false" customHeight="false" outlineLevel="0" collapsed="false">
      <c r="A504" s="21" t="n">
        <v>46241</v>
      </c>
      <c r="B504" s="22" t="n">
        <v>22</v>
      </c>
      <c r="C504" s="25" t="n">
        <v>51.24</v>
      </c>
      <c r="D504" s="25" t="n">
        <v>24.6</v>
      </c>
      <c r="E504" s="25" t="n">
        <v>0</v>
      </c>
      <c r="F504" s="22" t="n">
        <f aca="false">WEEKDAY(A504,2)</f>
        <v>5</v>
      </c>
      <c r="G504" s="22" t="str">
        <f aca="false">IF(F504=7,IF(B504&gt;=23,"C","Sin turno"),IF(B504&lt;7,"C",IF(B504&lt;14,"A",IF(B504&lt;21,"B",IF(B504&lt;23,"Entre turnos",IF(F504=6,"Sin turno","C"))))))</f>
        <v>Entre turnos</v>
      </c>
      <c r="H504" s="25" t="n">
        <f aca="false">IF(D504="","",MAX(0,D504-0.5*C504))</f>
        <v>0</v>
      </c>
    </row>
    <row r="505" customFormat="false" ht="15" hidden="false" customHeight="false" outlineLevel="0" collapsed="false">
      <c r="A505" s="21" t="n">
        <v>46241</v>
      </c>
      <c r="B505" s="22" t="n">
        <v>23</v>
      </c>
      <c r="C505" s="25" t="n">
        <v>81</v>
      </c>
      <c r="D505" s="25" t="n">
        <v>19.44</v>
      </c>
      <c r="E505" s="25" t="n">
        <v>0.12</v>
      </c>
      <c r="F505" s="22" t="n">
        <f aca="false">WEEKDAY(A505,2)</f>
        <v>5</v>
      </c>
      <c r="G505" s="22" t="str">
        <f aca="false">IF(F505=7,IF(B505&gt;=23,"C","Sin turno"),IF(B505&lt;7,"C",IF(B505&lt;14,"A",IF(B505&lt;21,"B",IF(B505&lt;23,"Entre turnos",IF(F505=6,"Sin turno","C"))))))</f>
        <v>C</v>
      </c>
      <c r="H505" s="25" t="n">
        <f aca="false">IF(D505="","",MAX(0,D505-0.5*C505))</f>
        <v>0</v>
      </c>
    </row>
    <row r="506" customFormat="false" ht="15" hidden="false" customHeight="false" outlineLevel="0" collapsed="false">
      <c r="A506" s="21" t="n">
        <v>46242</v>
      </c>
      <c r="B506" s="22" t="n">
        <v>0</v>
      </c>
      <c r="C506" s="25" t="n">
        <v>100.32</v>
      </c>
      <c r="D506" s="25" t="n">
        <v>12.84</v>
      </c>
      <c r="E506" s="25" t="n">
        <v>0</v>
      </c>
      <c r="F506" s="22" t="n">
        <f aca="false">WEEKDAY(A506,2)</f>
        <v>6</v>
      </c>
      <c r="G506" s="22" t="str">
        <f aca="false">IF(F506=7,IF(B506&gt;=23,"C","Sin turno"),IF(B506&lt;7,"C",IF(B506&lt;14,"A",IF(B506&lt;21,"B",IF(B506&lt;23,"Entre turnos",IF(F506=6,"Sin turno","C"))))))</f>
        <v>C</v>
      </c>
      <c r="H506" s="25" t="n">
        <f aca="false">IF(D506="","",MAX(0,D506-0.5*C506))</f>
        <v>0</v>
      </c>
    </row>
    <row r="507" customFormat="false" ht="15" hidden="false" customHeight="false" outlineLevel="0" collapsed="false">
      <c r="A507" s="21" t="n">
        <v>46242</v>
      </c>
      <c r="B507" s="22" t="n">
        <v>1</v>
      </c>
      <c r="C507" s="25" t="n">
        <v>99.6</v>
      </c>
      <c r="D507" s="25" t="n">
        <v>13.68</v>
      </c>
      <c r="E507" s="25" t="n">
        <v>0</v>
      </c>
      <c r="F507" s="22" t="n">
        <f aca="false">WEEKDAY(A507,2)</f>
        <v>6</v>
      </c>
      <c r="G507" s="22" t="str">
        <f aca="false">IF(F507=7,IF(B507&gt;=23,"C","Sin turno"),IF(B507&lt;7,"C",IF(B507&lt;14,"A",IF(B507&lt;21,"B",IF(B507&lt;23,"Entre turnos",IF(F507=6,"Sin turno","C"))))))</f>
        <v>C</v>
      </c>
      <c r="H507" s="25" t="n">
        <f aca="false">IF(D507="","",MAX(0,D507-0.5*C507))</f>
        <v>0</v>
      </c>
    </row>
    <row r="508" customFormat="false" ht="15" hidden="false" customHeight="false" outlineLevel="0" collapsed="false">
      <c r="A508" s="21" t="n">
        <v>46242</v>
      </c>
      <c r="B508" s="22" t="n">
        <v>2</v>
      </c>
      <c r="C508" s="25" t="n">
        <v>100.68</v>
      </c>
      <c r="D508" s="25" t="n">
        <v>16.32</v>
      </c>
      <c r="E508" s="25" t="n">
        <v>0.12</v>
      </c>
      <c r="F508" s="22" t="n">
        <f aca="false">WEEKDAY(A508,2)</f>
        <v>6</v>
      </c>
      <c r="G508" s="22" t="str">
        <f aca="false">IF(F508=7,IF(B508&gt;=23,"C","Sin turno"),IF(B508&lt;7,"C",IF(B508&lt;14,"A",IF(B508&lt;21,"B",IF(B508&lt;23,"Entre turnos",IF(F508=6,"Sin turno","C"))))))</f>
        <v>C</v>
      </c>
      <c r="H508" s="25" t="n">
        <f aca="false">IF(D508="","",MAX(0,D508-0.5*C508))</f>
        <v>0</v>
      </c>
    </row>
    <row r="509" customFormat="false" ht="15" hidden="false" customHeight="false" outlineLevel="0" collapsed="false">
      <c r="A509" s="21" t="n">
        <v>46242</v>
      </c>
      <c r="B509" s="22" t="n">
        <v>3</v>
      </c>
      <c r="C509" s="25" t="n">
        <v>102.36</v>
      </c>
      <c r="D509" s="25" t="n">
        <v>16.8</v>
      </c>
      <c r="E509" s="25" t="n">
        <v>0.12</v>
      </c>
      <c r="F509" s="22" t="n">
        <f aca="false">WEEKDAY(A509,2)</f>
        <v>6</v>
      </c>
      <c r="G509" s="22" t="str">
        <f aca="false">IF(F509=7,IF(B509&gt;=23,"C","Sin turno"),IF(B509&lt;7,"C",IF(B509&lt;14,"A",IF(B509&lt;21,"B",IF(B509&lt;23,"Entre turnos",IF(F509=6,"Sin turno","C"))))))</f>
        <v>C</v>
      </c>
      <c r="H509" s="25" t="n">
        <f aca="false">IF(D509="","",MAX(0,D509-0.5*C509))</f>
        <v>0</v>
      </c>
    </row>
    <row r="510" customFormat="false" ht="15" hidden="false" customHeight="false" outlineLevel="0" collapsed="false">
      <c r="A510" s="21" t="n">
        <v>46242</v>
      </c>
      <c r="B510" s="22" t="n">
        <v>4</v>
      </c>
      <c r="C510" s="25" t="n">
        <v>92.52</v>
      </c>
      <c r="D510" s="25" t="n">
        <v>13.2</v>
      </c>
      <c r="E510" s="25" t="n">
        <v>0</v>
      </c>
      <c r="F510" s="22" t="n">
        <f aca="false">WEEKDAY(A510,2)</f>
        <v>6</v>
      </c>
      <c r="G510" s="22" t="str">
        <f aca="false">IF(F510=7,IF(B510&gt;=23,"C","Sin turno"),IF(B510&lt;7,"C",IF(B510&lt;14,"A",IF(B510&lt;21,"B",IF(B510&lt;23,"Entre turnos",IF(F510=6,"Sin turno","C"))))))</f>
        <v>C</v>
      </c>
      <c r="H510" s="25" t="n">
        <f aca="false">IF(D510="","",MAX(0,D510-0.5*C510))</f>
        <v>0</v>
      </c>
    </row>
    <row r="511" customFormat="false" ht="15" hidden="false" customHeight="false" outlineLevel="0" collapsed="false">
      <c r="A511" s="21" t="n">
        <v>46242</v>
      </c>
      <c r="B511" s="22" t="n">
        <v>5</v>
      </c>
      <c r="C511" s="25" t="n">
        <v>100.8</v>
      </c>
      <c r="D511" s="25" t="n">
        <v>12.36</v>
      </c>
      <c r="E511" s="25" t="n">
        <v>0.12</v>
      </c>
      <c r="F511" s="22" t="n">
        <f aca="false">WEEKDAY(A511,2)</f>
        <v>6</v>
      </c>
      <c r="G511" s="22" t="str">
        <f aca="false">IF(F511=7,IF(B511&gt;=23,"C","Sin turno"),IF(B511&lt;7,"C",IF(B511&lt;14,"A",IF(B511&lt;21,"B",IF(B511&lt;23,"Entre turnos",IF(F511=6,"Sin turno","C"))))))</f>
        <v>C</v>
      </c>
      <c r="H511" s="25" t="n">
        <f aca="false">IF(D511="","",MAX(0,D511-0.5*C511))</f>
        <v>0</v>
      </c>
    </row>
    <row r="512" customFormat="false" ht="15" hidden="false" customHeight="false" outlineLevel="0" collapsed="false">
      <c r="A512" s="21" t="n">
        <v>46242</v>
      </c>
      <c r="B512" s="22" t="n">
        <v>6</v>
      </c>
      <c r="C512" s="25" t="n">
        <v>126.84</v>
      </c>
      <c r="D512" s="25" t="n">
        <v>20.4</v>
      </c>
      <c r="E512" s="25" t="n">
        <v>0</v>
      </c>
      <c r="F512" s="22" t="n">
        <f aca="false">WEEKDAY(A512,2)</f>
        <v>6</v>
      </c>
      <c r="G512" s="22" t="str">
        <f aca="false">IF(F512=7,IF(B512&gt;=23,"C","Sin turno"),IF(B512&lt;7,"C",IF(B512&lt;14,"A",IF(B512&lt;21,"B",IF(B512&lt;23,"Entre turnos",IF(F512=6,"Sin turno","C"))))))</f>
        <v>C</v>
      </c>
      <c r="H512" s="25" t="n">
        <f aca="false">IF(D512="","",MAX(0,D512-0.5*C512))</f>
        <v>0</v>
      </c>
    </row>
    <row r="513" customFormat="false" ht="15" hidden="false" customHeight="false" outlineLevel="0" collapsed="false">
      <c r="A513" s="21" t="n">
        <v>46242</v>
      </c>
      <c r="B513" s="22" t="n">
        <v>7</v>
      </c>
      <c r="C513" s="25" t="n">
        <v>186.84</v>
      </c>
      <c r="D513" s="25" t="n">
        <v>15.72</v>
      </c>
      <c r="E513" s="25" t="n">
        <v>0.72</v>
      </c>
      <c r="F513" s="22" t="n">
        <f aca="false">WEEKDAY(A513,2)</f>
        <v>6</v>
      </c>
      <c r="G513" s="22" t="str">
        <f aca="false">IF(F513=7,IF(B513&gt;=23,"C","Sin turno"),IF(B513&lt;7,"C",IF(B513&lt;14,"A",IF(B513&lt;21,"B",IF(B513&lt;23,"Entre turnos",IF(F513=6,"Sin turno","C"))))))</f>
        <v>A</v>
      </c>
      <c r="H513" s="25" t="n">
        <f aca="false">IF(D513="","",MAX(0,D513-0.5*C513))</f>
        <v>0</v>
      </c>
    </row>
    <row r="514" customFormat="false" ht="15" hidden="false" customHeight="false" outlineLevel="0" collapsed="false">
      <c r="A514" s="21" t="n">
        <v>46242</v>
      </c>
      <c r="B514" s="22" t="n">
        <v>8</v>
      </c>
      <c r="C514" s="25" t="n">
        <v>215.88</v>
      </c>
      <c r="D514" s="25" t="n">
        <v>18.96</v>
      </c>
      <c r="E514" s="25" t="n">
        <v>0</v>
      </c>
      <c r="F514" s="22" t="n">
        <f aca="false">WEEKDAY(A514,2)</f>
        <v>6</v>
      </c>
      <c r="G514" s="22" t="str">
        <f aca="false">IF(F514=7,IF(B514&gt;=23,"C","Sin turno"),IF(B514&lt;7,"C",IF(B514&lt;14,"A",IF(B514&lt;21,"B",IF(B514&lt;23,"Entre turnos",IF(F514=6,"Sin turno","C"))))))</f>
        <v>A</v>
      </c>
      <c r="H514" s="25" t="n">
        <f aca="false">IF(D514="","",MAX(0,D514-0.5*C514))</f>
        <v>0</v>
      </c>
    </row>
    <row r="515" customFormat="false" ht="15" hidden="false" customHeight="false" outlineLevel="0" collapsed="false">
      <c r="A515" s="21" t="n">
        <v>46242</v>
      </c>
      <c r="B515" s="22" t="n">
        <v>9</v>
      </c>
      <c r="C515" s="25" t="n">
        <v>176.52</v>
      </c>
      <c r="D515" s="25" t="n">
        <v>23.04</v>
      </c>
      <c r="E515" s="25" t="n">
        <v>0.6</v>
      </c>
      <c r="F515" s="22" t="n">
        <f aca="false">WEEKDAY(A515,2)</f>
        <v>6</v>
      </c>
      <c r="G515" s="22" t="str">
        <f aca="false">IF(F515=7,IF(B515&gt;=23,"C","Sin turno"),IF(B515&lt;7,"C",IF(B515&lt;14,"A",IF(B515&lt;21,"B",IF(B515&lt;23,"Entre turnos",IF(F515=6,"Sin turno","C"))))))</f>
        <v>A</v>
      </c>
      <c r="H515" s="25" t="n">
        <f aca="false">IF(D515="","",MAX(0,D515-0.5*C515))</f>
        <v>0</v>
      </c>
    </row>
    <row r="516" customFormat="false" ht="15" hidden="false" customHeight="false" outlineLevel="0" collapsed="false">
      <c r="A516" s="21" t="n">
        <v>46242</v>
      </c>
      <c r="B516" s="22" t="n">
        <v>10</v>
      </c>
      <c r="C516" s="25" t="n">
        <v>118.8</v>
      </c>
      <c r="D516" s="25" t="n">
        <v>17.88</v>
      </c>
      <c r="E516" s="25" t="n">
        <v>0.24</v>
      </c>
      <c r="F516" s="22" t="n">
        <f aca="false">WEEKDAY(A516,2)</f>
        <v>6</v>
      </c>
      <c r="G516" s="22" t="str">
        <f aca="false">IF(F516=7,IF(B516&gt;=23,"C","Sin turno"),IF(B516&lt;7,"C",IF(B516&lt;14,"A",IF(B516&lt;21,"B",IF(B516&lt;23,"Entre turnos",IF(F516=6,"Sin turno","C"))))))</f>
        <v>A</v>
      </c>
      <c r="H516" s="25" t="n">
        <f aca="false">IF(D516="","",MAX(0,D516-0.5*C516))</f>
        <v>0</v>
      </c>
    </row>
    <row r="517" customFormat="false" ht="15" hidden="false" customHeight="false" outlineLevel="0" collapsed="false">
      <c r="A517" s="21" t="n">
        <v>46242</v>
      </c>
      <c r="B517" s="22" t="n">
        <v>11</v>
      </c>
      <c r="C517" s="25" t="n">
        <v>131.88</v>
      </c>
      <c r="D517" s="25" t="n">
        <v>14.88</v>
      </c>
      <c r="E517" s="25" t="n">
        <v>0.84</v>
      </c>
      <c r="F517" s="22" t="n">
        <f aca="false">WEEKDAY(A517,2)</f>
        <v>6</v>
      </c>
      <c r="G517" s="22" t="str">
        <f aca="false">IF(F517=7,IF(B517&gt;=23,"C","Sin turno"),IF(B517&lt;7,"C",IF(B517&lt;14,"A",IF(B517&lt;21,"B",IF(B517&lt;23,"Entre turnos",IF(F517=6,"Sin turno","C"))))))</f>
        <v>A</v>
      </c>
      <c r="H517" s="25" t="n">
        <f aca="false">IF(D517="","",MAX(0,D517-0.5*C517))</f>
        <v>0</v>
      </c>
    </row>
    <row r="518" customFormat="false" ht="15" hidden="false" customHeight="false" outlineLevel="0" collapsed="false">
      <c r="A518" s="21" t="n">
        <v>46242</v>
      </c>
      <c r="B518" s="22" t="n">
        <v>12</v>
      </c>
      <c r="C518" s="25" t="n">
        <v>117.48</v>
      </c>
      <c r="D518" s="25" t="n">
        <v>17.04</v>
      </c>
      <c r="E518" s="25" t="n">
        <v>0.6</v>
      </c>
      <c r="F518" s="22" t="n">
        <f aca="false">WEEKDAY(A518,2)</f>
        <v>6</v>
      </c>
      <c r="G518" s="22" t="str">
        <f aca="false">IF(F518=7,IF(B518&gt;=23,"C","Sin turno"),IF(B518&lt;7,"C",IF(B518&lt;14,"A",IF(B518&lt;21,"B",IF(B518&lt;23,"Entre turnos",IF(F518=6,"Sin turno","C"))))))</f>
        <v>A</v>
      </c>
      <c r="H518" s="25" t="n">
        <f aca="false">IF(D518="","",MAX(0,D518-0.5*C518))</f>
        <v>0</v>
      </c>
    </row>
    <row r="519" customFormat="false" ht="15" hidden="false" customHeight="false" outlineLevel="0" collapsed="false">
      <c r="A519" s="21" t="n">
        <v>46242</v>
      </c>
      <c r="B519" s="22" t="n">
        <v>13</v>
      </c>
      <c r="C519" s="25" t="n">
        <v>134.28</v>
      </c>
      <c r="D519" s="25" t="n">
        <v>18.36</v>
      </c>
      <c r="E519" s="25" t="n">
        <v>0.72</v>
      </c>
      <c r="F519" s="22" t="n">
        <f aca="false">WEEKDAY(A519,2)</f>
        <v>6</v>
      </c>
      <c r="G519" s="22" t="str">
        <f aca="false">IF(F519=7,IF(B519&gt;=23,"C","Sin turno"),IF(B519&lt;7,"C",IF(B519&lt;14,"A",IF(B519&lt;21,"B",IF(B519&lt;23,"Entre turnos",IF(F519=6,"Sin turno","C"))))))</f>
        <v>A</v>
      </c>
      <c r="H519" s="25" t="n">
        <f aca="false">IF(D519="","",MAX(0,D519-0.5*C519))</f>
        <v>0</v>
      </c>
    </row>
    <row r="520" customFormat="false" ht="15" hidden="false" customHeight="false" outlineLevel="0" collapsed="false">
      <c r="A520" s="21" t="n">
        <v>46242</v>
      </c>
      <c r="B520" s="22" t="n">
        <v>14</v>
      </c>
      <c r="C520" s="25" t="n">
        <v>114.24</v>
      </c>
      <c r="D520" s="25" t="n">
        <v>22.44</v>
      </c>
      <c r="E520" s="25" t="n">
        <v>0.48</v>
      </c>
      <c r="F520" s="22" t="n">
        <f aca="false">WEEKDAY(A520,2)</f>
        <v>6</v>
      </c>
      <c r="G520" s="22" t="str">
        <f aca="false">IF(F520=7,IF(B520&gt;=23,"C","Sin turno"),IF(B520&lt;7,"C",IF(B520&lt;14,"A",IF(B520&lt;21,"B",IF(B520&lt;23,"Entre turnos",IF(F520=6,"Sin turno","C"))))))</f>
        <v>B</v>
      </c>
      <c r="H520" s="25" t="n">
        <f aca="false">IF(D520="","",MAX(0,D520-0.5*C520))</f>
        <v>0</v>
      </c>
    </row>
    <row r="521" customFormat="false" ht="15" hidden="false" customHeight="false" outlineLevel="0" collapsed="false">
      <c r="A521" s="21" t="n">
        <v>46242</v>
      </c>
      <c r="B521" s="22" t="n">
        <v>15</v>
      </c>
      <c r="C521" s="25" t="n">
        <v>129</v>
      </c>
      <c r="D521" s="25" t="n">
        <v>18.72</v>
      </c>
      <c r="E521" s="25" t="n">
        <v>0.36</v>
      </c>
      <c r="F521" s="22" t="n">
        <f aca="false">WEEKDAY(A521,2)</f>
        <v>6</v>
      </c>
      <c r="G521" s="22" t="str">
        <f aca="false">IF(F521=7,IF(B521&gt;=23,"C","Sin turno"),IF(B521&lt;7,"C",IF(B521&lt;14,"A",IF(B521&lt;21,"B",IF(B521&lt;23,"Entre turnos",IF(F521=6,"Sin turno","C"))))))</f>
        <v>B</v>
      </c>
      <c r="H521" s="25" t="n">
        <f aca="false">IF(D521="","",MAX(0,D521-0.5*C521))</f>
        <v>0</v>
      </c>
    </row>
    <row r="522" customFormat="false" ht="15" hidden="false" customHeight="false" outlineLevel="0" collapsed="false">
      <c r="A522" s="21" t="n">
        <v>46242</v>
      </c>
      <c r="B522" s="22" t="n">
        <v>16</v>
      </c>
      <c r="C522" s="25" t="n">
        <v>137.16</v>
      </c>
      <c r="D522" s="25" t="n">
        <v>27</v>
      </c>
      <c r="E522" s="25" t="n">
        <v>0.24</v>
      </c>
      <c r="F522" s="22" t="n">
        <f aca="false">WEEKDAY(A522,2)</f>
        <v>6</v>
      </c>
      <c r="G522" s="22" t="str">
        <f aca="false">IF(F522=7,IF(B522&gt;=23,"C","Sin turno"),IF(B522&lt;7,"C",IF(B522&lt;14,"A",IF(B522&lt;21,"B",IF(B522&lt;23,"Entre turnos",IF(F522=6,"Sin turno","C"))))))</f>
        <v>B</v>
      </c>
      <c r="H522" s="25" t="n">
        <f aca="false">IF(D522="","",MAX(0,D522-0.5*C522))</f>
        <v>0</v>
      </c>
    </row>
    <row r="523" customFormat="false" ht="15" hidden="false" customHeight="false" outlineLevel="0" collapsed="false">
      <c r="A523" s="21" t="n">
        <v>46242</v>
      </c>
      <c r="B523" s="22" t="n">
        <v>17</v>
      </c>
      <c r="C523" s="25" t="n">
        <v>181.32</v>
      </c>
      <c r="D523" s="25" t="n">
        <v>28.92</v>
      </c>
      <c r="E523" s="25" t="n">
        <v>0.24</v>
      </c>
      <c r="F523" s="22" t="n">
        <f aca="false">WEEKDAY(A523,2)</f>
        <v>6</v>
      </c>
      <c r="G523" s="22" t="str">
        <f aca="false">IF(F523=7,IF(B523&gt;=23,"C","Sin turno"),IF(B523&lt;7,"C",IF(B523&lt;14,"A",IF(B523&lt;21,"B",IF(B523&lt;23,"Entre turnos",IF(F523=6,"Sin turno","C"))))))</f>
        <v>B</v>
      </c>
      <c r="H523" s="25" t="n">
        <f aca="false">IF(D523="","",MAX(0,D523-0.5*C523))</f>
        <v>0</v>
      </c>
    </row>
    <row r="524" customFormat="false" ht="15" hidden="false" customHeight="false" outlineLevel="0" collapsed="false">
      <c r="A524" s="21" t="n">
        <v>46242</v>
      </c>
      <c r="B524" s="22" t="n">
        <v>18</v>
      </c>
      <c r="C524" s="25" t="n">
        <v>162.36</v>
      </c>
      <c r="D524" s="25" t="n">
        <v>23.64</v>
      </c>
      <c r="E524" s="25" t="n">
        <v>0.12</v>
      </c>
      <c r="F524" s="22" t="n">
        <f aca="false">WEEKDAY(A524,2)</f>
        <v>6</v>
      </c>
      <c r="G524" s="22" t="str">
        <f aca="false">IF(F524=7,IF(B524&gt;=23,"C","Sin turno"),IF(B524&lt;7,"C",IF(B524&lt;14,"A",IF(B524&lt;21,"B",IF(B524&lt;23,"Entre turnos",IF(F524=6,"Sin turno","C"))))))</f>
        <v>B</v>
      </c>
      <c r="H524" s="25" t="n">
        <f aca="false">IF(D524="","",MAX(0,D524-0.5*C524))</f>
        <v>0</v>
      </c>
    </row>
    <row r="525" customFormat="false" ht="15" hidden="false" customHeight="false" outlineLevel="0" collapsed="false">
      <c r="A525" s="21" t="n">
        <v>46242</v>
      </c>
      <c r="B525" s="22" t="n">
        <v>19</v>
      </c>
      <c r="C525" s="25" t="n">
        <v>166.56</v>
      </c>
      <c r="D525" s="25" t="n">
        <v>22.8</v>
      </c>
      <c r="E525" s="25" t="n">
        <v>0</v>
      </c>
      <c r="F525" s="22" t="n">
        <f aca="false">WEEKDAY(A525,2)</f>
        <v>6</v>
      </c>
      <c r="G525" s="22" t="str">
        <f aca="false">IF(F525=7,IF(B525&gt;=23,"C","Sin turno"),IF(B525&lt;7,"C",IF(B525&lt;14,"A",IF(B525&lt;21,"B",IF(B525&lt;23,"Entre turnos",IF(F525=6,"Sin turno","C"))))))</f>
        <v>B</v>
      </c>
      <c r="H525" s="25" t="n">
        <f aca="false">IF(D525="","",MAX(0,D525-0.5*C525))</f>
        <v>0</v>
      </c>
    </row>
    <row r="526" customFormat="false" ht="15" hidden="false" customHeight="false" outlineLevel="0" collapsed="false">
      <c r="A526" s="21" t="n">
        <v>46242</v>
      </c>
      <c r="B526" s="22" t="n">
        <v>20</v>
      </c>
      <c r="C526" s="25" t="n">
        <v>159</v>
      </c>
      <c r="D526" s="25" t="n">
        <v>22.68</v>
      </c>
      <c r="E526" s="25" t="n">
        <v>0.12</v>
      </c>
      <c r="F526" s="22" t="n">
        <f aca="false">WEEKDAY(A526,2)</f>
        <v>6</v>
      </c>
      <c r="G526" s="22" t="str">
        <f aca="false">IF(F526=7,IF(B526&gt;=23,"C","Sin turno"),IF(B526&lt;7,"C",IF(B526&lt;14,"A",IF(B526&lt;21,"B",IF(B526&lt;23,"Entre turnos",IF(F526=6,"Sin turno","C"))))))</f>
        <v>B</v>
      </c>
      <c r="H526" s="25" t="n">
        <f aca="false">IF(D526="","",MAX(0,D526-0.5*C526))</f>
        <v>0</v>
      </c>
    </row>
    <row r="527" customFormat="false" ht="15" hidden="false" customHeight="false" outlineLevel="0" collapsed="false">
      <c r="A527" s="21" t="n">
        <v>46242</v>
      </c>
      <c r="B527" s="22" t="n">
        <v>21</v>
      </c>
      <c r="C527" s="25" t="n">
        <v>99.96</v>
      </c>
      <c r="D527" s="25" t="n">
        <v>22.56</v>
      </c>
      <c r="E527" s="25" t="n">
        <v>0.24</v>
      </c>
      <c r="F527" s="22" t="n">
        <f aca="false">WEEKDAY(A527,2)</f>
        <v>6</v>
      </c>
      <c r="G527" s="22" t="str">
        <f aca="false">IF(F527=7,IF(B527&gt;=23,"C","Sin turno"),IF(B527&lt;7,"C",IF(B527&lt;14,"A",IF(B527&lt;21,"B",IF(B527&lt;23,"Entre turnos",IF(F527=6,"Sin turno","C"))))))</f>
        <v>Entre turnos</v>
      </c>
      <c r="H527" s="25" t="n">
        <f aca="false">IF(D527="","",MAX(0,D527-0.5*C527))</f>
        <v>0</v>
      </c>
    </row>
    <row r="528" customFormat="false" ht="15" hidden="false" customHeight="false" outlineLevel="0" collapsed="false">
      <c r="A528" s="21" t="n">
        <v>46242</v>
      </c>
      <c r="B528" s="22" t="n">
        <v>22</v>
      </c>
      <c r="C528" s="25" t="n">
        <v>61.2</v>
      </c>
      <c r="D528" s="25" t="n">
        <v>26.16</v>
      </c>
      <c r="E528" s="25" t="n">
        <v>0</v>
      </c>
      <c r="F528" s="22" t="n">
        <f aca="false">WEEKDAY(A528,2)</f>
        <v>6</v>
      </c>
      <c r="G528" s="22" t="str">
        <f aca="false">IF(F528=7,IF(B528&gt;=23,"C","Sin turno"),IF(B528&lt;7,"C",IF(B528&lt;14,"A",IF(B528&lt;21,"B",IF(B528&lt;23,"Entre turnos",IF(F528=6,"Sin turno","C"))))))</f>
        <v>Entre turnos</v>
      </c>
      <c r="H528" s="25" t="n">
        <f aca="false">IF(D528="","",MAX(0,D528-0.5*C528))</f>
        <v>0</v>
      </c>
    </row>
    <row r="529" customFormat="false" ht="15" hidden="false" customHeight="false" outlineLevel="0" collapsed="false">
      <c r="A529" s="21" t="n">
        <v>46242</v>
      </c>
      <c r="B529" s="22" t="n">
        <v>23</v>
      </c>
      <c r="C529" s="25" t="n">
        <v>59.04</v>
      </c>
      <c r="D529" s="25" t="n">
        <v>26.04</v>
      </c>
      <c r="E529" s="25" t="n">
        <v>0</v>
      </c>
      <c r="F529" s="22" t="n">
        <f aca="false">WEEKDAY(A529,2)</f>
        <v>6</v>
      </c>
      <c r="G529" s="22" t="str">
        <f aca="false">IF(F529=7,IF(B529&gt;=23,"C","Sin turno"),IF(B529&lt;7,"C",IF(B529&lt;14,"A",IF(B529&lt;21,"B",IF(B529&lt;23,"Entre turnos",IF(F529=6,"Sin turno","C"))))))</f>
        <v>Sin turno</v>
      </c>
      <c r="H529" s="25" t="n">
        <f aca="false">IF(D529="","",MAX(0,D529-0.5*C529))</f>
        <v>0</v>
      </c>
    </row>
    <row r="530" customFormat="false" ht="15" hidden="false" customHeight="false" outlineLevel="0" collapsed="false">
      <c r="A530" s="21" t="n">
        <v>46243</v>
      </c>
      <c r="B530" s="22" t="n">
        <v>0</v>
      </c>
      <c r="C530" s="25" t="n">
        <v>56.28</v>
      </c>
      <c r="D530" s="25" t="n">
        <v>26.16</v>
      </c>
      <c r="E530" s="25" t="n">
        <v>0</v>
      </c>
      <c r="F530" s="22" t="n">
        <f aca="false">WEEKDAY(A530,2)</f>
        <v>7</v>
      </c>
      <c r="G530" s="22" t="str">
        <f aca="false">IF(F530=7,IF(B530&gt;=23,"C","Sin turno"),IF(B530&lt;7,"C",IF(B530&lt;14,"A",IF(B530&lt;21,"B",IF(B530&lt;23,"Entre turnos",IF(F530=6,"Sin turno","C"))))))</f>
        <v>Sin turno</v>
      </c>
      <c r="H530" s="25" t="n">
        <f aca="false">IF(D530="","",MAX(0,D530-0.5*C530))</f>
        <v>0</v>
      </c>
    </row>
    <row r="531" customFormat="false" ht="15" hidden="false" customHeight="false" outlineLevel="0" collapsed="false">
      <c r="A531" s="21" t="n">
        <v>46243</v>
      </c>
      <c r="B531" s="22" t="n">
        <v>1</v>
      </c>
      <c r="C531" s="25" t="n">
        <v>56.52</v>
      </c>
      <c r="D531" s="25" t="n">
        <v>26.76</v>
      </c>
      <c r="E531" s="25" t="n">
        <v>0</v>
      </c>
      <c r="F531" s="22" t="n">
        <f aca="false">WEEKDAY(A531,2)</f>
        <v>7</v>
      </c>
      <c r="G531" s="22" t="str">
        <f aca="false">IF(F531=7,IF(B531&gt;=23,"C","Sin turno"),IF(B531&lt;7,"C",IF(B531&lt;14,"A",IF(B531&lt;21,"B",IF(B531&lt;23,"Entre turnos",IF(F531=6,"Sin turno","C"))))))</f>
        <v>Sin turno</v>
      </c>
      <c r="H531" s="25" t="n">
        <f aca="false">IF(D531="","",MAX(0,D531-0.5*C531))</f>
        <v>0</v>
      </c>
    </row>
    <row r="532" customFormat="false" ht="15" hidden="false" customHeight="false" outlineLevel="0" collapsed="false">
      <c r="A532" s="21" t="n">
        <v>46243</v>
      </c>
      <c r="B532" s="22" t="n">
        <v>2</v>
      </c>
      <c r="C532" s="25" t="n">
        <v>54.48</v>
      </c>
      <c r="D532" s="25" t="n">
        <v>26.76</v>
      </c>
      <c r="E532" s="25" t="n">
        <v>0</v>
      </c>
      <c r="F532" s="22" t="n">
        <f aca="false">WEEKDAY(A532,2)</f>
        <v>7</v>
      </c>
      <c r="G532" s="22" t="str">
        <f aca="false">IF(F532=7,IF(B532&gt;=23,"C","Sin turno"),IF(B532&lt;7,"C",IF(B532&lt;14,"A",IF(B532&lt;21,"B",IF(B532&lt;23,"Entre turnos",IF(F532=6,"Sin turno","C"))))))</f>
        <v>Sin turno</v>
      </c>
      <c r="H532" s="25" t="n">
        <f aca="false">IF(D532="","",MAX(0,D532-0.5*C532))</f>
        <v>0</v>
      </c>
    </row>
    <row r="533" customFormat="false" ht="15" hidden="false" customHeight="false" outlineLevel="0" collapsed="false">
      <c r="A533" s="21" t="n">
        <v>46243</v>
      </c>
      <c r="B533" s="22" t="n">
        <v>3</v>
      </c>
      <c r="C533" s="25" t="n">
        <v>54.6</v>
      </c>
      <c r="D533" s="25" t="n">
        <v>25.8</v>
      </c>
      <c r="E533" s="25" t="n">
        <v>0</v>
      </c>
      <c r="F533" s="22" t="n">
        <f aca="false">WEEKDAY(A533,2)</f>
        <v>7</v>
      </c>
      <c r="G533" s="22" t="str">
        <f aca="false">IF(F533=7,IF(B533&gt;=23,"C","Sin turno"),IF(B533&lt;7,"C",IF(B533&lt;14,"A",IF(B533&lt;21,"B",IF(B533&lt;23,"Entre turnos",IF(F533=6,"Sin turno","C"))))))</f>
        <v>Sin turno</v>
      </c>
      <c r="H533" s="25" t="n">
        <f aca="false">IF(D533="","",MAX(0,D533-0.5*C533))</f>
        <v>0</v>
      </c>
    </row>
    <row r="534" customFormat="false" ht="15" hidden="false" customHeight="false" outlineLevel="0" collapsed="false">
      <c r="A534" s="21" t="n">
        <v>46243</v>
      </c>
      <c r="B534" s="22" t="n">
        <v>4</v>
      </c>
      <c r="C534" s="25" t="n">
        <v>54.12</v>
      </c>
      <c r="D534" s="25" t="n">
        <v>25.32</v>
      </c>
      <c r="E534" s="25" t="n">
        <v>0</v>
      </c>
      <c r="F534" s="22" t="n">
        <f aca="false">WEEKDAY(A534,2)</f>
        <v>7</v>
      </c>
      <c r="G534" s="22" t="str">
        <f aca="false">IF(F534=7,IF(B534&gt;=23,"C","Sin turno"),IF(B534&lt;7,"C",IF(B534&lt;14,"A",IF(B534&lt;21,"B",IF(B534&lt;23,"Entre turnos",IF(F534=6,"Sin turno","C"))))))</f>
        <v>Sin turno</v>
      </c>
      <c r="H534" s="25" t="n">
        <f aca="false">IF(D534="","",MAX(0,D534-0.5*C534))</f>
        <v>0</v>
      </c>
    </row>
    <row r="535" customFormat="false" ht="15" hidden="false" customHeight="false" outlineLevel="0" collapsed="false">
      <c r="A535" s="21" t="n">
        <v>46243</v>
      </c>
      <c r="B535" s="22" t="n">
        <v>5</v>
      </c>
      <c r="C535" s="25" t="n">
        <v>53.04</v>
      </c>
      <c r="D535" s="25" t="n">
        <v>25.56</v>
      </c>
      <c r="E535" s="25" t="n">
        <v>0</v>
      </c>
      <c r="F535" s="22" t="n">
        <f aca="false">WEEKDAY(A535,2)</f>
        <v>7</v>
      </c>
      <c r="G535" s="22" t="str">
        <f aca="false">IF(F535=7,IF(B535&gt;=23,"C","Sin turno"),IF(B535&lt;7,"C",IF(B535&lt;14,"A",IF(B535&lt;21,"B",IF(B535&lt;23,"Entre turnos",IF(F535=6,"Sin turno","C"))))))</f>
        <v>Sin turno</v>
      </c>
      <c r="H535" s="25" t="n">
        <f aca="false">IF(D535="","",MAX(0,D535-0.5*C535))</f>
        <v>0</v>
      </c>
    </row>
    <row r="536" customFormat="false" ht="15" hidden="false" customHeight="false" outlineLevel="0" collapsed="false">
      <c r="A536" s="21" t="n">
        <v>46243</v>
      </c>
      <c r="B536" s="22" t="n">
        <v>6</v>
      </c>
      <c r="C536" s="25" t="n">
        <v>51.96</v>
      </c>
      <c r="D536" s="25" t="n">
        <v>28.68</v>
      </c>
      <c r="E536" s="25" t="n">
        <v>0</v>
      </c>
      <c r="F536" s="22" t="n">
        <f aca="false">WEEKDAY(A536,2)</f>
        <v>7</v>
      </c>
      <c r="G536" s="22" t="str">
        <f aca="false">IF(F536=7,IF(B536&gt;=23,"C","Sin turno"),IF(B536&lt;7,"C",IF(B536&lt;14,"A",IF(B536&lt;21,"B",IF(B536&lt;23,"Entre turnos",IF(F536=6,"Sin turno","C"))))))</f>
        <v>Sin turno</v>
      </c>
      <c r="H536" s="25" t="n">
        <f aca="false">IF(D536="","",MAX(0,D536-0.5*C536))</f>
        <v>2.7</v>
      </c>
    </row>
    <row r="537" customFormat="false" ht="15" hidden="false" customHeight="false" outlineLevel="0" collapsed="false">
      <c r="A537" s="21" t="n">
        <v>46243</v>
      </c>
      <c r="B537" s="22" t="n">
        <v>7</v>
      </c>
      <c r="C537" s="25" t="n">
        <v>24.72</v>
      </c>
      <c r="D537" s="25" t="n">
        <v>29.28</v>
      </c>
      <c r="E537" s="25" t="n">
        <v>0</v>
      </c>
      <c r="F537" s="22" t="n">
        <f aca="false">WEEKDAY(A537,2)</f>
        <v>7</v>
      </c>
      <c r="G537" s="22" t="str">
        <f aca="false">IF(F537=7,IF(B537&gt;=23,"C","Sin turno"),IF(B537&lt;7,"C",IF(B537&lt;14,"A",IF(B537&lt;21,"B",IF(B537&lt;23,"Entre turnos",IF(F537=6,"Sin turno","C"))))))</f>
        <v>Sin turno</v>
      </c>
      <c r="H537" s="25" t="n">
        <f aca="false">IF(D537="","",MAX(0,D537-0.5*C537))</f>
        <v>16.92</v>
      </c>
    </row>
    <row r="538" customFormat="false" ht="15" hidden="false" customHeight="false" outlineLevel="0" collapsed="false">
      <c r="A538" s="21" t="n">
        <v>46243</v>
      </c>
      <c r="B538" s="22" t="n">
        <v>8</v>
      </c>
      <c r="C538" s="25" t="n">
        <v>9.48</v>
      </c>
      <c r="D538" s="25" t="n">
        <v>29.16</v>
      </c>
      <c r="E538" s="25" t="n">
        <v>0</v>
      </c>
      <c r="F538" s="22" t="n">
        <f aca="false">WEEKDAY(A538,2)</f>
        <v>7</v>
      </c>
      <c r="G538" s="22" t="str">
        <f aca="false">IF(F538=7,IF(B538&gt;=23,"C","Sin turno"),IF(B538&lt;7,"C",IF(B538&lt;14,"A",IF(B538&lt;21,"B",IF(B538&lt;23,"Entre turnos",IF(F538=6,"Sin turno","C"))))))</f>
        <v>Sin turno</v>
      </c>
      <c r="H538" s="25" t="n">
        <f aca="false">IF(D538="","",MAX(0,D538-0.5*C538))</f>
        <v>24.42</v>
      </c>
    </row>
    <row r="539" customFormat="false" ht="15" hidden="false" customHeight="false" outlineLevel="0" collapsed="false">
      <c r="A539" s="21" t="n">
        <v>46243</v>
      </c>
      <c r="B539" s="22" t="n">
        <v>9</v>
      </c>
      <c r="C539" s="25" t="n">
        <v>0.12</v>
      </c>
      <c r="D539" s="25" t="n">
        <v>29.4</v>
      </c>
      <c r="E539" s="25" t="n">
        <v>0</v>
      </c>
      <c r="F539" s="22" t="n">
        <f aca="false">WEEKDAY(A539,2)</f>
        <v>7</v>
      </c>
      <c r="G539" s="22" t="str">
        <f aca="false">IF(F539=7,IF(B539&gt;=23,"C","Sin turno"),IF(B539&lt;7,"C",IF(B539&lt;14,"A",IF(B539&lt;21,"B",IF(B539&lt;23,"Entre turnos",IF(F539=6,"Sin turno","C"))))))</f>
        <v>Sin turno</v>
      </c>
      <c r="H539" s="25" t="n">
        <f aca="false">IF(D539="","",MAX(0,D539-0.5*C539))</f>
        <v>29.34</v>
      </c>
    </row>
    <row r="540" customFormat="false" ht="15" hidden="false" customHeight="false" outlineLevel="0" collapsed="false">
      <c r="A540" s="21" t="n">
        <v>46243</v>
      </c>
      <c r="B540" s="22" t="n">
        <v>10</v>
      </c>
      <c r="C540" s="25" t="n">
        <v>0.12</v>
      </c>
      <c r="D540" s="25" t="n">
        <v>29.28</v>
      </c>
      <c r="E540" s="25" t="n">
        <v>0</v>
      </c>
      <c r="F540" s="22" t="n">
        <f aca="false">WEEKDAY(A540,2)</f>
        <v>7</v>
      </c>
      <c r="G540" s="22" t="str">
        <f aca="false">IF(F540=7,IF(B540&gt;=23,"C","Sin turno"),IF(B540&lt;7,"C",IF(B540&lt;14,"A",IF(B540&lt;21,"B",IF(B540&lt;23,"Entre turnos",IF(F540=6,"Sin turno","C"))))))</f>
        <v>Sin turno</v>
      </c>
      <c r="H540" s="25" t="n">
        <f aca="false">IF(D540="","",MAX(0,D540-0.5*C540))</f>
        <v>29.22</v>
      </c>
    </row>
    <row r="541" customFormat="false" ht="15" hidden="false" customHeight="false" outlineLevel="0" collapsed="false">
      <c r="A541" s="21" t="n">
        <v>46243</v>
      </c>
      <c r="B541" s="22" t="n">
        <v>11</v>
      </c>
      <c r="C541" s="25" t="n">
        <v>4.2</v>
      </c>
      <c r="D541" s="25" t="n">
        <v>30.12</v>
      </c>
      <c r="E541" s="25" t="n">
        <v>0</v>
      </c>
      <c r="F541" s="22" t="n">
        <f aca="false">WEEKDAY(A541,2)</f>
        <v>7</v>
      </c>
      <c r="G541" s="22" t="str">
        <f aca="false">IF(F541=7,IF(B541&gt;=23,"C","Sin turno"),IF(B541&lt;7,"C",IF(B541&lt;14,"A",IF(B541&lt;21,"B",IF(B541&lt;23,"Entre turnos",IF(F541=6,"Sin turno","C"))))))</f>
        <v>Sin turno</v>
      </c>
      <c r="H541" s="25" t="n">
        <f aca="false">IF(D541="","",MAX(0,D541-0.5*C541))</f>
        <v>28.02</v>
      </c>
    </row>
    <row r="542" customFormat="false" ht="15" hidden="false" customHeight="false" outlineLevel="0" collapsed="false">
      <c r="A542" s="21" t="n">
        <v>46243</v>
      </c>
      <c r="B542" s="22" t="n">
        <v>12</v>
      </c>
      <c r="C542" s="25" t="n">
        <v>0.84</v>
      </c>
      <c r="D542" s="25" t="n">
        <v>28.92</v>
      </c>
      <c r="E542" s="25" t="n">
        <v>0.12</v>
      </c>
      <c r="F542" s="22" t="n">
        <f aca="false">WEEKDAY(A542,2)</f>
        <v>7</v>
      </c>
      <c r="G542" s="22" t="str">
        <f aca="false">IF(F542=7,IF(B542&gt;=23,"C","Sin turno"),IF(B542&lt;7,"C",IF(B542&lt;14,"A",IF(B542&lt;21,"B",IF(B542&lt;23,"Entre turnos",IF(F542=6,"Sin turno","C"))))))</f>
        <v>Sin turno</v>
      </c>
      <c r="H542" s="25" t="n">
        <f aca="false">IF(D542="","",MAX(0,D542-0.5*C542))</f>
        <v>28.5</v>
      </c>
    </row>
    <row r="543" customFormat="false" ht="15" hidden="false" customHeight="false" outlineLevel="0" collapsed="false">
      <c r="A543" s="21" t="n">
        <v>46243</v>
      </c>
      <c r="B543" s="22" t="n">
        <v>13</v>
      </c>
      <c r="C543" s="25" t="n">
        <v>1.08</v>
      </c>
      <c r="D543" s="25" t="n">
        <v>27.12</v>
      </c>
      <c r="E543" s="25" t="n">
        <v>0</v>
      </c>
      <c r="F543" s="22" t="n">
        <f aca="false">WEEKDAY(A543,2)</f>
        <v>7</v>
      </c>
      <c r="G543" s="22" t="str">
        <f aca="false">IF(F543=7,IF(B543&gt;=23,"C","Sin turno"),IF(B543&lt;7,"C",IF(B543&lt;14,"A",IF(B543&lt;21,"B",IF(B543&lt;23,"Entre turnos",IF(F543=6,"Sin turno","C"))))))</f>
        <v>Sin turno</v>
      </c>
      <c r="H543" s="25" t="n">
        <f aca="false">IF(D543="","",MAX(0,D543-0.5*C543))</f>
        <v>26.58</v>
      </c>
    </row>
    <row r="544" customFormat="false" ht="15" hidden="false" customHeight="false" outlineLevel="0" collapsed="false">
      <c r="A544" s="21" t="n">
        <v>46243</v>
      </c>
      <c r="B544" s="22" t="n">
        <v>14</v>
      </c>
      <c r="C544" s="25" t="n">
        <v>5.76</v>
      </c>
      <c r="D544" s="25" t="n">
        <v>26.16</v>
      </c>
      <c r="E544" s="25" t="n">
        <v>0</v>
      </c>
      <c r="F544" s="22" t="n">
        <f aca="false">WEEKDAY(A544,2)</f>
        <v>7</v>
      </c>
      <c r="G544" s="22" t="str">
        <f aca="false">IF(F544=7,IF(B544&gt;=23,"C","Sin turno"),IF(B544&lt;7,"C",IF(B544&lt;14,"A",IF(B544&lt;21,"B",IF(B544&lt;23,"Entre turnos",IF(F544=6,"Sin turno","C"))))))</f>
        <v>Sin turno</v>
      </c>
      <c r="H544" s="25" t="n">
        <f aca="false">IF(D544="","",MAX(0,D544-0.5*C544))</f>
        <v>23.28</v>
      </c>
    </row>
    <row r="545" customFormat="false" ht="15" hidden="false" customHeight="false" outlineLevel="0" collapsed="false">
      <c r="A545" s="21" t="n">
        <v>46243</v>
      </c>
      <c r="B545" s="22" t="n">
        <v>15</v>
      </c>
      <c r="C545" s="25" t="n">
        <v>10.56</v>
      </c>
      <c r="D545" s="25" t="n">
        <v>25.8</v>
      </c>
      <c r="E545" s="25" t="n">
        <v>0</v>
      </c>
      <c r="F545" s="22" t="n">
        <f aca="false">WEEKDAY(A545,2)</f>
        <v>7</v>
      </c>
      <c r="G545" s="22" t="str">
        <f aca="false">IF(F545=7,IF(B545&gt;=23,"C","Sin turno"),IF(B545&lt;7,"C",IF(B545&lt;14,"A",IF(B545&lt;21,"B",IF(B545&lt;23,"Entre turnos",IF(F545=6,"Sin turno","C"))))))</f>
        <v>Sin turno</v>
      </c>
      <c r="H545" s="25" t="n">
        <f aca="false">IF(D545="","",MAX(0,D545-0.5*C545))</f>
        <v>20.52</v>
      </c>
    </row>
    <row r="546" customFormat="false" ht="15" hidden="false" customHeight="false" outlineLevel="0" collapsed="false">
      <c r="A546" s="21" t="n">
        <v>46243</v>
      </c>
      <c r="B546" s="22" t="n">
        <v>16</v>
      </c>
      <c r="C546" s="25" t="n">
        <v>36.12</v>
      </c>
      <c r="D546" s="25" t="n">
        <v>25.2</v>
      </c>
      <c r="E546" s="25" t="n">
        <v>0</v>
      </c>
      <c r="F546" s="22" t="n">
        <f aca="false">WEEKDAY(A546,2)</f>
        <v>7</v>
      </c>
      <c r="G546" s="22" t="str">
        <f aca="false">IF(F546=7,IF(B546&gt;=23,"C","Sin turno"),IF(B546&lt;7,"C",IF(B546&lt;14,"A",IF(B546&lt;21,"B",IF(B546&lt;23,"Entre turnos",IF(F546=6,"Sin turno","C"))))))</f>
        <v>Sin turno</v>
      </c>
      <c r="H546" s="25" t="n">
        <f aca="false">IF(D546="","",MAX(0,D546-0.5*C546))</f>
        <v>7.14</v>
      </c>
    </row>
    <row r="547" customFormat="false" ht="15" hidden="false" customHeight="false" outlineLevel="0" collapsed="false">
      <c r="A547" s="21" t="n">
        <v>46243</v>
      </c>
      <c r="B547" s="22" t="n">
        <v>17</v>
      </c>
      <c r="C547" s="25" t="n">
        <v>45.12</v>
      </c>
      <c r="D547" s="25" t="n">
        <v>25.8</v>
      </c>
      <c r="E547" s="25" t="n">
        <v>0</v>
      </c>
      <c r="F547" s="22" t="n">
        <f aca="false">WEEKDAY(A547,2)</f>
        <v>7</v>
      </c>
      <c r="G547" s="22" t="str">
        <f aca="false">IF(F547=7,IF(B547&gt;=23,"C","Sin turno"),IF(B547&lt;7,"C",IF(B547&lt;14,"A",IF(B547&lt;21,"B",IF(B547&lt;23,"Entre turnos",IF(F547=6,"Sin turno","C"))))))</f>
        <v>Sin turno</v>
      </c>
      <c r="H547" s="25" t="n">
        <f aca="false">IF(D547="","",MAX(0,D547-0.5*C547))</f>
        <v>3.24</v>
      </c>
    </row>
    <row r="548" customFormat="false" ht="15" hidden="false" customHeight="false" outlineLevel="0" collapsed="false">
      <c r="A548" s="21" t="n">
        <v>46243</v>
      </c>
      <c r="B548" s="22" t="n">
        <v>18</v>
      </c>
      <c r="C548" s="25" t="n">
        <v>55.08</v>
      </c>
      <c r="D548" s="25" t="n">
        <v>24.6</v>
      </c>
      <c r="E548" s="25" t="n">
        <v>0</v>
      </c>
      <c r="F548" s="22" t="n">
        <f aca="false">WEEKDAY(A548,2)</f>
        <v>7</v>
      </c>
      <c r="G548" s="22" t="str">
        <f aca="false">IF(F548=7,IF(B548&gt;=23,"C","Sin turno"),IF(B548&lt;7,"C",IF(B548&lt;14,"A",IF(B548&lt;21,"B",IF(B548&lt;23,"Entre turnos",IF(F548=6,"Sin turno","C"))))))</f>
        <v>Sin turno</v>
      </c>
      <c r="H548" s="25" t="n">
        <f aca="false">IF(D548="","",MAX(0,D548-0.5*C548))</f>
        <v>0</v>
      </c>
    </row>
    <row r="549" customFormat="false" ht="15" hidden="false" customHeight="false" outlineLevel="0" collapsed="false">
      <c r="A549" s="21" t="n">
        <v>46243</v>
      </c>
      <c r="B549" s="22" t="n">
        <v>19</v>
      </c>
      <c r="C549" s="25" t="n">
        <v>54.96</v>
      </c>
      <c r="D549" s="25" t="n">
        <v>22.2</v>
      </c>
      <c r="E549" s="25" t="n">
        <v>0</v>
      </c>
      <c r="F549" s="22" t="n">
        <f aca="false">WEEKDAY(A549,2)</f>
        <v>7</v>
      </c>
      <c r="G549" s="22" t="str">
        <f aca="false">IF(F549=7,IF(B549&gt;=23,"C","Sin turno"),IF(B549&lt;7,"C",IF(B549&lt;14,"A",IF(B549&lt;21,"B",IF(B549&lt;23,"Entre turnos",IF(F549=6,"Sin turno","C"))))))</f>
        <v>Sin turno</v>
      </c>
      <c r="H549" s="25" t="n">
        <f aca="false">IF(D549="","",MAX(0,D549-0.5*C549))</f>
        <v>0</v>
      </c>
    </row>
    <row r="550" customFormat="false" ht="15" hidden="false" customHeight="false" outlineLevel="0" collapsed="false">
      <c r="A550" s="21" t="n">
        <v>46243</v>
      </c>
      <c r="B550" s="22" t="n">
        <v>20</v>
      </c>
      <c r="C550" s="25" t="n">
        <v>54.12</v>
      </c>
      <c r="D550" s="25" t="n">
        <v>22.92</v>
      </c>
      <c r="E550" s="25" t="n">
        <v>0</v>
      </c>
      <c r="F550" s="22" t="n">
        <f aca="false">WEEKDAY(A550,2)</f>
        <v>7</v>
      </c>
      <c r="G550" s="22" t="str">
        <f aca="false">IF(F550=7,IF(B550&gt;=23,"C","Sin turno"),IF(B550&lt;7,"C",IF(B550&lt;14,"A",IF(B550&lt;21,"B",IF(B550&lt;23,"Entre turnos",IF(F550=6,"Sin turno","C"))))))</f>
        <v>Sin turno</v>
      </c>
      <c r="H550" s="25" t="n">
        <f aca="false">IF(D550="","",MAX(0,D550-0.5*C550))</f>
        <v>0</v>
      </c>
    </row>
    <row r="551" customFormat="false" ht="15" hidden="false" customHeight="false" outlineLevel="0" collapsed="false">
      <c r="A551" s="21" t="n">
        <v>46243</v>
      </c>
      <c r="B551" s="22" t="n">
        <v>21</v>
      </c>
      <c r="C551" s="25" t="n">
        <v>53.76</v>
      </c>
      <c r="D551" s="25" t="n">
        <v>23.16</v>
      </c>
      <c r="E551" s="25" t="n">
        <v>0</v>
      </c>
      <c r="F551" s="22" t="n">
        <f aca="false">WEEKDAY(A551,2)</f>
        <v>7</v>
      </c>
      <c r="G551" s="22" t="str">
        <f aca="false">IF(F551=7,IF(B551&gt;=23,"C","Sin turno"),IF(B551&lt;7,"C",IF(B551&lt;14,"A",IF(B551&lt;21,"B",IF(B551&lt;23,"Entre turnos",IF(F551=6,"Sin turno","C"))))))</f>
        <v>Sin turno</v>
      </c>
      <c r="H551" s="25" t="n">
        <f aca="false">IF(D551="","",MAX(0,D551-0.5*C551))</f>
        <v>0</v>
      </c>
    </row>
    <row r="552" customFormat="false" ht="15" hidden="false" customHeight="false" outlineLevel="0" collapsed="false">
      <c r="A552" s="21" t="n">
        <v>46243</v>
      </c>
      <c r="B552" s="22" t="n">
        <v>22</v>
      </c>
      <c r="C552" s="25" t="n">
        <v>53.52</v>
      </c>
      <c r="D552" s="25" t="n">
        <v>23.04</v>
      </c>
      <c r="E552" s="25" t="n">
        <v>0</v>
      </c>
      <c r="F552" s="22" t="n">
        <f aca="false">WEEKDAY(A552,2)</f>
        <v>7</v>
      </c>
      <c r="G552" s="22" t="str">
        <f aca="false">IF(F552=7,IF(B552&gt;=23,"C","Sin turno"),IF(B552&lt;7,"C",IF(B552&lt;14,"A",IF(B552&lt;21,"B",IF(B552&lt;23,"Entre turnos",IF(F552=6,"Sin turno","C"))))))</f>
        <v>Sin turno</v>
      </c>
      <c r="H552" s="25" t="n">
        <f aca="false">IF(D552="","",MAX(0,D552-0.5*C552))</f>
        <v>0</v>
      </c>
    </row>
    <row r="553" customFormat="false" ht="15" hidden="false" customHeight="false" outlineLevel="0" collapsed="false">
      <c r="A553" s="21" t="n">
        <v>46243</v>
      </c>
      <c r="B553" s="22" t="n">
        <v>23</v>
      </c>
      <c r="C553" s="25" t="n">
        <v>79.08</v>
      </c>
      <c r="D553" s="25" t="n">
        <v>27.72</v>
      </c>
      <c r="E553" s="25" t="n">
        <v>0</v>
      </c>
      <c r="F553" s="22" t="n">
        <f aca="false">WEEKDAY(A553,2)</f>
        <v>7</v>
      </c>
      <c r="G553" s="22" t="str">
        <f aca="false">IF(F553=7,IF(B553&gt;=23,"C","Sin turno"),IF(B553&lt;7,"C",IF(B553&lt;14,"A",IF(B553&lt;21,"B",IF(B553&lt;23,"Entre turnos",IF(F553=6,"Sin turno","C"))))))</f>
        <v>C</v>
      </c>
      <c r="H553" s="25" t="n">
        <f aca="false">IF(D553="","",MAX(0,D553-0.5*C553))</f>
        <v>0</v>
      </c>
    </row>
    <row r="554" customFormat="false" ht="15" hidden="false" customHeight="false" outlineLevel="0" collapsed="false">
      <c r="A554" s="21" t="n">
        <v>46244</v>
      </c>
      <c r="B554" s="22" t="n">
        <v>0</v>
      </c>
      <c r="C554" s="25" t="n">
        <v>96.48</v>
      </c>
      <c r="D554" s="25" t="n">
        <v>6.84</v>
      </c>
      <c r="E554" s="25" t="n">
        <v>0.72</v>
      </c>
      <c r="F554" s="22" t="n">
        <f aca="false">WEEKDAY(A554,2)</f>
        <v>1</v>
      </c>
      <c r="G554" s="22" t="str">
        <f aca="false">IF(F554=7,IF(B554&gt;=23,"C","Sin turno"),IF(B554&lt;7,"C",IF(B554&lt;14,"A",IF(B554&lt;21,"B",IF(B554&lt;23,"Entre turnos",IF(F554=6,"Sin turno","C"))))))</f>
        <v>C</v>
      </c>
      <c r="H554" s="25" t="n">
        <f aca="false">IF(D554="","",MAX(0,D554-0.5*C554))</f>
        <v>0</v>
      </c>
    </row>
    <row r="555" customFormat="false" ht="15" hidden="false" customHeight="false" outlineLevel="0" collapsed="false">
      <c r="A555" s="21" t="n">
        <v>46244</v>
      </c>
      <c r="B555" s="22" t="n">
        <v>1</v>
      </c>
      <c r="C555" s="25" t="n">
        <v>99.48</v>
      </c>
      <c r="D555" s="25" t="n">
        <v>7.8</v>
      </c>
      <c r="E555" s="25" t="n">
        <v>0.6</v>
      </c>
      <c r="F555" s="22" t="n">
        <f aca="false">WEEKDAY(A555,2)</f>
        <v>1</v>
      </c>
      <c r="G555" s="22" t="str">
        <f aca="false">IF(F555=7,IF(B555&gt;=23,"C","Sin turno"),IF(B555&lt;7,"C",IF(B555&lt;14,"A",IF(B555&lt;21,"B",IF(B555&lt;23,"Entre turnos",IF(F555=6,"Sin turno","C"))))))</f>
        <v>C</v>
      </c>
      <c r="H555" s="25" t="n">
        <f aca="false">IF(D555="","",MAX(0,D555-0.5*C555))</f>
        <v>0</v>
      </c>
    </row>
    <row r="556" customFormat="false" ht="15" hidden="false" customHeight="false" outlineLevel="0" collapsed="false">
      <c r="A556" s="21" t="n">
        <v>46244</v>
      </c>
      <c r="B556" s="22" t="n">
        <v>2</v>
      </c>
      <c r="C556" s="25" t="n">
        <v>103.2</v>
      </c>
      <c r="D556" s="25" t="n">
        <v>10.56</v>
      </c>
      <c r="E556" s="25" t="n">
        <v>0.12</v>
      </c>
      <c r="F556" s="22" t="n">
        <f aca="false">WEEKDAY(A556,2)</f>
        <v>1</v>
      </c>
      <c r="G556" s="22" t="str">
        <f aca="false">IF(F556=7,IF(B556&gt;=23,"C","Sin turno"),IF(B556&lt;7,"C",IF(B556&lt;14,"A",IF(B556&lt;21,"B",IF(B556&lt;23,"Entre turnos",IF(F556=6,"Sin turno","C"))))))</f>
        <v>C</v>
      </c>
      <c r="H556" s="25" t="n">
        <f aca="false">IF(D556="","",MAX(0,D556-0.5*C556))</f>
        <v>0</v>
      </c>
    </row>
    <row r="557" customFormat="false" ht="15" hidden="false" customHeight="false" outlineLevel="0" collapsed="false">
      <c r="A557" s="21" t="n">
        <v>46244</v>
      </c>
      <c r="B557" s="22" t="n">
        <v>3</v>
      </c>
      <c r="C557" s="25" t="n">
        <v>95.76</v>
      </c>
      <c r="D557" s="25" t="n">
        <v>7.2</v>
      </c>
      <c r="E557" s="25" t="n">
        <v>0.84</v>
      </c>
      <c r="F557" s="22" t="n">
        <f aca="false">WEEKDAY(A557,2)</f>
        <v>1</v>
      </c>
      <c r="G557" s="22" t="str">
        <f aca="false">IF(F557=7,IF(B557&gt;=23,"C","Sin turno"),IF(B557&lt;7,"C",IF(B557&lt;14,"A",IF(B557&lt;21,"B",IF(B557&lt;23,"Entre turnos",IF(F557=6,"Sin turno","C"))))))</f>
        <v>C</v>
      </c>
      <c r="H557" s="25" t="n">
        <f aca="false">IF(D557="","",MAX(0,D557-0.5*C557))</f>
        <v>0</v>
      </c>
    </row>
    <row r="558" customFormat="false" ht="15" hidden="false" customHeight="false" outlineLevel="0" collapsed="false">
      <c r="A558" s="21" t="n">
        <v>46244</v>
      </c>
      <c r="B558" s="22" t="n">
        <v>4</v>
      </c>
      <c r="C558" s="25" t="n">
        <v>105.24</v>
      </c>
      <c r="D558" s="25" t="n">
        <v>6.84</v>
      </c>
      <c r="E558" s="25" t="n">
        <v>0.6</v>
      </c>
      <c r="F558" s="22" t="n">
        <f aca="false">WEEKDAY(A558,2)</f>
        <v>1</v>
      </c>
      <c r="G558" s="22" t="str">
        <f aca="false">IF(F558=7,IF(B558&gt;=23,"C","Sin turno"),IF(B558&lt;7,"C",IF(B558&lt;14,"A",IF(B558&lt;21,"B",IF(B558&lt;23,"Entre turnos",IF(F558=6,"Sin turno","C"))))))</f>
        <v>C</v>
      </c>
      <c r="H558" s="25" t="n">
        <f aca="false">IF(D558="","",MAX(0,D558-0.5*C558))</f>
        <v>0</v>
      </c>
    </row>
    <row r="559" customFormat="false" ht="15" hidden="false" customHeight="false" outlineLevel="0" collapsed="false">
      <c r="A559" s="21" t="n">
        <v>46244</v>
      </c>
      <c r="B559" s="22" t="n">
        <v>5</v>
      </c>
      <c r="C559" s="25" t="n">
        <v>122.16</v>
      </c>
      <c r="D559" s="25" t="n">
        <v>11.28</v>
      </c>
      <c r="E559" s="25" t="n">
        <v>0.6</v>
      </c>
      <c r="F559" s="22" t="n">
        <f aca="false">WEEKDAY(A559,2)</f>
        <v>1</v>
      </c>
      <c r="G559" s="22" t="str">
        <f aca="false">IF(F559=7,IF(B559&gt;=23,"C","Sin turno"),IF(B559&lt;7,"C",IF(B559&lt;14,"A",IF(B559&lt;21,"B",IF(B559&lt;23,"Entre turnos",IF(F559=6,"Sin turno","C"))))))</f>
        <v>C</v>
      </c>
      <c r="H559" s="25" t="n">
        <f aca="false">IF(D559="","",MAX(0,D559-0.5*C559))</f>
        <v>0</v>
      </c>
    </row>
    <row r="560" customFormat="false" ht="15" hidden="false" customHeight="false" outlineLevel="0" collapsed="false">
      <c r="A560" s="21" t="n">
        <v>46244</v>
      </c>
      <c r="B560" s="22" t="n">
        <v>6</v>
      </c>
      <c r="C560" s="25" t="n">
        <v>112.32</v>
      </c>
      <c r="D560" s="25" t="n">
        <v>11.4</v>
      </c>
      <c r="E560" s="25" t="n">
        <v>0.72</v>
      </c>
      <c r="F560" s="22" t="n">
        <f aca="false">WEEKDAY(A560,2)</f>
        <v>1</v>
      </c>
      <c r="G560" s="22" t="str">
        <f aca="false">IF(F560=7,IF(B560&gt;=23,"C","Sin turno"),IF(B560&lt;7,"C",IF(B560&lt;14,"A",IF(B560&lt;21,"B",IF(B560&lt;23,"Entre turnos",IF(F560=6,"Sin turno","C"))))))</f>
        <v>C</v>
      </c>
      <c r="H560" s="25" t="n">
        <f aca="false">IF(D560="","",MAX(0,D560-0.5*C560))</f>
        <v>0</v>
      </c>
    </row>
    <row r="561" customFormat="false" ht="15" hidden="false" customHeight="false" outlineLevel="0" collapsed="false">
      <c r="A561" s="21" t="n">
        <v>46244</v>
      </c>
      <c r="B561" s="22" t="n">
        <v>7</v>
      </c>
      <c r="C561" s="25" t="n">
        <v>155.16</v>
      </c>
      <c r="D561" s="25" t="n">
        <v>24.84</v>
      </c>
      <c r="E561" s="25" t="n">
        <v>0.48</v>
      </c>
      <c r="F561" s="22" t="n">
        <f aca="false">WEEKDAY(A561,2)</f>
        <v>1</v>
      </c>
      <c r="G561" s="22" t="str">
        <f aca="false">IF(F561=7,IF(B561&gt;=23,"C","Sin turno"),IF(B561&lt;7,"C",IF(B561&lt;14,"A",IF(B561&lt;21,"B",IF(B561&lt;23,"Entre turnos",IF(F561=6,"Sin turno","C"))))))</f>
        <v>A</v>
      </c>
      <c r="H561" s="25" t="n">
        <f aca="false">IF(D561="","",MAX(0,D561-0.5*C561))</f>
        <v>0</v>
      </c>
    </row>
    <row r="562" customFormat="false" ht="15" hidden="false" customHeight="false" outlineLevel="0" collapsed="false">
      <c r="A562" s="21" t="n">
        <v>46244</v>
      </c>
      <c r="B562" s="22" t="n">
        <v>8</v>
      </c>
      <c r="C562" s="25" t="n">
        <v>120.6</v>
      </c>
      <c r="D562" s="25" t="n">
        <v>26.88</v>
      </c>
      <c r="E562" s="25" t="n">
        <v>0</v>
      </c>
      <c r="F562" s="22" t="n">
        <f aca="false">WEEKDAY(A562,2)</f>
        <v>1</v>
      </c>
      <c r="G562" s="22" t="str">
        <f aca="false">IF(F562=7,IF(B562&gt;=23,"C","Sin turno"),IF(B562&lt;7,"C",IF(B562&lt;14,"A",IF(B562&lt;21,"B",IF(B562&lt;23,"Entre turnos",IF(F562=6,"Sin turno","C"))))))</f>
        <v>A</v>
      </c>
      <c r="H562" s="25" t="n">
        <f aca="false">IF(D562="","",MAX(0,D562-0.5*C562))</f>
        <v>0</v>
      </c>
    </row>
    <row r="563" customFormat="false" ht="15" hidden="false" customHeight="false" outlineLevel="0" collapsed="false">
      <c r="A563" s="21" t="n">
        <v>46244</v>
      </c>
      <c r="B563" s="22" t="n">
        <v>9</v>
      </c>
      <c r="C563" s="25" t="n">
        <v>101.76</v>
      </c>
      <c r="D563" s="25" t="n">
        <v>17.4</v>
      </c>
      <c r="E563" s="25" t="n">
        <v>0</v>
      </c>
      <c r="F563" s="22" t="n">
        <f aca="false">WEEKDAY(A563,2)</f>
        <v>1</v>
      </c>
      <c r="G563" s="22" t="str">
        <f aca="false">IF(F563=7,IF(B563&gt;=23,"C","Sin turno"),IF(B563&lt;7,"C",IF(B563&lt;14,"A",IF(B563&lt;21,"B",IF(B563&lt;23,"Entre turnos",IF(F563=6,"Sin turno","C"))))))</f>
        <v>A</v>
      </c>
      <c r="H563" s="25" t="n">
        <f aca="false">IF(D563="","",MAX(0,D563-0.5*C563))</f>
        <v>0</v>
      </c>
    </row>
    <row r="564" customFormat="false" ht="15" hidden="false" customHeight="false" outlineLevel="0" collapsed="false">
      <c r="A564" s="21" t="n">
        <v>46244</v>
      </c>
      <c r="B564" s="22" t="n">
        <v>10</v>
      </c>
      <c r="C564" s="25" t="n">
        <v>103.08</v>
      </c>
      <c r="D564" s="25" t="n">
        <v>16.2</v>
      </c>
      <c r="E564" s="25" t="n">
        <v>0</v>
      </c>
      <c r="F564" s="22" t="n">
        <f aca="false">WEEKDAY(A564,2)</f>
        <v>1</v>
      </c>
      <c r="G564" s="22" t="str">
        <f aca="false">IF(F564=7,IF(B564&gt;=23,"C","Sin turno"),IF(B564&lt;7,"C",IF(B564&lt;14,"A",IF(B564&lt;21,"B",IF(B564&lt;23,"Entre turnos",IF(F564=6,"Sin turno","C"))))))</f>
        <v>A</v>
      </c>
      <c r="H564" s="25" t="n">
        <f aca="false">IF(D564="","",MAX(0,D564-0.5*C564))</f>
        <v>0</v>
      </c>
    </row>
    <row r="565" customFormat="false" ht="15" hidden="false" customHeight="false" outlineLevel="0" collapsed="false">
      <c r="A565" s="21" t="n">
        <v>46244</v>
      </c>
      <c r="B565" s="22" t="n">
        <v>11</v>
      </c>
      <c r="C565" s="25" t="n">
        <v>104.28</v>
      </c>
      <c r="D565" s="25" t="n">
        <v>16.32</v>
      </c>
      <c r="E565" s="25" t="n">
        <v>0</v>
      </c>
      <c r="F565" s="22" t="n">
        <f aca="false">WEEKDAY(A565,2)</f>
        <v>1</v>
      </c>
      <c r="G565" s="22" t="str">
        <f aca="false">IF(F565=7,IF(B565&gt;=23,"C","Sin turno"),IF(B565&lt;7,"C",IF(B565&lt;14,"A",IF(B565&lt;21,"B",IF(B565&lt;23,"Entre turnos",IF(F565=6,"Sin turno","C"))))))</f>
        <v>A</v>
      </c>
      <c r="H565" s="25" t="n">
        <f aca="false">IF(D565="","",MAX(0,D565-0.5*C565))</f>
        <v>0</v>
      </c>
    </row>
    <row r="566" customFormat="false" ht="15" hidden="false" customHeight="false" outlineLevel="0" collapsed="false">
      <c r="A566" s="21" t="n">
        <v>46244</v>
      </c>
      <c r="B566" s="22" t="n">
        <v>12</v>
      </c>
      <c r="C566" s="25" t="n">
        <v>105.36</v>
      </c>
      <c r="D566" s="25" t="n">
        <v>17.04</v>
      </c>
      <c r="E566" s="25" t="n">
        <v>0</v>
      </c>
      <c r="F566" s="22" t="n">
        <f aca="false">WEEKDAY(A566,2)</f>
        <v>1</v>
      </c>
      <c r="G566" s="22" t="str">
        <f aca="false">IF(F566=7,IF(B566&gt;=23,"C","Sin turno"),IF(B566&lt;7,"C",IF(B566&lt;14,"A",IF(B566&lt;21,"B",IF(B566&lt;23,"Entre turnos",IF(F566=6,"Sin turno","C"))))))</f>
        <v>A</v>
      </c>
      <c r="H566" s="25" t="n">
        <f aca="false">IF(D566="","",MAX(0,D566-0.5*C566))</f>
        <v>0</v>
      </c>
    </row>
    <row r="567" customFormat="false" ht="15" hidden="false" customHeight="false" outlineLevel="0" collapsed="false">
      <c r="A567" s="21" t="n">
        <v>46244</v>
      </c>
      <c r="B567" s="22" t="n">
        <v>13</v>
      </c>
      <c r="C567" s="25" t="n">
        <v>93.48</v>
      </c>
      <c r="D567" s="25" t="n">
        <v>9.72</v>
      </c>
      <c r="E567" s="25" t="n">
        <v>0.36</v>
      </c>
      <c r="F567" s="22" t="n">
        <f aca="false">WEEKDAY(A567,2)</f>
        <v>1</v>
      </c>
      <c r="G567" s="22" t="str">
        <f aca="false">IF(F567=7,IF(B567&gt;=23,"C","Sin turno"),IF(B567&lt;7,"C",IF(B567&lt;14,"A",IF(B567&lt;21,"B",IF(B567&lt;23,"Entre turnos",IF(F567=6,"Sin turno","C"))))))</f>
        <v>A</v>
      </c>
      <c r="H567" s="25" t="n">
        <f aca="false">IF(D567="","",MAX(0,D567-0.5*C567))</f>
        <v>0</v>
      </c>
    </row>
    <row r="568" customFormat="false" ht="15" hidden="false" customHeight="false" outlineLevel="0" collapsed="false">
      <c r="A568" s="21" t="n">
        <v>46244</v>
      </c>
      <c r="B568" s="22" t="n">
        <v>14</v>
      </c>
      <c r="C568" s="25" t="n">
        <v>91.32</v>
      </c>
      <c r="D568" s="25" t="n">
        <v>9.12</v>
      </c>
      <c r="E568" s="25" t="n">
        <v>0.36</v>
      </c>
      <c r="F568" s="22" t="n">
        <f aca="false">WEEKDAY(A568,2)</f>
        <v>1</v>
      </c>
      <c r="G568" s="22" t="str">
        <f aca="false">IF(F568=7,IF(B568&gt;=23,"C","Sin turno"),IF(B568&lt;7,"C",IF(B568&lt;14,"A",IF(B568&lt;21,"B",IF(B568&lt;23,"Entre turnos",IF(F568=6,"Sin turno","C"))))))</f>
        <v>B</v>
      </c>
      <c r="H568" s="25" t="n">
        <f aca="false">IF(D568="","",MAX(0,D568-0.5*C568))</f>
        <v>0</v>
      </c>
    </row>
    <row r="569" customFormat="false" ht="15" hidden="false" customHeight="false" outlineLevel="0" collapsed="false">
      <c r="A569" s="21" t="n">
        <v>46244</v>
      </c>
      <c r="B569" s="22" t="n">
        <v>15</v>
      </c>
      <c r="C569" s="25" t="n">
        <v>90.24</v>
      </c>
      <c r="D569" s="25" t="n">
        <v>9.12</v>
      </c>
      <c r="E569" s="25" t="n">
        <v>0.48</v>
      </c>
      <c r="F569" s="22" t="n">
        <f aca="false">WEEKDAY(A569,2)</f>
        <v>1</v>
      </c>
      <c r="G569" s="22" t="str">
        <f aca="false">IF(F569=7,IF(B569&gt;=23,"C","Sin turno"),IF(B569&lt;7,"C",IF(B569&lt;14,"A",IF(B569&lt;21,"B",IF(B569&lt;23,"Entre turnos",IF(F569=6,"Sin turno","C"))))))</f>
        <v>B</v>
      </c>
      <c r="H569" s="25" t="n">
        <f aca="false">IF(D569="","",MAX(0,D569-0.5*C569))</f>
        <v>0</v>
      </c>
    </row>
    <row r="570" customFormat="false" ht="15" hidden="false" customHeight="false" outlineLevel="0" collapsed="false">
      <c r="A570" s="21" t="n">
        <v>46244</v>
      </c>
      <c r="B570" s="22" t="n">
        <v>16</v>
      </c>
      <c r="C570" s="25" t="n">
        <v>89.76</v>
      </c>
      <c r="D570" s="25" t="n">
        <v>9.12</v>
      </c>
      <c r="E570" s="25" t="n">
        <v>0.48</v>
      </c>
      <c r="F570" s="22" t="n">
        <f aca="false">WEEKDAY(A570,2)</f>
        <v>1</v>
      </c>
      <c r="G570" s="22" t="str">
        <f aca="false">IF(F570=7,IF(B570&gt;=23,"C","Sin turno"),IF(B570&lt;7,"C",IF(B570&lt;14,"A",IF(B570&lt;21,"B",IF(B570&lt;23,"Entre turnos",IF(F570=6,"Sin turno","C"))))))</f>
        <v>B</v>
      </c>
      <c r="H570" s="25" t="n">
        <f aca="false">IF(D570="","",MAX(0,D570-0.5*C570))</f>
        <v>0</v>
      </c>
    </row>
    <row r="571" customFormat="false" ht="15" hidden="false" customHeight="false" outlineLevel="0" collapsed="false">
      <c r="A571" s="21" t="n">
        <v>46244</v>
      </c>
      <c r="B571" s="22" t="n">
        <v>17</v>
      </c>
      <c r="C571" s="25" t="n">
        <v>59.04</v>
      </c>
      <c r="D571" s="25" t="n">
        <v>19.44</v>
      </c>
      <c r="E571" s="25" t="n">
        <v>0</v>
      </c>
      <c r="F571" s="22" t="n">
        <f aca="false">WEEKDAY(A571,2)</f>
        <v>1</v>
      </c>
      <c r="G571" s="22" t="str">
        <f aca="false">IF(F571=7,IF(B571&gt;=23,"C","Sin turno"),IF(B571&lt;7,"C",IF(B571&lt;14,"A",IF(B571&lt;21,"B",IF(B571&lt;23,"Entre turnos",IF(F571=6,"Sin turno","C"))))))</f>
        <v>B</v>
      </c>
      <c r="H571" s="25" t="n">
        <f aca="false">IF(D571="","",MAX(0,D571-0.5*C571))</f>
        <v>0</v>
      </c>
    </row>
    <row r="572" customFormat="false" ht="15" hidden="false" customHeight="false" outlineLevel="0" collapsed="false">
      <c r="A572" s="21" t="n">
        <v>46244</v>
      </c>
      <c r="B572" s="22" t="n">
        <v>18</v>
      </c>
      <c r="C572" s="25" t="n">
        <v>58.92</v>
      </c>
      <c r="D572" s="25" t="n">
        <v>19.32</v>
      </c>
      <c r="E572" s="25" t="n">
        <v>0</v>
      </c>
      <c r="F572" s="22" t="n">
        <f aca="false">WEEKDAY(A572,2)</f>
        <v>1</v>
      </c>
      <c r="G572" s="22" t="str">
        <f aca="false">IF(F572=7,IF(B572&gt;=23,"C","Sin turno"),IF(B572&lt;7,"C",IF(B572&lt;14,"A",IF(B572&lt;21,"B",IF(B572&lt;23,"Entre turnos",IF(F572=6,"Sin turno","C"))))))</f>
        <v>B</v>
      </c>
      <c r="H572" s="25" t="n">
        <f aca="false">IF(D572="","",MAX(0,D572-0.5*C572))</f>
        <v>0</v>
      </c>
    </row>
    <row r="573" customFormat="false" ht="15" hidden="false" customHeight="false" outlineLevel="0" collapsed="false">
      <c r="A573" s="21" t="n">
        <v>46244</v>
      </c>
      <c r="B573" s="22" t="n">
        <v>19</v>
      </c>
      <c r="C573" s="25" t="n">
        <v>57.24</v>
      </c>
      <c r="D573" s="25" t="n">
        <v>18.6</v>
      </c>
      <c r="E573" s="25" t="n">
        <v>0</v>
      </c>
      <c r="F573" s="22" t="n">
        <f aca="false">WEEKDAY(A573,2)</f>
        <v>1</v>
      </c>
      <c r="G573" s="22" t="str">
        <f aca="false">IF(F573=7,IF(B573&gt;=23,"C","Sin turno"),IF(B573&lt;7,"C",IF(B573&lt;14,"A",IF(B573&lt;21,"B",IF(B573&lt;23,"Entre turnos",IF(F573=6,"Sin turno","C"))))))</f>
        <v>B</v>
      </c>
      <c r="H573" s="25" t="n">
        <f aca="false">IF(D573="","",MAX(0,D573-0.5*C573))</f>
        <v>0</v>
      </c>
    </row>
    <row r="574" customFormat="false" ht="15" hidden="false" customHeight="false" outlineLevel="0" collapsed="false">
      <c r="A574" s="21" t="n">
        <v>46244</v>
      </c>
      <c r="B574" s="22" t="n">
        <v>20</v>
      </c>
      <c r="C574" s="25" t="n">
        <v>55.8</v>
      </c>
      <c r="D574" s="25" t="n">
        <v>18.72</v>
      </c>
      <c r="E574" s="25" t="n">
        <v>0</v>
      </c>
      <c r="F574" s="22" t="n">
        <f aca="false">WEEKDAY(A574,2)</f>
        <v>1</v>
      </c>
      <c r="G574" s="22" t="str">
        <f aca="false">IF(F574=7,IF(B574&gt;=23,"C","Sin turno"),IF(B574&lt;7,"C",IF(B574&lt;14,"A",IF(B574&lt;21,"B",IF(B574&lt;23,"Entre turnos",IF(F574=6,"Sin turno","C"))))))</f>
        <v>B</v>
      </c>
      <c r="H574" s="25" t="n">
        <f aca="false">IF(D574="","",MAX(0,D574-0.5*C574))</f>
        <v>0</v>
      </c>
    </row>
    <row r="575" customFormat="false" ht="15" hidden="false" customHeight="false" outlineLevel="0" collapsed="false">
      <c r="A575" s="21" t="n">
        <v>46244</v>
      </c>
      <c r="B575" s="22" t="n">
        <v>21</v>
      </c>
      <c r="C575" s="25" t="n">
        <v>54.6</v>
      </c>
      <c r="D575" s="25" t="n">
        <v>18.48</v>
      </c>
      <c r="E575" s="25" t="n">
        <v>0</v>
      </c>
      <c r="F575" s="22" t="n">
        <f aca="false">WEEKDAY(A575,2)</f>
        <v>1</v>
      </c>
      <c r="G575" s="22" t="str">
        <f aca="false">IF(F575=7,IF(B575&gt;=23,"C","Sin turno"),IF(B575&lt;7,"C",IF(B575&lt;14,"A",IF(B575&lt;21,"B",IF(B575&lt;23,"Entre turnos",IF(F575=6,"Sin turno","C"))))))</f>
        <v>Entre turnos</v>
      </c>
      <c r="H575" s="25" t="n">
        <f aca="false">IF(D575="","",MAX(0,D575-0.5*C575))</f>
        <v>0</v>
      </c>
    </row>
    <row r="576" customFormat="false" ht="15" hidden="false" customHeight="false" outlineLevel="0" collapsed="false">
      <c r="A576" s="21" t="n">
        <v>46244</v>
      </c>
      <c r="B576" s="22" t="n">
        <v>22</v>
      </c>
      <c r="C576" s="25" t="n">
        <v>54</v>
      </c>
      <c r="D576" s="25" t="n">
        <v>19.08</v>
      </c>
      <c r="E576" s="25" t="n">
        <v>0</v>
      </c>
      <c r="F576" s="22" t="n">
        <f aca="false">WEEKDAY(A576,2)</f>
        <v>1</v>
      </c>
      <c r="G576" s="22" t="str">
        <f aca="false">IF(F576=7,IF(B576&gt;=23,"C","Sin turno"),IF(B576&lt;7,"C",IF(B576&lt;14,"A",IF(B576&lt;21,"B",IF(B576&lt;23,"Entre turnos",IF(F576=6,"Sin turno","C"))))))</f>
        <v>Entre turnos</v>
      </c>
      <c r="H576" s="25" t="n">
        <f aca="false">IF(D576="","",MAX(0,D576-0.5*C576))</f>
        <v>0</v>
      </c>
    </row>
    <row r="577" customFormat="false" ht="15" hidden="false" customHeight="false" outlineLevel="0" collapsed="false">
      <c r="A577" s="21" t="n">
        <v>46244</v>
      </c>
      <c r="B577" s="22" t="n">
        <v>23</v>
      </c>
      <c r="C577" s="25" t="n">
        <v>54.24</v>
      </c>
      <c r="D577" s="25" t="n">
        <v>19.2</v>
      </c>
      <c r="E577" s="25" t="n">
        <v>0</v>
      </c>
      <c r="F577" s="22" t="n">
        <f aca="false">WEEKDAY(A577,2)</f>
        <v>1</v>
      </c>
      <c r="G577" s="22" t="str">
        <f aca="false">IF(F577=7,IF(B577&gt;=23,"C","Sin turno"),IF(B577&lt;7,"C",IF(B577&lt;14,"A",IF(B577&lt;21,"B",IF(B577&lt;23,"Entre turnos",IF(F577=6,"Sin turno","C"))))))</f>
        <v>C</v>
      </c>
      <c r="H577" s="25" t="n">
        <f aca="false">IF(D577="","",MAX(0,D577-0.5*C577))</f>
        <v>0</v>
      </c>
    </row>
    <row r="578" customFormat="false" ht="15" hidden="false" customHeight="false" outlineLevel="0" collapsed="false">
      <c r="A578" s="21" t="n">
        <v>46245</v>
      </c>
      <c r="B578" s="22" t="n">
        <v>0</v>
      </c>
      <c r="C578" s="25" t="n">
        <v>53.76</v>
      </c>
      <c r="D578" s="25" t="n">
        <v>19.44</v>
      </c>
      <c r="E578" s="25" t="n">
        <v>0</v>
      </c>
      <c r="F578" s="22" t="n">
        <f aca="false">WEEKDAY(A578,2)</f>
        <v>2</v>
      </c>
      <c r="G578" s="22" t="str">
        <f aca="false">IF(F578=7,IF(B578&gt;=23,"C","Sin turno"),IF(B578&lt;7,"C",IF(B578&lt;14,"A",IF(B578&lt;21,"B",IF(B578&lt;23,"Entre turnos",IF(F578=6,"Sin turno","C"))))))</f>
        <v>C</v>
      </c>
      <c r="H578" s="25" t="n">
        <f aca="false">IF(D578="","",MAX(0,D578-0.5*C578))</f>
        <v>0</v>
      </c>
    </row>
    <row r="579" customFormat="false" ht="15" hidden="false" customHeight="false" outlineLevel="0" collapsed="false">
      <c r="A579" s="21" t="n">
        <v>46245</v>
      </c>
      <c r="B579" s="22" t="n">
        <v>1</v>
      </c>
      <c r="C579" s="25" t="n">
        <v>52.92</v>
      </c>
      <c r="D579" s="25" t="n">
        <v>19.68</v>
      </c>
      <c r="E579" s="25" t="n">
        <v>0</v>
      </c>
      <c r="F579" s="22" t="n">
        <f aca="false">WEEKDAY(A579,2)</f>
        <v>2</v>
      </c>
      <c r="G579" s="22" t="str">
        <f aca="false">IF(F579=7,IF(B579&gt;=23,"C","Sin turno"),IF(B579&lt;7,"C",IF(B579&lt;14,"A",IF(B579&lt;21,"B",IF(B579&lt;23,"Entre turnos",IF(F579=6,"Sin turno","C"))))))</f>
        <v>C</v>
      </c>
      <c r="H579" s="25" t="n">
        <f aca="false">IF(D579="","",MAX(0,D579-0.5*C579))</f>
        <v>0</v>
      </c>
    </row>
    <row r="580" customFormat="false" ht="15" hidden="false" customHeight="false" outlineLevel="0" collapsed="false">
      <c r="A580" s="21" t="n">
        <v>46245</v>
      </c>
      <c r="B580" s="22" t="n">
        <v>2</v>
      </c>
      <c r="C580" s="25" t="n">
        <v>53.28</v>
      </c>
      <c r="D580" s="25" t="n">
        <v>19.32</v>
      </c>
      <c r="E580" s="25" t="n">
        <v>0</v>
      </c>
      <c r="F580" s="22" t="n">
        <f aca="false">WEEKDAY(A580,2)</f>
        <v>2</v>
      </c>
      <c r="G580" s="22" t="str">
        <f aca="false">IF(F580=7,IF(B580&gt;=23,"C","Sin turno"),IF(B580&lt;7,"C",IF(B580&lt;14,"A",IF(B580&lt;21,"B",IF(B580&lt;23,"Entre turnos",IF(F580=6,"Sin turno","C"))))))</f>
        <v>C</v>
      </c>
      <c r="H580" s="25" t="n">
        <f aca="false">IF(D580="","",MAX(0,D580-0.5*C580))</f>
        <v>0</v>
      </c>
    </row>
    <row r="581" customFormat="false" ht="15" hidden="false" customHeight="false" outlineLevel="0" collapsed="false">
      <c r="A581" s="21" t="n">
        <v>46245</v>
      </c>
      <c r="B581" s="22" t="n">
        <v>3</v>
      </c>
      <c r="C581" s="25" t="n">
        <v>51.96</v>
      </c>
      <c r="D581" s="25" t="n">
        <v>18.96</v>
      </c>
      <c r="E581" s="25" t="n">
        <v>0</v>
      </c>
      <c r="F581" s="22" t="n">
        <f aca="false">WEEKDAY(A581,2)</f>
        <v>2</v>
      </c>
      <c r="G581" s="22" t="str">
        <f aca="false">IF(F581=7,IF(B581&gt;=23,"C","Sin turno"),IF(B581&lt;7,"C",IF(B581&lt;14,"A",IF(B581&lt;21,"B",IF(B581&lt;23,"Entre turnos",IF(F581=6,"Sin turno","C"))))))</f>
        <v>C</v>
      </c>
      <c r="H581" s="25" t="n">
        <f aca="false">IF(D581="","",MAX(0,D581-0.5*C581))</f>
        <v>0</v>
      </c>
    </row>
    <row r="582" customFormat="false" ht="15" hidden="false" customHeight="false" outlineLevel="0" collapsed="false">
      <c r="A582" s="21" t="n">
        <v>46245</v>
      </c>
      <c r="B582" s="22" t="n">
        <v>4</v>
      </c>
      <c r="C582" s="25" t="n">
        <v>51.96</v>
      </c>
      <c r="D582" s="25" t="n">
        <v>18.84</v>
      </c>
      <c r="E582" s="25" t="n">
        <v>0</v>
      </c>
      <c r="F582" s="22" t="n">
        <f aca="false">WEEKDAY(A582,2)</f>
        <v>2</v>
      </c>
      <c r="G582" s="22" t="str">
        <f aca="false">IF(F582=7,IF(B582&gt;=23,"C","Sin turno"),IF(B582&lt;7,"C",IF(B582&lt;14,"A",IF(B582&lt;21,"B",IF(B582&lt;23,"Entre turnos",IF(F582=6,"Sin turno","C"))))))</f>
        <v>C</v>
      </c>
      <c r="H582" s="25" t="n">
        <f aca="false">IF(D582="","",MAX(0,D582-0.5*C582))</f>
        <v>0</v>
      </c>
    </row>
    <row r="583" customFormat="false" ht="15" hidden="false" customHeight="false" outlineLevel="0" collapsed="false">
      <c r="A583" s="21" t="n">
        <v>46245</v>
      </c>
      <c r="B583" s="22" t="n">
        <v>5</v>
      </c>
      <c r="C583" s="25" t="n">
        <v>51.72</v>
      </c>
      <c r="D583" s="25" t="n">
        <v>18.96</v>
      </c>
      <c r="E583" s="25" t="n">
        <v>0</v>
      </c>
      <c r="F583" s="22" t="n">
        <f aca="false">WEEKDAY(A583,2)</f>
        <v>2</v>
      </c>
      <c r="G583" s="22" t="str">
        <f aca="false">IF(F583=7,IF(B583&gt;=23,"C","Sin turno"),IF(B583&lt;7,"C",IF(B583&lt;14,"A",IF(B583&lt;21,"B",IF(B583&lt;23,"Entre turnos",IF(F583=6,"Sin turno","C"))))))</f>
        <v>C</v>
      </c>
      <c r="H583" s="25" t="n">
        <f aca="false">IF(D583="","",MAX(0,D583-0.5*C583))</f>
        <v>0</v>
      </c>
    </row>
    <row r="584" customFormat="false" ht="15" hidden="false" customHeight="false" outlineLevel="0" collapsed="false">
      <c r="A584" s="21" t="n">
        <v>46245</v>
      </c>
      <c r="B584" s="22" t="n">
        <v>6</v>
      </c>
      <c r="C584" s="25" t="n">
        <v>50.52</v>
      </c>
      <c r="D584" s="25" t="n">
        <v>18.24</v>
      </c>
      <c r="E584" s="25" t="n">
        <v>0</v>
      </c>
      <c r="F584" s="22" t="n">
        <f aca="false">WEEKDAY(A584,2)</f>
        <v>2</v>
      </c>
      <c r="G584" s="22" t="str">
        <f aca="false">IF(F584=7,IF(B584&gt;=23,"C","Sin turno"),IF(B584&lt;7,"C",IF(B584&lt;14,"A",IF(B584&lt;21,"B",IF(B584&lt;23,"Entre turnos",IF(F584=6,"Sin turno","C"))))))</f>
        <v>C</v>
      </c>
      <c r="H584" s="25" t="n">
        <f aca="false">IF(D584="","",MAX(0,D584-0.5*C584))</f>
        <v>0</v>
      </c>
    </row>
    <row r="585" customFormat="false" ht="15" hidden="false" customHeight="false" outlineLevel="0" collapsed="false">
      <c r="A585" s="21" t="n">
        <v>46245</v>
      </c>
      <c r="B585" s="22" t="n">
        <v>7</v>
      </c>
      <c r="C585" s="25" t="n">
        <v>87</v>
      </c>
      <c r="D585" s="25" t="n">
        <v>12.72</v>
      </c>
      <c r="E585" s="25" t="n">
        <v>0.36</v>
      </c>
      <c r="F585" s="22" t="n">
        <f aca="false">WEEKDAY(A585,2)</f>
        <v>2</v>
      </c>
      <c r="G585" s="22" t="str">
        <f aca="false">IF(F585=7,IF(B585&gt;=23,"C","Sin turno"),IF(B585&lt;7,"C",IF(B585&lt;14,"A",IF(B585&lt;21,"B",IF(B585&lt;23,"Entre turnos",IF(F585=6,"Sin turno","C"))))))</f>
        <v>A</v>
      </c>
      <c r="H585" s="25" t="n">
        <f aca="false">IF(D585="","",MAX(0,D585-0.5*C585))</f>
        <v>0</v>
      </c>
    </row>
    <row r="586" customFormat="false" ht="15" hidden="false" customHeight="false" outlineLevel="0" collapsed="false">
      <c r="A586" s="21" t="n">
        <v>46245</v>
      </c>
      <c r="B586" s="22" t="n">
        <v>8</v>
      </c>
      <c r="C586" s="25" t="n">
        <v>90.96</v>
      </c>
      <c r="D586" s="25" t="n">
        <v>13.56</v>
      </c>
      <c r="E586" s="25" t="n">
        <v>0</v>
      </c>
      <c r="F586" s="22" t="n">
        <f aca="false">WEEKDAY(A586,2)</f>
        <v>2</v>
      </c>
      <c r="G586" s="22" t="str">
        <f aca="false">IF(F586=7,IF(B586&gt;=23,"C","Sin turno"),IF(B586&lt;7,"C",IF(B586&lt;14,"A",IF(B586&lt;21,"B",IF(B586&lt;23,"Entre turnos",IF(F586=6,"Sin turno","C"))))))</f>
        <v>A</v>
      </c>
      <c r="H586" s="25" t="n">
        <f aca="false">IF(D586="","",MAX(0,D586-0.5*C586))</f>
        <v>0</v>
      </c>
    </row>
    <row r="587" customFormat="false" ht="15" hidden="false" customHeight="false" outlineLevel="0" collapsed="false">
      <c r="A587" s="21" t="n">
        <v>46245</v>
      </c>
      <c r="B587" s="22" t="n">
        <v>9</v>
      </c>
      <c r="C587" s="25" t="n">
        <v>92.76</v>
      </c>
      <c r="D587" s="25" t="n">
        <v>13.56</v>
      </c>
      <c r="E587" s="25" t="n">
        <v>0</v>
      </c>
      <c r="F587" s="22" t="n">
        <f aca="false">WEEKDAY(A587,2)</f>
        <v>2</v>
      </c>
      <c r="G587" s="22" t="str">
        <f aca="false">IF(F587=7,IF(B587&gt;=23,"C","Sin turno"),IF(B587&lt;7,"C",IF(B587&lt;14,"A",IF(B587&lt;21,"B",IF(B587&lt;23,"Entre turnos",IF(F587=6,"Sin turno","C"))))))</f>
        <v>A</v>
      </c>
      <c r="H587" s="25" t="n">
        <f aca="false">IF(D587="","",MAX(0,D587-0.5*C587))</f>
        <v>0</v>
      </c>
    </row>
    <row r="588" customFormat="false" ht="15" hidden="false" customHeight="false" outlineLevel="0" collapsed="false">
      <c r="A588" s="21" t="n">
        <v>46245</v>
      </c>
      <c r="B588" s="22" t="n">
        <v>10</v>
      </c>
      <c r="C588" s="25" t="n">
        <v>99.72</v>
      </c>
      <c r="D588" s="25" t="n">
        <v>13.68</v>
      </c>
      <c r="E588" s="25" t="n">
        <v>0</v>
      </c>
      <c r="F588" s="22" t="n">
        <f aca="false">WEEKDAY(A588,2)</f>
        <v>2</v>
      </c>
      <c r="G588" s="22" t="str">
        <f aca="false">IF(F588=7,IF(B588&gt;=23,"C","Sin turno"),IF(B588&lt;7,"C",IF(B588&lt;14,"A",IF(B588&lt;21,"B",IF(B588&lt;23,"Entre turnos",IF(F588=6,"Sin turno","C"))))))</f>
        <v>A</v>
      </c>
      <c r="H588" s="25" t="n">
        <f aca="false">IF(D588="","",MAX(0,D588-0.5*C588))</f>
        <v>0</v>
      </c>
    </row>
    <row r="589" customFormat="false" ht="15" hidden="false" customHeight="false" outlineLevel="0" collapsed="false">
      <c r="A589" s="21" t="n">
        <v>46245</v>
      </c>
      <c r="B589" s="22" t="n">
        <v>11</v>
      </c>
      <c r="C589" s="25" t="n">
        <v>103.2</v>
      </c>
      <c r="D589" s="25" t="n">
        <v>14.16</v>
      </c>
      <c r="E589" s="25" t="n">
        <v>0</v>
      </c>
      <c r="F589" s="22" t="n">
        <f aca="false">WEEKDAY(A589,2)</f>
        <v>2</v>
      </c>
      <c r="G589" s="22" t="str">
        <f aca="false">IF(F589=7,IF(B589&gt;=23,"C","Sin turno"),IF(B589&lt;7,"C",IF(B589&lt;14,"A",IF(B589&lt;21,"B",IF(B589&lt;23,"Entre turnos",IF(F589=6,"Sin turno","C"))))))</f>
        <v>A</v>
      </c>
      <c r="H589" s="25" t="n">
        <f aca="false">IF(D589="","",MAX(0,D589-0.5*C589))</f>
        <v>0</v>
      </c>
    </row>
    <row r="590" customFormat="false" ht="15" hidden="false" customHeight="false" outlineLevel="0" collapsed="false">
      <c r="A590" s="21" t="n">
        <v>46245</v>
      </c>
      <c r="B590" s="22" t="n">
        <v>12</v>
      </c>
      <c r="C590" s="25" t="n">
        <v>98.28</v>
      </c>
      <c r="D590" s="25" t="n">
        <v>12</v>
      </c>
      <c r="E590" s="25" t="n">
        <v>0.36</v>
      </c>
      <c r="F590" s="22" t="n">
        <f aca="false">WEEKDAY(A590,2)</f>
        <v>2</v>
      </c>
      <c r="G590" s="22" t="str">
        <f aca="false">IF(F590=7,IF(B590&gt;=23,"C","Sin turno"),IF(B590&lt;7,"C",IF(B590&lt;14,"A",IF(B590&lt;21,"B",IF(B590&lt;23,"Entre turnos",IF(F590=6,"Sin turno","C"))))))</f>
        <v>A</v>
      </c>
      <c r="H590" s="25" t="n">
        <f aca="false">IF(D590="","",MAX(0,D590-0.5*C590))</f>
        <v>0</v>
      </c>
    </row>
    <row r="591" customFormat="false" ht="15" hidden="false" customHeight="false" outlineLevel="0" collapsed="false">
      <c r="A591" s="21" t="n">
        <v>46245</v>
      </c>
      <c r="B591" s="22" t="n">
        <v>13</v>
      </c>
      <c r="C591" s="25" t="n">
        <v>92.52</v>
      </c>
      <c r="D591" s="25" t="n">
        <v>8.64</v>
      </c>
      <c r="E591" s="25" t="n">
        <v>1.56</v>
      </c>
      <c r="F591" s="22" t="n">
        <f aca="false">WEEKDAY(A591,2)</f>
        <v>2</v>
      </c>
      <c r="G591" s="22" t="str">
        <f aca="false">IF(F591=7,IF(B591&gt;=23,"C","Sin turno"),IF(B591&lt;7,"C",IF(B591&lt;14,"A",IF(B591&lt;21,"B",IF(B591&lt;23,"Entre turnos",IF(F591=6,"Sin turno","C"))))))</f>
        <v>A</v>
      </c>
      <c r="H591" s="25" t="n">
        <f aca="false">IF(D591="","",MAX(0,D591-0.5*C591))</f>
        <v>0</v>
      </c>
    </row>
    <row r="592" customFormat="false" ht="15" hidden="false" customHeight="false" outlineLevel="0" collapsed="false">
      <c r="A592" s="21" t="n">
        <v>46245</v>
      </c>
      <c r="B592" s="22" t="n">
        <v>14</v>
      </c>
      <c r="C592" s="25" t="n">
        <v>93.72</v>
      </c>
      <c r="D592" s="25" t="n">
        <v>8.28</v>
      </c>
      <c r="E592" s="25" t="n">
        <v>1.08</v>
      </c>
      <c r="F592" s="22" t="n">
        <f aca="false">WEEKDAY(A592,2)</f>
        <v>2</v>
      </c>
      <c r="G592" s="22" t="str">
        <f aca="false">IF(F592=7,IF(B592&gt;=23,"C","Sin turno"),IF(B592&lt;7,"C",IF(B592&lt;14,"A",IF(B592&lt;21,"B",IF(B592&lt;23,"Entre turnos",IF(F592=6,"Sin turno","C"))))))</f>
        <v>B</v>
      </c>
      <c r="H592" s="25" t="n">
        <f aca="false">IF(D592="","",MAX(0,D592-0.5*C592))</f>
        <v>0</v>
      </c>
    </row>
    <row r="593" customFormat="false" ht="15" hidden="false" customHeight="false" outlineLevel="0" collapsed="false">
      <c r="A593" s="21" t="n">
        <v>46245</v>
      </c>
      <c r="B593" s="22" t="n">
        <v>15</v>
      </c>
      <c r="C593" s="25" t="n">
        <v>86.64</v>
      </c>
      <c r="D593" s="25" t="n">
        <v>7.56</v>
      </c>
      <c r="E593" s="25" t="n">
        <v>0.6</v>
      </c>
      <c r="F593" s="22" t="n">
        <f aca="false">WEEKDAY(A593,2)</f>
        <v>2</v>
      </c>
      <c r="G593" s="22" t="str">
        <f aca="false">IF(F593=7,IF(B593&gt;=23,"C","Sin turno"),IF(B593&lt;7,"C",IF(B593&lt;14,"A",IF(B593&lt;21,"B",IF(B593&lt;23,"Entre turnos",IF(F593=6,"Sin turno","C"))))))</f>
        <v>B</v>
      </c>
      <c r="H593" s="25" t="n">
        <f aca="false">IF(D593="","",MAX(0,D593-0.5*C593))</f>
        <v>0</v>
      </c>
    </row>
    <row r="594" customFormat="false" ht="15" hidden="false" customHeight="false" outlineLevel="0" collapsed="false">
      <c r="A594" s="21" t="n">
        <v>46245</v>
      </c>
      <c r="B594" s="22" t="n">
        <v>16</v>
      </c>
      <c r="C594" s="25" t="n">
        <v>86.16</v>
      </c>
      <c r="D594" s="25" t="n">
        <v>7.8</v>
      </c>
      <c r="E594" s="25" t="n">
        <v>0.72</v>
      </c>
      <c r="F594" s="22" t="n">
        <f aca="false">WEEKDAY(A594,2)</f>
        <v>2</v>
      </c>
      <c r="G594" s="22" t="str">
        <f aca="false">IF(F594=7,IF(B594&gt;=23,"C","Sin turno"),IF(B594&lt;7,"C",IF(B594&lt;14,"A",IF(B594&lt;21,"B",IF(B594&lt;23,"Entre turnos",IF(F594=6,"Sin turno","C"))))))</f>
        <v>B</v>
      </c>
      <c r="H594" s="25" t="n">
        <f aca="false">IF(D594="","",MAX(0,D594-0.5*C594))</f>
        <v>0</v>
      </c>
    </row>
    <row r="595" customFormat="false" ht="15" hidden="false" customHeight="false" outlineLevel="0" collapsed="false">
      <c r="A595" s="21" t="n">
        <v>46245</v>
      </c>
      <c r="B595" s="22" t="n">
        <v>17</v>
      </c>
      <c r="C595" s="25" t="n">
        <v>50.28</v>
      </c>
      <c r="D595" s="25" t="n">
        <v>19.8</v>
      </c>
      <c r="E595" s="25" t="n">
        <v>0</v>
      </c>
      <c r="F595" s="22" t="n">
        <f aca="false">WEEKDAY(A595,2)</f>
        <v>2</v>
      </c>
      <c r="G595" s="22" t="str">
        <f aca="false">IF(F595=7,IF(B595&gt;=23,"C","Sin turno"),IF(B595&lt;7,"C",IF(B595&lt;14,"A",IF(B595&lt;21,"B",IF(B595&lt;23,"Entre turnos",IF(F595=6,"Sin turno","C"))))))</f>
        <v>B</v>
      </c>
      <c r="H595" s="25" t="n">
        <f aca="false">IF(D595="","",MAX(0,D595-0.5*C595))</f>
        <v>0</v>
      </c>
    </row>
    <row r="596" customFormat="false" ht="15" hidden="false" customHeight="false" outlineLevel="0" collapsed="false">
      <c r="A596" s="21" t="n">
        <v>46245</v>
      </c>
      <c r="B596" s="22" t="n">
        <v>18</v>
      </c>
      <c r="C596" s="25" t="n">
        <v>48.6</v>
      </c>
      <c r="D596" s="25" t="n">
        <v>20.16</v>
      </c>
      <c r="E596" s="25" t="n">
        <v>0</v>
      </c>
      <c r="F596" s="22" t="n">
        <f aca="false">WEEKDAY(A596,2)</f>
        <v>2</v>
      </c>
      <c r="G596" s="22" t="str">
        <f aca="false">IF(F596=7,IF(B596&gt;=23,"C","Sin turno"),IF(B596&lt;7,"C",IF(B596&lt;14,"A",IF(B596&lt;21,"B",IF(B596&lt;23,"Entre turnos",IF(F596=6,"Sin turno","C"))))))</f>
        <v>B</v>
      </c>
      <c r="H596" s="25" t="n">
        <f aca="false">IF(D596="","",MAX(0,D596-0.5*C596))</f>
        <v>0</v>
      </c>
    </row>
    <row r="597" customFormat="false" ht="15" hidden="false" customHeight="false" outlineLevel="0" collapsed="false">
      <c r="A597" s="21" t="n">
        <v>46245</v>
      </c>
      <c r="B597" s="22" t="n">
        <v>19</v>
      </c>
      <c r="C597" s="25" t="n">
        <v>48</v>
      </c>
      <c r="D597" s="25" t="n">
        <v>19.8</v>
      </c>
      <c r="E597" s="25" t="n">
        <v>0</v>
      </c>
      <c r="F597" s="22" t="n">
        <f aca="false">WEEKDAY(A597,2)</f>
        <v>2</v>
      </c>
      <c r="G597" s="22" t="str">
        <f aca="false">IF(F597=7,IF(B597&gt;=23,"C","Sin turno"),IF(B597&lt;7,"C",IF(B597&lt;14,"A",IF(B597&lt;21,"B",IF(B597&lt;23,"Entre turnos",IF(F597=6,"Sin turno","C"))))))</f>
        <v>B</v>
      </c>
      <c r="H597" s="25" t="n">
        <f aca="false">IF(D597="","",MAX(0,D597-0.5*C597))</f>
        <v>0</v>
      </c>
    </row>
    <row r="598" customFormat="false" ht="15" hidden="false" customHeight="false" outlineLevel="0" collapsed="false">
      <c r="A598" s="21" t="n">
        <v>46245</v>
      </c>
      <c r="B598" s="22" t="n">
        <v>20</v>
      </c>
      <c r="C598" s="25" t="n">
        <v>45.6</v>
      </c>
      <c r="D598" s="25" t="n">
        <v>19.56</v>
      </c>
      <c r="E598" s="25" t="n">
        <v>0</v>
      </c>
      <c r="F598" s="22" t="n">
        <f aca="false">WEEKDAY(A598,2)</f>
        <v>2</v>
      </c>
      <c r="G598" s="22" t="str">
        <f aca="false">IF(F598=7,IF(B598&gt;=23,"C","Sin turno"),IF(B598&lt;7,"C",IF(B598&lt;14,"A",IF(B598&lt;21,"B",IF(B598&lt;23,"Entre turnos",IF(F598=6,"Sin turno","C"))))))</f>
        <v>B</v>
      </c>
      <c r="H598" s="25" t="n">
        <f aca="false">IF(D598="","",MAX(0,D598-0.5*C598))</f>
        <v>0</v>
      </c>
    </row>
    <row r="599" customFormat="false" ht="15" hidden="false" customHeight="false" outlineLevel="0" collapsed="false">
      <c r="A599" s="21" t="n">
        <v>46245</v>
      </c>
      <c r="B599" s="22" t="n">
        <v>21</v>
      </c>
      <c r="C599" s="25" t="n">
        <v>43.92</v>
      </c>
      <c r="D599" s="25" t="n">
        <v>20.04</v>
      </c>
      <c r="E599" s="25" t="n">
        <v>0</v>
      </c>
      <c r="F599" s="22" t="n">
        <f aca="false">WEEKDAY(A599,2)</f>
        <v>2</v>
      </c>
      <c r="G599" s="22" t="str">
        <f aca="false">IF(F599=7,IF(B599&gt;=23,"C","Sin turno"),IF(B599&lt;7,"C",IF(B599&lt;14,"A",IF(B599&lt;21,"B",IF(B599&lt;23,"Entre turnos",IF(F599=6,"Sin turno","C"))))))</f>
        <v>Entre turnos</v>
      </c>
      <c r="H599" s="25" t="n">
        <f aca="false">IF(D599="","",MAX(0,D599-0.5*C599))</f>
        <v>0</v>
      </c>
    </row>
    <row r="600" customFormat="false" ht="15" hidden="false" customHeight="false" outlineLevel="0" collapsed="false">
      <c r="A600" s="21" t="n">
        <v>46245</v>
      </c>
      <c r="B600" s="22" t="n">
        <v>22</v>
      </c>
      <c r="C600" s="25" t="n">
        <v>42.12</v>
      </c>
      <c r="D600" s="25" t="n">
        <v>19.56</v>
      </c>
      <c r="E600" s="25" t="n">
        <v>0</v>
      </c>
      <c r="F600" s="22" t="n">
        <f aca="false">WEEKDAY(A600,2)</f>
        <v>2</v>
      </c>
      <c r="G600" s="22" t="str">
        <f aca="false">IF(F600=7,IF(B600&gt;=23,"C","Sin turno"),IF(B600&lt;7,"C",IF(B600&lt;14,"A",IF(B600&lt;21,"B",IF(B600&lt;23,"Entre turnos",IF(F600=6,"Sin turno","C"))))))</f>
        <v>Entre turnos</v>
      </c>
      <c r="H600" s="25" t="n">
        <f aca="false">IF(D600="","",MAX(0,D600-0.5*C600))</f>
        <v>0</v>
      </c>
    </row>
    <row r="601" customFormat="false" ht="15" hidden="false" customHeight="false" outlineLevel="0" collapsed="false">
      <c r="A601" s="21" t="n">
        <v>46245</v>
      </c>
      <c r="B601" s="22" t="n">
        <v>23</v>
      </c>
      <c r="C601" s="25" t="n">
        <v>41.76</v>
      </c>
      <c r="D601" s="25" t="n">
        <v>19.68</v>
      </c>
      <c r="E601" s="25" t="n">
        <v>0</v>
      </c>
      <c r="F601" s="22" t="n">
        <f aca="false">WEEKDAY(A601,2)</f>
        <v>2</v>
      </c>
      <c r="G601" s="22" t="str">
        <f aca="false">IF(F601=7,IF(B601&gt;=23,"C","Sin turno"),IF(B601&lt;7,"C",IF(B601&lt;14,"A",IF(B601&lt;21,"B",IF(B601&lt;23,"Entre turnos",IF(F601=6,"Sin turno","C"))))))</f>
        <v>C</v>
      </c>
      <c r="H601" s="25" t="n">
        <f aca="false">IF(D601="","",MAX(0,D601-0.5*C601))</f>
        <v>0</v>
      </c>
    </row>
    <row r="602" customFormat="false" ht="15" hidden="false" customHeight="false" outlineLevel="0" collapsed="false">
      <c r="A602" s="21" t="n">
        <v>46246</v>
      </c>
      <c r="B602" s="22" t="n">
        <v>0</v>
      </c>
      <c r="C602" s="25" t="n">
        <v>41.64</v>
      </c>
      <c r="D602" s="25" t="n">
        <v>19.92</v>
      </c>
      <c r="E602" s="25" t="n">
        <v>0</v>
      </c>
      <c r="F602" s="22" t="n">
        <f aca="false">WEEKDAY(A602,2)</f>
        <v>3</v>
      </c>
      <c r="G602" s="22" t="str">
        <f aca="false">IF(F602=7,IF(B602&gt;=23,"C","Sin turno"),IF(B602&lt;7,"C",IF(B602&lt;14,"A",IF(B602&lt;21,"B",IF(B602&lt;23,"Entre turnos",IF(F602=6,"Sin turno","C"))))))</f>
        <v>C</v>
      </c>
      <c r="H602" s="25" t="n">
        <f aca="false">IF(D602="","",MAX(0,D602-0.5*C602))</f>
        <v>0</v>
      </c>
    </row>
    <row r="603" customFormat="false" ht="15" hidden="false" customHeight="false" outlineLevel="0" collapsed="false">
      <c r="A603" s="21" t="n">
        <v>46246</v>
      </c>
      <c r="B603" s="22" t="n">
        <v>1</v>
      </c>
      <c r="C603" s="25" t="n">
        <v>41.16</v>
      </c>
      <c r="D603" s="25" t="n">
        <v>20.16</v>
      </c>
      <c r="E603" s="25" t="n">
        <v>0</v>
      </c>
      <c r="F603" s="22" t="n">
        <f aca="false">WEEKDAY(A603,2)</f>
        <v>3</v>
      </c>
      <c r="G603" s="22" t="str">
        <f aca="false">IF(F603=7,IF(B603&gt;=23,"C","Sin turno"),IF(B603&lt;7,"C",IF(B603&lt;14,"A",IF(B603&lt;21,"B",IF(B603&lt;23,"Entre turnos",IF(F603=6,"Sin turno","C"))))))</f>
        <v>C</v>
      </c>
      <c r="H603" s="25" t="n">
        <f aca="false">IF(D603="","",MAX(0,D603-0.5*C603))</f>
        <v>0</v>
      </c>
    </row>
    <row r="604" customFormat="false" ht="15" hidden="false" customHeight="false" outlineLevel="0" collapsed="false">
      <c r="A604" s="21" t="n">
        <v>46246</v>
      </c>
      <c r="B604" s="22" t="n">
        <v>2</v>
      </c>
      <c r="C604" s="25" t="n">
        <v>41.52</v>
      </c>
      <c r="D604" s="25" t="n">
        <v>19.56</v>
      </c>
      <c r="E604" s="25" t="n">
        <v>0</v>
      </c>
      <c r="F604" s="22" t="n">
        <f aca="false">WEEKDAY(A604,2)</f>
        <v>3</v>
      </c>
      <c r="G604" s="22" t="str">
        <f aca="false">IF(F604=7,IF(B604&gt;=23,"C","Sin turno"),IF(B604&lt;7,"C",IF(B604&lt;14,"A",IF(B604&lt;21,"B",IF(B604&lt;23,"Entre turnos",IF(F604=6,"Sin turno","C"))))))</f>
        <v>C</v>
      </c>
      <c r="H604" s="25" t="n">
        <f aca="false">IF(D604="","",MAX(0,D604-0.5*C604))</f>
        <v>0</v>
      </c>
    </row>
    <row r="605" customFormat="false" ht="15" hidden="false" customHeight="false" outlineLevel="0" collapsed="false">
      <c r="A605" s="21" t="n">
        <v>46246</v>
      </c>
      <c r="B605" s="22" t="n">
        <v>3</v>
      </c>
      <c r="C605" s="25" t="n">
        <v>41.4</v>
      </c>
      <c r="D605" s="25" t="n">
        <v>19.56</v>
      </c>
      <c r="E605" s="25" t="n">
        <v>0</v>
      </c>
      <c r="F605" s="22" t="n">
        <f aca="false">WEEKDAY(A605,2)</f>
        <v>3</v>
      </c>
      <c r="G605" s="22" t="str">
        <f aca="false">IF(F605=7,IF(B605&gt;=23,"C","Sin turno"),IF(B605&lt;7,"C",IF(B605&lt;14,"A",IF(B605&lt;21,"B",IF(B605&lt;23,"Entre turnos",IF(F605=6,"Sin turno","C"))))))</f>
        <v>C</v>
      </c>
      <c r="H605" s="25" t="n">
        <f aca="false">IF(D605="","",MAX(0,D605-0.5*C605))</f>
        <v>0</v>
      </c>
    </row>
    <row r="606" customFormat="false" ht="15" hidden="false" customHeight="false" outlineLevel="0" collapsed="false">
      <c r="A606" s="21" t="n">
        <v>46246</v>
      </c>
      <c r="B606" s="22" t="n">
        <v>4</v>
      </c>
      <c r="C606" s="25" t="n">
        <v>40.68</v>
      </c>
      <c r="D606" s="25" t="n">
        <v>19.8</v>
      </c>
      <c r="E606" s="25" t="n">
        <v>0</v>
      </c>
      <c r="F606" s="22" t="n">
        <f aca="false">WEEKDAY(A606,2)</f>
        <v>3</v>
      </c>
      <c r="G606" s="22" t="str">
        <f aca="false">IF(F606=7,IF(B606&gt;=23,"C","Sin turno"),IF(B606&lt;7,"C",IF(B606&lt;14,"A",IF(B606&lt;21,"B",IF(B606&lt;23,"Entre turnos",IF(F606=6,"Sin turno","C"))))))</f>
        <v>C</v>
      </c>
      <c r="H606" s="25" t="n">
        <f aca="false">IF(D606="","",MAX(0,D606-0.5*C606))</f>
        <v>0</v>
      </c>
    </row>
    <row r="607" customFormat="false" ht="15" hidden="false" customHeight="false" outlineLevel="0" collapsed="false">
      <c r="A607" s="21" t="n">
        <v>46246</v>
      </c>
      <c r="B607" s="22" t="n">
        <v>5</v>
      </c>
      <c r="C607" s="25" t="n">
        <v>39.72</v>
      </c>
      <c r="D607" s="25" t="n">
        <v>19.56</v>
      </c>
      <c r="E607" s="25" t="n">
        <v>0</v>
      </c>
      <c r="F607" s="22" t="n">
        <f aca="false">WEEKDAY(A607,2)</f>
        <v>3</v>
      </c>
      <c r="G607" s="22" t="str">
        <f aca="false">IF(F607=7,IF(B607&gt;=23,"C","Sin turno"),IF(B607&lt;7,"C",IF(B607&lt;14,"A",IF(B607&lt;21,"B",IF(B607&lt;23,"Entre turnos",IF(F607=6,"Sin turno","C"))))))</f>
        <v>C</v>
      </c>
      <c r="H607" s="25" t="n">
        <f aca="false">IF(D607="","",MAX(0,D607-0.5*C607))</f>
        <v>0</v>
      </c>
    </row>
    <row r="608" customFormat="false" ht="15" hidden="false" customHeight="false" outlineLevel="0" collapsed="false">
      <c r="A608" s="21" t="n">
        <v>46246</v>
      </c>
      <c r="B608" s="22" t="n">
        <v>6</v>
      </c>
      <c r="C608" s="25" t="n">
        <v>38.88</v>
      </c>
      <c r="D608" s="25" t="n">
        <v>19.44</v>
      </c>
      <c r="E608" s="25" t="n">
        <v>0</v>
      </c>
      <c r="F608" s="22" t="n">
        <f aca="false">WEEKDAY(A608,2)</f>
        <v>3</v>
      </c>
      <c r="G608" s="22" t="str">
        <f aca="false">IF(F608=7,IF(B608&gt;=23,"C","Sin turno"),IF(B608&lt;7,"C",IF(B608&lt;14,"A",IF(B608&lt;21,"B",IF(B608&lt;23,"Entre turnos",IF(F608=6,"Sin turno","C"))))))</f>
        <v>C</v>
      </c>
      <c r="H608" s="25" t="n">
        <f aca="false">IF(D608="","",MAX(0,D608-0.5*C608))</f>
        <v>0</v>
      </c>
    </row>
    <row r="609" customFormat="false" ht="15" hidden="false" customHeight="false" outlineLevel="0" collapsed="false">
      <c r="A609" s="21" t="n">
        <v>46246</v>
      </c>
      <c r="B609" s="22" t="n">
        <v>7</v>
      </c>
      <c r="C609" s="25" t="n">
        <v>79.32</v>
      </c>
      <c r="D609" s="25" t="n">
        <v>13.68</v>
      </c>
      <c r="E609" s="25" t="n">
        <v>0</v>
      </c>
      <c r="F609" s="22" t="n">
        <f aca="false">WEEKDAY(A609,2)</f>
        <v>3</v>
      </c>
      <c r="G609" s="22" t="str">
        <f aca="false">IF(F609=7,IF(B609&gt;=23,"C","Sin turno"),IF(B609&lt;7,"C",IF(B609&lt;14,"A",IF(B609&lt;21,"B",IF(B609&lt;23,"Entre turnos",IF(F609=6,"Sin turno","C"))))))</f>
        <v>A</v>
      </c>
      <c r="H609" s="25" t="n">
        <f aca="false">IF(D609="","",MAX(0,D609-0.5*C609))</f>
        <v>0</v>
      </c>
    </row>
    <row r="610" customFormat="false" ht="15" hidden="false" customHeight="false" outlineLevel="0" collapsed="false">
      <c r="A610" s="21" t="n">
        <v>46246</v>
      </c>
      <c r="B610" s="22" t="n">
        <v>8</v>
      </c>
      <c r="C610" s="25" t="n">
        <v>83.52</v>
      </c>
      <c r="D610" s="25" t="n">
        <v>14.52</v>
      </c>
      <c r="E610" s="25" t="n">
        <v>0</v>
      </c>
      <c r="F610" s="22" t="n">
        <f aca="false">WEEKDAY(A610,2)</f>
        <v>3</v>
      </c>
      <c r="G610" s="22" t="str">
        <f aca="false">IF(F610=7,IF(B610&gt;=23,"C","Sin turno"),IF(B610&lt;7,"C",IF(B610&lt;14,"A",IF(B610&lt;21,"B",IF(B610&lt;23,"Entre turnos",IF(F610=6,"Sin turno","C"))))))</f>
        <v>A</v>
      </c>
      <c r="H610" s="25" t="n">
        <f aca="false">IF(D610="","",MAX(0,D610-0.5*C610))</f>
        <v>0</v>
      </c>
    </row>
    <row r="611" customFormat="false" ht="15" hidden="false" customHeight="false" outlineLevel="0" collapsed="false">
      <c r="A611" s="21" t="n">
        <v>46246</v>
      </c>
      <c r="B611" s="22" t="n">
        <v>9</v>
      </c>
      <c r="C611" s="25" t="n">
        <v>91.44</v>
      </c>
      <c r="D611" s="25" t="n">
        <v>15.24</v>
      </c>
      <c r="E611" s="25" t="n">
        <v>0</v>
      </c>
      <c r="F611" s="22" t="n">
        <f aca="false">WEEKDAY(A611,2)</f>
        <v>3</v>
      </c>
      <c r="G611" s="22" t="str">
        <f aca="false">IF(F611=7,IF(B611&gt;=23,"C","Sin turno"),IF(B611&lt;7,"C",IF(B611&lt;14,"A",IF(B611&lt;21,"B",IF(B611&lt;23,"Entre turnos",IF(F611=6,"Sin turno","C"))))))</f>
        <v>A</v>
      </c>
      <c r="H611" s="25" t="n">
        <f aca="false">IF(D611="","",MAX(0,D611-0.5*C611))</f>
        <v>0</v>
      </c>
    </row>
    <row r="612" customFormat="false" ht="15" hidden="false" customHeight="false" outlineLevel="0" collapsed="false">
      <c r="A612" s="21" t="n">
        <v>46246</v>
      </c>
      <c r="B612" s="22" t="n">
        <v>10</v>
      </c>
      <c r="C612" s="25" t="n">
        <v>99.72</v>
      </c>
      <c r="D612" s="25" t="n">
        <v>15.72</v>
      </c>
      <c r="E612" s="25" t="n">
        <v>0</v>
      </c>
      <c r="F612" s="22" t="n">
        <f aca="false">WEEKDAY(A612,2)</f>
        <v>3</v>
      </c>
      <c r="G612" s="22" t="str">
        <f aca="false">IF(F612=7,IF(B612&gt;=23,"C","Sin turno"),IF(B612&lt;7,"C",IF(B612&lt;14,"A",IF(B612&lt;21,"B",IF(B612&lt;23,"Entre turnos",IF(F612=6,"Sin turno","C"))))))</f>
        <v>A</v>
      </c>
      <c r="H612" s="25" t="n">
        <f aca="false">IF(D612="","",MAX(0,D612-0.5*C612))</f>
        <v>0</v>
      </c>
    </row>
    <row r="613" customFormat="false" ht="15" hidden="false" customHeight="false" outlineLevel="0" collapsed="false">
      <c r="A613" s="21" t="n">
        <v>46246</v>
      </c>
      <c r="B613" s="22" t="n">
        <v>11</v>
      </c>
      <c r="C613" s="25" t="n">
        <v>102.72</v>
      </c>
      <c r="D613" s="25" t="n">
        <v>17.64</v>
      </c>
      <c r="E613" s="25" t="n">
        <v>0</v>
      </c>
      <c r="F613" s="22" t="n">
        <f aca="false">WEEKDAY(A613,2)</f>
        <v>3</v>
      </c>
      <c r="G613" s="22" t="str">
        <f aca="false">IF(F613=7,IF(B613&gt;=23,"C","Sin turno"),IF(B613&lt;7,"C",IF(B613&lt;14,"A",IF(B613&lt;21,"B",IF(B613&lt;23,"Entre turnos",IF(F613=6,"Sin turno","C"))))))</f>
        <v>A</v>
      </c>
      <c r="H613" s="25" t="n">
        <f aca="false">IF(D613="","",MAX(0,D613-0.5*C613))</f>
        <v>0</v>
      </c>
    </row>
    <row r="614" customFormat="false" ht="15" hidden="false" customHeight="false" outlineLevel="0" collapsed="false">
      <c r="A614" s="21" t="n">
        <v>46246</v>
      </c>
      <c r="B614" s="22" t="n">
        <v>12</v>
      </c>
      <c r="C614" s="25" t="n">
        <v>102.96</v>
      </c>
      <c r="D614" s="25" t="n">
        <v>18</v>
      </c>
      <c r="E614" s="25" t="n">
        <v>0</v>
      </c>
      <c r="F614" s="22" t="n">
        <f aca="false">WEEKDAY(A614,2)</f>
        <v>3</v>
      </c>
      <c r="G614" s="22" t="str">
        <f aca="false">IF(F614=7,IF(B614&gt;=23,"C","Sin turno"),IF(B614&lt;7,"C",IF(B614&lt;14,"A",IF(B614&lt;21,"B",IF(B614&lt;23,"Entre turnos",IF(F614=6,"Sin turno","C"))))))</f>
        <v>A</v>
      </c>
      <c r="H614" s="25" t="n">
        <f aca="false">IF(D614="","",MAX(0,D614-0.5*C614))</f>
        <v>0</v>
      </c>
    </row>
    <row r="615" customFormat="false" ht="15" hidden="false" customHeight="false" outlineLevel="0" collapsed="false">
      <c r="A615" s="21" t="n">
        <v>46246</v>
      </c>
      <c r="B615" s="22" t="n">
        <v>13</v>
      </c>
      <c r="C615" s="25" t="n">
        <v>100.08</v>
      </c>
      <c r="D615" s="25" t="n">
        <v>18.12</v>
      </c>
      <c r="E615" s="25" t="n">
        <v>0</v>
      </c>
      <c r="F615" s="22" t="n">
        <f aca="false">WEEKDAY(A615,2)</f>
        <v>3</v>
      </c>
      <c r="G615" s="22" t="str">
        <f aca="false">IF(F615=7,IF(B615&gt;=23,"C","Sin turno"),IF(B615&lt;7,"C",IF(B615&lt;14,"A",IF(B615&lt;21,"B",IF(B615&lt;23,"Entre turnos",IF(F615=6,"Sin turno","C"))))))</f>
        <v>A</v>
      </c>
      <c r="H615" s="25" t="n">
        <f aca="false">IF(D615="","",MAX(0,D615-0.5*C615))</f>
        <v>0</v>
      </c>
    </row>
    <row r="616" customFormat="false" ht="15" hidden="false" customHeight="false" outlineLevel="0" collapsed="false">
      <c r="A616" s="21" t="n">
        <v>46246</v>
      </c>
      <c r="B616" s="22" t="n">
        <v>14</v>
      </c>
      <c r="C616" s="25" t="n">
        <v>99.48</v>
      </c>
      <c r="D616" s="25" t="n">
        <v>17.88</v>
      </c>
      <c r="E616" s="25" t="n">
        <v>0</v>
      </c>
      <c r="F616" s="22" t="n">
        <f aca="false">WEEKDAY(A616,2)</f>
        <v>3</v>
      </c>
      <c r="G616" s="22" t="str">
        <f aca="false">IF(F616=7,IF(B616&gt;=23,"C","Sin turno"),IF(B616&lt;7,"C",IF(B616&lt;14,"A",IF(B616&lt;21,"B",IF(B616&lt;23,"Entre turnos",IF(F616=6,"Sin turno","C"))))))</f>
        <v>B</v>
      </c>
      <c r="H616" s="25" t="n">
        <f aca="false">IF(D616="","",MAX(0,D616-0.5*C616))</f>
        <v>0</v>
      </c>
    </row>
    <row r="617" customFormat="false" ht="15" hidden="false" customHeight="false" outlineLevel="0" collapsed="false">
      <c r="A617" s="21" t="n">
        <v>46246</v>
      </c>
      <c r="B617" s="22" t="n">
        <v>15</v>
      </c>
      <c r="C617" s="25" t="n">
        <v>100.08</v>
      </c>
      <c r="D617" s="25" t="n">
        <v>18.12</v>
      </c>
      <c r="E617" s="25" t="n">
        <v>0</v>
      </c>
      <c r="F617" s="22" t="n">
        <f aca="false">WEEKDAY(A617,2)</f>
        <v>3</v>
      </c>
      <c r="G617" s="22" t="str">
        <f aca="false">IF(F617=7,IF(B617&gt;=23,"C","Sin turno"),IF(B617&lt;7,"C",IF(B617&lt;14,"A",IF(B617&lt;21,"B",IF(B617&lt;23,"Entre turnos",IF(F617=6,"Sin turno","C"))))))</f>
        <v>B</v>
      </c>
      <c r="H617" s="25" t="n">
        <f aca="false">IF(D617="","",MAX(0,D617-0.5*C617))</f>
        <v>0</v>
      </c>
    </row>
    <row r="618" customFormat="false" ht="15" hidden="false" customHeight="false" outlineLevel="0" collapsed="false">
      <c r="A618" s="21" t="n">
        <v>46246</v>
      </c>
      <c r="B618" s="22" t="n">
        <v>16</v>
      </c>
      <c r="C618" s="25" t="n">
        <v>93.48</v>
      </c>
      <c r="D618" s="25" t="n">
        <v>15.96</v>
      </c>
      <c r="E618" s="25" t="n">
        <v>0</v>
      </c>
      <c r="F618" s="22" t="n">
        <f aca="false">WEEKDAY(A618,2)</f>
        <v>3</v>
      </c>
      <c r="G618" s="22" t="str">
        <f aca="false">IF(F618=7,IF(B618&gt;=23,"C","Sin turno"),IF(B618&lt;7,"C",IF(B618&lt;14,"A",IF(B618&lt;21,"B",IF(B618&lt;23,"Entre turnos",IF(F618=6,"Sin turno","C"))))))</f>
        <v>B</v>
      </c>
      <c r="H618" s="25" t="n">
        <f aca="false">IF(D618="","",MAX(0,D618-0.5*C618))</f>
        <v>0</v>
      </c>
    </row>
    <row r="619" customFormat="false" ht="15" hidden="false" customHeight="false" outlineLevel="0" collapsed="false">
      <c r="A619" s="21" t="n">
        <v>46246</v>
      </c>
      <c r="B619" s="22" t="n">
        <v>17</v>
      </c>
      <c r="C619" s="25" t="n">
        <v>57.36</v>
      </c>
      <c r="D619" s="25" t="n">
        <v>27.24</v>
      </c>
      <c r="E619" s="25" t="n">
        <v>0</v>
      </c>
      <c r="F619" s="22" t="n">
        <f aca="false">WEEKDAY(A619,2)</f>
        <v>3</v>
      </c>
      <c r="G619" s="22" t="str">
        <f aca="false">IF(F619=7,IF(B619&gt;=23,"C","Sin turno"),IF(B619&lt;7,"C",IF(B619&lt;14,"A",IF(B619&lt;21,"B",IF(B619&lt;23,"Entre turnos",IF(F619=6,"Sin turno","C"))))))</f>
        <v>B</v>
      </c>
      <c r="H619" s="25" t="n">
        <f aca="false">IF(D619="","",MAX(0,D619-0.5*C619))</f>
        <v>0</v>
      </c>
    </row>
    <row r="620" customFormat="false" ht="15" hidden="false" customHeight="false" outlineLevel="0" collapsed="false">
      <c r="A620" s="21" t="n">
        <v>46246</v>
      </c>
      <c r="B620" s="22" t="n">
        <v>18</v>
      </c>
      <c r="C620" s="25" t="n">
        <v>55.92</v>
      </c>
      <c r="D620" s="25" t="n">
        <v>27.24</v>
      </c>
      <c r="E620" s="25" t="n">
        <v>0</v>
      </c>
      <c r="F620" s="22" t="n">
        <f aca="false">WEEKDAY(A620,2)</f>
        <v>3</v>
      </c>
      <c r="G620" s="22" t="str">
        <f aca="false">IF(F620=7,IF(B620&gt;=23,"C","Sin turno"),IF(B620&lt;7,"C",IF(B620&lt;14,"A",IF(B620&lt;21,"B",IF(B620&lt;23,"Entre turnos",IF(F620=6,"Sin turno","C"))))))</f>
        <v>B</v>
      </c>
      <c r="H620" s="25" t="n">
        <f aca="false">IF(D620="","",MAX(0,D620-0.5*C620))</f>
        <v>0</v>
      </c>
    </row>
    <row r="621" customFormat="false" ht="15" hidden="false" customHeight="false" outlineLevel="0" collapsed="false">
      <c r="A621" s="21" t="n">
        <v>46246</v>
      </c>
      <c r="B621" s="22" t="n">
        <v>19</v>
      </c>
      <c r="C621" s="25" t="n">
        <v>55.32</v>
      </c>
      <c r="D621" s="25" t="n">
        <v>27.48</v>
      </c>
      <c r="E621" s="25" t="n">
        <v>0</v>
      </c>
      <c r="F621" s="22" t="n">
        <f aca="false">WEEKDAY(A621,2)</f>
        <v>3</v>
      </c>
      <c r="G621" s="22" t="str">
        <f aca="false">IF(F621=7,IF(B621&gt;=23,"C","Sin turno"),IF(B621&lt;7,"C",IF(B621&lt;14,"A",IF(B621&lt;21,"B",IF(B621&lt;23,"Entre turnos",IF(F621=6,"Sin turno","C"))))))</f>
        <v>B</v>
      </c>
      <c r="H621" s="25" t="n">
        <f aca="false">IF(D621="","",MAX(0,D621-0.5*C621))</f>
        <v>0</v>
      </c>
    </row>
    <row r="622" customFormat="false" ht="15" hidden="false" customHeight="false" outlineLevel="0" collapsed="false">
      <c r="A622" s="21" t="n">
        <v>46246</v>
      </c>
      <c r="B622" s="22" t="n">
        <v>20</v>
      </c>
      <c r="C622" s="25" t="n">
        <v>54.24</v>
      </c>
      <c r="D622" s="25" t="n">
        <v>27.48</v>
      </c>
      <c r="E622" s="25" t="n">
        <v>0</v>
      </c>
      <c r="F622" s="22" t="n">
        <f aca="false">WEEKDAY(A622,2)</f>
        <v>3</v>
      </c>
      <c r="G622" s="22" t="str">
        <f aca="false">IF(F622=7,IF(B622&gt;=23,"C","Sin turno"),IF(B622&lt;7,"C",IF(B622&lt;14,"A",IF(B622&lt;21,"B",IF(B622&lt;23,"Entre turnos",IF(F622=6,"Sin turno","C"))))))</f>
        <v>B</v>
      </c>
      <c r="H622" s="25" t="n">
        <f aca="false">IF(D622="","",MAX(0,D622-0.5*C622))</f>
        <v>0.359999999999999</v>
      </c>
    </row>
    <row r="623" customFormat="false" ht="15" hidden="false" customHeight="false" outlineLevel="0" collapsed="false">
      <c r="A623" s="21" t="n">
        <v>46246</v>
      </c>
      <c r="B623" s="22" t="n">
        <v>21</v>
      </c>
      <c r="C623" s="25" t="n">
        <v>50.4</v>
      </c>
      <c r="D623" s="25" t="n">
        <v>26.28</v>
      </c>
      <c r="E623" s="25" t="n">
        <v>0</v>
      </c>
      <c r="F623" s="22" t="n">
        <f aca="false">WEEKDAY(A623,2)</f>
        <v>3</v>
      </c>
      <c r="G623" s="22" t="str">
        <f aca="false">IF(F623=7,IF(B623&gt;=23,"C","Sin turno"),IF(B623&lt;7,"C",IF(B623&lt;14,"A",IF(B623&lt;21,"B",IF(B623&lt;23,"Entre turnos",IF(F623=6,"Sin turno","C"))))))</f>
        <v>Entre turnos</v>
      </c>
      <c r="H623" s="25" t="n">
        <f aca="false">IF(D623="","",MAX(0,D623-0.5*C623))</f>
        <v>1.08</v>
      </c>
    </row>
    <row r="624" customFormat="false" ht="15" hidden="false" customHeight="false" outlineLevel="0" collapsed="false">
      <c r="A624" s="21" t="n">
        <v>46246</v>
      </c>
      <c r="B624" s="22" t="n">
        <v>22</v>
      </c>
      <c r="C624" s="25" t="n">
        <v>49.68</v>
      </c>
      <c r="D624" s="25" t="n">
        <v>25.68</v>
      </c>
      <c r="E624" s="25" t="n">
        <v>0</v>
      </c>
      <c r="F624" s="22" t="n">
        <f aca="false">WEEKDAY(A624,2)</f>
        <v>3</v>
      </c>
      <c r="G624" s="22" t="str">
        <f aca="false">IF(F624=7,IF(B624&gt;=23,"C","Sin turno"),IF(B624&lt;7,"C",IF(B624&lt;14,"A",IF(B624&lt;21,"B",IF(B624&lt;23,"Entre turnos",IF(F624=6,"Sin turno","C"))))))</f>
        <v>Entre turnos</v>
      </c>
      <c r="H624" s="25" t="n">
        <f aca="false">IF(D624="","",MAX(0,D624-0.5*C624))</f>
        <v>0.84</v>
      </c>
    </row>
    <row r="625" customFormat="false" ht="15" hidden="false" customHeight="false" outlineLevel="0" collapsed="false">
      <c r="A625" s="21" t="n">
        <v>46246</v>
      </c>
      <c r="B625" s="22" t="n">
        <v>23</v>
      </c>
      <c r="C625" s="25" t="n">
        <v>48.48</v>
      </c>
      <c r="D625" s="25" t="n">
        <v>25.2</v>
      </c>
      <c r="E625" s="25" t="n">
        <v>0</v>
      </c>
      <c r="F625" s="22" t="n">
        <f aca="false">WEEKDAY(A625,2)</f>
        <v>3</v>
      </c>
      <c r="G625" s="22" t="str">
        <f aca="false">IF(F625=7,IF(B625&gt;=23,"C","Sin turno"),IF(B625&lt;7,"C",IF(B625&lt;14,"A",IF(B625&lt;21,"B",IF(B625&lt;23,"Entre turnos",IF(F625=6,"Sin turno","C"))))))</f>
        <v>C</v>
      </c>
      <c r="H625" s="25" t="n">
        <f aca="false">IF(D625="","",MAX(0,D625-0.5*C625))</f>
        <v>0.960000000000001</v>
      </c>
    </row>
    <row r="626" customFormat="false" ht="15" hidden="false" customHeight="false" outlineLevel="0" collapsed="false">
      <c r="A626" s="21" t="n">
        <v>46247</v>
      </c>
      <c r="B626" s="22" t="n">
        <v>0</v>
      </c>
      <c r="C626" s="25" t="n">
        <v>45.12</v>
      </c>
      <c r="D626" s="25" t="n">
        <v>24.12</v>
      </c>
      <c r="E626" s="25" t="n">
        <v>0</v>
      </c>
      <c r="F626" s="22" t="n">
        <f aca="false">WEEKDAY(A626,2)</f>
        <v>4</v>
      </c>
      <c r="G626" s="22" t="str">
        <f aca="false">IF(F626=7,IF(B626&gt;=23,"C","Sin turno"),IF(B626&lt;7,"C",IF(B626&lt;14,"A",IF(B626&lt;21,"B",IF(B626&lt;23,"Entre turnos",IF(F626=6,"Sin turno","C"))))))</f>
        <v>C</v>
      </c>
      <c r="H626" s="25" t="n">
        <f aca="false">IF(D626="","",MAX(0,D626-0.5*C626))</f>
        <v>1.56</v>
      </c>
    </row>
    <row r="627" customFormat="false" ht="15" hidden="false" customHeight="false" outlineLevel="0" collapsed="false">
      <c r="A627" s="21" t="n">
        <v>46247</v>
      </c>
      <c r="B627" s="22" t="n">
        <v>1</v>
      </c>
      <c r="C627" s="25" t="n">
        <v>44.28</v>
      </c>
      <c r="D627" s="25" t="n">
        <v>24.24</v>
      </c>
      <c r="E627" s="25" t="n">
        <v>0</v>
      </c>
      <c r="F627" s="22" t="n">
        <f aca="false">WEEKDAY(A627,2)</f>
        <v>4</v>
      </c>
      <c r="G627" s="22" t="str">
        <f aca="false">IF(F627=7,IF(B627&gt;=23,"C","Sin turno"),IF(B627&lt;7,"C",IF(B627&lt;14,"A",IF(B627&lt;21,"B",IF(B627&lt;23,"Entre turnos",IF(F627=6,"Sin turno","C"))))))</f>
        <v>C</v>
      </c>
      <c r="H627" s="25" t="n">
        <f aca="false">IF(D627="","",MAX(0,D627-0.5*C627))</f>
        <v>2.1</v>
      </c>
    </row>
    <row r="628" customFormat="false" ht="15" hidden="false" customHeight="false" outlineLevel="0" collapsed="false">
      <c r="A628" s="21" t="n">
        <v>46247</v>
      </c>
      <c r="B628" s="22" t="n">
        <v>2</v>
      </c>
      <c r="C628" s="25" t="n">
        <v>44.52</v>
      </c>
      <c r="D628" s="25" t="n">
        <v>24.48</v>
      </c>
      <c r="E628" s="25" t="n">
        <v>0</v>
      </c>
      <c r="F628" s="22" t="n">
        <f aca="false">WEEKDAY(A628,2)</f>
        <v>4</v>
      </c>
      <c r="G628" s="22" t="str">
        <f aca="false">IF(F628=7,IF(B628&gt;=23,"C","Sin turno"),IF(B628&lt;7,"C",IF(B628&lt;14,"A",IF(B628&lt;21,"B",IF(B628&lt;23,"Entre turnos",IF(F628=6,"Sin turno","C"))))))</f>
        <v>C</v>
      </c>
      <c r="H628" s="25" t="n">
        <f aca="false">IF(D628="","",MAX(0,D628-0.5*C628))</f>
        <v>2.22</v>
      </c>
    </row>
    <row r="629" customFormat="false" ht="15" hidden="false" customHeight="false" outlineLevel="0" collapsed="false">
      <c r="A629" s="21" t="n">
        <v>46247</v>
      </c>
      <c r="B629" s="22" t="n">
        <v>3</v>
      </c>
      <c r="C629" s="25" t="n">
        <v>42.84</v>
      </c>
      <c r="D629" s="25" t="n">
        <v>23.52</v>
      </c>
      <c r="E629" s="25" t="n">
        <v>0</v>
      </c>
      <c r="F629" s="22" t="n">
        <f aca="false">WEEKDAY(A629,2)</f>
        <v>4</v>
      </c>
      <c r="G629" s="22" t="str">
        <f aca="false">IF(F629=7,IF(B629&gt;=23,"C","Sin turno"),IF(B629&lt;7,"C",IF(B629&lt;14,"A",IF(B629&lt;21,"B",IF(B629&lt;23,"Entre turnos",IF(F629=6,"Sin turno","C"))))))</f>
        <v>C</v>
      </c>
      <c r="H629" s="25" t="n">
        <f aca="false">IF(D629="","",MAX(0,D629-0.5*C629))</f>
        <v>2.1</v>
      </c>
    </row>
    <row r="630" customFormat="false" ht="15" hidden="false" customHeight="false" outlineLevel="0" collapsed="false">
      <c r="A630" s="21" t="n">
        <v>46247</v>
      </c>
      <c r="B630" s="22" t="n">
        <v>4</v>
      </c>
      <c r="C630" s="25" t="n">
        <v>42.36</v>
      </c>
      <c r="D630" s="25" t="n">
        <v>22.92</v>
      </c>
      <c r="E630" s="25" t="n">
        <v>0</v>
      </c>
      <c r="F630" s="22" t="n">
        <f aca="false">WEEKDAY(A630,2)</f>
        <v>4</v>
      </c>
      <c r="G630" s="22" t="str">
        <f aca="false">IF(F630=7,IF(B630&gt;=23,"C","Sin turno"),IF(B630&lt;7,"C",IF(B630&lt;14,"A",IF(B630&lt;21,"B",IF(B630&lt;23,"Entre turnos",IF(F630=6,"Sin turno","C"))))))</f>
        <v>C</v>
      </c>
      <c r="H630" s="25" t="n">
        <f aca="false">IF(D630="","",MAX(0,D630-0.5*C630))</f>
        <v>1.74</v>
      </c>
    </row>
    <row r="631" customFormat="false" ht="15" hidden="false" customHeight="false" outlineLevel="0" collapsed="false">
      <c r="A631" s="21" t="n">
        <v>46247</v>
      </c>
      <c r="B631" s="22" t="n">
        <v>5</v>
      </c>
      <c r="C631" s="25" t="n">
        <v>42.12</v>
      </c>
      <c r="D631" s="25" t="n">
        <v>22.92</v>
      </c>
      <c r="E631" s="25" t="n">
        <v>0</v>
      </c>
      <c r="F631" s="22" t="n">
        <f aca="false">WEEKDAY(A631,2)</f>
        <v>4</v>
      </c>
      <c r="G631" s="22" t="str">
        <f aca="false">IF(F631=7,IF(B631&gt;=23,"C","Sin turno"),IF(B631&lt;7,"C",IF(B631&lt;14,"A",IF(B631&lt;21,"B",IF(B631&lt;23,"Entre turnos",IF(F631=6,"Sin turno","C"))))))</f>
        <v>C</v>
      </c>
      <c r="H631" s="25" t="n">
        <f aca="false">IF(D631="","",MAX(0,D631-0.5*C631))</f>
        <v>1.86</v>
      </c>
    </row>
    <row r="632" customFormat="false" ht="15" hidden="false" customHeight="false" outlineLevel="0" collapsed="false">
      <c r="A632" s="21" t="n">
        <v>46247</v>
      </c>
      <c r="B632" s="22" t="n">
        <v>6</v>
      </c>
      <c r="C632" s="25" t="n">
        <v>41.4</v>
      </c>
      <c r="D632" s="25" t="n">
        <v>21.96</v>
      </c>
      <c r="E632" s="25" t="n">
        <v>0.12</v>
      </c>
      <c r="F632" s="22" t="n">
        <f aca="false">WEEKDAY(A632,2)</f>
        <v>4</v>
      </c>
      <c r="G632" s="22" t="str">
        <f aca="false">IF(F632=7,IF(B632&gt;=23,"C","Sin turno"),IF(B632&lt;7,"C",IF(B632&lt;14,"A",IF(B632&lt;21,"B",IF(B632&lt;23,"Entre turnos",IF(F632=6,"Sin turno","C"))))))</f>
        <v>C</v>
      </c>
      <c r="H632" s="25" t="n">
        <f aca="false">IF(D632="","",MAX(0,D632-0.5*C632))</f>
        <v>1.26</v>
      </c>
    </row>
    <row r="633" customFormat="false" ht="15" hidden="false" customHeight="false" outlineLevel="0" collapsed="false">
      <c r="A633" s="21" t="n">
        <v>46247</v>
      </c>
      <c r="B633" s="22" t="n">
        <v>7</v>
      </c>
      <c r="C633" s="25" t="n">
        <v>73.68</v>
      </c>
      <c r="D633" s="25" t="n">
        <v>10.44</v>
      </c>
      <c r="E633" s="25" t="n">
        <v>0</v>
      </c>
      <c r="F633" s="22" t="n">
        <f aca="false">WEEKDAY(A633,2)</f>
        <v>4</v>
      </c>
      <c r="G633" s="22" t="str">
        <f aca="false">IF(F633=7,IF(B633&gt;=23,"C","Sin turno"),IF(B633&lt;7,"C",IF(B633&lt;14,"A",IF(B633&lt;21,"B",IF(B633&lt;23,"Entre turnos",IF(F633=6,"Sin turno","C"))))))</f>
        <v>A</v>
      </c>
      <c r="H633" s="25" t="n">
        <f aca="false">IF(D633="","",MAX(0,D633-0.5*C633))</f>
        <v>0</v>
      </c>
    </row>
    <row r="634" customFormat="false" ht="15" hidden="false" customHeight="false" outlineLevel="0" collapsed="false">
      <c r="A634" s="21" t="n">
        <v>46247</v>
      </c>
      <c r="B634" s="22" t="n">
        <v>8</v>
      </c>
      <c r="C634" s="25" t="n">
        <v>84.24</v>
      </c>
      <c r="D634" s="25" t="n">
        <v>12.36</v>
      </c>
      <c r="E634" s="25" t="n">
        <v>0</v>
      </c>
      <c r="F634" s="22" t="n">
        <f aca="false">WEEKDAY(A634,2)</f>
        <v>4</v>
      </c>
      <c r="G634" s="22" t="str">
        <f aca="false">IF(F634=7,IF(B634&gt;=23,"C","Sin turno"),IF(B634&lt;7,"C",IF(B634&lt;14,"A",IF(B634&lt;21,"B",IF(B634&lt;23,"Entre turnos",IF(F634=6,"Sin turno","C"))))))</f>
        <v>A</v>
      </c>
      <c r="H634" s="25" t="n">
        <f aca="false">IF(D634="","",MAX(0,D634-0.5*C634))</f>
        <v>0</v>
      </c>
    </row>
    <row r="635" customFormat="false" ht="15" hidden="false" customHeight="false" outlineLevel="0" collapsed="false">
      <c r="A635" s="21" t="n">
        <v>46247</v>
      </c>
      <c r="B635" s="22" t="n">
        <v>9</v>
      </c>
      <c r="C635" s="25" t="n">
        <v>91.2</v>
      </c>
      <c r="D635" s="25" t="n">
        <v>13.8</v>
      </c>
      <c r="E635" s="25" t="n">
        <v>0</v>
      </c>
      <c r="F635" s="22" t="n">
        <f aca="false">WEEKDAY(A635,2)</f>
        <v>4</v>
      </c>
      <c r="G635" s="22" t="str">
        <f aca="false">IF(F635=7,IF(B635&gt;=23,"C","Sin turno"),IF(B635&lt;7,"C",IF(B635&lt;14,"A",IF(B635&lt;21,"B",IF(B635&lt;23,"Entre turnos",IF(F635=6,"Sin turno","C"))))))</f>
        <v>A</v>
      </c>
      <c r="H635" s="25" t="n">
        <f aca="false">IF(D635="","",MAX(0,D635-0.5*C635))</f>
        <v>0</v>
      </c>
    </row>
    <row r="636" customFormat="false" ht="15" hidden="false" customHeight="false" outlineLevel="0" collapsed="false">
      <c r="A636" s="21" t="n">
        <v>46247</v>
      </c>
      <c r="B636" s="22" t="n">
        <v>10</v>
      </c>
      <c r="C636" s="25" t="n">
        <v>94.2</v>
      </c>
      <c r="D636" s="25" t="n">
        <v>14.76</v>
      </c>
      <c r="E636" s="25" t="n">
        <v>0</v>
      </c>
      <c r="F636" s="22" t="n">
        <f aca="false">WEEKDAY(A636,2)</f>
        <v>4</v>
      </c>
      <c r="G636" s="22" t="str">
        <f aca="false">IF(F636=7,IF(B636&gt;=23,"C","Sin turno"),IF(B636&lt;7,"C",IF(B636&lt;14,"A",IF(B636&lt;21,"B",IF(B636&lt;23,"Entre turnos",IF(F636=6,"Sin turno","C"))))))</f>
        <v>A</v>
      </c>
      <c r="H636" s="25" t="n">
        <f aca="false">IF(D636="","",MAX(0,D636-0.5*C636))</f>
        <v>0</v>
      </c>
    </row>
    <row r="637" customFormat="false" ht="15" hidden="false" customHeight="false" outlineLevel="0" collapsed="false">
      <c r="A637" s="21" t="n">
        <v>46247</v>
      </c>
      <c r="B637" s="22" t="n">
        <v>11</v>
      </c>
      <c r="C637" s="25" t="n">
        <v>101.28</v>
      </c>
      <c r="D637" s="25" t="n">
        <v>18.84</v>
      </c>
      <c r="E637" s="25" t="n">
        <v>0</v>
      </c>
      <c r="F637" s="22" t="n">
        <f aca="false">WEEKDAY(A637,2)</f>
        <v>4</v>
      </c>
      <c r="G637" s="22" t="str">
        <f aca="false">IF(F637=7,IF(B637&gt;=23,"C","Sin turno"),IF(B637&lt;7,"C",IF(B637&lt;14,"A",IF(B637&lt;21,"B",IF(B637&lt;23,"Entre turnos",IF(F637=6,"Sin turno","C"))))))</f>
        <v>A</v>
      </c>
      <c r="H637" s="25" t="n">
        <f aca="false">IF(D637="","",MAX(0,D637-0.5*C637))</f>
        <v>0</v>
      </c>
    </row>
    <row r="638" customFormat="false" ht="15" hidden="false" customHeight="false" outlineLevel="0" collapsed="false">
      <c r="A638" s="21" t="n">
        <v>46247</v>
      </c>
      <c r="B638" s="22" t="n">
        <v>12</v>
      </c>
      <c r="C638" s="25" t="n">
        <v>98.88</v>
      </c>
      <c r="D638" s="25" t="n">
        <v>20.16</v>
      </c>
      <c r="E638" s="25" t="n">
        <v>0</v>
      </c>
      <c r="F638" s="22" t="n">
        <f aca="false">WEEKDAY(A638,2)</f>
        <v>4</v>
      </c>
      <c r="G638" s="22" t="str">
        <f aca="false">IF(F638=7,IF(B638&gt;=23,"C","Sin turno"),IF(B638&lt;7,"C",IF(B638&lt;14,"A",IF(B638&lt;21,"B",IF(B638&lt;23,"Entre turnos",IF(F638=6,"Sin turno","C"))))))</f>
        <v>A</v>
      </c>
      <c r="H638" s="25" t="n">
        <f aca="false">IF(D638="","",MAX(0,D638-0.5*C638))</f>
        <v>0</v>
      </c>
    </row>
    <row r="639" customFormat="false" ht="15" hidden="false" customHeight="false" outlineLevel="0" collapsed="false">
      <c r="A639" s="21" t="n">
        <v>46247</v>
      </c>
      <c r="B639" s="22" t="n">
        <v>13</v>
      </c>
      <c r="C639" s="25" t="n">
        <v>99.12</v>
      </c>
      <c r="D639" s="25" t="n">
        <v>20.04</v>
      </c>
      <c r="E639" s="25" t="n">
        <v>0</v>
      </c>
      <c r="F639" s="22" t="n">
        <f aca="false">WEEKDAY(A639,2)</f>
        <v>4</v>
      </c>
      <c r="G639" s="22" t="str">
        <f aca="false">IF(F639=7,IF(B639&gt;=23,"C","Sin turno"),IF(B639&lt;7,"C",IF(B639&lt;14,"A",IF(B639&lt;21,"B",IF(B639&lt;23,"Entre turnos",IF(F639=6,"Sin turno","C"))))))</f>
        <v>A</v>
      </c>
      <c r="H639" s="25" t="n">
        <f aca="false">IF(D639="","",MAX(0,D639-0.5*C639))</f>
        <v>0</v>
      </c>
    </row>
    <row r="640" customFormat="false" ht="15" hidden="false" customHeight="false" outlineLevel="0" collapsed="false">
      <c r="A640" s="21" t="n">
        <v>46247</v>
      </c>
      <c r="B640" s="22" t="n">
        <v>14</v>
      </c>
      <c r="C640" s="25" t="n">
        <v>100.92</v>
      </c>
      <c r="D640" s="25" t="n">
        <v>20.28</v>
      </c>
      <c r="E640" s="25" t="n">
        <v>0</v>
      </c>
      <c r="F640" s="22" t="n">
        <f aca="false">WEEKDAY(A640,2)</f>
        <v>4</v>
      </c>
      <c r="G640" s="22" t="str">
        <f aca="false">IF(F640=7,IF(B640&gt;=23,"C","Sin turno"),IF(B640&lt;7,"C",IF(B640&lt;14,"A",IF(B640&lt;21,"B",IF(B640&lt;23,"Entre turnos",IF(F640=6,"Sin turno","C"))))))</f>
        <v>B</v>
      </c>
      <c r="H640" s="25" t="n">
        <f aca="false">IF(D640="","",MAX(0,D640-0.5*C640))</f>
        <v>0</v>
      </c>
    </row>
    <row r="641" customFormat="false" ht="15" hidden="false" customHeight="false" outlineLevel="0" collapsed="false">
      <c r="A641" s="21" t="n">
        <v>46247</v>
      </c>
      <c r="B641" s="22" t="n">
        <v>15</v>
      </c>
      <c r="C641" s="25" t="n">
        <v>101.76</v>
      </c>
      <c r="D641" s="25" t="n">
        <v>21.96</v>
      </c>
      <c r="E641" s="25" t="n">
        <v>0</v>
      </c>
      <c r="F641" s="22" t="n">
        <f aca="false">WEEKDAY(A641,2)</f>
        <v>4</v>
      </c>
      <c r="G641" s="22" t="str">
        <f aca="false">IF(F641=7,IF(B641&gt;=23,"C","Sin turno"),IF(B641&lt;7,"C",IF(B641&lt;14,"A",IF(B641&lt;21,"B",IF(B641&lt;23,"Entre turnos",IF(F641=6,"Sin turno","C"))))))</f>
        <v>B</v>
      </c>
      <c r="H641" s="25" t="n">
        <f aca="false">IF(D641="","",MAX(0,D641-0.5*C641))</f>
        <v>0</v>
      </c>
    </row>
    <row r="642" customFormat="false" ht="15" hidden="false" customHeight="false" outlineLevel="0" collapsed="false">
      <c r="A642" s="21" t="n">
        <v>46247</v>
      </c>
      <c r="B642" s="22" t="n">
        <v>16</v>
      </c>
      <c r="C642" s="25" t="n">
        <v>96.72</v>
      </c>
      <c r="D642" s="25" t="n">
        <v>18.72</v>
      </c>
      <c r="E642" s="25" t="n">
        <v>0</v>
      </c>
      <c r="F642" s="22" t="n">
        <f aca="false">WEEKDAY(A642,2)</f>
        <v>4</v>
      </c>
      <c r="G642" s="22" t="str">
        <f aca="false">IF(F642=7,IF(B642&gt;=23,"C","Sin turno"),IF(B642&lt;7,"C",IF(B642&lt;14,"A",IF(B642&lt;21,"B",IF(B642&lt;23,"Entre turnos",IF(F642=6,"Sin turno","C"))))))</f>
        <v>B</v>
      </c>
      <c r="H642" s="25" t="n">
        <f aca="false">IF(D642="","",MAX(0,D642-0.5*C642))</f>
        <v>0</v>
      </c>
    </row>
    <row r="643" customFormat="false" ht="15" hidden="false" customHeight="false" outlineLevel="0" collapsed="false">
      <c r="A643" s="21" t="n">
        <v>46247</v>
      </c>
      <c r="B643" s="22" t="n">
        <v>17</v>
      </c>
      <c r="C643" s="25" t="n">
        <v>60.48</v>
      </c>
      <c r="D643" s="25" t="n">
        <v>28.2</v>
      </c>
      <c r="E643" s="25" t="n">
        <v>0</v>
      </c>
      <c r="F643" s="22" t="n">
        <f aca="false">WEEKDAY(A643,2)</f>
        <v>4</v>
      </c>
      <c r="G643" s="22" t="str">
        <f aca="false">IF(F643=7,IF(B643&gt;=23,"C","Sin turno"),IF(B643&lt;7,"C",IF(B643&lt;14,"A",IF(B643&lt;21,"B",IF(B643&lt;23,"Entre turnos",IF(F643=6,"Sin turno","C"))))))</f>
        <v>B</v>
      </c>
      <c r="H643" s="25" t="n">
        <f aca="false">IF(D643="","",MAX(0,D643-0.5*C643))</f>
        <v>0</v>
      </c>
    </row>
    <row r="644" customFormat="false" ht="15" hidden="false" customHeight="false" outlineLevel="0" collapsed="false">
      <c r="A644" s="21" t="n">
        <v>46247</v>
      </c>
      <c r="B644" s="22" t="n">
        <v>18</v>
      </c>
      <c r="C644" s="25" t="n">
        <v>58.8</v>
      </c>
      <c r="D644" s="25" t="n">
        <v>27.72</v>
      </c>
      <c r="E644" s="25" t="n">
        <v>0</v>
      </c>
      <c r="F644" s="22" t="n">
        <f aca="false">WEEKDAY(A644,2)</f>
        <v>4</v>
      </c>
      <c r="G644" s="22" t="str">
        <f aca="false">IF(F644=7,IF(B644&gt;=23,"C","Sin turno"),IF(B644&lt;7,"C",IF(B644&lt;14,"A",IF(B644&lt;21,"B",IF(B644&lt;23,"Entre turnos",IF(F644=6,"Sin turno","C"))))))</f>
        <v>B</v>
      </c>
      <c r="H644" s="25" t="n">
        <f aca="false">IF(D644="","",MAX(0,D644-0.5*C644))</f>
        <v>0</v>
      </c>
    </row>
    <row r="645" customFormat="false" ht="15" hidden="false" customHeight="false" outlineLevel="0" collapsed="false">
      <c r="A645" s="21" t="n">
        <v>46247</v>
      </c>
      <c r="B645" s="22" t="n">
        <v>19</v>
      </c>
      <c r="C645" s="25" t="n">
        <v>57.48</v>
      </c>
      <c r="D645" s="25" t="n">
        <v>27.24</v>
      </c>
      <c r="E645" s="25" t="n">
        <v>0</v>
      </c>
      <c r="F645" s="22" t="n">
        <f aca="false">WEEKDAY(A645,2)</f>
        <v>4</v>
      </c>
      <c r="G645" s="22" t="str">
        <f aca="false">IF(F645=7,IF(B645&gt;=23,"C","Sin turno"),IF(B645&lt;7,"C",IF(B645&lt;14,"A",IF(B645&lt;21,"B",IF(B645&lt;23,"Entre turnos",IF(F645=6,"Sin turno","C"))))))</f>
        <v>B</v>
      </c>
      <c r="H645" s="25" t="n">
        <f aca="false">IF(D645="","",MAX(0,D645-0.5*C645))</f>
        <v>0</v>
      </c>
    </row>
    <row r="646" customFormat="false" ht="15" hidden="false" customHeight="false" outlineLevel="0" collapsed="false">
      <c r="A646" s="21" t="n">
        <v>46247</v>
      </c>
      <c r="B646" s="22" t="n">
        <v>20</v>
      </c>
      <c r="C646" s="25" t="n">
        <v>53.64</v>
      </c>
      <c r="D646" s="25" t="n">
        <v>26.04</v>
      </c>
      <c r="E646" s="25" t="n">
        <v>0</v>
      </c>
      <c r="F646" s="22" t="n">
        <f aca="false">WEEKDAY(A646,2)</f>
        <v>4</v>
      </c>
      <c r="G646" s="22" t="str">
        <f aca="false">IF(F646=7,IF(B646&gt;=23,"C","Sin turno"),IF(B646&lt;7,"C",IF(B646&lt;14,"A",IF(B646&lt;21,"B",IF(B646&lt;23,"Entre turnos",IF(F646=6,"Sin turno","C"))))))</f>
        <v>B</v>
      </c>
      <c r="H646" s="25" t="n">
        <f aca="false">IF(D646="","",MAX(0,D646-0.5*C646))</f>
        <v>0</v>
      </c>
    </row>
    <row r="647" customFormat="false" ht="15" hidden="false" customHeight="false" outlineLevel="0" collapsed="false">
      <c r="A647" s="21" t="n">
        <v>46247</v>
      </c>
      <c r="B647" s="22" t="n">
        <v>21</v>
      </c>
      <c r="C647" s="25" t="n">
        <v>50.28</v>
      </c>
      <c r="D647" s="25" t="n">
        <v>24.96</v>
      </c>
      <c r="E647" s="25" t="n">
        <v>0</v>
      </c>
      <c r="F647" s="22" t="n">
        <f aca="false">WEEKDAY(A647,2)</f>
        <v>4</v>
      </c>
      <c r="G647" s="22" t="str">
        <f aca="false">IF(F647=7,IF(B647&gt;=23,"C","Sin turno"),IF(B647&lt;7,"C",IF(B647&lt;14,"A",IF(B647&lt;21,"B",IF(B647&lt;23,"Entre turnos",IF(F647=6,"Sin turno","C"))))))</f>
        <v>Entre turnos</v>
      </c>
      <c r="H647" s="25" t="n">
        <f aca="false">IF(D647="","",MAX(0,D647-0.5*C647))</f>
        <v>0</v>
      </c>
    </row>
    <row r="648" customFormat="false" ht="15" hidden="false" customHeight="false" outlineLevel="0" collapsed="false">
      <c r="A648" s="21" t="n">
        <v>46247</v>
      </c>
      <c r="B648" s="22" t="n">
        <v>22</v>
      </c>
      <c r="C648" s="25" t="n">
        <v>48.48</v>
      </c>
      <c r="D648" s="25" t="n">
        <v>23.4</v>
      </c>
      <c r="E648" s="25" t="n">
        <v>0</v>
      </c>
      <c r="F648" s="22" t="n">
        <f aca="false">WEEKDAY(A648,2)</f>
        <v>4</v>
      </c>
      <c r="G648" s="22" t="str">
        <f aca="false">IF(F648=7,IF(B648&gt;=23,"C","Sin turno"),IF(B648&lt;7,"C",IF(B648&lt;14,"A",IF(B648&lt;21,"B",IF(B648&lt;23,"Entre turnos",IF(F648=6,"Sin turno","C"))))))</f>
        <v>Entre turnos</v>
      </c>
      <c r="H648" s="25" t="n">
        <f aca="false">IF(D648="","",MAX(0,D648-0.5*C648))</f>
        <v>0</v>
      </c>
    </row>
    <row r="649" customFormat="false" ht="15" hidden="false" customHeight="false" outlineLevel="0" collapsed="false">
      <c r="A649" s="21" t="n">
        <v>46247</v>
      </c>
      <c r="B649" s="22" t="n">
        <v>23</v>
      </c>
      <c r="C649" s="25" t="n">
        <v>47.88</v>
      </c>
      <c r="D649" s="25" t="n">
        <v>24</v>
      </c>
      <c r="E649" s="25" t="n">
        <v>0</v>
      </c>
      <c r="F649" s="22" t="n">
        <f aca="false">WEEKDAY(A649,2)</f>
        <v>4</v>
      </c>
      <c r="G649" s="22" t="str">
        <f aca="false">IF(F649=7,IF(B649&gt;=23,"C","Sin turno"),IF(B649&lt;7,"C",IF(B649&lt;14,"A",IF(B649&lt;21,"B",IF(B649&lt;23,"Entre turnos",IF(F649=6,"Sin turno","C"))))))</f>
        <v>C</v>
      </c>
      <c r="H649" s="25" t="n">
        <f aca="false">IF(D649="","",MAX(0,D649-0.5*C649))</f>
        <v>0.0599999999999987</v>
      </c>
    </row>
    <row r="650" customFormat="false" ht="15" hidden="false" customHeight="false" outlineLevel="0" collapsed="false">
      <c r="A650" s="21" t="n">
        <v>46248</v>
      </c>
      <c r="B650" s="22" t="n">
        <v>0</v>
      </c>
      <c r="C650" s="25" t="n">
        <v>46.44</v>
      </c>
      <c r="D650" s="25" t="n">
        <v>23.52</v>
      </c>
      <c r="E650" s="25" t="n">
        <v>0</v>
      </c>
      <c r="F650" s="22" t="n">
        <f aca="false">WEEKDAY(A650,2)</f>
        <v>5</v>
      </c>
      <c r="G650" s="22" t="str">
        <f aca="false">IF(F650=7,IF(B650&gt;=23,"C","Sin turno"),IF(B650&lt;7,"C",IF(B650&lt;14,"A",IF(B650&lt;21,"B",IF(B650&lt;23,"Entre turnos",IF(F650=6,"Sin turno","C"))))))</f>
        <v>C</v>
      </c>
      <c r="H650" s="25" t="n">
        <f aca="false">IF(D650="","",MAX(0,D650-0.5*C650))</f>
        <v>0.300000000000001</v>
      </c>
    </row>
    <row r="651" customFormat="false" ht="15" hidden="false" customHeight="false" outlineLevel="0" collapsed="false">
      <c r="A651" s="21" t="n">
        <v>46248</v>
      </c>
      <c r="B651" s="22" t="n">
        <v>1</v>
      </c>
      <c r="C651" s="25" t="n">
        <v>45.24</v>
      </c>
      <c r="D651" s="25" t="n">
        <v>23.52</v>
      </c>
      <c r="E651" s="25" t="n">
        <v>0</v>
      </c>
      <c r="F651" s="22" t="n">
        <f aca="false">WEEKDAY(A651,2)</f>
        <v>5</v>
      </c>
      <c r="G651" s="22" t="str">
        <f aca="false">IF(F651=7,IF(B651&gt;=23,"C","Sin turno"),IF(B651&lt;7,"C",IF(B651&lt;14,"A",IF(B651&lt;21,"B",IF(B651&lt;23,"Entre turnos",IF(F651=6,"Sin turno","C"))))))</f>
        <v>C</v>
      </c>
      <c r="H651" s="25" t="n">
        <f aca="false">IF(D651="","",MAX(0,D651-0.5*C651))</f>
        <v>0.899999999999999</v>
      </c>
    </row>
    <row r="652" customFormat="false" ht="15" hidden="false" customHeight="false" outlineLevel="0" collapsed="false">
      <c r="A652" s="21" t="n">
        <v>46248</v>
      </c>
      <c r="B652" s="22" t="n">
        <v>2</v>
      </c>
      <c r="C652" s="25" t="n">
        <v>43.08</v>
      </c>
      <c r="D652" s="25" t="n">
        <v>23.4</v>
      </c>
      <c r="E652" s="25" t="n">
        <v>0</v>
      </c>
      <c r="F652" s="22" t="n">
        <f aca="false">WEEKDAY(A652,2)</f>
        <v>5</v>
      </c>
      <c r="G652" s="22" t="str">
        <f aca="false">IF(F652=7,IF(B652&gt;=23,"C","Sin turno"),IF(B652&lt;7,"C",IF(B652&lt;14,"A",IF(B652&lt;21,"B",IF(B652&lt;23,"Entre turnos",IF(F652=6,"Sin turno","C"))))))</f>
        <v>C</v>
      </c>
      <c r="H652" s="25" t="n">
        <f aca="false">IF(D652="","",MAX(0,D652-0.5*C652))</f>
        <v>1.86</v>
      </c>
    </row>
    <row r="653" customFormat="false" ht="15" hidden="false" customHeight="false" outlineLevel="0" collapsed="false">
      <c r="A653" s="21" t="n">
        <v>46248</v>
      </c>
      <c r="B653" s="22" t="n">
        <v>3</v>
      </c>
      <c r="C653" s="25" t="n">
        <v>43.2</v>
      </c>
      <c r="D653" s="25" t="n">
        <v>23.04</v>
      </c>
      <c r="E653" s="25" t="n">
        <v>0</v>
      </c>
      <c r="F653" s="22" t="n">
        <f aca="false">WEEKDAY(A653,2)</f>
        <v>5</v>
      </c>
      <c r="G653" s="22" t="str">
        <f aca="false">IF(F653=7,IF(B653&gt;=23,"C","Sin turno"),IF(B653&lt;7,"C",IF(B653&lt;14,"A",IF(B653&lt;21,"B",IF(B653&lt;23,"Entre turnos",IF(F653=6,"Sin turno","C"))))))</f>
        <v>C</v>
      </c>
      <c r="H653" s="25" t="n">
        <f aca="false">IF(D653="","",MAX(0,D653-0.5*C653))</f>
        <v>1.44</v>
      </c>
    </row>
    <row r="654" customFormat="false" ht="15" hidden="false" customHeight="false" outlineLevel="0" collapsed="false">
      <c r="A654" s="21" t="n">
        <v>46248</v>
      </c>
      <c r="B654" s="22" t="n">
        <v>4</v>
      </c>
      <c r="C654" s="25" t="n">
        <v>42.72</v>
      </c>
      <c r="D654" s="25" t="n">
        <v>22.8</v>
      </c>
      <c r="E654" s="25" t="n">
        <v>0</v>
      </c>
      <c r="F654" s="22" t="n">
        <f aca="false">WEEKDAY(A654,2)</f>
        <v>5</v>
      </c>
      <c r="G654" s="22" t="str">
        <f aca="false">IF(F654=7,IF(B654&gt;=23,"C","Sin turno"),IF(B654&lt;7,"C",IF(B654&lt;14,"A",IF(B654&lt;21,"B",IF(B654&lt;23,"Entre turnos",IF(F654=6,"Sin turno","C"))))))</f>
        <v>C</v>
      </c>
      <c r="H654" s="25" t="n">
        <f aca="false">IF(D654="","",MAX(0,D654-0.5*C654))</f>
        <v>1.44</v>
      </c>
    </row>
    <row r="655" customFormat="false" ht="15" hidden="false" customHeight="false" outlineLevel="0" collapsed="false">
      <c r="A655" s="21" t="n">
        <v>46248</v>
      </c>
      <c r="B655" s="22" t="n">
        <v>5</v>
      </c>
      <c r="C655" s="25" t="n">
        <v>42.96</v>
      </c>
      <c r="D655" s="25" t="n">
        <v>22.92</v>
      </c>
      <c r="E655" s="25" t="n">
        <v>0</v>
      </c>
      <c r="F655" s="22" t="n">
        <f aca="false">WEEKDAY(A655,2)</f>
        <v>5</v>
      </c>
      <c r="G655" s="22" t="str">
        <f aca="false">IF(F655=7,IF(B655&gt;=23,"C","Sin turno"),IF(B655&lt;7,"C",IF(B655&lt;14,"A",IF(B655&lt;21,"B",IF(B655&lt;23,"Entre turnos",IF(F655=6,"Sin turno","C"))))))</f>
        <v>C</v>
      </c>
      <c r="H655" s="25" t="n">
        <f aca="false">IF(D655="","",MAX(0,D655-0.5*C655))</f>
        <v>1.44</v>
      </c>
    </row>
    <row r="656" customFormat="false" ht="15" hidden="false" customHeight="false" outlineLevel="0" collapsed="false">
      <c r="A656" s="21" t="n">
        <v>46248</v>
      </c>
      <c r="B656" s="22" t="n">
        <v>6</v>
      </c>
      <c r="C656" s="25" t="n">
        <v>42.12</v>
      </c>
      <c r="D656" s="25" t="n">
        <v>21.6</v>
      </c>
      <c r="E656" s="25" t="n">
        <v>0</v>
      </c>
      <c r="F656" s="22" t="n">
        <f aca="false">WEEKDAY(A656,2)</f>
        <v>5</v>
      </c>
      <c r="G656" s="22" t="str">
        <f aca="false">IF(F656=7,IF(B656&gt;=23,"C","Sin turno"),IF(B656&lt;7,"C",IF(B656&lt;14,"A",IF(B656&lt;21,"B",IF(B656&lt;23,"Entre turnos",IF(F656=6,"Sin turno","C"))))))</f>
        <v>C</v>
      </c>
      <c r="H656" s="25" t="n">
        <f aca="false">IF(D656="","",MAX(0,D656-0.5*C656))</f>
        <v>0.540000000000003</v>
      </c>
    </row>
    <row r="657" customFormat="false" ht="15" hidden="false" customHeight="false" outlineLevel="0" collapsed="false">
      <c r="A657" s="21" t="n">
        <v>46248</v>
      </c>
      <c r="B657" s="22" t="n">
        <v>7</v>
      </c>
      <c r="C657" s="25" t="n">
        <v>74.16</v>
      </c>
      <c r="D657" s="25" t="n">
        <v>10.32</v>
      </c>
      <c r="E657" s="25" t="n">
        <v>0.12</v>
      </c>
      <c r="F657" s="22" t="n">
        <f aca="false">WEEKDAY(A657,2)</f>
        <v>5</v>
      </c>
      <c r="G657" s="22" t="str">
        <f aca="false">IF(F657=7,IF(B657&gt;=23,"C","Sin turno"),IF(B657&lt;7,"C",IF(B657&lt;14,"A",IF(B657&lt;21,"B",IF(B657&lt;23,"Entre turnos",IF(F657=6,"Sin turno","C"))))))</f>
        <v>A</v>
      </c>
      <c r="H657" s="25" t="n">
        <f aca="false">IF(D657="","",MAX(0,D657-0.5*C657))</f>
        <v>0</v>
      </c>
    </row>
    <row r="658" customFormat="false" ht="15" hidden="false" customHeight="false" outlineLevel="0" collapsed="false">
      <c r="A658" s="21" t="n">
        <v>46248</v>
      </c>
      <c r="B658" s="22" t="n">
        <v>8</v>
      </c>
      <c r="C658" s="25" t="n">
        <v>83.04</v>
      </c>
      <c r="D658" s="25" t="n">
        <v>12.72</v>
      </c>
      <c r="E658" s="25" t="n">
        <v>0</v>
      </c>
      <c r="F658" s="22" t="n">
        <f aca="false">WEEKDAY(A658,2)</f>
        <v>5</v>
      </c>
      <c r="G658" s="22" t="str">
        <f aca="false">IF(F658=7,IF(B658&gt;=23,"C","Sin turno"),IF(B658&lt;7,"C",IF(B658&lt;14,"A",IF(B658&lt;21,"B",IF(B658&lt;23,"Entre turnos",IF(F658=6,"Sin turno","C"))))))</f>
        <v>A</v>
      </c>
      <c r="H658" s="25" t="n">
        <f aca="false">IF(D658="","",MAX(0,D658-0.5*C658))</f>
        <v>0</v>
      </c>
    </row>
    <row r="659" customFormat="false" ht="15" hidden="false" customHeight="false" outlineLevel="0" collapsed="false">
      <c r="A659" s="21" t="n">
        <v>46248</v>
      </c>
      <c r="B659" s="22" t="n">
        <v>9</v>
      </c>
      <c r="C659" s="25" t="n">
        <v>94.68</v>
      </c>
      <c r="D659" s="25" t="n">
        <v>18.24</v>
      </c>
      <c r="E659" s="25" t="n">
        <v>0</v>
      </c>
      <c r="F659" s="22" t="n">
        <f aca="false">WEEKDAY(A659,2)</f>
        <v>5</v>
      </c>
      <c r="G659" s="22" t="str">
        <f aca="false">IF(F659=7,IF(B659&gt;=23,"C","Sin turno"),IF(B659&lt;7,"C",IF(B659&lt;14,"A",IF(B659&lt;21,"B",IF(B659&lt;23,"Entre turnos",IF(F659=6,"Sin turno","C"))))))</f>
        <v>A</v>
      </c>
      <c r="H659" s="25" t="n">
        <f aca="false">IF(D659="","",MAX(0,D659-0.5*C659))</f>
        <v>0</v>
      </c>
    </row>
    <row r="660" customFormat="false" ht="15" hidden="false" customHeight="false" outlineLevel="0" collapsed="false">
      <c r="A660" s="21" t="n">
        <v>46248</v>
      </c>
      <c r="B660" s="22" t="n">
        <v>10</v>
      </c>
      <c r="C660" s="25" t="n">
        <v>101.52</v>
      </c>
      <c r="D660" s="25" t="n">
        <v>22.08</v>
      </c>
      <c r="E660" s="25" t="n">
        <v>0</v>
      </c>
      <c r="F660" s="22" t="n">
        <f aca="false">WEEKDAY(A660,2)</f>
        <v>5</v>
      </c>
      <c r="G660" s="22" t="str">
        <f aca="false">IF(F660=7,IF(B660&gt;=23,"C","Sin turno"),IF(B660&lt;7,"C",IF(B660&lt;14,"A",IF(B660&lt;21,"B",IF(B660&lt;23,"Entre turnos",IF(F660=6,"Sin turno","C"))))))</f>
        <v>A</v>
      </c>
      <c r="H660" s="25" t="n">
        <f aca="false">IF(D660="","",MAX(0,D660-0.5*C660))</f>
        <v>0</v>
      </c>
    </row>
    <row r="661" customFormat="false" ht="15" hidden="false" customHeight="false" outlineLevel="0" collapsed="false">
      <c r="A661" s="21" t="n">
        <v>46248</v>
      </c>
      <c r="B661" s="22" t="n">
        <v>11</v>
      </c>
      <c r="C661" s="25" t="n">
        <v>120</v>
      </c>
      <c r="D661" s="25" t="n">
        <v>22.44</v>
      </c>
      <c r="E661" s="25" t="n">
        <v>0</v>
      </c>
      <c r="F661" s="22" t="n">
        <f aca="false">WEEKDAY(A661,2)</f>
        <v>5</v>
      </c>
      <c r="G661" s="22" t="str">
        <f aca="false">IF(F661=7,IF(B661&gt;=23,"C","Sin turno"),IF(B661&lt;7,"C",IF(B661&lt;14,"A",IF(B661&lt;21,"B",IF(B661&lt;23,"Entre turnos",IF(F661=6,"Sin turno","C"))))))</f>
        <v>A</v>
      </c>
      <c r="H661" s="25" t="n">
        <f aca="false">IF(D661="","",MAX(0,D661-0.5*C661))</f>
        <v>0</v>
      </c>
    </row>
    <row r="662" customFormat="false" ht="15" hidden="false" customHeight="false" outlineLevel="0" collapsed="false">
      <c r="A662" s="21" t="n">
        <v>46248</v>
      </c>
      <c r="B662" s="22" t="n">
        <v>12</v>
      </c>
      <c r="C662" s="25" t="n">
        <v>121.8</v>
      </c>
      <c r="D662" s="25" t="n">
        <v>25.68</v>
      </c>
      <c r="E662" s="25" t="n">
        <v>0</v>
      </c>
      <c r="F662" s="22" t="n">
        <f aca="false">WEEKDAY(A662,2)</f>
        <v>5</v>
      </c>
      <c r="G662" s="22" t="str">
        <f aca="false">IF(F662=7,IF(B662&gt;=23,"C","Sin turno"),IF(B662&lt;7,"C",IF(B662&lt;14,"A",IF(B662&lt;21,"B",IF(B662&lt;23,"Entre turnos",IF(F662=6,"Sin turno","C"))))))</f>
        <v>A</v>
      </c>
      <c r="H662" s="25" t="n">
        <f aca="false">IF(D662="","",MAX(0,D662-0.5*C662))</f>
        <v>0</v>
      </c>
    </row>
    <row r="663" customFormat="false" ht="15" hidden="false" customHeight="false" outlineLevel="0" collapsed="false">
      <c r="A663" s="21" t="n">
        <v>46248</v>
      </c>
      <c r="B663" s="22" t="n">
        <v>13</v>
      </c>
      <c r="C663" s="25" t="n">
        <v>123.12</v>
      </c>
      <c r="D663" s="25" t="n">
        <v>27.48</v>
      </c>
      <c r="E663" s="25" t="n">
        <v>0.12</v>
      </c>
      <c r="F663" s="22" t="n">
        <f aca="false">WEEKDAY(A663,2)</f>
        <v>5</v>
      </c>
      <c r="G663" s="22" t="str">
        <f aca="false">IF(F663=7,IF(B663&gt;=23,"C","Sin turno"),IF(B663&lt;7,"C",IF(B663&lt;14,"A",IF(B663&lt;21,"B",IF(B663&lt;23,"Entre turnos",IF(F663=6,"Sin turno","C"))))))</f>
        <v>A</v>
      </c>
      <c r="H663" s="25" t="n">
        <f aca="false">IF(D663="","",MAX(0,D663-0.5*C663))</f>
        <v>0</v>
      </c>
    </row>
    <row r="664" customFormat="false" ht="15" hidden="false" customHeight="false" outlineLevel="0" collapsed="false">
      <c r="A664" s="21" t="n">
        <v>46248</v>
      </c>
      <c r="B664" s="22" t="n">
        <v>14</v>
      </c>
      <c r="C664" s="25" t="n">
        <v>123.36</v>
      </c>
      <c r="D664" s="25" t="n">
        <v>27.24</v>
      </c>
      <c r="E664" s="25" t="n">
        <v>0.12</v>
      </c>
      <c r="F664" s="22" t="n">
        <f aca="false">WEEKDAY(A664,2)</f>
        <v>5</v>
      </c>
      <c r="G664" s="22" t="str">
        <f aca="false">IF(F664=7,IF(B664&gt;=23,"C","Sin turno"),IF(B664&lt;7,"C",IF(B664&lt;14,"A",IF(B664&lt;21,"B",IF(B664&lt;23,"Entre turnos",IF(F664=6,"Sin turno","C"))))))</f>
        <v>B</v>
      </c>
      <c r="H664" s="25" t="n">
        <f aca="false">IF(D664="","",MAX(0,D664-0.5*C664))</f>
        <v>0</v>
      </c>
    </row>
    <row r="665" customFormat="false" ht="15" hidden="false" customHeight="false" outlineLevel="0" collapsed="false">
      <c r="A665" s="21" t="n">
        <v>46248</v>
      </c>
      <c r="B665" s="22" t="n">
        <v>15</v>
      </c>
      <c r="C665" s="25" t="n">
        <v>106.92</v>
      </c>
      <c r="D665" s="25" t="n">
        <v>23.76</v>
      </c>
      <c r="E665" s="25" t="n">
        <v>0</v>
      </c>
      <c r="F665" s="22" t="n">
        <f aca="false">WEEKDAY(A665,2)</f>
        <v>5</v>
      </c>
      <c r="G665" s="22" t="str">
        <f aca="false">IF(F665=7,IF(B665&gt;=23,"C","Sin turno"),IF(B665&lt;7,"C",IF(B665&lt;14,"A",IF(B665&lt;21,"B",IF(B665&lt;23,"Entre turnos",IF(F665=6,"Sin turno","C"))))))</f>
        <v>B</v>
      </c>
      <c r="H665" s="25" t="n">
        <f aca="false">IF(D665="","",MAX(0,D665-0.5*C665))</f>
        <v>0</v>
      </c>
    </row>
    <row r="666" customFormat="false" ht="15" hidden="false" customHeight="false" outlineLevel="0" collapsed="false">
      <c r="A666" s="21" t="n">
        <v>46248</v>
      </c>
      <c r="B666" s="22" t="n">
        <v>16</v>
      </c>
      <c r="C666" s="25" t="n">
        <v>107.4</v>
      </c>
      <c r="D666" s="25" t="n">
        <v>24</v>
      </c>
      <c r="E666" s="25" t="n">
        <v>0</v>
      </c>
      <c r="F666" s="22" t="n">
        <f aca="false">WEEKDAY(A666,2)</f>
        <v>5</v>
      </c>
      <c r="G666" s="22" t="str">
        <f aca="false">IF(F666=7,IF(B666&gt;=23,"C","Sin turno"),IF(B666&lt;7,"C",IF(B666&lt;14,"A",IF(B666&lt;21,"B",IF(B666&lt;23,"Entre turnos",IF(F666=6,"Sin turno","C"))))))</f>
        <v>B</v>
      </c>
      <c r="H666" s="25" t="n">
        <f aca="false">IF(D666="","",MAX(0,D666-0.5*C666))</f>
        <v>0</v>
      </c>
    </row>
    <row r="667" customFormat="false" ht="15" hidden="false" customHeight="false" outlineLevel="0" collapsed="false">
      <c r="A667" s="21" t="n">
        <v>46248</v>
      </c>
      <c r="B667" s="22" t="n">
        <v>17</v>
      </c>
      <c r="C667" s="25" t="n">
        <v>64.44</v>
      </c>
      <c r="D667" s="25" t="n">
        <v>28.68</v>
      </c>
      <c r="E667" s="25" t="n">
        <v>0</v>
      </c>
      <c r="F667" s="22" t="n">
        <f aca="false">WEEKDAY(A667,2)</f>
        <v>5</v>
      </c>
      <c r="G667" s="22" t="str">
        <f aca="false">IF(F667=7,IF(B667&gt;=23,"C","Sin turno"),IF(B667&lt;7,"C",IF(B667&lt;14,"A",IF(B667&lt;21,"B",IF(B667&lt;23,"Entre turnos",IF(F667=6,"Sin turno","C"))))))</f>
        <v>B</v>
      </c>
      <c r="H667" s="25" t="n">
        <f aca="false">IF(D667="","",MAX(0,D667-0.5*C667))</f>
        <v>0</v>
      </c>
    </row>
    <row r="668" customFormat="false" ht="15" hidden="false" customHeight="false" outlineLevel="0" collapsed="false">
      <c r="A668" s="21" t="n">
        <v>46248</v>
      </c>
      <c r="B668" s="22" t="n">
        <v>18</v>
      </c>
      <c r="C668" s="25" t="n">
        <v>60</v>
      </c>
      <c r="D668" s="25" t="n">
        <v>26.76</v>
      </c>
      <c r="E668" s="25" t="n">
        <v>0</v>
      </c>
      <c r="F668" s="22" t="n">
        <f aca="false">WEEKDAY(A668,2)</f>
        <v>5</v>
      </c>
      <c r="G668" s="22" t="str">
        <f aca="false">IF(F668=7,IF(B668&gt;=23,"C","Sin turno"),IF(B668&lt;7,"C",IF(B668&lt;14,"A",IF(B668&lt;21,"B",IF(B668&lt;23,"Entre turnos",IF(F668=6,"Sin turno","C"))))))</f>
        <v>B</v>
      </c>
      <c r="H668" s="25" t="n">
        <f aca="false">IF(D668="","",MAX(0,D668-0.5*C668))</f>
        <v>0</v>
      </c>
    </row>
    <row r="669" customFormat="false" ht="15" hidden="false" customHeight="false" outlineLevel="0" collapsed="false">
      <c r="A669" s="21" t="n">
        <v>46248</v>
      </c>
      <c r="B669" s="22" t="n">
        <v>19</v>
      </c>
      <c r="C669" s="25" t="n">
        <v>56.76</v>
      </c>
      <c r="D669" s="25" t="n">
        <v>24.96</v>
      </c>
      <c r="E669" s="25" t="n">
        <v>0</v>
      </c>
      <c r="F669" s="22" t="n">
        <f aca="false">WEEKDAY(A669,2)</f>
        <v>5</v>
      </c>
      <c r="G669" s="22" t="str">
        <f aca="false">IF(F669=7,IF(B669&gt;=23,"C","Sin turno"),IF(B669&lt;7,"C",IF(B669&lt;14,"A",IF(B669&lt;21,"B",IF(B669&lt;23,"Entre turnos",IF(F669=6,"Sin turno","C"))))))</f>
        <v>B</v>
      </c>
      <c r="H669" s="25" t="n">
        <f aca="false">IF(D669="","",MAX(0,D669-0.5*C669))</f>
        <v>0</v>
      </c>
    </row>
    <row r="670" customFormat="false" ht="15" hidden="false" customHeight="false" outlineLevel="0" collapsed="false">
      <c r="A670" s="21" t="n">
        <v>46248</v>
      </c>
      <c r="B670" s="22" t="n">
        <v>20</v>
      </c>
      <c r="C670" s="25" t="n">
        <v>54.84</v>
      </c>
      <c r="D670" s="25" t="n">
        <v>24.96</v>
      </c>
      <c r="E670" s="25" t="n">
        <v>0</v>
      </c>
      <c r="F670" s="22" t="n">
        <f aca="false">WEEKDAY(A670,2)</f>
        <v>5</v>
      </c>
      <c r="G670" s="22" t="str">
        <f aca="false">IF(F670=7,IF(B670&gt;=23,"C","Sin turno"),IF(B670&lt;7,"C",IF(B670&lt;14,"A",IF(B670&lt;21,"B",IF(B670&lt;23,"Entre turnos",IF(F670=6,"Sin turno","C"))))))</f>
        <v>B</v>
      </c>
      <c r="H670" s="25" t="n">
        <f aca="false">IF(D670="","",MAX(0,D670-0.5*C670))</f>
        <v>0</v>
      </c>
    </row>
    <row r="671" customFormat="false" ht="15" hidden="false" customHeight="false" outlineLevel="0" collapsed="false">
      <c r="A671" s="21" t="n">
        <v>46248</v>
      </c>
      <c r="B671" s="22" t="n">
        <v>21</v>
      </c>
      <c r="C671" s="25" t="n">
        <v>54.6</v>
      </c>
      <c r="D671" s="25" t="n">
        <v>25.56</v>
      </c>
      <c r="E671" s="25" t="n">
        <v>0</v>
      </c>
      <c r="F671" s="22" t="n">
        <f aca="false">WEEKDAY(A671,2)</f>
        <v>5</v>
      </c>
      <c r="G671" s="22" t="str">
        <f aca="false">IF(F671=7,IF(B671&gt;=23,"C","Sin turno"),IF(B671&lt;7,"C",IF(B671&lt;14,"A",IF(B671&lt;21,"B",IF(B671&lt;23,"Entre turnos",IF(F671=6,"Sin turno","C"))))))</f>
        <v>Entre turnos</v>
      </c>
      <c r="H671" s="25" t="n">
        <f aca="false">IF(D671="","",MAX(0,D671-0.5*C671))</f>
        <v>0</v>
      </c>
    </row>
    <row r="672" customFormat="false" ht="15" hidden="false" customHeight="false" outlineLevel="0" collapsed="false">
      <c r="A672" s="21" t="n">
        <v>46248</v>
      </c>
      <c r="B672" s="22" t="n">
        <v>22</v>
      </c>
      <c r="C672" s="25" t="n">
        <v>52.56</v>
      </c>
      <c r="D672" s="25" t="n">
        <v>24.24</v>
      </c>
      <c r="E672" s="25" t="n">
        <v>0</v>
      </c>
      <c r="F672" s="22" t="n">
        <f aca="false">WEEKDAY(A672,2)</f>
        <v>5</v>
      </c>
      <c r="G672" s="22" t="str">
        <f aca="false">IF(F672=7,IF(B672&gt;=23,"C","Sin turno"),IF(B672&lt;7,"C",IF(B672&lt;14,"A",IF(B672&lt;21,"B",IF(B672&lt;23,"Entre turnos",IF(F672=6,"Sin turno","C"))))))</f>
        <v>Entre turnos</v>
      </c>
      <c r="H672" s="25" t="n">
        <f aca="false">IF(D672="","",MAX(0,D672-0.5*C672))</f>
        <v>0</v>
      </c>
    </row>
    <row r="673" customFormat="false" ht="15" hidden="false" customHeight="false" outlineLevel="0" collapsed="false">
      <c r="A673" s="21" t="n">
        <v>46248</v>
      </c>
      <c r="B673" s="22" t="n">
        <v>23</v>
      </c>
      <c r="C673" s="25" t="n">
        <v>51.96</v>
      </c>
      <c r="D673" s="25" t="n">
        <v>24.36</v>
      </c>
      <c r="E673" s="25" t="n">
        <v>0</v>
      </c>
      <c r="F673" s="22" t="n">
        <f aca="false">WEEKDAY(A673,2)</f>
        <v>5</v>
      </c>
      <c r="G673" s="22" t="str">
        <f aca="false">IF(F673=7,IF(B673&gt;=23,"C","Sin turno"),IF(B673&lt;7,"C",IF(B673&lt;14,"A",IF(B673&lt;21,"B",IF(B673&lt;23,"Entre turnos",IF(F673=6,"Sin turno","C"))))))</f>
        <v>C</v>
      </c>
      <c r="H673" s="25" t="n">
        <f aca="false">IF(D673="","",MAX(0,D673-0.5*C673))</f>
        <v>0</v>
      </c>
    </row>
    <row r="674" customFormat="false" ht="15" hidden="false" customHeight="false" outlineLevel="0" collapsed="false">
      <c r="A674" s="21" t="n">
        <v>46249</v>
      </c>
      <c r="B674" s="22" t="n">
        <v>0</v>
      </c>
      <c r="C674" s="25" t="n">
        <v>50.52</v>
      </c>
      <c r="D674" s="25" t="n">
        <v>24</v>
      </c>
      <c r="E674" s="25" t="n">
        <v>0</v>
      </c>
      <c r="F674" s="22" t="n">
        <f aca="false">WEEKDAY(A674,2)</f>
        <v>6</v>
      </c>
      <c r="G674" s="22" t="str">
        <f aca="false">IF(F674=7,IF(B674&gt;=23,"C","Sin turno"),IF(B674&lt;7,"C",IF(B674&lt;14,"A",IF(B674&lt;21,"B",IF(B674&lt;23,"Entre turnos",IF(F674=6,"Sin turno","C"))))))</f>
        <v>C</v>
      </c>
      <c r="H674" s="25" t="n">
        <f aca="false">IF(D674="","",MAX(0,D674-0.5*C674))</f>
        <v>0</v>
      </c>
    </row>
    <row r="675" customFormat="false" ht="15" hidden="false" customHeight="false" outlineLevel="0" collapsed="false">
      <c r="A675" s="21" t="n">
        <v>46249</v>
      </c>
      <c r="B675" s="22" t="n">
        <v>1</v>
      </c>
      <c r="C675" s="25" t="n">
        <v>51.12</v>
      </c>
      <c r="D675" s="25" t="n">
        <v>24.12</v>
      </c>
      <c r="E675" s="25" t="n">
        <v>0</v>
      </c>
      <c r="F675" s="22" t="n">
        <f aca="false">WEEKDAY(A675,2)</f>
        <v>6</v>
      </c>
      <c r="G675" s="22" t="str">
        <f aca="false">IF(F675=7,IF(B675&gt;=23,"C","Sin turno"),IF(B675&lt;7,"C",IF(B675&lt;14,"A",IF(B675&lt;21,"B",IF(B675&lt;23,"Entre turnos",IF(F675=6,"Sin turno","C"))))))</f>
        <v>C</v>
      </c>
      <c r="H675" s="25" t="n">
        <f aca="false">IF(D675="","",MAX(0,D675-0.5*C675))</f>
        <v>0</v>
      </c>
    </row>
    <row r="676" customFormat="false" ht="15" hidden="false" customHeight="false" outlineLevel="0" collapsed="false">
      <c r="A676" s="21" t="n">
        <v>46249</v>
      </c>
      <c r="B676" s="22" t="n">
        <v>2</v>
      </c>
      <c r="C676" s="25" t="n">
        <v>50.4</v>
      </c>
      <c r="D676" s="25" t="n">
        <v>24.24</v>
      </c>
      <c r="E676" s="25" t="n">
        <v>0</v>
      </c>
      <c r="F676" s="22" t="n">
        <f aca="false">WEEKDAY(A676,2)</f>
        <v>6</v>
      </c>
      <c r="G676" s="22" t="str">
        <f aca="false">IF(F676=7,IF(B676&gt;=23,"C","Sin turno"),IF(B676&lt;7,"C",IF(B676&lt;14,"A",IF(B676&lt;21,"B",IF(B676&lt;23,"Entre turnos",IF(F676=6,"Sin turno","C"))))))</f>
        <v>C</v>
      </c>
      <c r="H676" s="25" t="n">
        <f aca="false">IF(D676="","",MAX(0,D676-0.5*C676))</f>
        <v>0</v>
      </c>
    </row>
    <row r="677" customFormat="false" ht="15" hidden="false" customHeight="false" outlineLevel="0" collapsed="false">
      <c r="A677" s="21" t="n">
        <v>46249</v>
      </c>
      <c r="B677" s="22" t="n">
        <v>3</v>
      </c>
      <c r="C677" s="25" t="n">
        <v>49.56</v>
      </c>
      <c r="D677" s="25" t="n">
        <v>23.64</v>
      </c>
      <c r="E677" s="25" t="n">
        <v>0</v>
      </c>
      <c r="F677" s="22" t="n">
        <f aca="false">WEEKDAY(A677,2)</f>
        <v>6</v>
      </c>
      <c r="G677" s="22" t="str">
        <f aca="false">IF(F677=7,IF(B677&gt;=23,"C","Sin turno"),IF(B677&lt;7,"C",IF(B677&lt;14,"A",IF(B677&lt;21,"B",IF(B677&lt;23,"Entre turnos",IF(F677=6,"Sin turno","C"))))))</f>
        <v>C</v>
      </c>
      <c r="H677" s="25" t="n">
        <f aca="false">IF(D677="","",MAX(0,D677-0.5*C677))</f>
        <v>0</v>
      </c>
    </row>
    <row r="678" customFormat="false" ht="15" hidden="false" customHeight="false" outlineLevel="0" collapsed="false">
      <c r="A678" s="21" t="n">
        <v>46249</v>
      </c>
      <c r="B678" s="22" t="n">
        <v>4</v>
      </c>
      <c r="C678" s="25" t="n">
        <v>47.52</v>
      </c>
      <c r="D678" s="25" t="n">
        <v>23.88</v>
      </c>
      <c r="E678" s="25" t="n">
        <v>0</v>
      </c>
      <c r="F678" s="22" t="n">
        <f aca="false">WEEKDAY(A678,2)</f>
        <v>6</v>
      </c>
      <c r="G678" s="22" t="str">
        <f aca="false">IF(F678=7,IF(B678&gt;=23,"C","Sin turno"),IF(B678&lt;7,"C",IF(B678&lt;14,"A",IF(B678&lt;21,"B",IF(B678&lt;23,"Entre turnos",IF(F678=6,"Sin turno","C"))))))</f>
        <v>C</v>
      </c>
      <c r="H678" s="25" t="n">
        <f aca="false">IF(D678="","",MAX(0,D678-0.5*C678))</f>
        <v>0.119999999999997</v>
      </c>
    </row>
    <row r="679" customFormat="false" ht="15" hidden="false" customHeight="false" outlineLevel="0" collapsed="false">
      <c r="A679" s="21" t="n">
        <v>46249</v>
      </c>
      <c r="B679" s="22" t="n">
        <v>5</v>
      </c>
      <c r="C679" s="25" t="n">
        <v>46.92</v>
      </c>
      <c r="D679" s="25" t="n">
        <v>23.88</v>
      </c>
      <c r="E679" s="25" t="n">
        <v>0</v>
      </c>
      <c r="F679" s="22" t="n">
        <f aca="false">WEEKDAY(A679,2)</f>
        <v>6</v>
      </c>
      <c r="G679" s="22" t="str">
        <f aca="false">IF(F679=7,IF(B679&gt;=23,"C","Sin turno"),IF(B679&lt;7,"C",IF(B679&lt;14,"A",IF(B679&lt;21,"B",IF(B679&lt;23,"Entre turnos",IF(F679=6,"Sin turno","C"))))))</f>
        <v>C</v>
      </c>
      <c r="H679" s="25" t="n">
        <f aca="false">IF(D679="","",MAX(0,D679-0.5*C679))</f>
        <v>0.419999999999998</v>
      </c>
    </row>
    <row r="680" customFormat="false" ht="15" hidden="false" customHeight="false" outlineLevel="0" collapsed="false">
      <c r="A680" s="21" t="n">
        <v>46249</v>
      </c>
      <c r="B680" s="22" t="n">
        <v>6</v>
      </c>
      <c r="C680" s="25" t="n">
        <v>48.96</v>
      </c>
      <c r="D680" s="25" t="n">
        <v>24.96</v>
      </c>
      <c r="E680" s="25" t="n">
        <v>0</v>
      </c>
      <c r="F680" s="22" t="n">
        <f aca="false">WEEKDAY(A680,2)</f>
        <v>6</v>
      </c>
      <c r="G680" s="22" t="str">
        <f aca="false">IF(F680=7,IF(B680&gt;=23,"C","Sin turno"),IF(B680&lt;7,"C",IF(B680&lt;14,"A",IF(B680&lt;21,"B",IF(B680&lt;23,"Entre turnos",IF(F680=6,"Sin turno","C"))))))</f>
        <v>C</v>
      </c>
      <c r="H680" s="25" t="n">
        <f aca="false">IF(D680="","",MAX(0,D680-0.5*C680))</f>
        <v>0.48</v>
      </c>
    </row>
    <row r="681" customFormat="false" ht="15" hidden="false" customHeight="false" outlineLevel="0" collapsed="false">
      <c r="A681" s="21" t="n">
        <v>46249</v>
      </c>
      <c r="B681" s="22" t="n">
        <v>7</v>
      </c>
      <c r="C681" s="25" t="n">
        <v>53.04</v>
      </c>
      <c r="D681" s="25" t="n">
        <v>24.84</v>
      </c>
      <c r="E681" s="25" t="n">
        <v>0</v>
      </c>
      <c r="F681" s="22" t="n">
        <f aca="false">WEEKDAY(A681,2)</f>
        <v>6</v>
      </c>
      <c r="G681" s="22" t="str">
        <f aca="false">IF(F681=7,IF(B681&gt;=23,"C","Sin turno"),IF(B681&lt;7,"C",IF(B681&lt;14,"A",IF(B681&lt;21,"B",IF(B681&lt;23,"Entre turnos",IF(F681=6,"Sin turno","C"))))))</f>
        <v>A</v>
      </c>
      <c r="H681" s="25" t="n">
        <f aca="false">IF(D681="","",MAX(0,D681-0.5*C681))</f>
        <v>0</v>
      </c>
    </row>
    <row r="682" customFormat="false" ht="15" hidden="false" customHeight="false" outlineLevel="0" collapsed="false">
      <c r="A682" s="21" t="n">
        <v>46249</v>
      </c>
      <c r="B682" s="22" t="n">
        <v>8</v>
      </c>
      <c r="C682" s="25" t="n">
        <v>85.2</v>
      </c>
      <c r="D682" s="25" t="n">
        <v>27</v>
      </c>
      <c r="E682" s="25" t="n">
        <v>0.12</v>
      </c>
      <c r="F682" s="22" t="n">
        <f aca="false">WEEKDAY(A682,2)</f>
        <v>6</v>
      </c>
      <c r="G682" s="22" t="str">
        <f aca="false">IF(F682=7,IF(B682&gt;=23,"C","Sin turno"),IF(B682&lt;7,"C",IF(B682&lt;14,"A",IF(B682&lt;21,"B",IF(B682&lt;23,"Entre turnos",IF(F682=6,"Sin turno","C"))))))</f>
        <v>A</v>
      </c>
      <c r="H682" s="25" t="n">
        <f aca="false">IF(D682="","",MAX(0,D682-0.5*C682))</f>
        <v>0</v>
      </c>
    </row>
    <row r="683" customFormat="false" ht="15" hidden="false" customHeight="false" outlineLevel="0" collapsed="false">
      <c r="A683" s="21" t="n">
        <v>46249</v>
      </c>
      <c r="B683" s="22" t="n">
        <v>9</v>
      </c>
      <c r="C683" s="25" t="n">
        <v>105.96</v>
      </c>
      <c r="D683" s="25" t="n">
        <v>27.84</v>
      </c>
      <c r="E683" s="25" t="n">
        <v>0.24</v>
      </c>
      <c r="F683" s="22" t="n">
        <f aca="false">WEEKDAY(A683,2)</f>
        <v>6</v>
      </c>
      <c r="G683" s="22" t="str">
        <f aca="false">IF(F683=7,IF(B683&gt;=23,"C","Sin turno"),IF(B683&lt;7,"C",IF(B683&lt;14,"A",IF(B683&lt;21,"B",IF(B683&lt;23,"Entre turnos",IF(F683=6,"Sin turno","C"))))))</f>
        <v>A</v>
      </c>
      <c r="H683" s="25" t="n">
        <f aca="false">IF(D683="","",MAX(0,D683-0.5*C683))</f>
        <v>0</v>
      </c>
    </row>
    <row r="684" customFormat="false" ht="15" hidden="false" customHeight="false" outlineLevel="0" collapsed="false">
      <c r="A684" s="21" t="n">
        <v>46249</v>
      </c>
      <c r="B684" s="22" t="n">
        <v>10</v>
      </c>
      <c r="C684" s="25" t="n">
        <v>101.52</v>
      </c>
      <c r="D684" s="25" t="n">
        <v>27.24</v>
      </c>
      <c r="E684" s="25" t="n">
        <v>0.72</v>
      </c>
      <c r="F684" s="22" t="n">
        <f aca="false">WEEKDAY(A684,2)</f>
        <v>6</v>
      </c>
      <c r="G684" s="22" t="str">
        <f aca="false">IF(F684=7,IF(B684&gt;=23,"C","Sin turno"),IF(B684&lt;7,"C",IF(B684&lt;14,"A",IF(B684&lt;21,"B",IF(B684&lt;23,"Entre turnos",IF(F684=6,"Sin turno","C"))))))</f>
        <v>A</v>
      </c>
      <c r="H684" s="25" t="n">
        <f aca="false">IF(D684="","",MAX(0,D684-0.5*C684))</f>
        <v>0</v>
      </c>
    </row>
    <row r="685" customFormat="false" ht="15" hidden="false" customHeight="false" outlineLevel="0" collapsed="false">
      <c r="A685" s="21" t="n">
        <v>46249</v>
      </c>
      <c r="B685" s="22" t="n">
        <v>11</v>
      </c>
      <c r="C685" s="25" t="n">
        <v>102.72</v>
      </c>
      <c r="D685" s="25" t="n">
        <v>25.56</v>
      </c>
      <c r="E685" s="25" t="n">
        <v>0.84</v>
      </c>
      <c r="F685" s="22" t="n">
        <f aca="false">WEEKDAY(A685,2)</f>
        <v>6</v>
      </c>
      <c r="G685" s="22" t="str">
        <f aca="false">IF(F685=7,IF(B685&gt;=23,"C","Sin turno"),IF(B685&lt;7,"C",IF(B685&lt;14,"A",IF(B685&lt;21,"B",IF(B685&lt;23,"Entre turnos",IF(F685=6,"Sin turno","C"))))))</f>
        <v>A</v>
      </c>
      <c r="H685" s="25" t="n">
        <f aca="false">IF(D685="","",MAX(0,D685-0.5*C685))</f>
        <v>0</v>
      </c>
    </row>
    <row r="686" customFormat="false" ht="15" hidden="false" customHeight="false" outlineLevel="0" collapsed="false">
      <c r="A686" s="21" t="n">
        <v>46249</v>
      </c>
      <c r="B686" s="22" t="n">
        <v>12</v>
      </c>
      <c r="C686" s="25" t="n">
        <v>97.32</v>
      </c>
      <c r="D686" s="25" t="n">
        <v>28.56</v>
      </c>
      <c r="E686" s="25" t="n">
        <v>0.48</v>
      </c>
      <c r="F686" s="22" t="n">
        <f aca="false">WEEKDAY(A686,2)</f>
        <v>6</v>
      </c>
      <c r="G686" s="22" t="str">
        <f aca="false">IF(F686=7,IF(B686&gt;=23,"C","Sin turno"),IF(B686&lt;7,"C",IF(B686&lt;14,"A",IF(B686&lt;21,"B",IF(B686&lt;23,"Entre turnos",IF(F686=6,"Sin turno","C"))))))</f>
        <v>A</v>
      </c>
      <c r="H686" s="25" t="n">
        <f aca="false">IF(D686="","",MAX(0,D686-0.5*C686))</f>
        <v>0</v>
      </c>
    </row>
    <row r="687" customFormat="false" ht="15" hidden="false" customHeight="false" outlineLevel="0" collapsed="false">
      <c r="A687" s="21" t="n">
        <v>46249</v>
      </c>
      <c r="B687" s="22" t="n">
        <v>13</v>
      </c>
      <c r="C687" s="25" t="n">
        <v>98.4</v>
      </c>
      <c r="D687" s="25" t="n">
        <v>26.64</v>
      </c>
      <c r="E687" s="25" t="n">
        <v>0.96</v>
      </c>
      <c r="F687" s="22" t="n">
        <f aca="false">WEEKDAY(A687,2)</f>
        <v>6</v>
      </c>
      <c r="G687" s="22" t="str">
        <f aca="false">IF(F687=7,IF(B687&gt;=23,"C","Sin turno"),IF(B687&lt;7,"C",IF(B687&lt;14,"A",IF(B687&lt;21,"B",IF(B687&lt;23,"Entre turnos",IF(F687=6,"Sin turno","C"))))))</f>
        <v>A</v>
      </c>
      <c r="H687" s="25" t="n">
        <f aca="false">IF(D687="","",MAX(0,D687-0.5*C687))</f>
        <v>0</v>
      </c>
    </row>
    <row r="688" customFormat="false" ht="15" hidden="false" customHeight="false" outlineLevel="0" collapsed="false">
      <c r="A688" s="21" t="n">
        <v>46249</v>
      </c>
      <c r="B688" s="22" t="n">
        <v>14</v>
      </c>
      <c r="C688" s="25" t="n">
        <v>96.84</v>
      </c>
      <c r="D688" s="25" t="n">
        <v>29.76</v>
      </c>
      <c r="E688" s="25" t="n">
        <v>0.24</v>
      </c>
      <c r="F688" s="22" t="n">
        <f aca="false">WEEKDAY(A688,2)</f>
        <v>6</v>
      </c>
      <c r="G688" s="22" t="str">
        <f aca="false">IF(F688=7,IF(B688&gt;=23,"C","Sin turno"),IF(B688&lt;7,"C",IF(B688&lt;14,"A",IF(B688&lt;21,"B",IF(B688&lt;23,"Entre turnos",IF(F688=6,"Sin turno","C"))))))</f>
        <v>B</v>
      </c>
      <c r="H688" s="25" t="n">
        <f aca="false">IF(D688="","",MAX(0,D688-0.5*C688))</f>
        <v>0</v>
      </c>
    </row>
    <row r="689" customFormat="false" ht="15" hidden="false" customHeight="false" outlineLevel="0" collapsed="false">
      <c r="A689" s="21" t="n">
        <v>46249</v>
      </c>
      <c r="B689" s="22" t="n">
        <v>15</v>
      </c>
      <c r="C689" s="25" t="n">
        <v>84.36</v>
      </c>
      <c r="D689" s="25" t="n">
        <v>30.12</v>
      </c>
      <c r="E689" s="25" t="n">
        <v>0</v>
      </c>
      <c r="F689" s="22" t="n">
        <f aca="false">WEEKDAY(A689,2)</f>
        <v>6</v>
      </c>
      <c r="G689" s="22" t="str">
        <f aca="false">IF(F689=7,IF(B689&gt;=23,"C","Sin turno"),IF(B689&lt;7,"C",IF(B689&lt;14,"A",IF(B689&lt;21,"B",IF(B689&lt;23,"Entre turnos",IF(F689=6,"Sin turno","C"))))))</f>
        <v>B</v>
      </c>
      <c r="H689" s="25" t="n">
        <f aca="false">IF(D689="","",MAX(0,D689-0.5*C689))</f>
        <v>0</v>
      </c>
    </row>
    <row r="690" customFormat="false" ht="15" hidden="false" customHeight="false" outlineLevel="0" collapsed="false">
      <c r="A690" s="21" t="n">
        <v>46249</v>
      </c>
      <c r="B690" s="22" t="n">
        <v>16</v>
      </c>
      <c r="C690" s="25" t="n">
        <v>57.96</v>
      </c>
      <c r="D690" s="25" t="n">
        <v>20.88</v>
      </c>
      <c r="E690" s="25" t="n">
        <v>0</v>
      </c>
      <c r="F690" s="22" t="n">
        <f aca="false">WEEKDAY(A690,2)</f>
        <v>6</v>
      </c>
      <c r="G690" s="22" t="str">
        <f aca="false">IF(F690=7,IF(B690&gt;=23,"C","Sin turno"),IF(B690&lt;7,"C",IF(B690&lt;14,"A",IF(B690&lt;21,"B",IF(B690&lt;23,"Entre turnos",IF(F690=6,"Sin turno","C"))))))</f>
        <v>B</v>
      </c>
      <c r="H690" s="25" t="n">
        <f aca="false">IF(D690="","",MAX(0,D690-0.5*C690))</f>
        <v>0</v>
      </c>
    </row>
    <row r="691" customFormat="false" ht="15" hidden="false" customHeight="false" outlineLevel="0" collapsed="false">
      <c r="A691" s="21" t="n">
        <v>46249</v>
      </c>
      <c r="B691" s="22" t="n">
        <v>17</v>
      </c>
      <c r="C691" s="25" t="n">
        <v>45</v>
      </c>
      <c r="D691" s="25" t="n">
        <v>16.44</v>
      </c>
      <c r="E691" s="25" t="n">
        <v>0</v>
      </c>
      <c r="F691" s="22" t="n">
        <f aca="false">WEEKDAY(A691,2)</f>
        <v>6</v>
      </c>
      <c r="G691" s="22" t="str">
        <f aca="false">IF(F691=7,IF(B691&gt;=23,"C","Sin turno"),IF(B691&lt;7,"C",IF(B691&lt;14,"A",IF(B691&lt;21,"B",IF(B691&lt;23,"Entre turnos",IF(F691=6,"Sin turno","C"))))))</f>
        <v>B</v>
      </c>
      <c r="H691" s="25" t="n">
        <f aca="false">IF(D691="","",MAX(0,D691-0.5*C691))</f>
        <v>0</v>
      </c>
    </row>
    <row r="692" customFormat="false" ht="15" hidden="false" customHeight="false" outlineLevel="0" collapsed="false">
      <c r="A692" s="21" t="n">
        <v>46249</v>
      </c>
      <c r="B692" s="22" t="n">
        <v>18</v>
      </c>
      <c r="C692" s="25" t="n">
        <v>44.76</v>
      </c>
      <c r="D692" s="25" t="n">
        <v>15.96</v>
      </c>
      <c r="E692" s="25" t="n">
        <v>0</v>
      </c>
      <c r="F692" s="22" t="n">
        <f aca="false">WEEKDAY(A692,2)</f>
        <v>6</v>
      </c>
      <c r="G692" s="22" t="str">
        <f aca="false">IF(F692=7,IF(B692&gt;=23,"C","Sin turno"),IF(B692&lt;7,"C",IF(B692&lt;14,"A",IF(B692&lt;21,"B",IF(B692&lt;23,"Entre turnos",IF(F692=6,"Sin turno","C"))))))</f>
        <v>B</v>
      </c>
      <c r="H692" s="25" t="n">
        <f aca="false">IF(D692="","",MAX(0,D692-0.5*C692))</f>
        <v>0</v>
      </c>
    </row>
    <row r="693" customFormat="false" ht="15" hidden="false" customHeight="false" outlineLevel="0" collapsed="false">
      <c r="A693" s="21" t="n">
        <v>46249</v>
      </c>
      <c r="B693" s="22" t="n">
        <v>19</v>
      </c>
      <c r="C693" s="25" t="n">
        <v>45.84</v>
      </c>
      <c r="D693" s="25" t="n">
        <v>16.44</v>
      </c>
      <c r="E693" s="25" t="n">
        <v>0</v>
      </c>
      <c r="F693" s="22" t="n">
        <f aca="false">WEEKDAY(A693,2)</f>
        <v>6</v>
      </c>
      <c r="G693" s="22" t="str">
        <f aca="false">IF(F693=7,IF(B693&gt;=23,"C","Sin turno"),IF(B693&lt;7,"C",IF(B693&lt;14,"A",IF(B693&lt;21,"B",IF(B693&lt;23,"Entre turnos",IF(F693=6,"Sin turno","C"))))))</f>
        <v>B</v>
      </c>
      <c r="H693" s="25" t="n">
        <f aca="false">IF(D693="","",MAX(0,D693-0.5*C693))</f>
        <v>0</v>
      </c>
    </row>
    <row r="694" customFormat="false" ht="15" hidden="false" customHeight="false" outlineLevel="0" collapsed="false">
      <c r="A694" s="21" t="n">
        <v>46249</v>
      </c>
      <c r="B694" s="22" t="n">
        <v>20</v>
      </c>
      <c r="C694" s="25" t="n">
        <v>45.12</v>
      </c>
      <c r="D694" s="25" t="n">
        <v>16.2</v>
      </c>
      <c r="E694" s="25" t="n">
        <v>0</v>
      </c>
      <c r="F694" s="22" t="n">
        <f aca="false">WEEKDAY(A694,2)</f>
        <v>6</v>
      </c>
      <c r="G694" s="22" t="str">
        <f aca="false">IF(F694=7,IF(B694&gt;=23,"C","Sin turno"),IF(B694&lt;7,"C",IF(B694&lt;14,"A",IF(B694&lt;21,"B",IF(B694&lt;23,"Entre turnos",IF(F694=6,"Sin turno","C"))))))</f>
        <v>B</v>
      </c>
      <c r="H694" s="25" t="n">
        <f aca="false">IF(D694="","",MAX(0,D694-0.5*C694))</f>
        <v>0</v>
      </c>
    </row>
    <row r="695" customFormat="false" ht="15" hidden="false" customHeight="false" outlineLevel="0" collapsed="false">
      <c r="A695" s="21" t="n">
        <v>46249</v>
      </c>
      <c r="B695" s="22" t="n">
        <v>21</v>
      </c>
      <c r="C695" s="25" t="n">
        <v>43.92</v>
      </c>
      <c r="D695" s="25" t="n">
        <v>16.44</v>
      </c>
      <c r="E695" s="25" t="n">
        <v>0</v>
      </c>
      <c r="F695" s="22" t="n">
        <f aca="false">WEEKDAY(A695,2)</f>
        <v>6</v>
      </c>
      <c r="G695" s="22" t="str">
        <f aca="false">IF(F695=7,IF(B695&gt;=23,"C","Sin turno"),IF(B695&lt;7,"C",IF(B695&lt;14,"A",IF(B695&lt;21,"B",IF(B695&lt;23,"Entre turnos",IF(F695=6,"Sin turno","C"))))))</f>
        <v>Entre turnos</v>
      </c>
      <c r="H695" s="25" t="n">
        <f aca="false">IF(D695="","",MAX(0,D695-0.5*C695))</f>
        <v>0</v>
      </c>
    </row>
    <row r="696" customFormat="false" ht="15" hidden="false" customHeight="false" outlineLevel="0" collapsed="false">
      <c r="A696" s="21" t="n">
        <v>46249</v>
      </c>
      <c r="B696" s="22" t="n">
        <v>22</v>
      </c>
      <c r="C696" s="25" t="n">
        <v>44.04</v>
      </c>
      <c r="D696" s="25" t="n">
        <v>16.32</v>
      </c>
      <c r="E696" s="25" t="n">
        <v>0</v>
      </c>
      <c r="F696" s="22" t="n">
        <f aca="false">WEEKDAY(A696,2)</f>
        <v>6</v>
      </c>
      <c r="G696" s="22" t="str">
        <f aca="false">IF(F696=7,IF(B696&gt;=23,"C","Sin turno"),IF(B696&lt;7,"C",IF(B696&lt;14,"A",IF(B696&lt;21,"B",IF(B696&lt;23,"Entre turnos",IF(F696=6,"Sin turno","C"))))))</f>
        <v>Entre turnos</v>
      </c>
      <c r="H696" s="25" t="n">
        <f aca="false">IF(D696="","",MAX(0,D696-0.5*C696))</f>
        <v>0</v>
      </c>
    </row>
    <row r="697" customFormat="false" ht="15" hidden="false" customHeight="false" outlineLevel="0" collapsed="false">
      <c r="A697" s="21" t="n">
        <v>46249</v>
      </c>
      <c r="B697" s="22" t="n">
        <v>23</v>
      </c>
      <c r="C697" s="25" t="n">
        <v>43.92</v>
      </c>
      <c r="D697" s="25" t="n">
        <v>16.44</v>
      </c>
      <c r="E697" s="25" t="n">
        <v>0</v>
      </c>
      <c r="F697" s="22" t="n">
        <f aca="false">WEEKDAY(A697,2)</f>
        <v>6</v>
      </c>
      <c r="G697" s="22" t="str">
        <f aca="false">IF(F697=7,IF(B697&gt;=23,"C","Sin turno"),IF(B697&lt;7,"C",IF(B697&lt;14,"A",IF(B697&lt;21,"B",IF(B697&lt;23,"Entre turnos",IF(F697=6,"Sin turno","C"))))))</f>
        <v>Sin turno</v>
      </c>
      <c r="H697" s="25" t="n">
        <f aca="false">IF(D697="","",MAX(0,D697-0.5*C697))</f>
        <v>0</v>
      </c>
    </row>
    <row r="698" customFormat="false" ht="15" hidden="false" customHeight="false" outlineLevel="0" collapsed="false">
      <c r="A698" s="21" t="n">
        <v>46250</v>
      </c>
      <c r="B698" s="22" t="n">
        <v>0</v>
      </c>
      <c r="C698" s="25" t="n">
        <v>43.32</v>
      </c>
      <c r="D698" s="25" t="n">
        <v>16.68</v>
      </c>
      <c r="E698" s="25" t="n">
        <v>0</v>
      </c>
      <c r="F698" s="22" t="n">
        <f aca="false">WEEKDAY(A698,2)</f>
        <v>7</v>
      </c>
      <c r="G698" s="22" t="str">
        <f aca="false">IF(F698=7,IF(B698&gt;=23,"C","Sin turno"),IF(B698&lt;7,"C",IF(B698&lt;14,"A",IF(B698&lt;21,"B",IF(B698&lt;23,"Entre turnos",IF(F698=6,"Sin turno","C"))))))</f>
        <v>Sin turno</v>
      </c>
      <c r="H698" s="25" t="n">
        <f aca="false">IF(D698="","",MAX(0,D698-0.5*C698))</f>
        <v>0</v>
      </c>
    </row>
    <row r="699" customFormat="false" ht="15" hidden="false" customHeight="false" outlineLevel="0" collapsed="false">
      <c r="A699" s="21" t="n">
        <v>46250</v>
      </c>
      <c r="B699" s="22" t="n">
        <v>1</v>
      </c>
      <c r="C699" s="25" t="n">
        <v>42.48</v>
      </c>
      <c r="D699" s="25" t="n">
        <v>15.84</v>
      </c>
      <c r="E699" s="25" t="n">
        <v>0</v>
      </c>
      <c r="F699" s="22" t="n">
        <f aca="false">WEEKDAY(A699,2)</f>
        <v>7</v>
      </c>
      <c r="G699" s="22" t="str">
        <f aca="false">IF(F699=7,IF(B699&gt;=23,"C","Sin turno"),IF(B699&lt;7,"C",IF(B699&lt;14,"A",IF(B699&lt;21,"B",IF(B699&lt;23,"Entre turnos",IF(F699=6,"Sin turno","C"))))))</f>
        <v>Sin turno</v>
      </c>
      <c r="H699" s="25" t="n">
        <f aca="false">IF(D699="","",MAX(0,D699-0.5*C699))</f>
        <v>0</v>
      </c>
    </row>
    <row r="700" customFormat="false" ht="15" hidden="false" customHeight="false" outlineLevel="0" collapsed="false">
      <c r="A700" s="21" t="n">
        <v>46250</v>
      </c>
      <c r="B700" s="22" t="n">
        <v>2</v>
      </c>
      <c r="C700" s="25" t="n">
        <v>42.84</v>
      </c>
      <c r="D700" s="25" t="n">
        <v>16.2</v>
      </c>
      <c r="E700" s="25" t="n">
        <v>0</v>
      </c>
      <c r="F700" s="22" t="n">
        <f aca="false">WEEKDAY(A700,2)</f>
        <v>7</v>
      </c>
      <c r="G700" s="22" t="str">
        <f aca="false">IF(F700=7,IF(B700&gt;=23,"C","Sin turno"),IF(B700&lt;7,"C",IF(B700&lt;14,"A",IF(B700&lt;21,"B",IF(B700&lt;23,"Entre turnos",IF(F700=6,"Sin turno","C"))))))</f>
        <v>Sin turno</v>
      </c>
      <c r="H700" s="25" t="n">
        <f aca="false">IF(D700="","",MAX(0,D700-0.5*C700))</f>
        <v>0</v>
      </c>
    </row>
    <row r="701" customFormat="false" ht="15" hidden="false" customHeight="false" outlineLevel="0" collapsed="false">
      <c r="A701" s="21" t="n">
        <v>46250</v>
      </c>
      <c r="B701" s="22" t="n">
        <v>3</v>
      </c>
      <c r="C701" s="25" t="n">
        <v>42.12</v>
      </c>
      <c r="D701" s="25" t="n">
        <v>16.32</v>
      </c>
      <c r="E701" s="25" t="n">
        <v>0</v>
      </c>
      <c r="F701" s="22" t="n">
        <f aca="false">WEEKDAY(A701,2)</f>
        <v>7</v>
      </c>
      <c r="G701" s="22" t="str">
        <f aca="false">IF(F701=7,IF(B701&gt;=23,"C","Sin turno"),IF(B701&lt;7,"C",IF(B701&lt;14,"A",IF(B701&lt;21,"B",IF(B701&lt;23,"Entre turnos",IF(F701=6,"Sin turno","C"))))))</f>
        <v>Sin turno</v>
      </c>
      <c r="H701" s="25" t="n">
        <f aca="false">IF(D701="","",MAX(0,D701-0.5*C701))</f>
        <v>0</v>
      </c>
    </row>
    <row r="702" customFormat="false" ht="15" hidden="false" customHeight="false" outlineLevel="0" collapsed="false">
      <c r="A702" s="21" t="n">
        <v>46250</v>
      </c>
      <c r="B702" s="22" t="n">
        <v>4</v>
      </c>
      <c r="C702" s="25" t="n">
        <v>42.6</v>
      </c>
      <c r="D702" s="25" t="n">
        <v>16.08</v>
      </c>
      <c r="E702" s="25" t="n">
        <v>0</v>
      </c>
      <c r="F702" s="22" t="n">
        <f aca="false">WEEKDAY(A702,2)</f>
        <v>7</v>
      </c>
      <c r="G702" s="22" t="str">
        <f aca="false">IF(F702=7,IF(B702&gt;=23,"C","Sin turno"),IF(B702&lt;7,"C",IF(B702&lt;14,"A",IF(B702&lt;21,"B",IF(B702&lt;23,"Entre turnos",IF(F702=6,"Sin turno","C"))))))</f>
        <v>Sin turno</v>
      </c>
      <c r="H702" s="25" t="n">
        <f aca="false">IF(D702="","",MAX(0,D702-0.5*C702))</f>
        <v>0</v>
      </c>
    </row>
    <row r="703" customFormat="false" ht="15" hidden="false" customHeight="false" outlineLevel="0" collapsed="false">
      <c r="A703" s="21" t="n">
        <v>46250</v>
      </c>
      <c r="B703" s="22" t="n">
        <v>5</v>
      </c>
      <c r="C703" s="25" t="n">
        <v>42.84</v>
      </c>
      <c r="D703" s="25" t="n">
        <v>16.08</v>
      </c>
      <c r="E703" s="25" t="n">
        <v>0</v>
      </c>
      <c r="F703" s="22" t="n">
        <f aca="false">WEEKDAY(A703,2)</f>
        <v>7</v>
      </c>
      <c r="G703" s="22" t="str">
        <f aca="false">IF(F703=7,IF(B703&gt;=23,"C","Sin turno"),IF(B703&lt;7,"C",IF(B703&lt;14,"A",IF(B703&lt;21,"B",IF(B703&lt;23,"Entre turnos",IF(F703=6,"Sin turno","C"))))))</f>
        <v>Sin turno</v>
      </c>
      <c r="H703" s="25" t="n">
        <f aca="false">IF(D703="","",MAX(0,D703-0.5*C703))</f>
        <v>0</v>
      </c>
    </row>
    <row r="704" customFormat="false" ht="15" hidden="false" customHeight="false" outlineLevel="0" collapsed="false">
      <c r="A704" s="21" t="n">
        <v>46250</v>
      </c>
      <c r="B704" s="22" t="n">
        <v>6</v>
      </c>
      <c r="C704" s="25" t="n">
        <v>41.28</v>
      </c>
      <c r="D704" s="25" t="n">
        <v>16.44</v>
      </c>
      <c r="E704" s="25" t="n">
        <v>0</v>
      </c>
      <c r="F704" s="22" t="n">
        <f aca="false">WEEKDAY(A704,2)</f>
        <v>7</v>
      </c>
      <c r="G704" s="22" t="str">
        <f aca="false">IF(F704=7,IF(B704&gt;=23,"C","Sin turno"),IF(B704&lt;7,"C",IF(B704&lt;14,"A",IF(B704&lt;21,"B",IF(B704&lt;23,"Entre turnos",IF(F704=6,"Sin turno","C"))))))</f>
        <v>Sin turno</v>
      </c>
      <c r="H704" s="25" t="n">
        <f aca="false">IF(D704="","",MAX(0,D704-0.5*C704))</f>
        <v>0</v>
      </c>
    </row>
    <row r="705" customFormat="false" ht="15" hidden="false" customHeight="false" outlineLevel="0" collapsed="false">
      <c r="A705" s="21" t="n">
        <v>46250</v>
      </c>
      <c r="B705" s="22" t="n">
        <v>7</v>
      </c>
      <c r="C705" s="25" t="n">
        <v>47.4</v>
      </c>
      <c r="D705" s="25" t="n">
        <v>16.68</v>
      </c>
      <c r="E705" s="25" t="n">
        <v>0</v>
      </c>
      <c r="F705" s="22" t="n">
        <f aca="false">WEEKDAY(A705,2)</f>
        <v>7</v>
      </c>
      <c r="G705" s="22" t="str">
        <f aca="false">IF(F705=7,IF(B705&gt;=23,"C","Sin turno"),IF(B705&lt;7,"C",IF(B705&lt;14,"A",IF(B705&lt;21,"B",IF(B705&lt;23,"Entre turnos",IF(F705=6,"Sin turno","C"))))))</f>
        <v>Sin turno</v>
      </c>
      <c r="H705" s="25" t="n">
        <f aca="false">IF(D705="","",MAX(0,D705-0.5*C705))</f>
        <v>0</v>
      </c>
    </row>
    <row r="706" customFormat="false" ht="15" hidden="false" customHeight="false" outlineLevel="0" collapsed="false">
      <c r="A706" s="21" t="n">
        <v>46250</v>
      </c>
      <c r="B706" s="22" t="n">
        <v>8</v>
      </c>
      <c r="C706" s="25" t="n">
        <v>57.84</v>
      </c>
      <c r="D706" s="25" t="n">
        <v>17.88</v>
      </c>
      <c r="E706" s="25" t="n">
        <v>0</v>
      </c>
      <c r="F706" s="22" t="n">
        <f aca="false">WEEKDAY(A706,2)</f>
        <v>7</v>
      </c>
      <c r="G706" s="22" t="str">
        <f aca="false">IF(F706=7,IF(B706&gt;=23,"C","Sin turno"),IF(B706&lt;7,"C",IF(B706&lt;14,"A",IF(B706&lt;21,"B",IF(B706&lt;23,"Entre turnos",IF(F706=6,"Sin turno","C"))))))</f>
        <v>Sin turno</v>
      </c>
      <c r="H706" s="25" t="n">
        <f aca="false">IF(D706="","",MAX(0,D706-0.5*C706))</f>
        <v>0</v>
      </c>
    </row>
    <row r="707" customFormat="false" ht="15" hidden="false" customHeight="false" outlineLevel="0" collapsed="false">
      <c r="A707" s="21" t="n">
        <v>46250</v>
      </c>
      <c r="B707" s="22" t="n">
        <v>9</v>
      </c>
      <c r="C707" s="25" t="n">
        <v>62.88</v>
      </c>
      <c r="D707" s="25" t="n">
        <v>20.4</v>
      </c>
      <c r="E707" s="25" t="n">
        <v>0</v>
      </c>
      <c r="F707" s="22" t="n">
        <f aca="false">WEEKDAY(A707,2)</f>
        <v>7</v>
      </c>
      <c r="G707" s="22" t="str">
        <f aca="false">IF(F707=7,IF(B707&gt;=23,"C","Sin turno"),IF(B707&lt;7,"C",IF(B707&lt;14,"A",IF(B707&lt;21,"B",IF(B707&lt;23,"Entre turnos",IF(F707=6,"Sin turno","C"))))))</f>
        <v>Sin turno</v>
      </c>
      <c r="H707" s="25" t="n">
        <f aca="false">IF(D707="","",MAX(0,D707-0.5*C707))</f>
        <v>0</v>
      </c>
    </row>
    <row r="708" customFormat="false" ht="15" hidden="false" customHeight="false" outlineLevel="0" collapsed="false">
      <c r="A708" s="21" t="n">
        <v>46250</v>
      </c>
      <c r="B708" s="22" t="n">
        <v>10</v>
      </c>
      <c r="C708" s="25" t="n">
        <v>65.4</v>
      </c>
      <c r="D708" s="25" t="n">
        <v>21</v>
      </c>
      <c r="E708" s="25" t="n">
        <v>0</v>
      </c>
      <c r="F708" s="22" t="n">
        <f aca="false">WEEKDAY(A708,2)</f>
        <v>7</v>
      </c>
      <c r="G708" s="22" t="str">
        <f aca="false">IF(F708=7,IF(B708&gt;=23,"C","Sin turno"),IF(B708&lt;7,"C",IF(B708&lt;14,"A",IF(B708&lt;21,"B",IF(B708&lt;23,"Entre turnos",IF(F708=6,"Sin turno","C"))))))</f>
        <v>Sin turno</v>
      </c>
      <c r="H708" s="25" t="n">
        <f aca="false">IF(D708="","",MAX(0,D708-0.5*C708))</f>
        <v>0</v>
      </c>
    </row>
    <row r="709" customFormat="false" ht="15" hidden="false" customHeight="false" outlineLevel="0" collapsed="false">
      <c r="A709" s="21" t="n">
        <v>46250</v>
      </c>
      <c r="B709" s="22" t="n">
        <v>11</v>
      </c>
      <c r="C709" s="25" t="n">
        <v>67.92</v>
      </c>
      <c r="D709" s="25" t="n">
        <v>21</v>
      </c>
      <c r="E709" s="25" t="n">
        <v>0</v>
      </c>
      <c r="F709" s="22" t="n">
        <f aca="false">WEEKDAY(A709,2)</f>
        <v>7</v>
      </c>
      <c r="G709" s="22" t="str">
        <f aca="false">IF(F709=7,IF(B709&gt;=23,"C","Sin turno"),IF(B709&lt;7,"C",IF(B709&lt;14,"A",IF(B709&lt;21,"B",IF(B709&lt;23,"Entre turnos",IF(F709=6,"Sin turno","C"))))))</f>
        <v>Sin turno</v>
      </c>
      <c r="H709" s="25" t="n">
        <f aca="false">IF(D709="","",MAX(0,D709-0.5*C709))</f>
        <v>0</v>
      </c>
    </row>
    <row r="710" customFormat="false" ht="15" hidden="false" customHeight="false" outlineLevel="0" collapsed="false">
      <c r="A710" s="21" t="n">
        <v>46250</v>
      </c>
      <c r="B710" s="22" t="n">
        <v>12</v>
      </c>
      <c r="C710" s="25" t="n">
        <v>61.08</v>
      </c>
      <c r="D710" s="25" t="n">
        <v>19.08</v>
      </c>
      <c r="E710" s="25" t="n">
        <v>0</v>
      </c>
      <c r="F710" s="22" t="n">
        <f aca="false">WEEKDAY(A710,2)</f>
        <v>7</v>
      </c>
      <c r="G710" s="22" t="str">
        <f aca="false">IF(F710=7,IF(B710&gt;=23,"C","Sin turno"),IF(B710&lt;7,"C",IF(B710&lt;14,"A",IF(B710&lt;21,"B",IF(B710&lt;23,"Entre turnos",IF(F710=6,"Sin turno","C"))))))</f>
        <v>Sin turno</v>
      </c>
      <c r="H710" s="25" t="n">
        <f aca="false">IF(D710="","",MAX(0,D710-0.5*C710))</f>
        <v>0</v>
      </c>
    </row>
    <row r="711" customFormat="false" ht="15" hidden="false" customHeight="false" outlineLevel="0" collapsed="false">
      <c r="A711" s="21" t="n">
        <v>46250</v>
      </c>
      <c r="B711" s="22" t="n">
        <v>13</v>
      </c>
      <c r="C711" s="25" t="n">
        <v>61.68</v>
      </c>
      <c r="D711" s="25" t="n">
        <v>19.08</v>
      </c>
      <c r="E711" s="25" t="n">
        <v>0</v>
      </c>
      <c r="F711" s="22" t="n">
        <f aca="false">WEEKDAY(A711,2)</f>
        <v>7</v>
      </c>
      <c r="G711" s="22" t="str">
        <f aca="false">IF(F711=7,IF(B711&gt;=23,"C","Sin turno"),IF(B711&lt;7,"C",IF(B711&lt;14,"A",IF(B711&lt;21,"B",IF(B711&lt;23,"Entre turnos",IF(F711=6,"Sin turno","C"))))))</f>
        <v>Sin turno</v>
      </c>
      <c r="H711" s="25" t="n">
        <f aca="false">IF(D711="","",MAX(0,D711-0.5*C711))</f>
        <v>0</v>
      </c>
    </row>
    <row r="712" customFormat="false" ht="15" hidden="false" customHeight="false" outlineLevel="0" collapsed="false">
      <c r="A712" s="21" t="n">
        <v>46250</v>
      </c>
      <c r="B712" s="22" t="n">
        <v>14</v>
      </c>
      <c r="C712" s="25" t="n">
        <v>61.56</v>
      </c>
      <c r="D712" s="25" t="n">
        <v>19.32</v>
      </c>
      <c r="E712" s="25" t="n">
        <v>0</v>
      </c>
      <c r="F712" s="22" t="n">
        <f aca="false">WEEKDAY(A712,2)</f>
        <v>7</v>
      </c>
      <c r="G712" s="22" t="str">
        <f aca="false">IF(F712=7,IF(B712&gt;=23,"C","Sin turno"),IF(B712&lt;7,"C",IF(B712&lt;14,"A",IF(B712&lt;21,"B",IF(B712&lt;23,"Entre turnos",IF(F712=6,"Sin turno","C"))))))</f>
        <v>Sin turno</v>
      </c>
      <c r="H712" s="25" t="n">
        <f aca="false">IF(D712="","",MAX(0,D712-0.5*C712))</f>
        <v>0</v>
      </c>
    </row>
    <row r="713" customFormat="false" ht="15" hidden="false" customHeight="false" outlineLevel="0" collapsed="false">
      <c r="A713" s="21" t="n">
        <v>46250</v>
      </c>
      <c r="B713" s="22" t="n">
        <v>15</v>
      </c>
      <c r="C713" s="25" t="n">
        <v>60.96</v>
      </c>
      <c r="D713" s="25" t="n">
        <v>19.2</v>
      </c>
      <c r="E713" s="25" t="n">
        <v>0</v>
      </c>
      <c r="F713" s="22" t="n">
        <f aca="false">WEEKDAY(A713,2)</f>
        <v>7</v>
      </c>
      <c r="G713" s="22" t="str">
        <f aca="false">IF(F713=7,IF(B713&gt;=23,"C","Sin turno"),IF(B713&lt;7,"C",IF(B713&lt;14,"A",IF(B713&lt;21,"B",IF(B713&lt;23,"Entre turnos",IF(F713=6,"Sin turno","C"))))))</f>
        <v>Sin turno</v>
      </c>
      <c r="H713" s="25" t="n">
        <f aca="false">IF(D713="","",MAX(0,D713-0.5*C713))</f>
        <v>0</v>
      </c>
    </row>
    <row r="714" customFormat="false" ht="15" hidden="false" customHeight="false" outlineLevel="0" collapsed="false">
      <c r="A714" s="21" t="n">
        <v>46250</v>
      </c>
      <c r="B714" s="22" t="n">
        <v>16</v>
      </c>
      <c r="C714" s="25" t="n">
        <v>53.76</v>
      </c>
      <c r="D714" s="25" t="n">
        <v>15.84</v>
      </c>
      <c r="E714" s="25" t="n">
        <v>0</v>
      </c>
      <c r="F714" s="22" t="n">
        <f aca="false">WEEKDAY(A714,2)</f>
        <v>7</v>
      </c>
      <c r="G714" s="22" t="str">
        <f aca="false">IF(F714=7,IF(B714&gt;=23,"C","Sin turno"),IF(B714&lt;7,"C",IF(B714&lt;14,"A",IF(B714&lt;21,"B",IF(B714&lt;23,"Entre turnos",IF(F714=6,"Sin turno","C"))))))</f>
        <v>Sin turno</v>
      </c>
      <c r="H714" s="25" t="n">
        <f aca="false">IF(D714="","",MAX(0,D714-0.5*C714))</f>
        <v>0</v>
      </c>
    </row>
    <row r="715" customFormat="false" ht="15" hidden="false" customHeight="false" outlineLevel="0" collapsed="false">
      <c r="A715" s="21" t="n">
        <v>46250</v>
      </c>
      <c r="B715" s="22" t="n">
        <v>17</v>
      </c>
      <c r="C715" s="25" t="n">
        <v>50.4</v>
      </c>
      <c r="D715" s="25" t="n">
        <v>15.72</v>
      </c>
      <c r="E715" s="25" t="n">
        <v>0</v>
      </c>
      <c r="F715" s="22" t="n">
        <f aca="false">WEEKDAY(A715,2)</f>
        <v>7</v>
      </c>
      <c r="G715" s="22" t="str">
        <f aca="false">IF(F715=7,IF(B715&gt;=23,"C","Sin turno"),IF(B715&lt;7,"C",IF(B715&lt;14,"A",IF(B715&lt;21,"B",IF(B715&lt;23,"Entre turnos",IF(F715=6,"Sin turno","C"))))))</f>
        <v>Sin turno</v>
      </c>
      <c r="H715" s="25" t="n">
        <f aca="false">IF(D715="","",MAX(0,D715-0.5*C715))</f>
        <v>0</v>
      </c>
    </row>
    <row r="716" customFormat="false" ht="15" hidden="false" customHeight="false" outlineLevel="0" collapsed="false">
      <c r="A716" s="21" t="n">
        <v>46250</v>
      </c>
      <c r="B716" s="22" t="n">
        <v>18</v>
      </c>
      <c r="C716" s="25" t="n">
        <v>48.96</v>
      </c>
      <c r="D716" s="25" t="n">
        <v>15.36</v>
      </c>
      <c r="E716" s="25" t="n">
        <v>0</v>
      </c>
      <c r="F716" s="22" t="n">
        <f aca="false">WEEKDAY(A716,2)</f>
        <v>7</v>
      </c>
      <c r="G716" s="22" t="str">
        <f aca="false">IF(F716=7,IF(B716&gt;=23,"C","Sin turno"),IF(B716&lt;7,"C",IF(B716&lt;14,"A",IF(B716&lt;21,"B",IF(B716&lt;23,"Entre turnos",IF(F716=6,"Sin turno","C"))))))</f>
        <v>Sin turno</v>
      </c>
      <c r="H716" s="25" t="n">
        <f aca="false">IF(D716="","",MAX(0,D716-0.5*C716))</f>
        <v>0</v>
      </c>
    </row>
    <row r="717" customFormat="false" ht="15" hidden="false" customHeight="false" outlineLevel="0" collapsed="false">
      <c r="A717" s="21" t="n">
        <v>46250</v>
      </c>
      <c r="B717" s="22" t="n">
        <v>19</v>
      </c>
      <c r="C717" s="25" t="n">
        <v>48.72</v>
      </c>
      <c r="D717" s="25" t="n">
        <v>15.48</v>
      </c>
      <c r="E717" s="25" t="n">
        <v>0</v>
      </c>
      <c r="F717" s="22" t="n">
        <f aca="false">WEEKDAY(A717,2)</f>
        <v>7</v>
      </c>
      <c r="G717" s="22" t="str">
        <f aca="false">IF(F717=7,IF(B717&gt;=23,"C","Sin turno"),IF(B717&lt;7,"C",IF(B717&lt;14,"A",IF(B717&lt;21,"B",IF(B717&lt;23,"Entre turnos",IF(F717=6,"Sin turno","C"))))))</f>
        <v>Sin turno</v>
      </c>
      <c r="H717" s="25" t="n">
        <f aca="false">IF(D717="","",MAX(0,D717-0.5*C717))</f>
        <v>0</v>
      </c>
    </row>
    <row r="718" customFormat="false" ht="15" hidden="false" customHeight="false" outlineLevel="0" collapsed="false">
      <c r="A718" s="21" t="n">
        <v>46250</v>
      </c>
      <c r="B718" s="22" t="n">
        <v>20</v>
      </c>
      <c r="C718" s="25" t="n">
        <v>48</v>
      </c>
      <c r="D718" s="25" t="n">
        <v>15</v>
      </c>
      <c r="E718" s="25" t="n">
        <v>0</v>
      </c>
      <c r="F718" s="22" t="n">
        <f aca="false">WEEKDAY(A718,2)</f>
        <v>7</v>
      </c>
      <c r="G718" s="22" t="str">
        <f aca="false">IF(F718=7,IF(B718&gt;=23,"C","Sin turno"),IF(B718&lt;7,"C",IF(B718&lt;14,"A",IF(B718&lt;21,"B",IF(B718&lt;23,"Entre turnos",IF(F718=6,"Sin turno","C"))))))</f>
        <v>Sin turno</v>
      </c>
      <c r="H718" s="25" t="n">
        <f aca="false">IF(D718="","",MAX(0,D718-0.5*C718))</f>
        <v>0</v>
      </c>
    </row>
    <row r="719" customFormat="false" ht="15" hidden="false" customHeight="false" outlineLevel="0" collapsed="false">
      <c r="A719" s="21" t="n">
        <v>46250</v>
      </c>
      <c r="B719" s="22" t="n">
        <v>21</v>
      </c>
      <c r="C719" s="25" t="n">
        <v>47.52</v>
      </c>
      <c r="D719" s="25" t="n">
        <v>15.48</v>
      </c>
      <c r="E719" s="25" t="n">
        <v>0</v>
      </c>
      <c r="F719" s="22" t="n">
        <f aca="false">WEEKDAY(A719,2)</f>
        <v>7</v>
      </c>
      <c r="G719" s="22" t="str">
        <f aca="false">IF(F719=7,IF(B719&gt;=23,"C","Sin turno"),IF(B719&lt;7,"C",IF(B719&lt;14,"A",IF(B719&lt;21,"B",IF(B719&lt;23,"Entre turnos",IF(F719=6,"Sin turno","C"))))))</f>
        <v>Sin turno</v>
      </c>
      <c r="H719" s="25" t="n">
        <f aca="false">IF(D719="","",MAX(0,D719-0.5*C719))</f>
        <v>0</v>
      </c>
    </row>
    <row r="720" customFormat="false" ht="15" hidden="false" customHeight="false" outlineLevel="0" collapsed="false">
      <c r="A720" s="21" t="n">
        <v>46250</v>
      </c>
      <c r="B720" s="22" t="n">
        <v>22</v>
      </c>
      <c r="C720" s="25" t="n">
        <v>47.04</v>
      </c>
      <c r="D720" s="25" t="n">
        <v>15.48</v>
      </c>
      <c r="E720" s="25" t="n">
        <v>0</v>
      </c>
      <c r="F720" s="22" t="n">
        <f aca="false">WEEKDAY(A720,2)</f>
        <v>7</v>
      </c>
      <c r="G720" s="22" t="str">
        <f aca="false">IF(F720=7,IF(B720&gt;=23,"C","Sin turno"),IF(B720&lt;7,"C",IF(B720&lt;14,"A",IF(B720&lt;21,"B",IF(B720&lt;23,"Entre turnos",IF(F720=6,"Sin turno","C"))))))</f>
        <v>Sin turno</v>
      </c>
      <c r="H720" s="25" t="n">
        <f aca="false">IF(D720="","",MAX(0,D720-0.5*C720))</f>
        <v>0</v>
      </c>
    </row>
    <row r="721" customFormat="false" ht="15" hidden="false" customHeight="false" outlineLevel="0" collapsed="false">
      <c r="A721" s="21" t="n">
        <v>46250</v>
      </c>
      <c r="B721" s="22" t="n">
        <v>23</v>
      </c>
      <c r="C721" s="25" t="n">
        <v>46.8</v>
      </c>
      <c r="D721" s="25" t="n">
        <v>15.84</v>
      </c>
      <c r="E721" s="25" t="n">
        <v>0</v>
      </c>
      <c r="F721" s="22" t="n">
        <f aca="false">WEEKDAY(A721,2)</f>
        <v>7</v>
      </c>
      <c r="G721" s="22" t="str">
        <f aca="false">IF(F721=7,IF(B721&gt;=23,"C","Sin turno"),IF(B721&lt;7,"C",IF(B721&lt;14,"A",IF(B721&lt;21,"B",IF(B721&lt;23,"Entre turnos",IF(F721=6,"Sin turno","C"))))))</f>
        <v>C</v>
      </c>
      <c r="H721" s="25" t="n">
        <f aca="false">IF(D721="","",MAX(0,D721-0.5*C721))</f>
        <v>0</v>
      </c>
    </row>
    <row r="722" customFormat="false" ht="15" hidden="false" customHeight="false" outlineLevel="0" collapsed="false">
      <c r="A722" s="21" t="n">
        <v>46251</v>
      </c>
      <c r="B722" s="22" t="n">
        <v>0</v>
      </c>
      <c r="C722" s="25" t="n">
        <v>45.84</v>
      </c>
      <c r="D722" s="25" t="n">
        <v>15.24</v>
      </c>
      <c r="E722" s="25" t="n">
        <v>0</v>
      </c>
      <c r="F722" s="22" t="n">
        <f aca="false">WEEKDAY(A722,2)</f>
        <v>1</v>
      </c>
      <c r="G722" s="22" t="str">
        <f aca="false">IF(F722=7,IF(B722&gt;=23,"C","Sin turno"),IF(B722&lt;7,"C",IF(B722&lt;14,"A",IF(B722&lt;21,"B",IF(B722&lt;23,"Entre turnos",IF(F722=6,"Sin turno","C"))))))</f>
        <v>C</v>
      </c>
      <c r="H722" s="25" t="n">
        <f aca="false">IF(D722="","",MAX(0,D722-0.5*C722))</f>
        <v>0</v>
      </c>
    </row>
    <row r="723" customFormat="false" ht="15" hidden="false" customHeight="false" outlineLevel="0" collapsed="false">
      <c r="A723" s="21" t="n">
        <v>46251</v>
      </c>
      <c r="B723" s="22" t="n">
        <v>1</v>
      </c>
      <c r="C723" s="25" t="n">
        <v>45.84</v>
      </c>
      <c r="D723" s="25" t="n">
        <v>15.36</v>
      </c>
      <c r="E723" s="25" t="n">
        <v>0</v>
      </c>
      <c r="F723" s="22" t="n">
        <f aca="false">WEEKDAY(A723,2)</f>
        <v>1</v>
      </c>
      <c r="G723" s="22" t="str">
        <f aca="false">IF(F723=7,IF(B723&gt;=23,"C","Sin turno"),IF(B723&lt;7,"C",IF(B723&lt;14,"A",IF(B723&lt;21,"B",IF(B723&lt;23,"Entre turnos",IF(F723=6,"Sin turno","C"))))))</f>
        <v>C</v>
      </c>
      <c r="H723" s="25" t="n">
        <f aca="false">IF(D723="","",MAX(0,D723-0.5*C723))</f>
        <v>0</v>
      </c>
    </row>
    <row r="724" customFormat="false" ht="15" hidden="false" customHeight="false" outlineLevel="0" collapsed="false">
      <c r="A724" s="21" t="n">
        <v>46251</v>
      </c>
      <c r="B724" s="22" t="n">
        <v>2</v>
      </c>
      <c r="C724" s="25" t="n">
        <v>46.32</v>
      </c>
      <c r="D724" s="25" t="n">
        <v>15.48</v>
      </c>
      <c r="E724" s="25" t="n">
        <v>0</v>
      </c>
      <c r="F724" s="22" t="n">
        <f aca="false">WEEKDAY(A724,2)</f>
        <v>1</v>
      </c>
      <c r="G724" s="22" t="str">
        <f aca="false">IF(F724=7,IF(B724&gt;=23,"C","Sin turno"),IF(B724&lt;7,"C",IF(B724&lt;14,"A",IF(B724&lt;21,"B",IF(B724&lt;23,"Entre turnos",IF(F724=6,"Sin turno","C"))))))</f>
        <v>C</v>
      </c>
      <c r="H724" s="25" t="n">
        <f aca="false">IF(D724="","",MAX(0,D724-0.5*C724))</f>
        <v>0</v>
      </c>
    </row>
    <row r="725" customFormat="false" ht="15" hidden="false" customHeight="false" outlineLevel="0" collapsed="false">
      <c r="A725" s="21" t="n">
        <v>46251</v>
      </c>
      <c r="B725" s="22" t="n">
        <v>3</v>
      </c>
      <c r="C725" s="25" t="n">
        <v>45.6</v>
      </c>
      <c r="D725" s="25" t="n">
        <v>15.12</v>
      </c>
      <c r="E725" s="25" t="n">
        <v>0</v>
      </c>
      <c r="F725" s="22" t="n">
        <f aca="false">WEEKDAY(A725,2)</f>
        <v>1</v>
      </c>
      <c r="G725" s="22" t="str">
        <f aca="false">IF(F725=7,IF(B725&gt;=23,"C","Sin turno"),IF(B725&lt;7,"C",IF(B725&lt;14,"A",IF(B725&lt;21,"B",IF(B725&lt;23,"Entre turnos",IF(F725=6,"Sin turno","C"))))))</f>
        <v>C</v>
      </c>
      <c r="H725" s="25" t="n">
        <f aca="false">IF(D725="","",MAX(0,D725-0.5*C725))</f>
        <v>0</v>
      </c>
    </row>
    <row r="726" customFormat="false" ht="15" hidden="false" customHeight="false" outlineLevel="0" collapsed="false">
      <c r="A726" s="21" t="n">
        <v>46251</v>
      </c>
      <c r="B726" s="22" t="n">
        <v>4</v>
      </c>
      <c r="C726" s="25" t="n">
        <v>46.08</v>
      </c>
      <c r="D726" s="25" t="n">
        <v>14.76</v>
      </c>
      <c r="E726" s="25" t="n">
        <v>0</v>
      </c>
      <c r="F726" s="22" t="n">
        <f aca="false">WEEKDAY(A726,2)</f>
        <v>1</v>
      </c>
      <c r="G726" s="22" t="str">
        <f aca="false">IF(F726=7,IF(B726&gt;=23,"C","Sin turno"),IF(B726&lt;7,"C",IF(B726&lt;14,"A",IF(B726&lt;21,"B",IF(B726&lt;23,"Entre turnos",IF(F726=6,"Sin turno","C"))))))</f>
        <v>C</v>
      </c>
      <c r="H726" s="25" t="n">
        <f aca="false">IF(D726="","",MAX(0,D726-0.5*C726))</f>
        <v>0</v>
      </c>
    </row>
    <row r="727" customFormat="false" ht="15" hidden="false" customHeight="false" outlineLevel="0" collapsed="false">
      <c r="A727" s="21" t="n">
        <v>46251</v>
      </c>
      <c r="B727" s="22" t="n">
        <v>5</v>
      </c>
      <c r="C727" s="25" t="n">
        <v>45.36</v>
      </c>
      <c r="D727" s="25" t="n">
        <v>15.12</v>
      </c>
      <c r="E727" s="25" t="n">
        <v>0</v>
      </c>
      <c r="F727" s="22" t="n">
        <f aca="false">WEEKDAY(A727,2)</f>
        <v>1</v>
      </c>
      <c r="G727" s="22" t="str">
        <f aca="false">IF(F727=7,IF(B727&gt;=23,"C","Sin turno"),IF(B727&lt;7,"C",IF(B727&lt;14,"A",IF(B727&lt;21,"B",IF(B727&lt;23,"Entre turnos",IF(F727=6,"Sin turno","C"))))))</f>
        <v>C</v>
      </c>
      <c r="H727" s="25" t="n">
        <f aca="false">IF(D727="","",MAX(0,D727-0.5*C727))</f>
        <v>0</v>
      </c>
    </row>
    <row r="728" customFormat="false" ht="15" hidden="false" customHeight="false" outlineLevel="0" collapsed="false">
      <c r="A728" s="21" t="n">
        <v>46251</v>
      </c>
      <c r="B728" s="22" t="n">
        <v>6</v>
      </c>
      <c r="C728" s="25" t="n">
        <v>47.28</v>
      </c>
      <c r="D728" s="25" t="n">
        <v>15.84</v>
      </c>
      <c r="E728" s="25" t="n">
        <v>0</v>
      </c>
      <c r="F728" s="22" t="n">
        <f aca="false">WEEKDAY(A728,2)</f>
        <v>1</v>
      </c>
      <c r="G728" s="22" t="str">
        <f aca="false">IF(F728=7,IF(B728&gt;=23,"C","Sin turno"),IF(B728&lt;7,"C",IF(B728&lt;14,"A",IF(B728&lt;21,"B",IF(B728&lt;23,"Entre turnos",IF(F728=6,"Sin turno","C"))))))</f>
        <v>C</v>
      </c>
      <c r="H728" s="25" t="n">
        <f aca="false">IF(D728="","",MAX(0,D728-0.5*C728))</f>
        <v>0</v>
      </c>
    </row>
    <row r="729" customFormat="false" ht="15" hidden="false" customHeight="false" outlineLevel="0" collapsed="false">
      <c r="A729" s="21" t="n">
        <v>46251</v>
      </c>
      <c r="B729" s="22" t="n">
        <v>7</v>
      </c>
      <c r="C729" s="25" t="n">
        <v>97.8</v>
      </c>
      <c r="D729" s="25" t="n">
        <v>6.24</v>
      </c>
      <c r="E729" s="25" t="n">
        <v>0</v>
      </c>
      <c r="F729" s="22" t="n">
        <f aca="false">WEEKDAY(A729,2)</f>
        <v>1</v>
      </c>
      <c r="G729" s="22" t="str">
        <f aca="false">IF(F729=7,IF(B729&gt;=23,"C","Sin turno"),IF(B729&lt;7,"C",IF(B729&lt;14,"A",IF(B729&lt;21,"B",IF(B729&lt;23,"Entre turnos",IF(F729=6,"Sin turno","C"))))))</f>
        <v>A</v>
      </c>
      <c r="H729" s="25" t="n">
        <f aca="false">IF(D729="","",MAX(0,D729-0.5*C729))</f>
        <v>0</v>
      </c>
    </row>
    <row r="730" customFormat="false" ht="15" hidden="false" customHeight="false" outlineLevel="0" collapsed="false">
      <c r="A730" s="21" t="n">
        <v>46251</v>
      </c>
      <c r="B730" s="22" t="n">
        <v>8</v>
      </c>
      <c r="C730" s="25" t="n">
        <v>109.08</v>
      </c>
      <c r="D730" s="25" t="n">
        <v>11.04</v>
      </c>
      <c r="E730" s="25" t="n">
        <v>0</v>
      </c>
      <c r="F730" s="22" t="n">
        <f aca="false">WEEKDAY(A730,2)</f>
        <v>1</v>
      </c>
      <c r="G730" s="22" t="str">
        <f aca="false">IF(F730=7,IF(B730&gt;=23,"C","Sin turno"),IF(B730&lt;7,"C",IF(B730&lt;14,"A",IF(B730&lt;21,"B",IF(B730&lt;23,"Entre turnos",IF(F730=6,"Sin turno","C"))))))</f>
        <v>A</v>
      </c>
      <c r="H730" s="25" t="n">
        <f aca="false">IF(D730="","",MAX(0,D730-0.5*C730))</f>
        <v>0</v>
      </c>
    </row>
    <row r="731" customFormat="false" ht="15" hidden="false" customHeight="false" outlineLevel="0" collapsed="false">
      <c r="A731" s="21" t="n">
        <v>46251</v>
      </c>
      <c r="B731" s="22" t="n">
        <v>9</v>
      </c>
      <c r="C731" s="25" t="n">
        <v>118.56</v>
      </c>
      <c r="D731" s="25" t="n">
        <v>14.4</v>
      </c>
      <c r="E731" s="25" t="n">
        <v>0</v>
      </c>
      <c r="F731" s="22" t="n">
        <f aca="false">WEEKDAY(A731,2)</f>
        <v>1</v>
      </c>
      <c r="G731" s="22" t="str">
        <f aca="false">IF(F731=7,IF(B731&gt;=23,"C","Sin turno"),IF(B731&lt;7,"C",IF(B731&lt;14,"A",IF(B731&lt;21,"B",IF(B731&lt;23,"Entre turnos",IF(F731=6,"Sin turno","C"))))))</f>
        <v>A</v>
      </c>
      <c r="H731" s="25" t="n">
        <f aca="false">IF(D731="","",MAX(0,D731-0.5*C731))</f>
        <v>0</v>
      </c>
    </row>
    <row r="732" customFormat="false" ht="15" hidden="false" customHeight="false" outlineLevel="0" collapsed="false">
      <c r="A732" s="21" t="n">
        <v>46251</v>
      </c>
      <c r="B732" s="22" t="n">
        <v>10</v>
      </c>
      <c r="C732" s="25" t="n">
        <v>113.4</v>
      </c>
      <c r="D732" s="25" t="n">
        <v>14.64</v>
      </c>
      <c r="E732" s="25" t="n">
        <v>0</v>
      </c>
      <c r="F732" s="22" t="n">
        <f aca="false">WEEKDAY(A732,2)</f>
        <v>1</v>
      </c>
      <c r="G732" s="22" t="str">
        <f aca="false">IF(F732=7,IF(B732&gt;=23,"C","Sin turno"),IF(B732&lt;7,"C",IF(B732&lt;14,"A",IF(B732&lt;21,"B",IF(B732&lt;23,"Entre turnos",IF(F732=6,"Sin turno","C"))))))</f>
        <v>A</v>
      </c>
      <c r="H732" s="25" t="n">
        <f aca="false">IF(D732="","",MAX(0,D732-0.5*C732))</f>
        <v>0</v>
      </c>
    </row>
    <row r="733" customFormat="false" ht="15" hidden="false" customHeight="false" outlineLevel="0" collapsed="false">
      <c r="A733" s="21" t="n">
        <v>46251</v>
      </c>
      <c r="B733" s="22" t="n">
        <v>11</v>
      </c>
      <c r="C733" s="25" t="n">
        <v>112.68</v>
      </c>
      <c r="D733" s="25" t="n">
        <v>15.6</v>
      </c>
      <c r="E733" s="25" t="n">
        <v>0</v>
      </c>
      <c r="F733" s="22" t="n">
        <f aca="false">WEEKDAY(A733,2)</f>
        <v>1</v>
      </c>
      <c r="G733" s="22" t="str">
        <f aca="false">IF(F733=7,IF(B733&gt;=23,"C","Sin turno"),IF(B733&lt;7,"C",IF(B733&lt;14,"A",IF(B733&lt;21,"B",IF(B733&lt;23,"Entre turnos",IF(F733=6,"Sin turno","C"))))))</f>
        <v>A</v>
      </c>
      <c r="H733" s="25" t="n">
        <f aca="false">IF(D733="","",MAX(0,D733-0.5*C733))</f>
        <v>0</v>
      </c>
    </row>
    <row r="734" customFormat="false" ht="15" hidden="false" customHeight="false" outlineLevel="0" collapsed="false">
      <c r="A734" s="21" t="n">
        <v>46251</v>
      </c>
      <c r="B734" s="22" t="n">
        <v>12</v>
      </c>
      <c r="C734" s="25" t="n">
        <v>113.28</v>
      </c>
      <c r="D734" s="25" t="n">
        <v>15.72</v>
      </c>
      <c r="E734" s="25" t="n">
        <v>0</v>
      </c>
      <c r="F734" s="22" t="n">
        <f aca="false">WEEKDAY(A734,2)</f>
        <v>1</v>
      </c>
      <c r="G734" s="22" t="str">
        <f aca="false">IF(F734=7,IF(B734&gt;=23,"C","Sin turno"),IF(B734&lt;7,"C",IF(B734&lt;14,"A",IF(B734&lt;21,"B",IF(B734&lt;23,"Entre turnos",IF(F734=6,"Sin turno","C"))))))</f>
        <v>A</v>
      </c>
      <c r="H734" s="25" t="n">
        <f aca="false">IF(D734="","",MAX(0,D734-0.5*C734))</f>
        <v>0</v>
      </c>
    </row>
    <row r="735" customFormat="false" ht="15" hidden="false" customHeight="false" outlineLevel="0" collapsed="false">
      <c r="A735" s="21" t="n">
        <v>46251</v>
      </c>
      <c r="B735" s="22" t="n">
        <v>13</v>
      </c>
      <c r="C735" s="25" t="n">
        <v>112.56</v>
      </c>
      <c r="D735" s="25" t="n">
        <v>16.68</v>
      </c>
      <c r="E735" s="25" t="n">
        <v>0</v>
      </c>
      <c r="F735" s="22" t="n">
        <f aca="false">WEEKDAY(A735,2)</f>
        <v>1</v>
      </c>
      <c r="G735" s="22" t="str">
        <f aca="false">IF(F735=7,IF(B735&gt;=23,"C","Sin turno"),IF(B735&lt;7,"C",IF(B735&lt;14,"A",IF(B735&lt;21,"B",IF(B735&lt;23,"Entre turnos",IF(F735=6,"Sin turno","C"))))))</f>
        <v>A</v>
      </c>
      <c r="H735" s="25" t="n">
        <f aca="false">IF(D735="","",MAX(0,D735-0.5*C735))</f>
        <v>0</v>
      </c>
    </row>
    <row r="736" customFormat="false" ht="15" hidden="false" customHeight="false" outlineLevel="0" collapsed="false">
      <c r="A736" s="21" t="n">
        <v>46251</v>
      </c>
      <c r="B736" s="22" t="n">
        <v>14</v>
      </c>
      <c r="C736" s="25" t="n">
        <v>119.28</v>
      </c>
      <c r="D736" s="25" t="n">
        <v>17.76</v>
      </c>
      <c r="E736" s="25" t="n">
        <v>0</v>
      </c>
      <c r="F736" s="22" t="n">
        <f aca="false">WEEKDAY(A736,2)</f>
        <v>1</v>
      </c>
      <c r="G736" s="22" t="str">
        <f aca="false">IF(F736=7,IF(B736&gt;=23,"C","Sin turno"),IF(B736&lt;7,"C",IF(B736&lt;14,"A",IF(B736&lt;21,"B",IF(B736&lt;23,"Entre turnos",IF(F736=6,"Sin turno","C"))))))</f>
        <v>B</v>
      </c>
      <c r="H736" s="25" t="n">
        <f aca="false">IF(D736="","",MAX(0,D736-0.5*C736))</f>
        <v>0</v>
      </c>
    </row>
    <row r="737" customFormat="false" ht="15" hidden="false" customHeight="false" outlineLevel="0" collapsed="false">
      <c r="A737" s="21" t="n">
        <v>46251</v>
      </c>
      <c r="B737" s="22" t="n">
        <v>15</v>
      </c>
      <c r="C737" s="25" t="n">
        <v>116.04</v>
      </c>
      <c r="D737" s="25" t="n">
        <v>14.64</v>
      </c>
      <c r="E737" s="25" t="n">
        <v>0</v>
      </c>
      <c r="F737" s="22" t="n">
        <f aca="false">WEEKDAY(A737,2)</f>
        <v>1</v>
      </c>
      <c r="G737" s="22" t="str">
        <f aca="false">IF(F737=7,IF(B737&gt;=23,"C","Sin turno"),IF(B737&lt;7,"C",IF(B737&lt;14,"A",IF(B737&lt;21,"B",IF(B737&lt;23,"Entre turnos",IF(F737=6,"Sin turno","C"))))))</f>
        <v>B</v>
      </c>
      <c r="H737" s="25" t="n">
        <f aca="false">IF(D737="","",MAX(0,D737-0.5*C737))</f>
        <v>0</v>
      </c>
    </row>
    <row r="738" customFormat="false" ht="15" hidden="false" customHeight="false" outlineLevel="0" collapsed="false">
      <c r="A738" s="21" t="n">
        <v>46251</v>
      </c>
      <c r="B738" s="22" t="n">
        <v>16</v>
      </c>
      <c r="C738" s="25" t="n">
        <v>90.48</v>
      </c>
      <c r="D738" s="25" t="n">
        <v>8.04</v>
      </c>
      <c r="E738" s="25" t="n">
        <v>0.12</v>
      </c>
      <c r="F738" s="22" t="n">
        <f aca="false">WEEKDAY(A738,2)</f>
        <v>1</v>
      </c>
      <c r="G738" s="22" t="str">
        <f aca="false">IF(F738=7,IF(B738&gt;=23,"C","Sin turno"),IF(B738&lt;7,"C",IF(B738&lt;14,"A",IF(B738&lt;21,"B",IF(B738&lt;23,"Entre turnos",IF(F738=6,"Sin turno","C"))))))</f>
        <v>B</v>
      </c>
      <c r="H738" s="25" t="n">
        <f aca="false">IF(D738="","",MAX(0,D738-0.5*C738))</f>
        <v>0</v>
      </c>
    </row>
    <row r="739" customFormat="false" ht="15" hidden="false" customHeight="false" outlineLevel="0" collapsed="false">
      <c r="A739" s="21" t="n">
        <v>46251</v>
      </c>
      <c r="B739" s="22" t="n">
        <v>17</v>
      </c>
      <c r="C739" s="25" t="n">
        <v>58.92</v>
      </c>
      <c r="D739" s="25" t="n">
        <v>19.56</v>
      </c>
      <c r="E739" s="25" t="n">
        <v>0</v>
      </c>
      <c r="F739" s="22" t="n">
        <f aca="false">WEEKDAY(A739,2)</f>
        <v>1</v>
      </c>
      <c r="G739" s="22" t="str">
        <f aca="false">IF(F739=7,IF(B739&gt;=23,"C","Sin turno"),IF(B739&lt;7,"C",IF(B739&lt;14,"A",IF(B739&lt;21,"B",IF(B739&lt;23,"Entre turnos",IF(F739=6,"Sin turno","C"))))))</f>
        <v>B</v>
      </c>
      <c r="H739" s="25" t="n">
        <f aca="false">IF(D739="","",MAX(0,D739-0.5*C739))</f>
        <v>0</v>
      </c>
    </row>
    <row r="740" customFormat="false" ht="15" hidden="false" customHeight="false" outlineLevel="0" collapsed="false">
      <c r="A740" s="21" t="n">
        <v>46251</v>
      </c>
      <c r="B740" s="22" t="n">
        <v>18</v>
      </c>
      <c r="C740" s="25" t="n">
        <v>56.4</v>
      </c>
      <c r="D740" s="25" t="n">
        <v>19.08</v>
      </c>
      <c r="E740" s="25" t="n">
        <v>0</v>
      </c>
      <c r="F740" s="22" t="n">
        <f aca="false">WEEKDAY(A740,2)</f>
        <v>1</v>
      </c>
      <c r="G740" s="22" t="str">
        <f aca="false">IF(F740=7,IF(B740&gt;=23,"C","Sin turno"),IF(B740&lt;7,"C",IF(B740&lt;14,"A",IF(B740&lt;21,"B",IF(B740&lt;23,"Entre turnos",IF(F740=6,"Sin turno","C"))))))</f>
        <v>B</v>
      </c>
      <c r="H740" s="25" t="n">
        <f aca="false">IF(D740="","",MAX(0,D740-0.5*C740))</f>
        <v>0</v>
      </c>
    </row>
    <row r="741" customFormat="false" ht="15" hidden="false" customHeight="false" outlineLevel="0" collapsed="false">
      <c r="A741" s="21" t="n">
        <v>46251</v>
      </c>
      <c r="B741" s="22" t="n">
        <v>19</v>
      </c>
      <c r="C741" s="25" t="n">
        <v>52.8</v>
      </c>
      <c r="D741" s="25" t="n">
        <v>18.24</v>
      </c>
      <c r="E741" s="25" t="n">
        <v>0</v>
      </c>
      <c r="F741" s="22" t="n">
        <f aca="false">WEEKDAY(A741,2)</f>
        <v>1</v>
      </c>
      <c r="G741" s="22" t="str">
        <f aca="false">IF(F741=7,IF(B741&gt;=23,"C","Sin turno"),IF(B741&lt;7,"C",IF(B741&lt;14,"A",IF(B741&lt;21,"B",IF(B741&lt;23,"Entre turnos",IF(F741=6,"Sin turno","C"))))))</f>
        <v>B</v>
      </c>
      <c r="H741" s="25" t="n">
        <f aca="false">IF(D741="","",MAX(0,D741-0.5*C741))</f>
        <v>0</v>
      </c>
    </row>
    <row r="742" customFormat="false" ht="15" hidden="false" customHeight="false" outlineLevel="0" collapsed="false">
      <c r="A742" s="21" t="n">
        <v>46251</v>
      </c>
      <c r="B742" s="22" t="n">
        <v>20</v>
      </c>
      <c r="C742" s="25" t="n">
        <v>50.88</v>
      </c>
      <c r="D742" s="25" t="n">
        <v>18.6</v>
      </c>
      <c r="E742" s="25" t="n">
        <v>0</v>
      </c>
      <c r="F742" s="22" t="n">
        <f aca="false">WEEKDAY(A742,2)</f>
        <v>1</v>
      </c>
      <c r="G742" s="22" t="str">
        <f aca="false">IF(F742=7,IF(B742&gt;=23,"C","Sin turno"),IF(B742&lt;7,"C",IF(B742&lt;14,"A",IF(B742&lt;21,"B",IF(B742&lt;23,"Entre turnos",IF(F742=6,"Sin turno","C"))))))</f>
        <v>B</v>
      </c>
      <c r="H742" s="25" t="n">
        <f aca="false">IF(D742="","",MAX(0,D742-0.5*C742))</f>
        <v>0</v>
      </c>
    </row>
    <row r="743" customFormat="false" ht="15" hidden="false" customHeight="false" outlineLevel="0" collapsed="false">
      <c r="A743" s="21" t="n">
        <v>46251</v>
      </c>
      <c r="B743" s="22" t="n">
        <v>21</v>
      </c>
      <c r="C743" s="25" t="n">
        <v>49.44</v>
      </c>
      <c r="D743" s="25" t="n">
        <v>18.36</v>
      </c>
      <c r="E743" s="25" t="n">
        <v>0</v>
      </c>
      <c r="F743" s="22" t="n">
        <f aca="false">WEEKDAY(A743,2)</f>
        <v>1</v>
      </c>
      <c r="G743" s="22" t="str">
        <f aca="false">IF(F743=7,IF(B743&gt;=23,"C","Sin turno"),IF(B743&lt;7,"C",IF(B743&lt;14,"A",IF(B743&lt;21,"B",IF(B743&lt;23,"Entre turnos",IF(F743=6,"Sin turno","C"))))))</f>
        <v>Entre turnos</v>
      </c>
      <c r="H743" s="25" t="n">
        <f aca="false">IF(D743="","",MAX(0,D743-0.5*C743))</f>
        <v>0</v>
      </c>
    </row>
    <row r="744" customFormat="false" ht="15" hidden="false" customHeight="false" outlineLevel="0" collapsed="false">
      <c r="A744" s="21" t="n">
        <v>46251</v>
      </c>
      <c r="B744" s="22" t="n">
        <v>22</v>
      </c>
      <c r="C744" s="25" t="n">
        <v>49.44</v>
      </c>
      <c r="D744" s="25" t="n">
        <v>18.12</v>
      </c>
      <c r="E744" s="25" t="n">
        <v>0</v>
      </c>
      <c r="F744" s="22" t="n">
        <f aca="false">WEEKDAY(A744,2)</f>
        <v>1</v>
      </c>
      <c r="G744" s="22" t="str">
        <f aca="false">IF(F744=7,IF(B744&gt;=23,"C","Sin turno"),IF(B744&lt;7,"C",IF(B744&lt;14,"A",IF(B744&lt;21,"B",IF(B744&lt;23,"Entre turnos",IF(F744=6,"Sin turno","C"))))))</f>
        <v>Entre turnos</v>
      </c>
      <c r="H744" s="25" t="n">
        <f aca="false">IF(D744="","",MAX(0,D744-0.5*C744))</f>
        <v>0</v>
      </c>
    </row>
    <row r="745" customFormat="false" ht="15" hidden="false" customHeight="false" outlineLevel="0" collapsed="false">
      <c r="A745" s="21" t="n">
        <v>46251</v>
      </c>
      <c r="B745" s="22" t="n">
        <v>23</v>
      </c>
      <c r="C745" s="25" t="n">
        <v>48.12</v>
      </c>
      <c r="D745" s="25" t="n">
        <v>17.28</v>
      </c>
      <c r="E745" s="25" t="n">
        <v>0</v>
      </c>
      <c r="F745" s="22" t="n">
        <f aca="false">WEEKDAY(A745,2)</f>
        <v>1</v>
      </c>
      <c r="G745" s="22" t="str">
        <f aca="false">IF(F745=7,IF(B745&gt;=23,"C","Sin turno"),IF(B745&lt;7,"C",IF(B745&lt;14,"A",IF(B745&lt;21,"B",IF(B745&lt;23,"Entre turnos",IF(F745=6,"Sin turno","C"))))))</f>
        <v>C</v>
      </c>
      <c r="H745" s="25" t="n">
        <f aca="false">IF(D745="","",MAX(0,D745-0.5*C745))</f>
        <v>0</v>
      </c>
    </row>
    <row r="746" customFormat="false" ht="15" hidden="false" customHeight="false" outlineLevel="0" collapsed="false">
      <c r="A746" s="21" t="n">
        <v>46252</v>
      </c>
      <c r="B746" s="22" t="n">
        <v>0</v>
      </c>
      <c r="C746" s="25" t="n">
        <v>48</v>
      </c>
      <c r="D746" s="25" t="n">
        <v>17.88</v>
      </c>
      <c r="E746" s="25" t="n">
        <v>0</v>
      </c>
      <c r="F746" s="22" t="n">
        <f aca="false">WEEKDAY(A746,2)</f>
        <v>2</v>
      </c>
      <c r="G746" s="22" t="str">
        <f aca="false">IF(F746=7,IF(B746&gt;=23,"C","Sin turno"),IF(B746&lt;7,"C",IF(B746&lt;14,"A",IF(B746&lt;21,"B",IF(B746&lt;23,"Entre turnos",IF(F746=6,"Sin turno","C"))))))</f>
        <v>C</v>
      </c>
      <c r="H746" s="25" t="n">
        <f aca="false">IF(D746="","",MAX(0,D746-0.5*C746))</f>
        <v>0</v>
      </c>
    </row>
    <row r="747" customFormat="false" ht="15" hidden="false" customHeight="false" outlineLevel="0" collapsed="false">
      <c r="A747" s="21" t="n">
        <v>46252</v>
      </c>
      <c r="B747" s="22" t="n">
        <v>1</v>
      </c>
      <c r="C747" s="25" t="n">
        <v>47.88</v>
      </c>
      <c r="D747" s="25" t="n">
        <v>17.64</v>
      </c>
      <c r="E747" s="25" t="n">
        <v>0</v>
      </c>
      <c r="F747" s="22" t="n">
        <f aca="false">WEEKDAY(A747,2)</f>
        <v>2</v>
      </c>
      <c r="G747" s="22" t="str">
        <f aca="false">IF(F747=7,IF(B747&gt;=23,"C","Sin turno"),IF(B747&lt;7,"C",IF(B747&lt;14,"A",IF(B747&lt;21,"B",IF(B747&lt;23,"Entre turnos",IF(F747=6,"Sin turno","C"))))))</f>
        <v>C</v>
      </c>
      <c r="H747" s="25" t="n">
        <f aca="false">IF(D747="","",MAX(0,D747-0.5*C747))</f>
        <v>0</v>
      </c>
    </row>
    <row r="748" customFormat="false" ht="15" hidden="false" customHeight="false" outlineLevel="0" collapsed="false">
      <c r="A748" s="21" t="n">
        <v>46252</v>
      </c>
      <c r="B748" s="22" t="n">
        <v>2</v>
      </c>
      <c r="C748" s="25" t="n">
        <v>47.04</v>
      </c>
      <c r="D748" s="25" t="n">
        <v>17.64</v>
      </c>
      <c r="E748" s="25" t="n">
        <v>0</v>
      </c>
      <c r="F748" s="22" t="n">
        <f aca="false">WEEKDAY(A748,2)</f>
        <v>2</v>
      </c>
      <c r="G748" s="22" t="str">
        <f aca="false">IF(F748=7,IF(B748&gt;=23,"C","Sin turno"),IF(B748&lt;7,"C",IF(B748&lt;14,"A",IF(B748&lt;21,"B",IF(B748&lt;23,"Entre turnos",IF(F748=6,"Sin turno","C"))))))</f>
        <v>C</v>
      </c>
      <c r="H748" s="25" t="n">
        <f aca="false">IF(D748="","",MAX(0,D748-0.5*C748))</f>
        <v>0</v>
      </c>
    </row>
    <row r="749" customFormat="false" ht="15" hidden="false" customHeight="false" outlineLevel="0" collapsed="false">
      <c r="A749" s="21" t="n">
        <v>46252</v>
      </c>
      <c r="B749" s="22" t="n">
        <v>3</v>
      </c>
      <c r="C749" s="25" t="n">
        <v>47.28</v>
      </c>
      <c r="D749" s="25" t="n">
        <v>17.76</v>
      </c>
      <c r="E749" s="25" t="n">
        <v>0</v>
      </c>
      <c r="F749" s="22" t="n">
        <f aca="false">WEEKDAY(A749,2)</f>
        <v>2</v>
      </c>
      <c r="G749" s="22" t="str">
        <f aca="false">IF(F749=7,IF(B749&gt;=23,"C","Sin turno"),IF(B749&lt;7,"C",IF(B749&lt;14,"A",IF(B749&lt;21,"B",IF(B749&lt;23,"Entre turnos",IF(F749=6,"Sin turno","C"))))))</f>
        <v>C</v>
      </c>
      <c r="H749" s="25" t="n">
        <f aca="false">IF(D749="","",MAX(0,D749-0.5*C749))</f>
        <v>0</v>
      </c>
    </row>
    <row r="750" customFormat="false" ht="15" hidden="false" customHeight="false" outlineLevel="0" collapsed="false">
      <c r="A750" s="21" t="n">
        <v>46252</v>
      </c>
      <c r="B750" s="22" t="n">
        <v>4</v>
      </c>
      <c r="C750" s="25" t="n">
        <v>47.16</v>
      </c>
      <c r="D750" s="25" t="n">
        <v>17.76</v>
      </c>
      <c r="E750" s="25" t="n">
        <v>0</v>
      </c>
      <c r="F750" s="22" t="n">
        <f aca="false">WEEKDAY(A750,2)</f>
        <v>2</v>
      </c>
      <c r="G750" s="22" t="str">
        <f aca="false">IF(F750=7,IF(B750&gt;=23,"C","Sin turno"),IF(B750&lt;7,"C",IF(B750&lt;14,"A",IF(B750&lt;21,"B",IF(B750&lt;23,"Entre turnos",IF(F750=6,"Sin turno","C"))))))</f>
        <v>C</v>
      </c>
      <c r="H750" s="25" t="n">
        <f aca="false">IF(D750="","",MAX(0,D750-0.5*C750))</f>
        <v>0</v>
      </c>
    </row>
    <row r="751" customFormat="false" ht="15" hidden="false" customHeight="false" outlineLevel="0" collapsed="false">
      <c r="A751" s="21" t="n">
        <v>46252</v>
      </c>
      <c r="B751" s="22" t="n">
        <v>5</v>
      </c>
      <c r="C751" s="25" t="n">
        <v>47.52</v>
      </c>
      <c r="D751" s="25" t="n">
        <v>17.52</v>
      </c>
      <c r="E751" s="25" t="n">
        <v>0</v>
      </c>
      <c r="F751" s="22" t="n">
        <f aca="false">WEEKDAY(A751,2)</f>
        <v>2</v>
      </c>
      <c r="G751" s="22" t="str">
        <f aca="false">IF(F751=7,IF(B751&gt;=23,"C","Sin turno"),IF(B751&lt;7,"C",IF(B751&lt;14,"A",IF(B751&lt;21,"B",IF(B751&lt;23,"Entre turnos",IF(F751=6,"Sin turno","C"))))))</f>
        <v>C</v>
      </c>
      <c r="H751" s="25" t="n">
        <f aca="false">IF(D751="","",MAX(0,D751-0.5*C751))</f>
        <v>0</v>
      </c>
    </row>
    <row r="752" customFormat="false" ht="15" hidden="false" customHeight="false" outlineLevel="0" collapsed="false">
      <c r="A752" s="21" t="n">
        <v>46252</v>
      </c>
      <c r="B752" s="22" t="n">
        <v>6</v>
      </c>
      <c r="C752" s="25" t="n">
        <v>55.92</v>
      </c>
      <c r="D752" s="25" t="n">
        <v>17.64</v>
      </c>
      <c r="E752" s="25" t="n">
        <v>0</v>
      </c>
      <c r="F752" s="22" t="n">
        <f aca="false">WEEKDAY(A752,2)</f>
        <v>2</v>
      </c>
      <c r="G752" s="22" t="str">
        <f aca="false">IF(F752=7,IF(B752&gt;=23,"C","Sin turno"),IF(B752&lt;7,"C",IF(B752&lt;14,"A",IF(B752&lt;21,"B",IF(B752&lt;23,"Entre turnos",IF(F752=6,"Sin turno","C"))))))</f>
        <v>C</v>
      </c>
      <c r="H752" s="25" t="n">
        <f aca="false">IF(D752="","",MAX(0,D752-0.5*C752))</f>
        <v>0</v>
      </c>
    </row>
    <row r="753" customFormat="false" ht="15" hidden="false" customHeight="false" outlineLevel="0" collapsed="false">
      <c r="A753" s="21" t="n">
        <v>46252</v>
      </c>
      <c r="B753" s="22" t="n">
        <v>7</v>
      </c>
      <c r="C753" s="25" t="n">
        <v>93.36</v>
      </c>
      <c r="D753" s="25" t="n">
        <v>6.48</v>
      </c>
      <c r="E753" s="25" t="n">
        <v>1.2</v>
      </c>
      <c r="F753" s="22" t="n">
        <f aca="false">WEEKDAY(A753,2)</f>
        <v>2</v>
      </c>
      <c r="G753" s="22" t="str">
        <f aca="false">IF(F753=7,IF(B753&gt;=23,"C","Sin turno"),IF(B753&lt;7,"C",IF(B753&lt;14,"A",IF(B753&lt;21,"B",IF(B753&lt;23,"Entre turnos",IF(F753=6,"Sin turno","C"))))))</f>
        <v>A</v>
      </c>
      <c r="H753" s="25" t="n">
        <f aca="false">IF(D753="","",MAX(0,D753-0.5*C753))</f>
        <v>0</v>
      </c>
    </row>
    <row r="754" customFormat="false" ht="15" hidden="false" customHeight="false" outlineLevel="0" collapsed="false">
      <c r="A754" s="21" t="n">
        <v>46252</v>
      </c>
      <c r="B754" s="22" t="n">
        <v>8</v>
      </c>
      <c r="C754" s="25" t="n">
        <v>178.44</v>
      </c>
      <c r="D754" s="25" t="n">
        <v>18.6</v>
      </c>
      <c r="E754" s="25" t="n">
        <v>0.24</v>
      </c>
      <c r="F754" s="22" t="n">
        <f aca="false">WEEKDAY(A754,2)</f>
        <v>2</v>
      </c>
      <c r="G754" s="22" t="str">
        <f aca="false">IF(F754=7,IF(B754&gt;=23,"C","Sin turno"),IF(B754&lt;7,"C",IF(B754&lt;14,"A",IF(B754&lt;21,"B",IF(B754&lt;23,"Entre turnos",IF(F754=6,"Sin turno","C"))))))</f>
        <v>A</v>
      </c>
      <c r="H754" s="25" t="n">
        <f aca="false">IF(D754="","",MAX(0,D754-0.5*C754))</f>
        <v>0</v>
      </c>
    </row>
    <row r="755" customFormat="false" ht="15" hidden="false" customHeight="false" outlineLevel="0" collapsed="false">
      <c r="A755" s="21" t="n">
        <v>46252</v>
      </c>
      <c r="B755" s="22" t="n">
        <v>9</v>
      </c>
      <c r="C755" s="25" t="n">
        <v>178.92</v>
      </c>
      <c r="D755" s="25" t="n">
        <v>11.28</v>
      </c>
      <c r="E755" s="25" t="n">
        <v>0.6</v>
      </c>
      <c r="F755" s="22" t="n">
        <f aca="false">WEEKDAY(A755,2)</f>
        <v>2</v>
      </c>
      <c r="G755" s="22" t="str">
        <f aca="false">IF(F755=7,IF(B755&gt;=23,"C","Sin turno"),IF(B755&lt;7,"C",IF(B755&lt;14,"A",IF(B755&lt;21,"B",IF(B755&lt;23,"Entre turnos",IF(F755=6,"Sin turno","C"))))))</f>
        <v>A</v>
      </c>
      <c r="H755" s="25" t="n">
        <f aca="false">IF(D755="","",MAX(0,D755-0.5*C755))</f>
        <v>0</v>
      </c>
    </row>
    <row r="756" customFormat="false" ht="15" hidden="false" customHeight="false" outlineLevel="0" collapsed="false">
      <c r="A756" s="21" t="n">
        <v>46252</v>
      </c>
      <c r="B756" s="22" t="n">
        <v>10</v>
      </c>
      <c r="C756" s="25" t="n">
        <v>190.68</v>
      </c>
      <c r="D756" s="25" t="n">
        <v>10.56</v>
      </c>
      <c r="E756" s="25" t="n">
        <v>0.36</v>
      </c>
      <c r="F756" s="22" t="n">
        <f aca="false">WEEKDAY(A756,2)</f>
        <v>2</v>
      </c>
      <c r="G756" s="22" t="str">
        <f aca="false">IF(F756=7,IF(B756&gt;=23,"C","Sin turno"),IF(B756&lt;7,"C",IF(B756&lt;14,"A",IF(B756&lt;21,"B",IF(B756&lt;23,"Entre turnos",IF(F756=6,"Sin turno","C"))))))</f>
        <v>A</v>
      </c>
      <c r="H756" s="25" t="n">
        <f aca="false">IF(D756="","",MAX(0,D756-0.5*C756))</f>
        <v>0</v>
      </c>
    </row>
    <row r="757" customFormat="false" ht="15" hidden="false" customHeight="false" outlineLevel="0" collapsed="false">
      <c r="A757" s="21" t="n">
        <v>46252</v>
      </c>
      <c r="B757" s="22" t="n">
        <v>11</v>
      </c>
      <c r="C757" s="25" t="n">
        <v>203.76</v>
      </c>
      <c r="D757" s="25" t="n">
        <v>19.92</v>
      </c>
      <c r="E757" s="25" t="n">
        <v>0.12</v>
      </c>
      <c r="F757" s="22" t="n">
        <f aca="false">WEEKDAY(A757,2)</f>
        <v>2</v>
      </c>
      <c r="G757" s="22" t="str">
        <f aca="false">IF(F757=7,IF(B757&gt;=23,"C","Sin turno"),IF(B757&lt;7,"C",IF(B757&lt;14,"A",IF(B757&lt;21,"B",IF(B757&lt;23,"Entre turnos",IF(F757=6,"Sin turno","C"))))))</f>
        <v>A</v>
      </c>
      <c r="H757" s="25" t="n">
        <f aca="false">IF(D757="","",MAX(0,D757-0.5*C757))</f>
        <v>0</v>
      </c>
    </row>
    <row r="758" customFormat="false" ht="15" hidden="false" customHeight="false" outlineLevel="0" collapsed="false">
      <c r="A758" s="21" t="n">
        <v>46252</v>
      </c>
      <c r="B758" s="22" t="n">
        <v>12</v>
      </c>
      <c r="C758" s="25" t="n">
        <v>204.24</v>
      </c>
      <c r="D758" s="25" t="n">
        <v>14.64</v>
      </c>
      <c r="E758" s="25" t="n">
        <v>0</v>
      </c>
      <c r="F758" s="22" t="n">
        <f aca="false">WEEKDAY(A758,2)</f>
        <v>2</v>
      </c>
      <c r="G758" s="22" t="str">
        <f aca="false">IF(F758=7,IF(B758&gt;=23,"C","Sin turno"),IF(B758&lt;7,"C",IF(B758&lt;14,"A",IF(B758&lt;21,"B",IF(B758&lt;23,"Entre turnos",IF(F758=6,"Sin turno","C"))))))</f>
        <v>A</v>
      </c>
      <c r="H758" s="25" t="n">
        <f aca="false">IF(D758="","",MAX(0,D758-0.5*C758))</f>
        <v>0</v>
      </c>
    </row>
    <row r="759" customFormat="false" ht="15" hidden="false" customHeight="false" outlineLevel="0" collapsed="false">
      <c r="A759" s="21" t="n">
        <v>46252</v>
      </c>
      <c r="B759" s="22" t="n">
        <v>13</v>
      </c>
      <c r="C759" s="25" t="n">
        <v>212.88</v>
      </c>
      <c r="D759" s="25" t="n">
        <v>23.28</v>
      </c>
      <c r="E759" s="25" t="n">
        <v>0</v>
      </c>
      <c r="F759" s="22" t="n">
        <f aca="false">WEEKDAY(A759,2)</f>
        <v>2</v>
      </c>
      <c r="G759" s="22" t="str">
        <f aca="false">IF(F759=7,IF(B759&gt;=23,"C","Sin turno"),IF(B759&lt;7,"C",IF(B759&lt;14,"A",IF(B759&lt;21,"B",IF(B759&lt;23,"Entre turnos",IF(F759=6,"Sin turno","C"))))))</f>
        <v>A</v>
      </c>
      <c r="H759" s="25" t="n">
        <f aca="false">IF(D759="","",MAX(0,D759-0.5*C759))</f>
        <v>0</v>
      </c>
    </row>
    <row r="760" customFormat="false" ht="15" hidden="false" customHeight="false" outlineLevel="0" collapsed="false">
      <c r="A760" s="21" t="n">
        <v>46252</v>
      </c>
      <c r="B760" s="22" t="n">
        <v>14</v>
      </c>
      <c r="C760" s="25" t="n">
        <v>206.52</v>
      </c>
      <c r="D760" s="25" t="n">
        <v>17.28</v>
      </c>
      <c r="E760" s="25" t="n">
        <v>0</v>
      </c>
      <c r="F760" s="22" t="n">
        <f aca="false">WEEKDAY(A760,2)</f>
        <v>2</v>
      </c>
      <c r="G760" s="22" t="str">
        <f aca="false">IF(F760=7,IF(B760&gt;=23,"C","Sin turno"),IF(B760&lt;7,"C",IF(B760&lt;14,"A",IF(B760&lt;21,"B",IF(B760&lt;23,"Entre turnos",IF(F760=6,"Sin turno","C"))))))</f>
        <v>B</v>
      </c>
      <c r="H760" s="25" t="n">
        <f aca="false">IF(D760="","",MAX(0,D760-0.5*C760))</f>
        <v>0</v>
      </c>
    </row>
    <row r="761" customFormat="false" ht="15" hidden="false" customHeight="false" outlineLevel="0" collapsed="false">
      <c r="A761" s="21" t="n">
        <v>46252</v>
      </c>
      <c r="B761" s="22" t="n">
        <v>15</v>
      </c>
      <c r="C761" s="25" t="n">
        <v>231.72</v>
      </c>
      <c r="D761" s="25" t="n">
        <v>22.68</v>
      </c>
      <c r="E761" s="25" t="n">
        <v>0</v>
      </c>
      <c r="F761" s="22" t="n">
        <f aca="false">WEEKDAY(A761,2)</f>
        <v>2</v>
      </c>
      <c r="G761" s="22" t="str">
        <f aca="false">IF(F761=7,IF(B761&gt;=23,"C","Sin turno"),IF(B761&lt;7,"C",IF(B761&lt;14,"A",IF(B761&lt;21,"B",IF(B761&lt;23,"Entre turnos",IF(F761=6,"Sin turno","C"))))))</f>
        <v>B</v>
      </c>
      <c r="H761" s="25" t="n">
        <f aca="false">IF(D761="","",MAX(0,D761-0.5*C761))</f>
        <v>0</v>
      </c>
    </row>
    <row r="762" customFormat="false" ht="15" hidden="false" customHeight="false" outlineLevel="0" collapsed="false">
      <c r="A762" s="21" t="n">
        <v>46252</v>
      </c>
      <c r="B762" s="22" t="n">
        <v>16</v>
      </c>
      <c r="C762" s="25" t="n">
        <v>244.56</v>
      </c>
      <c r="D762" s="25" t="n">
        <v>21.6</v>
      </c>
      <c r="E762" s="25" t="n">
        <v>0</v>
      </c>
      <c r="F762" s="22" t="n">
        <f aca="false">WEEKDAY(A762,2)</f>
        <v>2</v>
      </c>
      <c r="G762" s="22" t="str">
        <f aca="false">IF(F762=7,IF(B762&gt;=23,"C","Sin turno"),IF(B762&lt;7,"C",IF(B762&lt;14,"A",IF(B762&lt;21,"B",IF(B762&lt;23,"Entre turnos",IF(F762=6,"Sin turno","C"))))))</f>
        <v>B</v>
      </c>
      <c r="H762" s="25" t="n">
        <f aca="false">IF(D762="","",MAX(0,D762-0.5*C762))</f>
        <v>0</v>
      </c>
    </row>
    <row r="763" customFormat="false" ht="15" hidden="false" customHeight="false" outlineLevel="0" collapsed="false">
      <c r="A763" s="21" t="n">
        <v>46252</v>
      </c>
      <c r="B763" s="22" t="n">
        <v>17</v>
      </c>
      <c r="C763" s="25" t="n">
        <v>198.12</v>
      </c>
      <c r="D763" s="25" t="n">
        <v>24.36</v>
      </c>
      <c r="E763" s="25" t="n">
        <v>0.24</v>
      </c>
      <c r="F763" s="22" t="n">
        <f aca="false">WEEKDAY(A763,2)</f>
        <v>2</v>
      </c>
      <c r="G763" s="22" t="str">
        <f aca="false">IF(F763=7,IF(B763&gt;=23,"C","Sin turno"),IF(B763&lt;7,"C",IF(B763&lt;14,"A",IF(B763&lt;21,"B",IF(B763&lt;23,"Entre turnos",IF(F763=6,"Sin turno","C"))))))</f>
        <v>B</v>
      </c>
      <c r="H763" s="25" t="n">
        <f aca="false">IF(D763="","",MAX(0,D763-0.5*C763))</f>
        <v>0</v>
      </c>
    </row>
    <row r="764" customFormat="false" ht="15" hidden="false" customHeight="false" outlineLevel="0" collapsed="false">
      <c r="A764" s="21" t="n">
        <v>46252</v>
      </c>
      <c r="B764" s="22" t="n">
        <v>18</v>
      </c>
      <c r="C764" s="25" t="n">
        <v>175.08</v>
      </c>
      <c r="D764" s="25" t="n">
        <v>26.64</v>
      </c>
      <c r="E764" s="25" t="n">
        <v>0.12</v>
      </c>
      <c r="F764" s="22" t="n">
        <f aca="false">WEEKDAY(A764,2)</f>
        <v>2</v>
      </c>
      <c r="G764" s="22" t="str">
        <f aca="false">IF(F764=7,IF(B764&gt;=23,"C","Sin turno"),IF(B764&lt;7,"C",IF(B764&lt;14,"A",IF(B764&lt;21,"B",IF(B764&lt;23,"Entre turnos",IF(F764=6,"Sin turno","C"))))))</f>
        <v>B</v>
      </c>
      <c r="H764" s="25" t="n">
        <f aca="false">IF(D764="","",MAX(0,D764-0.5*C764))</f>
        <v>0</v>
      </c>
    </row>
    <row r="765" customFormat="false" ht="15" hidden="false" customHeight="false" outlineLevel="0" collapsed="false">
      <c r="A765" s="21" t="n">
        <v>46252</v>
      </c>
      <c r="B765" s="22" t="n">
        <v>19</v>
      </c>
      <c r="C765" s="25" t="n">
        <v>189.96</v>
      </c>
      <c r="D765" s="25" t="n">
        <v>23.16</v>
      </c>
      <c r="E765" s="25" t="n">
        <v>0.24</v>
      </c>
      <c r="F765" s="22" t="n">
        <f aca="false">WEEKDAY(A765,2)</f>
        <v>2</v>
      </c>
      <c r="G765" s="22" t="str">
        <f aca="false">IF(F765=7,IF(B765&gt;=23,"C","Sin turno"),IF(B765&lt;7,"C",IF(B765&lt;14,"A",IF(B765&lt;21,"B",IF(B765&lt;23,"Entre turnos",IF(F765=6,"Sin turno","C"))))))</f>
        <v>B</v>
      </c>
      <c r="H765" s="25" t="n">
        <f aca="false">IF(D765="","",MAX(0,D765-0.5*C765))</f>
        <v>0</v>
      </c>
    </row>
    <row r="766" customFormat="false" ht="15" hidden="false" customHeight="false" outlineLevel="0" collapsed="false">
      <c r="A766" s="21" t="n">
        <v>46252</v>
      </c>
      <c r="B766" s="22" t="n">
        <v>20</v>
      </c>
      <c r="C766" s="25" t="n">
        <v>177.12</v>
      </c>
      <c r="D766" s="25" t="n">
        <v>25.08</v>
      </c>
      <c r="E766" s="25" t="n">
        <v>0.24</v>
      </c>
      <c r="F766" s="22" t="n">
        <f aca="false">WEEKDAY(A766,2)</f>
        <v>2</v>
      </c>
      <c r="G766" s="22" t="str">
        <f aca="false">IF(F766=7,IF(B766&gt;=23,"C","Sin turno"),IF(B766&lt;7,"C",IF(B766&lt;14,"A",IF(B766&lt;21,"B",IF(B766&lt;23,"Entre turnos",IF(F766=6,"Sin turno","C"))))))</f>
        <v>B</v>
      </c>
      <c r="H766" s="25" t="n">
        <f aca="false">IF(D766="","",MAX(0,D766-0.5*C766))</f>
        <v>0</v>
      </c>
    </row>
    <row r="767" customFormat="false" ht="15" hidden="false" customHeight="false" outlineLevel="0" collapsed="false">
      <c r="A767" s="21" t="n">
        <v>46252</v>
      </c>
      <c r="B767" s="22" t="n">
        <v>21</v>
      </c>
      <c r="C767" s="25" t="n">
        <v>128.4</v>
      </c>
      <c r="D767" s="25" t="n">
        <v>18.84</v>
      </c>
      <c r="E767" s="25" t="n">
        <v>0.12</v>
      </c>
      <c r="F767" s="22" t="n">
        <f aca="false">WEEKDAY(A767,2)</f>
        <v>2</v>
      </c>
      <c r="G767" s="22" t="str">
        <f aca="false">IF(F767=7,IF(B767&gt;=23,"C","Sin turno"),IF(B767&lt;7,"C",IF(B767&lt;14,"A",IF(B767&lt;21,"B",IF(B767&lt;23,"Entre turnos",IF(F767=6,"Sin turno","C"))))))</f>
        <v>Entre turnos</v>
      </c>
      <c r="H767" s="25" t="n">
        <f aca="false">IF(D767="","",MAX(0,D767-0.5*C767))</f>
        <v>0</v>
      </c>
    </row>
    <row r="768" customFormat="false" ht="15" hidden="false" customHeight="false" outlineLevel="0" collapsed="false">
      <c r="A768" s="21" t="n">
        <v>46252</v>
      </c>
      <c r="B768" s="22" t="n">
        <v>22</v>
      </c>
      <c r="C768" s="25" t="n">
        <v>92.16</v>
      </c>
      <c r="D768" s="25" t="n">
        <v>9.48</v>
      </c>
      <c r="E768" s="25" t="n">
        <v>0.6</v>
      </c>
      <c r="F768" s="22" t="n">
        <f aca="false">WEEKDAY(A768,2)</f>
        <v>2</v>
      </c>
      <c r="G768" s="22" t="str">
        <f aca="false">IF(F768=7,IF(B768&gt;=23,"C","Sin turno"),IF(B768&lt;7,"C",IF(B768&lt;14,"A",IF(B768&lt;21,"B",IF(B768&lt;23,"Entre turnos",IF(F768=6,"Sin turno","C"))))))</f>
        <v>Entre turnos</v>
      </c>
      <c r="H768" s="25" t="n">
        <f aca="false">IF(D768="","",MAX(0,D768-0.5*C768))</f>
        <v>0</v>
      </c>
    </row>
    <row r="769" customFormat="false" ht="15" hidden="false" customHeight="false" outlineLevel="0" collapsed="false">
      <c r="A769" s="21" t="n">
        <v>46252</v>
      </c>
      <c r="B769" s="22" t="n">
        <v>23</v>
      </c>
      <c r="C769" s="25" t="n">
        <v>91.08</v>
      </c>
      <c r="D769" s="25" t="n">
        <v>11.64</v>
      </c>
      <c r="E769" s="25" t="n">
        <v>0.84</v>
      </c>
      <c r="F769" s="22" t="n">
        <f aca="false">WEEKDAY(A769,2)</f>
        <v>2</v>
      </c>
      <c r="G769" s="22" t="str">
        <f aca="false">IF(F769=7,IF(B769&gt;=23,"C","Sin turno"),IF(B769&lt;7,"C",IF(B769&lt;14,"A",IF(B769&lt;21,"B",IF(B769&lt;23,"Entre turnos",IF(F769=6,"Sin turno","C"))))))</f>
        <v>C</v>
      </c>
      <c r="H769" s="25" t="n">
        <f aca="false">IF(D769="","",MAX(0,D769-0.5*C769))</f>
        <v>0</v>
      </c>
    </row>
    <row r="770" customFormat="false" ht="15" hidden="false" customHeight="false" outlineLevel="0" collapsed="false">
      <c r="A770" s="21" t="n">
        <v>46253</v>
      </c>
      <c r="B770" s="22" t="n">
        <v>0</v>
      </c>
      <c r="C770" s="25" t="n">
        <v>108.72</v>
      </c>
      <c r="D770" s="25" t="n">
        <v>17.88</v>
      </c>
      <c r="E770" s="25" t="n">
        <v>0.12</v>
      </c>
      <c r="F770" s="22" t="n">
        <f aca="false">WEEKDAY(A770,2)</f>
        <v>3</v>
      </c>
      <c r="G770" s="22" t="str">
        <f aca="false">IF(F770=7,IF(B770&gt;=23,"C","Sin turno"),IF(B770&lt;7,"C",IF(B770&lt;14,"A",IF(B770&lt;21,"B",IF(B770&lt;23,"Entre turnos",IF(F770=6,"Sin turno","C"))))))</f>
        <v>C</v>
      </c>
      <c r="H770" s="25" t="n">
        <f aca="false">IF(D770="","",MAX(0,D770-0.5*C770))</f>
        <v>0</v>
      </c>
    </row>
    <row r="771" customFormat="false" ht="15" hidden="false" customHeight="false" outlineLevel="0" collapsed="false">
      <c r="A771" s="21" t="n">
        <v>46253</v>
      </c>
      <c r="B771" s="22" t="n">
        <v>1</v>
      </c>
      <c r="C771" s="25" t="n">
        <v>108.48</v>
      </c>
      <c r="D771" s="25" t="n">
        <v>18.84</v>
      </c>
      <c r="E771" s="25" t="n">
        <v>0.24</v>
      </c>
      <c r="F771" s="22" t="n">
        <f aca="false">WEEKDAY(A771,2)</f>
        <v>3</v>
      </c>
      <c r="G771" s="22" t="str">
        <f aca="false">IF(F771=7,IF(B771&gt;=23,"C","Sin turno"),IF(B771&lt;7,"C",IF(B771&lt;14,"A",IF(B771&lt;21,"B",IF(B771&lt;23,"Entre turnos",IF(F771=6,"Sin turno","C"))))))</f>
        <v>C</v>
      </c>
      <c r="H771" s="25" t="n">
        <f aca="false">IF(D771="","",MAX(0,D771-0.5*C771))</f>
        <v>0</v>
      </c>
    </row>
    <row r="772" customFormat="false" ht="15" hidden="false" customHeight="false" outlineLevel="0" collapsed="false">
      <c r="A772" s="21" t="n">
        <v>46253</v>
      </c>
      <c r="B772" s="22" t="n">
        <v>2</v>
      </c>
      <c r="C772" s="25" t="n">
        <v>110.04</v>
      </c>
      <c r="D772" s="25" t="n">
        <v>20.52</v>
      </c>
      <c r="E772" s="25" t="n">
        <v>0.12</v>
      </c>
      <c r="F772" s="22" t="n">
        <f aca="false">WEEKDAY(A772,2)</f>
        <v>3</v>
      </c>
      <c r="G772" s="22" t="str">
        <f aca="false">IF(F772=7,IF(B772&gt;=23,"C","Sin turno"),IF(B772&lt;7,"C",IF(B772&lt;14,"A",IF(B772&lt;21,"B",IF(B772&lt;23,"Entre turnos",IF(F772=6,"Sin turno","C"))))))</f>
        <v>C</v>
      </c>
      <c r="H772" s="25" t="n">
        <f aca="false">IF(D772="","",MAX(0,D772-0.5*C772))</f>
        <v>0</v>
      </c>
    </row>
    <row r="773" customFormat="false" ht="15" hidden="false" customHeight="false" outlineLevel="0" collapsed="false">
      <c r="A773" s="21" t="n">
        <v>46253</v>
      </c>
      <c r="B773" s="22" t="n">
        <v>3</v>
      </c>
      <c r="C773" s="25" t="n">
        <v>107.28</v>
      </c>
      <c r="D773" s="25" t="n">
        <v>21.6</v>
      </c>
      <c r="E773" s="25" t="n">
        <v>0</v>
      </c>
      <c r="F773" s="22" t="n">
        <f aca="false">WEEKDAY(A773,2)</f>
        <v>3</v>
      </c>
      <c r="G773" s="22" t="str">
        <f aca="false">IF(F773=7,IF(B773&gt;=23,"C","Sin turno"),IF(B773&lt;7,"C",IF(B773&lt;14,"A",IF(B773&lt;21,"B",IF(B773&lt;23,"Entre turnos",IF(F773=6,"Sin turno","C"))))))</f>
        <v>C</v>
      </c>
      <c r="H773" s="25" t="n">
        <f aca="false">IF(D773="","",MAX(0,D773-0.5*C773))</f>
        <v>0</v>
      </c>
    </row>
    <row r="774" customFormat="false" ht="15" hidden="false" customHeight="false" outlineLevel="0" collapsed="false">
      <c r="A774" s="21" t="n">
        <v>46253</v>
      </c>
      <c r="B774" s="22" t="n">
        <v>4</v>
      </c>
      <c r="C774" s="25" t="n">
        <v>103.92</v>
      </c>
      <c r="D774" s="25" t="n">
        <v>18.72</v>
      </c>
      <c r="E774" s="25" t="n">
        <v>0</v>
      </c>
      <c r="F774" s="22" t="n">
        <f aca="false">WEEKDAY(A774,2)</f>
        <v>3</v>
      </c>
      <c r="G774" s="22" t="str">
        <f aca="false">IF(F774=7,IF(B774&gt;=23,"C","Sin turno"),IF(B774&lt;7,"C",IF(B774&lt;14,"A",IF(B774&lt;21,"B",IF(B774&lt;23,"Entre turnos",IF(F774=6,"Sin turno","C"))))))</f>
        <v>C</v>
      </c>
      <c r="H774" s="25" t="n">
        <f aca="false">IF(D774="","",MAX(0,D774-0.5*C774))</f>
        <v>0</v>
      </c>
    </row>
    <row r="775" customFormat="false" ht="15" hidden="false" customHeight="false" outlineLevel="0" collapsed="false">
      <c r="A775" s="21" t="n">
        <v>46253</v>
      </c>
      <c r="B775" s="22" t="n">
        <v>5</v>
      </c>
      <c r="C775" s="25" t="n">
        <v>108.72</v>
      </c>
      <c r="D775" s="25" t="n">
        <v>17.88</v>
      </c>
      <c r="E775" s="25" t="n">
        <v>0</v>
      </c>
      <c r="F775" s="22" t="n">
        <f aca="false">WEEKDAY(A775,2)</f>
        <v>3</v>
      </c>
      <c r="G775" s="22" t="str">
        <f aca="false">IF(F775=7,IF(B775&gt;=23,"C","Sin turno"),IF(B775&lt;7,"C",IF(B775&lt;14,"A",IF(B775&lt;21,"B",IF(B775&lt;23,"Entre turnos",IF(F775=6,"Sin turno","C"))))))</f>
        <v>C</v>
      </c>
      <c r="H775" s="25" t="n">
        <f aca="false">IF(D775="","",MAX(0,D775-0.5*C775))</f>
        <v>0</v>
      </c>
    </row>
    <row r="776" customFormat="false" ht="15" hidden="false" customHeight="false" outlineLevel="0" collapsed="false">
      <c r="A776" s="21" t="n">
        <v>46253</v>
      </c>
      <c r="B776" s="22" t="n">
        <v>6</v>
      </c>
      <c r="C776" s="25" t="n">
        <v>121.32</v>
      </c>
      <c r="D776" s="25" t="n">
        <v>17.88</v>
      </c>
      <c r="E776" s="25" t="n">
        <v>0.24</v>
      </c>
      <c r="F776" s="22" t="n">
        <f aca="false">WEEKDAY(A776,2)</f>
        <v>3</v>
      </c>
      <c r="G776" s="22" t="str">
        <f aca="false">IF(F776=7,IF(B776&gt;=23,"C","Sin turno"),IF(B776&lt;7,"C",IF(B776&lt;14,"A",IF(B776&lt;21,"B",IF(B776&lt;23,"Entre turnos",IF(F776=6,"Sin turno","C"))))))</f>
        <v>C</v>
      </c>
      <c r="H776" s="25" t="n">
        <f aca="false">IF(D776="","",MAX(0,D776-0.5*C776))</f>
        <v>0</v>
      </c>
    </row>
    <row r="777" customFormat="false" ht="15" hidden="false" customHeight="false" outlineLevel="0" collapsed="false">
      <c r="A777" s="21" t="n">
        <v>46253</v>
      </c>
      <c r="B777" s="22" t="n">
        <v>7</v>
      </c>
      <c r="C777" s="25" t="n">
        <v>213.24</v>
      </c>
      <c r="D777" s="25" t="n">
        <v>23.88</v>
      </c>
      <c r="E777" s="25" t="n">
        <v>0.12</v>
      </c>
      <c r="F777" s="22" t="n">
        <f aca="false">WEEKDAY(A777,2)</f>
        <v>3</v>
      </c>
      <c r="G777" s="22" t="str">
        <f aca="false">IF(F777=7,IF(B777&gt;=23,"C","Sin turno"),IF(B777&lt;7,"C",IF(B777&lt;14,"A",IF(B777&lt;21,"B",IF(B777&lt;23,"Entre turnos",IF(F777=6,"Sin turno","C"))))))</f>
        <v>A</v>
      </c>
      <c r="H777" s="25" t="n">
        <f aca="false">IF(D777="","",MAX(0,D777-0.5*C777))</f>
        <v>0</v>
      </c>
    </row>
    <row r="778" customFormat="false" ht="15" hidden="false" customHeight="false" outlineLevel="0" collapsed="false">
      <c r="A778" s="21" t="n">
        <v>46253</v>
      </c>
      <c r="B778" s="22" t="n">
        <v>8</v>
      </c>
      <c r="C778" s="25" t="n">
        <v>225.12</v>
      </c>
      <c r="D778" s="25" t="n">
        <v>26.52</v>
      </c>
      <c r="E778" s="25" t="n">
        <v>0</v>
      </c>
      <c r="F778" s="22" t="n">
        <f aca="false">WEEKDAY(A778,2)</f>
        <v>3</v>
      </c>
      <c r="G778" s="22" t="str">
        <f aca="false">IF(F778=7,IF(B778&gt;=23,"C","Sin turno"),IF(B778&lt;7,"C",IF(B778&lt;14,"A",IF(B778&lt;21,"B",IF(B778&lt;23,"Entre turnos",IF(F778=6,"Sin turno","C"))))))</f>
        <v>A</v>
      </c>
      <c r="H778" s="25" t="n">
        <f aca="false">IF(D778="","",MAX(0,D778-0.5*C778))</f>
        <v>0</v>
      </c>
    </row>
    <row r="779" customFormat="false" ht="15" hidden="false" customHeight="false" outlineLevel="0" collapsed="false">
      <c r="A779" s="21" t="n">
        <v>46253</v>
      </c>
      <c r="B779" s="22" t="n">
        <v>9</v>
      </c>
      <c r="C779" s="25" t="n">
        <v>256.92</v>
      </c>
      <c r="D779" s="25" t="n">
        <v>27.6</v>
      </c>
      <c r="E779" s="25" t="n">
        <v>0</v>
      </c>
      <c r="F779" s="22" t="n">
        <f aca="false">WEEKDAY(A779,2)</f>
        <v>3</v>
      </c>
      <c r="G779" s="22" t="str">
        <f aca="false">IF(F779=7,IF(B779&gt;=23,"C","Sin turno"),IF(B779&lt;7,"C",IF(B779&lt;14,"A",IF(B779&lt;21,"B",IF(B779&lt;23,"Entre turnos",IF(F779=6,"Sin turno","C"))))))</f>
        <v>A</v>
      </c>
      <c r="H779" s="25" t="n">
        <f aca="false">IF(D779="","",MAX(0,D779-0.5*C779))</f>
        <v>0</v>
      </c>
    </row>
    <row r="780" customFormat="false" ht="15" hidden="false" customHeight="false" outlineLevel="0" collapsed="false">
      <c r="A780" s="21" t="n">
        <v>46253</v>
      </c>
      <c r="B780" s="22" t="n">
        <v>10</v>
      </c>
      <c r="C780" s="25" t="n">
        <v>246.24</v>
      </c>
      <c r="D780" s="25" t="n">
        <v>28.44</v>
      </c>
      <c r="E780" s="25" t="n">
        <v>0</v>
      </c>
      <c r="F780" s="22" t="n">
        <f aca="false">WEEKDAY(A780,2)</f>
        <v>3</v>
      </c>
      <c r="G780" s="22" t="str">
        <f aca="false">IF(F780=7,IF(B780&gt;=23,"C","Sin turno"),IF(B780&lt;7,"C",IF(B780&lt;14,"A",IF(B780&lt;21,"B",IF(B780&lt;23,"Entre turnos",IF(F780=6,"Sin turno","C"))))))</f>
        <v>A</v>
      </c>
      <c r="H780" s="25" t="n">
        <f aca="false">IF(D780="","",MAX(0,D780-0.5*C780))</f>
        <v>0</v>
      </c>
    </row>
    <row r="781" customFormat="false" ht="15" hidden="false" customHeight="false" outlineLevel="0" collapsed="false">
      <c r="A781" s="21" t="n">
        <v>46253</v>
      </c>
      <c r="B781" s="22" t="n">
        <v>11</v>
      </c>
      <c r="C781" s="25" t="n">
        <v>246.36</v>
      </c>
      <c r="D781" s="25" t="n">
        <v>18.48</v>
      </c>
      <c r="E781" s="25" t="n">
        <v>0</v>
      </c>
      <c r="F781" s="22" t="n">
        <f aca="false">WEEKDAY(A781,2)</f>
        <v>3</v>
      </c>
      <c r="G781" s="22" t="str">
        <f aca="false">IF(F781=7,IF(B781&gt;=23,"C","Sin turno"),IF(B781&lt;7,"C",IF(B781&lt;14,"A",IF(B781&lt;21,"B",IF(B781&lt;23,"Entre turnos",IF(F781=6,"Sin turno","C"))))))</f>
        <v>A</v>
      </c>
      <c r="H781" s="25" t="n">
        <f aca="false">IF(D781="","",MAX(0,D781-0.5*C781))</f>
        <v>0</v>
      </c>
    </row>
    <row r="782" customFormat="false" ht="15" hidden="false" customHeight="false" outlineLevel="0" collapsed="false">
      <c r="A782" s="21" t="n">
        <v>46253</v>
      </c>
      <c r="B782" s="22" t="n">
        <v>12</v>
      </c>
      <c r="C782" s="25" t="n">
        <v>269.28</v>
      </c>
      <c r="D782" s="25" t="n">
        <v>24.24</v>
      </c>
      <c r="E782" s="25" t="n">
        <v>0.12</v>
      </c>
      <c r="F782" s="22" t="n">
        <f aca="false">WEEKDAY(A782,2)</f>
        <v>3</v>
      </c>
      <c r="G782" s="22" t="str">
        <f aca="false">IF(F782=7,IF(B782&gt;=23,"C","Sin turno"),IF(B782&lt;7,"C",IF(B782&lt;14,"A",IF(B782&lt;21,"B",IF(B782&lt;23,"Entre turnos",IF(F782=6,"Sin turno","C"))))))</f>
        <v>A</v>
      </c>
      <c r="H782" s="25" t="n">
        <f aca="false">IF(D782="","",MAX(0,D782-0.5*C782))</f>
        <v>0</v>
      </c>
    </row>
    <row r="783" customFormat="false" ht="15" hidden="false" customHeight="false" outlineLevel="0" collapsed="false">
      <c r="A783" s="21" t="n">
        <v>46253</v>
      </c>
      <c r="B783" s="22" t="n">
        <v>13</v>
      </c>
      <c r="C783" s="25" t="n">
        <v>275.28</v>
      </c>
      <c r="D783" s="25" t="n">
        <v>19.68</v>
      </c>
      <c r="E783" s="25" t="n">
        <v>0.12</v>
      </c>
      <c r="F783" s="22" t="n">
        <f aca="false">WEEKDAY(A783,2)</f>
        <v>3</v>
      </c>
      <c r="G783" s="22" t="str">
        <f aca="false">IF(F783=7,IF(B783&gt;=23,"C","Sin turno"),IF(B783&lt;7,"C",IF(B783&lt;14,"A",IF(B783&lt;21,"B",IF(B783&lt;23,"Entre turnos",IF(F783=6,"Sin turno","C"))))))</f>
        <v>A</v>
      </c>
      <c r="H783" s="25" t="n">
        <f aca="false">IF(D783="","",MAX(0,D783-0.5*C783))</f>
        <v>0</v>
      </c>
    </row>
    <row r="784" customFormat="false" ht="15" hidden="false" customHeight="false" outlineLevel="0" collapsed="false">
      <c r="A784" s="21" t="n">
        <v>46253</v>
      </c>
      <c r="B784" s="22" t="n">
        <v>14</v>
      </c>
      <c r="C784" s="25" t="n">
        <v>271.8</v>
      </c>
      <c r="D784" s="25" t="n">
        <v>22.32</v>
      </c>
      <c r="E784" s="25" t="n">
        <v>0</v>
      </c>
      <c r="F784" s="22" t="n">
        <f aca="false">WEEKDAY(A784,2)</f>
        <v>3</v>
      </c>
      <c r="G784" s="22" t="str">
        <f aca="false">IF(F784=7,IF(B784&gt;=23,"C","Sin turno"),IF(B784&lt;7,"C",IF(B784&lt;14,"A",IF(B784&lt;21,"B",IF(B784&lt;23,"Entre turnos",IF(F784=6,"Sin turno","C"))))))</f>
        <v>B</v>
      </c>
      <c r="H784" s="25" t="n">
        <f aca="false">IF(D784="","",MAX(0,D784-0.5*C784))</f>
        <v>0</v>
      </c>
    </row>
    <row r="785" customFormat="false" ht="15" hidden="false" customHeight="false" outlineLevel="0" collapsed="false">
      <c r="A785" s="21" t="n">
        <v>46253</v>
      </c>
      <c r="B785" s="22" t="n">
        <v>15</v>
      </c>
      <c r="C785" s="25" t="n">
        <v>259.92</v>
      </c>
      <c r="D785" s="25" t="n">
        <v>29.88</v>
      </c>
      <c r="E785" s="25" t="n">
        <v>0</v>
      </c>
      <c r="F785" s="22" t="n">
        <f aca="false">WEEKDAY(A785,2)</f>
        <v>3</v>
      </c>
      <c r="G785" s="22" t="str">
        <f aca="false">IF(F785=7,IF(B785&gt;=23,"C","Sin turno"),IF(B785&lt;7,"C",IF(B785&lt;14,"A",IF(B785&lt;21,"B",IF(B785&lt;23,"Entre turnos",IF(F785=6,"Sin turno","C"))))))</f>
        <v>B</v>
      </c>
      <c r="H785" s="25" t="n">
        <f aca="false">IF(D785="","",MAX(0,D785-0.5*C785))</f>
        <v>0</v>
      </c>
    </row>
    <row r="786" customFormat="false" ht="15" hidden="false" customHeight="false" outlineLevel="0" collapsed="false">
      <c r="A786" s="21" t="n">
        <v>46253</v>
      </c>
      <c r="B786" s="22" t="n">
        <v>16</v>
      </c>
      <c r="C786" s="25" t="n">
        <v>251.52</v>
      </c>
      <c r="D786" s="25" t="n">
        <v>27.12</v>
      </c>
      <c r="E786" s="25" t="n">
        <v>0</v>
      </c>
      <c r="F786" s="22" t="n">
        <f aca="false">WEEKDAY(A786,2)</f>
        <v>3</v>
      </c>
      <c r="G786" s="22" t="str">
        <f aca="false">IF(F786=7,IF(B786&gt;=23,"C","Sin turno"),IF(B786&lt;7,"C",IF(B786&lt;14,"A",IF(B786&lt;21,"B",IF(B786&lt;23,"Entre turnos",IF(F786=6,"Sin turno","C"))))))</f>
        <v>B</v>
      </c>
      <c r="H786" s="25" t="n">
        <f aca="false">IF(D786="","",MAX(0,D786-0.5*C786))</f>
        <v>0</v>
      </c>
    </row>
    <row r="787" customFormat="false" ht="15" hidden="false" customHeight="false" outlineLevel="0" collapsed="false">
      <c r="A787" s="21" t="n">
        <v>46253</v>
      </c>
      <c r="B787" s="22" t="n">
        <v>17</v>
      </c>
      <c r="C787" s="25" t="n">
        <v>195</v>
      </c>
      <c r="D787" s="25" t="n">
        <v>16.44</v>
      </c>
      <c r="E787" s="25" t="n">
        <v>0.24</v>
      </c>
      <c r="F787" s="22" t="n">
        <f aca="false">WEEKDAY(A787,2)</f>
        <v>3</v>
      </c>
      <c r="G787" s="22" t="str">
        <f aca="false">IF(F787=7,IF(B787&gt;=23,"C","Sin turno"),IF(B787&lt;7,"C",IF(B787&lt;14,"A",IF(B787&lt;21,"B",IF(B787&lt;23,"Entre turnos",IF(F787=6,"Sin turno","C"))))))</f>
        <v>B</v>
      </c>
      <c r="H787" s="25" t="n">
        <f aca="false">IF(D787="","",MAX(0,D787-0.5*C787))</f>
        <v>0</v>
      </c>
    </row>
    <row r="788" customFormat="false" ht="15" hidden="false" customHeight="false" outlineLevel="0" collapsed="false">
      <c r="A788" s="21" t="n">
        <v>46253</v>
      </c>
      <c r="B788" s="22" t="n">
        <v>18</v>
      </c>
      <c r="C788" s="25" t="n">
        <v>165.72</v>
      </c>
      <c r="D788" s="25" t="n">
        <v>21.36</v>
      </c>
      <c r="E788" s="25" t="n">
        <v>0.12</v>
      </c>
      <c r="F788" s="22" t="n">
        <f aca="false">WEEKDAY(A788,2)</f>
        <v>3</v>
      </c>
      <c r="G788" s="22" t="str">
        <f aca="false">IF(F788=7,IF(B788&gt;=23,"C","Sin turno"),IF(B788&lt;7,"C",IF(B788&lt;14,"A",IF(B788&lt;21,"B",IF(B788&lt;23,"Entre turnos",IF(F788=6,"Sin turno","C"))))))</f>
        <v>B</v>
      </c>
      <c r="H788" s="25" t="n">
        <f aca="false">IF(D788="","",MAX(0,D788-0.5*C788))</f>
        <v>0</v>
      </c>
    </row>
    <row r="789" customFormat="false" ht="15" hidden="false" customHeight="false" outlineLevel="0" collapsed="false">
      <c r="A789" s="21" t="n">
        <v>46253</v>
      </c>
      <c r="B789" s="22" t="n">
        <v>19</v>
      </c>
      <c r="C789" s="25" t="n">
        <v>180.48</v>
      </c>
      <c r="D789" s="25" t="n">
        <v>23.52</v>
      </c>
      <c r="E789" s="25" t="n">
        <v>0.24</v>
      </c>
      <c r="F789" s="22" t="n">
        <f aca="false">WEEKDAY(A789,2)</f>
        <v>3</v>
      </c>
      <c r="G789" s="22" t="str">
        <f aca="false">IF(F789=7,IF(B789&gt;=23,"C","Sin turno"),IF(B789&lt;7,"C",IF(B789&lt;14,"A",IF(B789&lt;21,"B",IF(B789&lt;23,"Entre turnos",IF(F789=6,"Sin turno","C"))))))</f>
        <v>B</v>
      </c>
      <c r="H789" s="25" t="n">
        <f aca="false">IF(D789="","",MAX(0,D789-0.5*C789))</f>
        <v>0</v>
      </c>
    </row>
    <row r="790" customFormat="false" ht="15" hidden="false" customHeight="false" outlineLevel="0" collapsed="false">
      <c r="A790" s="21" t="n">
        <v>46253</v>
      </c>
      <c r="B790" s="22" t="n">
        <v>20</v>
      </c>
      <c r="C790" s="25" t="n">
        <v>181.32</v>
      </c>
      <c r="D790" s="25" t="n">
        <v>26.28</v>
      </c>
      <c r="E790" s="25" t="n">
        <v>0.24</v>
      </c>
      <c r="F790" s="22" t="n">
        <f aca="false">WEEKDAY(A790,2)</f>
        <v>3</v>
      </c>
      <c r="G790" s="22" t="str">
        <f aca="false">IF(F790=7,IF(B790&gt;=23,"C","Sin turno"),IF(B790&lt;7,"C",IF(B790&lt;14,"A",IF(B790&lt;21,"B",IF(B790&lt;23,"Entre turnos",IF(F790=6,"Sin turno","C"))))))</f>
        <v>B</v>
      </c>
      <c r="H790" s="25" t="n">
        <f aca="false">IF(D790="","",MAX(0,D790-0.5*C790))</f>
        <v>0</v>
      </c>
    </row>
    <row r="791" customFormat="false" ht="15" hidden="false" customHeight="false" outlineLevel="0" collapsed="false">
      <c r="A791" s="21" t="n">
        <v>46253</v>
      </c>
      <c r="B791" s="22" t="n">
        <v>21</v>
      </c>
      <c r="C791" s="25" t="n">
        <v>123.36</v>
      </c>
      <c r="D791" s="25" t="n">
        <v>16.56</v>
      </c>
      <c r="E791" s="25" t="n">
        <v>0.6</v>
      </c>
      <c r="F791" s="22" t="n">
        <f aca="false">WEEKDAY(A791,2)</f>
        <v>3</v>
      </c>
      <c r="G791" s="22" t="str">
        <f aca="false">IF(F791=7,IF(B791&gt;=23,"C","Sin turno"),IF(B791&lt;7,"C",IF(B791&lt;14,"A",IF(B791&lt;21,"B",IF(B791&lt;23,"Entre turnos",IF(F791=6,"Sin turno","C"))))))</f>
        <v>Entre turnos</v>
      </c>
      <c r="H791" s="25" t="n">
        <f aca="false">IF(D791="","",MAX(0,D791-0.5*C791))</f>
        <v>0</v>
      </c>
    </row>
    <row r="792" customFormat="false" ht="15" hidden="false" customHeight="false" outlineLevel="0" collapsed="false">
      <c r="A792" s="21" t="n">
        <v>46253</v>
      </c>
      <c r="B792" s="22" t="n">
        <v>22</v>
      </c>
      <c r="C792" s="25" t="n">
        <v>88.08</v>
      </c>
      <c r="D792" s="25" t="n">
        <v>12.36</v>
      </c>
      <c r="E792" s="25" t="n">
        <v>1.44</v>
      </c>
      <c r="F792" s="22" t="n">
        <f aca="false">WEEKDAY(A792,2)</f>
        <v>3</v>
      </c>
      <c r="G792" s="22" t="str">
        <f aca="false">IF(F792=7,IF(B792&gt;=23,"C","Sin turno"),IF(B792&lt;7,"C",IF(B792&lt;14,"A",IF(B792&lt;21,"B",IF(B792&lt;23,"Entre turnos",IF(F792=6,"Sin turno","C"))))))</f>
        <v>Entre turnos</v>
      </c>
      <c r="H792" s="25" t="n">
        <f aca="false">IF(D792="","",MAX(0,D792-0.5*C792))</f>
        <v>0</v>
      </c>
    </row>
    <row r="793" customFormat="false" ht="15" hidden="false" customHeight="false" outlineLevel="0" collapsed="false">
      <c r="A793" s="21" t="n">
        <v>46253</v>
      </c>
      <c r="B793" s="22" t="n">
        <v>23</v>
      </c>
      <c r="C793" s="25" t="n">
        <v>87</v>
      </c>
      <c r="D793" s="25" t="n">
        <v>11.28</v>
      </c>
      <c r="E793" s="25" t="n">
        <v>1.2</v>
      </c>
      <c r="F793" s="22" t="n">
        <f aca="false">WEEKDAY(A793,2)</f>
        <v>3</v>
      </c>
      <c r="G793" s="22" t="str">
        <f aca="false">IF(F793=7,IF(B793&gt;=23,"C","Sin turno"),IF(B793&lt;7,"C",IF(B793&lt;14,"A",IF(B793&lt;21,"B",IF(B793&lt;23,"Entre turnos",IF(F793=6,"Sin turno","C"))))))</f>
        <v>C</v>
      </c>
      <c r="H793" s="25" t="n">
        <f aca="false">IF(D793="","",MAX(0,D793-0.5*C793))</f>
        <v>0</v>
      </c>
    </row>
    <row r="794" customFormat="false" ht="15" hidden="false" customHeight="false" outlineLevel="0" collapsed="false">
      <c r="A794" s="21" t="n">
        <v>46254</v>
      </c>
      <c r="B794" s="22" t="n">
        <v>0</v>
      </c>
      <c r="C794" s="25" t="n">
        <v>103.32</v>
      </c>
      <c r="D794" s="25" t="n">
        <v>14.04</v>
      </c>
      <c r="E794" s="25" t="n">
        <v>0.12</v>
      </c>
      <c r="F794" s="22" t="n">
        <f aca="false">WEEKDAY(A794,2)</f>
        <v>4</v>
      </c>
      <c r="G794" s="22" t="str">
        <f aca="false">IF(F794=7,IF(B794&gt;=23,"C","Sin turno"),IF(B794&lt;7,"C",IF(B794&lt;14,"A",IF(B794&lt;21,"B",IF(B794&lt;23,"Entre turnos",IF(F794=6,"Sin turno","C"))))))</f>
        <v>C</v>
      </c>
      <c r="H794" s="25" t="n">
        <f aca="false">IF(D794="","",MAX(0,D794-0.5*C794))</f>
        <v>0</v>
      </c>
    </row>
    <row r="795" customFormat="false" ht="15" hidden="false" customHeight="false" outlineLevel="0" collapsed="false">
      <c r="A795" s="21" t="n">
        <v>46254</v>
      </c>
      <c r="B795" s="22" t="n">
        <v>1</v>
      </c>
      <c r="C795" s="25" t="n">
        <v>102.96</v>
      </c>
      <c r="D795" s="25" t="n">
        <v>14.4</v>
      </c>
      <c r="E795" s="25" t="n">
        <v>0</v>
      </c>
      <c r="F795" s="22" t="n">
        <f aca="false">WEEKDAY(A795,2)</f>
        <v>4</v>
      </c>
      <c r="G795" s="22" t="str">
        <f aca="false">IF(F795=7,IF(B795&gt;=23,"C","Sin turno"),IF(B795&lt;7,"C",IF(B795&lt;14,"A",IF(B795&lt;21,"B",IF(B795&lt;23,"Entre turnos",IF(F795=6,"Sin turno","C"))))))</f>
        <v>C</v>
      </c>
      <c r="H795" s="25" t="n">
        <f aca="false">IF(D795="","",MAX(0,D795-0.5*C795))</f>
        <v>0</v>
      </c>
    </row>
    <row r="796" customFormat="false" ht="15" hidden="false" customHeight="false" outlineLevel="0" collapsed="false">
      <c r="A796" s="21" t="n">
        <v>46254</v>
      </c>
      <c r="B796" s="22" t="n">
        <v>2</v>
      </c>
      <c r="C796" s="25" t="n">
        <v>107.76</v>
      </c>
      <c r="D796" s="25" t="n">
        <v>17.64</v>
      </c>
      <c r="E796" s="25" t="n">
        <v>0</v>
      </c>
      <c r="F796" s="22" t="n">
        <f aca="false">WEEKDAY(A796,2)</f>
        <v>4</v>
      </c>
      <c r="G796" s="22" t="str">
        <f aca="false">IF(F796=7,IF(B796&gt;=23,"C","Sin turno"),IF(B796&lt;7,"C",IF(B796&lt;14,"A",IF(B796&lt;21,"B",IF(B796&lt;23,"Entre turnos",IF(F796=6,"Sin turno","C"))))))</f>
        <v>C</v>
      </c>
      <c r="H796" s="25" t="n">
        <f aca="false">IF(D796="","",MAX(0,D796-0.5*C796))</f>
        <v>0</v>
      </c>
    </row>
    <row r="797" customFormat="false" ht="15" hidden="false" customHeight="false" outlineLevel="0" collapsed="false">
      <c r="A797" s="21" t="n">
        <v>46254</v>
      </c>
      <c r="B797" s="22" t="n">
        <v>3</v>
      </c>
      <c r="C797" s="25" t="n">
        <v>100.44</v>
      </c>
      <c r="D797" s="25" t="n">
        <v>15.48</v>
      </c>
      <c r="E797" s="25" t="n">
        <v>0.12</v>
      </c>
      <c r="F797" s="22" t="n">
        <f aca="false">WEEKDAY(A797,2)</f>
        <v>4</v>
      </c>
      <c r="G797" s="22" t="str">
        <f aca="false">IF(F797=7,IF(B797&gt;=23,"C","Sin turno"),IF(B797&lt;7,"C",IF(B797&lt;14,"A",IF(B797&lt;21,"B",IF(B797&lt;23,"Entre turnos",IF(F797=6,"Sin turno","C"))))))</f>
        <v>C</v>
      </c>
      <c r="H797" s="25" t="n">
        <f aca="false">IF(D797="","",MAX(0,D797-0.5*C797))</f>
        <v>0</v>
      </c>
    </row>
    <row r="798" customFormat="false" ht="15" hidden="false" customHeight="false" outlineLevel="0" collapsed="false">
      <c r="A798" s="21" t="n">
        <v>46254</v>
      </c>
      <c r="B798" s="22" t="n">
        <v>4</v>
      </c>
      <c r="C798" s="25" t="n">
        <v>97.32</v>
      </c>
      <c r="D798" s="25" t="n">
        <v>16.08</v>
      </c>
      <c r="E798" s="25" t="n">
        <v>0</v>
      </c>
      <c r="F798" s="22" t="n">
        <f aca="false">WEEKDAY(A798,2)</f>
        <v>4</v>
      </c>
      <c r="G798" s="22" t="str">
        <f aca="false">IF(F798=7,IF(B798&gt;=23,"C","Sin turno"),IF(B798&lt;7,"C",IF(B798&lt;14,"A",IF(B798&lt;21,"B",IF(B798&lt;23,"Entre turnos",IF(F798=6,"Sin turno","C"))))))</f>
        <v>C</v>
      </c>
      <c r="H798" s="25" t="n">
        <f aca="false">IF(D798="","",MAX(0,D798-0.5*C798))</f>
        <v>0</v>
      </c>
    </row>
    <row r="799" customFormat="false" ht="15" hidden="false" customHeight="false" outlineLevel="0" collapsed="false">
      <c r="A799" s="21" t="n">
        <v>46254</v>
      </c>
      <c r="B799" s="22" t="n">
        <v>5</v>
      </c>
      <c r="C799" s="25" t="n">
        <v>105.36</v>
      </c>
      <c r="D799" s="25" t="n">
        <v>16.32</v>
      </c>
      <c r="E799" s="25" t="n">
        <v>0</v>
      </c>
      <c r="F799" s="22" t="n">
        <f aca="false">WEEKDAY(A799,2)</f>
        <v>4</v>
      </c>
      <c r="G799" s="22" t="str">
        <f aca="false">IF(F799=7,IF(B799&gt;=23,"C","Sin turno"),IF(B799&lt;7,"C",IF(B799&lt;14,"A",IF(B799&lt;21,"B",IF(B799&lt;23,"Entre turnos",IF(F799=6,"Sin turno","C"))))))</f>
        <v>C</v>
      </c>
      <c r="H799" s="25" t="n">
        <f aca="false">IF(D799="","",MAX(0,D799-0.5*C799))</f>
        <v>0</v>
      </c>
    </row>
    <row r="800" customFormat="false" ht="15" hidden="false" customHeight="false" outlineLevel="0" collapsed="false">
      <c r="A800" s="21" t="n">
        <v>46254</v>
      </c>
      <c r="B800" s="22" t="n">
        <v>6</v>
      </c>
      <c r="C800" s="25" t="n">
        <v>113.4</v>
      </c>
      <c r="D800" s="25" t="n">
        <v>16.32</v>
      </c>
      <c r="E800" s="25" t="n">
        <v>0.36</v>
      </c>
      <c r="F800" s="22" t="n">
        <f aca="false">WEEKDAY(A800,2)</f>
        <v>4</v>
      </c>
      <c r="G800" s="22" t="str">
        <f aca="false">IF(F800=7,IF(B800&gt;=23,"C","Sin turno"),IF(B800&lt;7,"C",IF(B800&lt;14,"A",IF(B800&lt;21,"B",IF(B800&lt;23,"Entre turnos",IF(F800=6,"Sin turno","C"))))))</f>
        <v>C</v>
      </c>
      <c r="H800" s="25" t="n">
        <f aca="false">IF(D800="","",MAX(0,D800-0.5*C800))</f>
        <v>0</v>
      </c>
    </row>
    <row r="801" customFormat="false" ht="15" hidden="false" customHeight="false" outlineLevel="0" collapsed="false">
      <c r="A801" s="21" t="n">
        <v>46254</v>
      </c>
      <c r="B801" s="22" t="n">
        <v>7</v>
      </c>
      <c r="C801" s="25" t="n">
        <v>240.96</v>
      </c>
      <c r="D801" s="25" t="n">
        <v>24.24</v>
      </c>
      <c r="E801" s="25" t="n">
        <v>0</v>
      </c>
      <c r="F801" s="22" t="n">
        <f aca="false">WEEKDAY(A801,2)</f>
        <v>4</v>
      </c>
      <c r="G801" s="22" t="str">
        <f aca="false">IF(F801=7,IF(B801&gt;=23,"C","Sin turno"),IF(B801&lt;7,"C",IF(B801&lt;14,"A",IF(B801&lt;21,"B",IF(B801&lt;23,"Entre turnos",IF(F801=6,"Sin turno","C"))))))</f>
        <v>A</v>
      </c>
      <c r="H801" s="25" t="n">
        <f aca="false">IF(D801="","",MAX(0,D801-0.5*C801))</f>
        <v>0</v>
      </c>
    </row>
    <row r="802" customFormat="false" ht="15" hidden="false" customHeight="false" outlineLevel="0" collapsed="false">
      <c r="A802" s="21" t="n">
        <v>46254</v>
      </c>
      <c r="B802" s="22" t="n">
        <v>8</v>
      </c>
      <c r="C802" s="25" t="n">
        <v>298.44</v>
      </c>
      <c r="D802" s="25" t="n">
        <v>21.36</v>
      </c>
      <c r="E802" s="25" t="n">
        <v>0.12</v>
      </c>
      <c r="F802" s="22" t="n">
        <f aca="false">WEEKDAY(A802,2)</f>
        <v>4</v>
      </c>
      <c r="G802" s="22" t="str">
        <f aca="false">IF(F802=7,IF(B802&gt;=23,"C","Sin turno"),IF(B802&lt;7,"C",IF(B802&lt;14,"A",IF(B802&lt;21,"B",IF(B802&lt;23,"Entre turnos",IF(F802=6,"Sin turno","C"))))))</f>
        <v>A</v>
      </c>
      <c r="H802" s="25" t="n">
        <f aca="false">IF(D802="","",MAX(0,D802-0.5*C802))</f>
        <v>0</v>
      </c>
    </row>
    <row r="803" customFormat="false" ht="15" hidden="false" customHeight="false" outlineLevel="0" collapsed="false">
      <c r="A803" s="21" t="n">
        <v>46254</v>
      </c>
      <c r="B803" s="22" t="n">
        <v>9</v>
      </c>
      <c r="C803" s="25" t="n">
        <v>268.56</v>
      </c>
      <c r="D803" s="25" t="n">
        <v>22.8</v>
      </c>
      <c r="E803" s="25" t="n">
        <v>0</v>
      </c>
      <c r="F803" s="22" t="n">
        <f aca="false">WEEKDAY(A803,2)</f>
        <v>4</v>
      </c>
      <c r="G803" s="22" t="str">
        <f aca="false">IF(F803=7,IF(B803&gt;=23,"C","Sin turno"),IF(B803&lt;7,"C",IF(B803&lt;14,"A",IF(B803&lt;21,"B",IF(B803&lt;23,"Entre turnos",IF(F803=6,"Sin turno","C"))))))</f>
        <v>A</v>
      </c>
      <c r="H803" s="25" t="n">
        <f aca="false">IF(D803="","",MAX(0,D803-0.5*C803))</f>
        <v>0</v>
      </c>
    </row>
    <row r="804" customFormat="false" ht="15" hidden="false" customHeight="false" outlineLevel="0" collapsed="false">
      <c r="A804" s="21" t="n">
        <v>46254</v>
      </c>
      <c r="B804" s="22" t="n">
        <v>10</v>
      </c>
      <c r="C804" s="25" t="n">
        <v>252.6</v>
      </c>
      <c r="D804" s="25" t="n">
        <v>24.36</v>
      </c>
      <c r="E804" s="25" t="n">
        <v>0</v>
      </c>
      <c r="F804" s="22" t="n">
        <f aca="false">WEEKDAY(A804,2)</f>
        <v>4</v>
      </c>
      <c r="G804" s="22" t="str">
        <f aca="false">IF(F804=7,IF(B804&gt;=23,"C","Sin turno"),IF(B804&lt;7,"C",IF(B804&lt;14,"A",IF(B804&lt;21,"B",IF(B804&lt;23,"Entre turnos",IF(F804=6,"Sin turno","C"))))))</f>
        <v>A</v>
      </c>
      <c r="H804" s="25" t="n">
        <f aca="false">IF(D804="","",MAX(0,D804-0.5*C804))</f>
        <v>0</v>
      </c>
    </row>
    <row r="805" customFormat="false" ht="15" hidden="false" customHeight="false" outlineLevel="0" collapsed="false">
      <c r="A805" s="21" t="n">
        <v>46254</v>
      </c>
      <c r="B805" s="22" t="n">
        <v>11</v>
      </c>
      <c r="C805" s="25" t="n">
        <v>276.12</v>
      </c>
      <c r="D805" s="25" t="n">
        <v>24.84</v>
      </c>
      <c r="E805" s="25" t="n">
        <v>0</v>
      </c>
      <c r="F805" s="22" t="n">
        <f aca="false">WEEKDAY(A805,2)</f>
        <v>4</v>
      </c>
      <c r="G805" s="22" t="str">
        <f aca="false">IF(F805=7,IF(B805&gt;=23,"C","Sin turno"),IF(B805&lt;7,"C",IF(B805&lt;14,"A",IF(B805&lt;21,"B",IF(B805&lt;23,"Entre turnos",IF(F805=6,"Sin turno","C"))))))</f>
        <v>A</v>
      </c>
      <c r="H805" s="25" t="n">
        <f aca="false">IF(D805="","",MAX(0,D805-0.5*C805))</f>
        <v>0</v>
      </c>
    </row>
    <row r="806" customFormat="false" ht="15" hidden="false" customHeight="false" outlineLevel="0" collapsed="false">
      <c r="A806" s="21" t="n">
        <v>46254</v>
      </c>
      <c r="B806" s="22" t="n">
        <v>12</v>
      </c>
      <c r="C806" s="25" t="n">
        <v>287.64</v>
      </c>
      <c r="D806" s="25" t="n">
        <v>25.44</v>
      </c>
      <c r="E806" s="25" t="n">
        <v>0</v>
      </c>
      <c r="F806" s="22" t="n">
        <f aca="false">WEEKDAY(A806,2)</f>
        <v>4</v>
      </c>
      <c r="G806" s="22" t="str">
        <f aca="false">IF(F806=7,IF(B806&gt;=23,"C","Sin turno"),IF(B806&lt;7,"C",IF(B806&lt;14,"A",IF(B806&lt;21,"B",IF(B806&lt;23,"Entre turnos",IF(F806=6,"Sin turno","C"))))))</f>
        <v>A</v>
      </c>
      <c r="H806" s="25" t="n">
        <f aca="false">IF(D806="","",MAX(0,D806-0.5*C806))</f>
        <v>0</v>
      </c>
    </row>
    <row r="807" customFormat="false" ht="15" hidden="false" customHeight="false" outlineLevel="0" collapsed="false">
      <c r="A807" s="21" t="n">
        <v>46254</v>
      </c>
      <c r="B807" s="22" t="n">
        <v>13</v>
      </c>
      <c r="C807" s="25" t="n">
        <v>276.96</v>
      </c>
      <c r="D807" s="25" t="n">
        <v>26.52</v>
      </c>
      <c r="E807" s="25" t="n">
        <v>0</v>
      </c>
      <c r="F807" s="22" t="n">
        <f aca="false">WEEKDAY(A807,2)</f>
        <v>4</v>
      </c>
      <c r="G807" s="22" t="str">
        <f aca="false">IF(F807=7,IF(B807&gt;=23,"C","Sin turno"),IF(B807&lt;7,"C",IF(B807&lt;14,"A",IF(B807&lt;21,"B",IF(B807&lt;23,"Entre turnos",IF(F807=6,"Sin turno","C"))))))</f>
        <v>A</v>
      </c>
      <c r="H807" s="25" t="n">
        <f aca="false">IF(D807="","",MAX(0,D807-0.5*C807))</f>
        <v>0</v>
      </c>
    </row>
    <row r="808" customFormat="false" ht="15" hidden="false" customHeight="false" outlineLevel="0" collapsed="false">
      <c r="A808" s="21" t="n">
        <v>46254</v>
      </c>
      <c r="B808" s="22" t="n">
        <v>14</v>
      </c>
      <c r="C808" s="25" t="n">
        <v>249.24</v>
      </c>
      <c r="D808" s="25" t="n">
        <v>24.6</v>
      </c>
      <c r="E808" s="25" t="n">
        <v>0</v>
      </c>
      <c r="F808" s="22" t="n">
        <f aca="false">WEEKDAY(A808,2)</f>
        <v>4</v>
      </c>
      <c r="G808" s="22" t="str">
        <f aca="false">IF(F808=7,IF(B808&gt;=23,"C","Sin turno"),IF(B808&lt;7,"C",IF(B808&lt;14,"A",IF(B808&lt;21,"B",IF(B808&lt;23,"Entre turnos",IF(F808=6,"Sin turno","C"))))))</f>
        <v>B</v>
      </c>
      <c r="H808" s="25" t="n">
        <f aca="false">IF(D808="","",MAX(0,D808-0.5*C808))</f>
        <v>0</v>
      </c>
    </row>
    <row r="809" customFormat="false" ht="15" hidden="false" customHeight="false" outlineLevel="0" collapsed="false">
      <c r="A809" s="21" t="n">
        <v>46254</v>
      </c>
      <c r="B809" s="22" t="n">
        <v>15</v>
      </c>
      <c r="C809" s="25" t="n">
        <v>276.24</v>
      </c>
      <c r="D809" s="25" t="n">
        <v>23.04</v>
      </c>
      <c r="E809" s="25" t="n">
        <v>0</v>
      </c>
      <c r="F809" s="22" t="n">
        <f aca="false">WEEKDAY(A809,2)</f>
        <v>4</v>
      </c>
      <c r="G809" s="22" t="str">
        <f aca="false">IF(F809=7,IF(B809&gt;=23,"C","Sin turno"),IF(B809&lt;7,"C",IF(B809&lt;14,"A",IF(B809&lt;21,"B",IF(B809&lt;23,"Entre turnos",IF(F809=6,"Sin turno","C"))))))</f>
        <v>B</v>
      </c>
      <c r="H809" s="25" t="n">
        <f aca="false">IF(D809="","",MAX(0,D809-0.5*C809))</f>
        <v>0</v>
      </c>
    </row>
    <row r="810" customFormat="false" ht="15" hidden="false" customHeight="false" outlineLevel="0" collapsed="false">
      <c r="A810" s="21" t="n">
        <v>46254</v>
      </c>
      <c r="B810" s="22" t="n">
        <v>16</v>
      </c>
      <c r="C810" s="25" t="n">
        <v>273</v>
      </c>
      <c r="D810" s="25" t="n">
        <v>26.04</v>
      </c>
      <c r="E810" s="25" t="n">
        <v>0</v>
      </c>
      <c r="F810" s="22" t="n">
        <f aca="false">WEEKDAY(A810,2)</f>
        <v>4</v>
      </c>
      <c r="G810" s="22" t="str">
        <f aca="false">IF(F810=7,IF(B810&gt;=23,"C","Sin turno"),IF(B810&lt;7,"C",IF(B810&lt;14,"A",IF(B810&lt;21,"B",IF(B810&lt;23,"Entre turnos",IF(F810=6,"Sin turno","C"))))))</f>
        <v>B</v>
      </c>
      <c r="H810" s="25" t="n">
        <f aca="false">IF(D810="","",MAX(0,D810-0.5*C810))</f>
        <v>0</v>
      </c>
    </row>
    <row r="811" customFormat="false" ht="15" hidden="false" customHeight="false" outlineLevel="0" collapsed="false">
      <c r="A811" s="21" t="n">
        <v>46254</v>
      </c>
      <c r="B811" s="22" t="n">
        <v>17</v>
      </c>
      <c r="C811" s="25" t="n">
        <v>210.24</v>
      </c>
      <c r="D811" s="25" t="n">
        <v>20.88</v>
      </c>
      <c r="E811" s="25" t="n">
        <v>0.24</v>
      </c>
      <c r="F811" s="22" t="n">
        <f aca="false">WEEKDAY(A811,2)</f>
        <v>4</v>
      </c>
      <c r="G811" s="22" t="str">
        <f aca="false">IF(F811=7,IF(B811&gt;=23,"C","Sin turno"),IF(B811&lt;7,"C",IF(B811&lt;14,"A",IF(B811&lt;21,"B",IF(B811&lt;23,"Entre turnos",IF(F811=6,"Sin turno","C"))))))</f>
        <v>B</v>
      </c>
      <c r="H811" s="25" t="n">
        <f aca="false">IF(D811="","",MAX(0,D811-0.5*C811))</f>
        <v>0</v>
      </c>
    </row>
    <row r="812" customFormat="false" ht="15" hidden="false" customHeight="false" outlineLevel="0" collapsed="false">
      <c r="A812" s="21" t="n">
        <v>46254</v>
      </c>
      <c r="B812" s="22" t="n">
        <v>18</v>
      </c>
      <c r="C812" s="25" t="n">
        <v>162.12</v>
      </c>
      <c r="D812" s="25" t="n">
        <v>25.56</v>
      </c>
      <c r="E812" s="25" t="n">
        <v>0</v>
      </c>
      <c r="F812" s="22" t="n">
        <f aca="false">WEEKDAY(A812,2)</f>
        <v>4</v>
      </c>
      <c r="G812" s="22" t="str">
        <f aca="false">IF(F812=7,IF(B812&gt;=23,"C","Sin turno"),IF(B812&lt;7,"C",IF(B812&lt;14,"A",IF(B812&lt;21,"B",IF(B812&lt;23,"Entre turnos",IF(F812=6,"Sin turno","C"))))))</f>
        <v>B</v>
      </c>
      <c r="H812" s="25" t="n">
        <f aca="false">IF(D812="","",MAX(0,D812-0.5*C812))</f>
        <v>0</v>
      </c>
    </row>
    <row r="813" customFormat="false" ht="15" hidden="false" customHeight="false" outlineLevel="0" collapsed="false">
      <c r="A813" s="21" t="n">
        <v>46254</v>
      </c>
      <c r="B813" s="22" t="n">
        <v>19</v>
      </c>
      <c r="C813" s="25" t="n">
        <v>176.64</v>
      </c>
      <c r="D813" s="25" t="n">
        <v>25.56</v>
      </c>
      <c r="E813" s="25" t="n">
        <v>0.36</v>
      </c>
      <c r="F813" s="22" t="n">
        <f aca="false">WEEKDAY(A813,2)</f>
        <v>4</v>
      </c>
      <c r="G813" s="22" t="str">
        <f aca="false">IF(F813=7,IF(B813&gt;=23,"C","Sin turno"),IF(B813&lt;7,"C",IF(B813&lt;14,"A",IF(B813&lt;21,"B",IF(B813&lt;23,"Entre turnos",IF(F813=6,"Sin turno","C"))))))</f>
        <v>B</v>
      </c>
      <c r="H813" s="25" t="n">
        <f aca="false">IF(D813="","",MAX(0,D813-0.5*C813))</f>
        <v>0</v>
      </c>
    </row>
    <row r="814" customFormat="false" ht="15" hidden="false" customHeight="false" outlineLevel="0" collapsed="false">
      <c r="A814" s="21" t="n">
        <v>46254</v>
      </c>
      <c r="B814" s="22" t="n">
        <v>20</v>
      </c>
      <c r="C814" s="25" t="n">
        <v>180</v>
      </c>
      <c r="D814" s="25" t="n">
        <v>27.72</v>
      </c>
      <c r="E814" s="25" t="n">
        <v>0</v>
      </c>
      <c r="F814" s="22" t="n">
        <f aca="false">WEEKDAY(A814,2)</f>
        <v>4</v>
      </c>
      <c r="G814" s="22" t="str">
        <f aca="false">IF(F814=7,IF(B814&gt;=23,"C","Sin turno"),IF(B814&lt;7,"C",IF(B814&lt;14,"A",IF(B814&lt;21,"B",IF(B814&lt;23,"Entre turnos",IF(F814=6,"Sin turno","C"))))))</f>
        <v>B</v>
      </c>
      <c r="H814" s="25" t="n">
        <f aca="false">IF(D814="","",MAX(0,D814-0.5*C814))</f>
        <v>0</v>
      </c>
    </row>
    <row r="815" customFormat="false" ht="15" hidden="false" customHeight="false" outlineLevel="0" collapsed="false">
      <c r="A815" s="21" t="n">
        <v>46254</v>
      </c>
      <c r="B815" s="22" t="n">
        <v>21</v>
      </c>
      <c r="C815" s="25" t="n">
        <v>128.64</v>
      </c>
      <c r="D815" s="25" t="n">
        <v>26.28</v>
      </c>
      <c r="E815" s="25" t="n">
        <v>0.12</v>
      </c>
      <c r="F815" s="22" t="n">
        <f aca="false">WEEKDAY(A815,2)</f>
        <v>4</v>
      </c>
      <c r="G815" s="22" t="str">
        <f aca="false">IF(F815=7,IF(B815&gt;=23,"C","Sin turno"),IF(B815&lt;7,"C",IF(B815&lt;14,"A",IF(B815&lt;21,"B",IF(B815&lt;23,"Entre turnos",IF(F815=6,"Sin turno","C"))))))</f>
        <v>Entre turnos</v>
      </c>
      <c r="H815" s="25" t="n">
        <f aca="false">IF(D815="","",MAX(0,D815-0.5*C815))</f>
        <v>0</v>
      </c>
    </row>
    <row r="816" customFormat="false" ht="15" hidden="false" customHeight="false" outlineLevel="0" collapsed="false">
      <c r="A816" s="21" t="n">
        <v>46254</v>
      </c>
      <c r="B816" s="22" t="n">
        <v>22</v>
      </c>
      <c r="C816" s="25" t="n">
        <v>81.24</v>
      </c>
      <c r="D816" s="25" t="n">
        <v>26.76</v>
      </c>
      <c r="E816" s="25" t="n">
        <v>0</v>
      </c>
      <c r="F816" s="22" t="n">
        <f aca="false">WEEKDAY(A816,2)</f>
        <v>4</v>
      </c>
      <c r="G816" s="22" t="str">
        <f aca="false">IF(F816=7,IF(B816&gt;=23,"C","Sin turno"),IF(B816&lt;7,"C",IF(B816&lt;14,"A",IF(B816&lt;21,"B",IF(B816&lt;23,"Entre turnos",IF(F816=6,"Sin turno","C"))))))</f>
        <v>Entre turnos</v>
      </c>
      <c r="H816" s="25" t="n">
        <f aca="false">IF(D816="","",MAX(0,D816-0.5*C816))</f>
        <v>0</v>
      </c>
    </row>
    <row r="817" customFormat="false" ht="15" hidden="false" customHeight="false" outlineLevel="0" collapsed="false">
      <c r="A817" s="21" t="n">
        <v>46254</v>
      </c>
      <c r="B817" s="22" t="n">
        <v>23</v>
      </c>
      <c r="C817" s="25" t="n">
        <v>79.8</v>
      </c>
      <c r="D817" s="25" t="n">
        <v>22.32</v>
      </c>
      <c r="E817" s="25" t="n">
        <v>0.12</v>
      </c>
      <c r="F817" s="22" t="n">
        <f aca="false">WEEKDAY(A817,2)</f>
        <v>4</v>
      </c>
      <c r="G817" s="22" t="str">
        <f aca="false">IF(F817=7,IF(B817&gt;=23,"C","Sin turno"),IF(B817&lt;7,"C",IF(B817&lt;14,"A",IF(B817&lt;21,"B",IF(B817&lt;23,"Entre turnos",IF(F817=6,"Sin turno","C"))))))</f>
        <v>C</v>
      </c>
      <c r="H817" s="25" t="n">
        <f aca="false">IF(D817="","",MAX(0,D817-0.5*C817))</f>
        <v>0</v>
      </c>
    </row>
    <row r="818" customFormat="false" ht="15" hidden="false" customHeight="false" outlineLevel="0" collapsed="false">
      <c r="A818" s="21" t="n">
        <v>46255</v>
      </c>
      <c r="B818" s="22" t="n">
        <v>0</v>
      </c>
      <c r="C818" s="25" t="n">
        <v>98.52</v>
      </c>
      <c r="D818" s="25" t="n">
        <v>12.24</v>
      </c>
      <c r="E818" s="25" t="n">
        <v>0.12</v>
      </c>
      <c r="F818" s="22" t="n">
        <f aca="false">WEEKDAY(A818,2)</f>
        <v>5</v>
      </c>
      <c r="G818" s="22" t="str">
        <f aca="false">IF(F818=7,IF(B818&gt;=23,"C","Sin turno"),IF(B818&lt;7,"C",IF(B818&lt;14,"A",IF(B818&lt;21,"B",IF(B818&lt;23,"Entre turnos",IF(F818=6,"Sin turno","C"))))))</f>
        <v>C</v>
      </c>
      <c r="H818" s="25" t="n">
        <f aca="false">IF(D818="","",MAX(0,D818-0.5*C818))</f>
        <v>0</v>
      </c>
    </row>
    <row r="819" customFormat="false" ht="15" hidden="false" customHeight="false" outlineLevel="0" collapsed="false">
      <c r="A819" s="21" t="n">
        <v>46255</v>
      </c>
      <c r="B819" s="22" t="n">
        <v>1</v>
      </c>
      <c r="C819" s="25" t="n">
        <v>90.84</v>
      </c>
      <c r="D819" s="25" t="n">
        <v>9.96</v>
      </c>
      <c r="E819" s="25" t="n">
        <v>0.24</v>
      </c>
      <c r="F819" s="22" t="n">
        <f aca="false">WEEKDAY(A819,2)</f>
        <v>5</v>
      </c>
      <c r="G819" s="22" t="str">
        <f aca="false">IF(F819=7,IF(B819&gt;=23,"C","Sin turno"),IF(B819&lt;7,"C",IF(B819&lt;14,"A",IF(B819&lt;21,"B",IF(B819&lt;23,"Entre turnos",IF(F819=6,"Sin turno","C"))))))</f>
        <v>C</v>
      </c>
      <c r="H819" s="25" t="n">
        <f aca="false">IF(D819="","",MAX(0,D819-0.5*C819))</f>
        <v>0</v>
      </c>
    </row>
    <row r="820" customFormat="false" ht="15" hidden="false" customHeight="false" outlineLevel="0" collapsed="false">
      <c r="A820" s="21" t="n">
        <v>46255</v>
      </c>
      <c r="B820" s="22" t="n">
        <v>2</v>
      </c>
      <c r="C820" s="25" t="n">
        <v>89.88</v>
      </c>
      <c r="D820" s="25" t="n">
        <v>9.6</v>
      </c>
      <c r="E820" s="25" t="n">
        <v>0.24</v>
      </c>
      <c r="F820" s="22" t="n">
        <f aca="false">WEEKDAY(A820,2)</f>
        <v>5</v>
      </c>
      <c r="G820" s="22" t="str">
        <f aca="false">IF(F820=7,IF(B820&gt;=23,"C","Sin turno"),IF(B820&lt;7,"C",IF(B820&lt;14,"A",IF(B820&lt;21,"B",IF(B820&lt;23,"Entre turnos",IF(F820=6,"Sin turno","C"))))))</f>
        <v>C</v>
      </c>
      <c r="H820" s="25" t="n">
        <f aca="false">IF(D820="","",MAX(0,D820-0.5*C820))</f>
        <v>0</v>
      </c>
    </row>
    <row r="821" customFormat="false" ht="15" hidden="false" customHeight="false" outlineLevel="0" collapsed="false">
      <c r="A821" s="21" t="n">
        <v>46255</v>
      </c>
      <c r="B821" s="22" t="n">
        <v>3</v>
      </c>
      <c r="C821" s="25" t="n">
        <v>89.16</v>
      </c>
      <c r="D821" s="25" t="n">
        <v>9.6</v>
      </c>
      <c r="E821" s="25" t="n">
        <v>0.12</v>
      </c>
      <c r="F821" s="22" t="n">
        <f aca="false">WEEKDAY(A821,2)</f>
        <v>5</v>
      </c>
      <c r="G821" s="22" t="str">
        <f aca="false">IF(F821=7,IF(B821&gt;=23,"C","Sin turno"),IF(B821&lt;7,"C",IF(B821&lt;14,"A",IF(B821&lt;21,"B",IF(B821&lt;23,"Entre turnos",IF(F821=6,"Sin turno","C"))))))</f>
        <v>C</v>
      </c>
      <c r="H821" s="25" t="n">
        <f aca="false">IF(D821="","",MAX(0,D821-0.5*C821))</f>
        <v>0</v>
      </c>
    </row>
    <row r="822" customFormat="false" ht="15" hidden="false" customHeight="false" outlineLevel="0" collapsed="false">
      <c r="A822" s="21" t="n">
        <v>46255</v>
      </c>
      <c r="B822" s="22" t="n">
        <v>4</v>
      </c>
      <c r="C822" s="25" t="n">
        <v>89.52</v>
      </c>
      <c r="D822" s="25" t="n">
        <v>9.84</v>
      </c>
      <c r="E822" s="25" t="n">
        <v>0</v>
      </c>
      <c r="F822" s="22" t="n">
        <f aca="false">WEEKDAY(A822,2)</f>
        <v>5</v>
      </c>
      <c r="G822" s="22" t="str">
        <f aca="false">IF(F822=7,IF(B822&gt;=23,"C","Sin turno"),IF(B822&lt;7,"C",IF(B822&lt;14,"A",IF(B822&lt;21,"B",IF(B822&lt;23,"Entre turnos",IF(F822=6,"Sin turno","C"))))))</f>
        <v>C</v>
      </c>
      <c r="H822" s="25" t="n">
        <f aca="false">IF(D822="","",MAX(0,D822-0.5*C822))</f>
        <v>0</v>
      </c>
    </row>
    <row r="823" customFormat="false" ht="15" hidden="false" customHeight="false" outlineLevel="0" collapsed="false">
      <c r="A823" s="21" t="n">
        <v>46255</v>
      </c>
      <c r="B823" s="22" t="n">
        <v>5</v>
      </c>
      <c r="C823" s="25" t="n">
        <v>97.08</v>
      </c>
      <c r="D823" s="25" t="n">
        <v>10.2</v>
      </c>
      <c r="E823" s="25" t="n">
        <v>0.24</v>
      </c>
      <c r="F823" s="22" t="n">
        <f aca="false">WEEKDAY(A823,2)</f>
        <v>5</v>
      </c>
      <c r="G823" s="22" t="str">
        <f aca="false">IF(F823=7,IF(B823&gt;=23,"C","Sin turno"),IF(B823&lt;7,"C",IF(B823&lt;14,"A",IF(B823&lt;21,"B",IF(B823&lt;23,"Entre turnos",IF(F823=6,"Sin turno","C"))))))</f>
        <v>C</v>
      </c>
      <c r="H823" s="25" t="n">
        <f aca="false">IF(D823="","",MAX(0,D823-0.5*C823))</f>
        <v>0</v>
      </c>
    </row>
    <row r="824" customFormat="false" ht="15" hidden="false" customHeight="false" outlineLevel="0" collapsed="false">
      <c r="A824" s="21" t="n">
        <v>46255</v>
      </c>
      <c r="B824" s="22" t="n">
        <v>6</v>
      </c>
      <c r="C824" s="25" t="n">
        <v>112.56</v>
      </c>
      <c r="D824" s="25" t="n">
        <v>10.92</v>
      </c>
      <c r="E824" s="25" t="n">
        <v>0.12</v>
      </c>
      <c r="F824" s="22" t="n">
        <f aca="false">WEEKDAY(A824,2)</f>
        <v>5</v>
      </c>
      <c r="G824" s="22" t="str">
        <f aca="false">IF(F824=7,IF(B824&gt;=23,"C","Sin turno"),IF(B824&lt;7,"C",IF(B824&lt;14,"A",IF(B824&lt;21,"B",IF(B824&lt;23,"Entre turnos",IF(F824=6,"Sin turno","C"))))))</f>
        <v>C</v>
      </c>
      <c r="H824" s="25" t="n">
        <f aca="false">IF(D824="","",MAX(0,D824-0.5*C824))</f>
        <v>0</v>
      </c>
    </row>
    <row r="825" customFormat="false" ht="15" hidden="false" customHeight="false" outlineLevel="0" collapsed="false">
      <c r="A825" s="21" t="n">
        <v>46255</v>
      </c>
      <c r="B825" s="22" t="n">
        <v>7</v>
      </c>
      <c r="C825" s="25" t="n">
        <v>217.68</v>
      </c>
      <c r="D825" s="25" t="n">
        <v>28.68</v>
      </c>
      <c r="E825" s="25" t="n">
        <v>0</v>
      </c>
      <c r="F825" s="22" t="n">
        <f aca="false">WEEKDAY(A825,2)</f>
        <v>5</v>
      </c>
      <c r="G825" s="22" t="str">
        <f aca="false">IF(F825=7,IF(B825&gt;=23,"C","Sin turno"),IF(B825&lt;7,"C",IF(B825&lt;14,"A",IF(B825&lt;21,"B",IF(B825&lt;23,"Entre turnos",IF(F825=6,"Sin turno","C"))))))</f>
        <v>A</v>
      </c>
      <c r="H825" s="25" t="n">
        <f aca="false">IF(D825="","",MAX(0,D825-0.5*C825))</f>
        <v>0</v>
      </c>
    </row>
    <row r="826" customFormat="false" ht="15" hidden="false" customHeight="false" outlineLevel="0" collapsed="false">
      <c r="A826" s="21" t="n">
        <v>46255</v>
      </c>
      <c r="B826" s="22" t="n">
        <v>8</v>
      </c>
      <c r="C826" s="25" t="n">
        <v>261.48</v>
      </c>
      <c r="D826" s="25" t="n">
        <v>24</v>
      </c>
      <c r="E826" s="25" t="n">
        <v>0</v>
      </c>
      <c r="F826" s="22" t="n">
        <f aca="false">WEEKDAY(A826,2)</f>
        <v>5</v>
      </c>
      <c r="G826" s="22" t="str">
        <f aca="false">IF(F826=7,IF(B826&gt;=23,"C","Sin turno"),IF(B826&lt;7,"C",IF(B826&lt;14,"A",IF(B826&lt;21,"B",IF(B826&lt;23,"Entre turnos",IF(F826=6,"Sin turno","C"))))))</f>
        <v>A</v>
      </c>
      <c r="H826" s="25" t="n">
        <f aca="false">IF(D826="","",MAX(0,D826-0.5*C826))</f>
        <v>0</v>
      </c>
    </row>
    <row r="827" customFormat="false" ht="15" hidden="false" customHeight="false" outlineLevel="0" collapsed="false">
      <c r="A827" s="21" t="n">
        <v>46255</v>
      </c>
      <c r="B827" s="22" t="n">
        <v>9</v>
      </c>
      <c r="C827" s="25" t="n">
        <v>301.08</v>
      </c>
      <c r="D827" s="25" t="n">
        <v>22.8</v>
      </c>
      <c r="E827" s="25" t="n">
        <v>0</v>
      </c>
      <c r="F827" s="22" t="n">
        <f aca="false">WEEKDAY(A827,2)</f>
        <v>5</v>
      </c>
      <c r="G827" s="22" t="str">
        <f aca="false">IF(F827=7,IF(B827&gt;=23,"C","Sin turno"),IF(B827&lt;7,"C",IF(B827&lt;14,"A",IF(B827&lt;21,"B",IF(B827&lt;23,"Entre turnos",IF(F827=6,"Sin turno","C"))))))</f>
        <v>A</v>
      </c>
      <c r="H827" s="25" t="n">
        <f aca="false">IF(D827="","",MAX(0,D827-0.5*C827))</f>
        <v>0</v>
      </c>
    </row>
    <row r="828" customFormat="false" ht="15" hidden="false" customHeight="false" outlineLevel="0" collapsed="false">
      <c r="A828" s="21" t="n">
        <v>46255</v>
      </c>
      <c r="B828" s="22" t="n">
        <v>10</v>
      </c>
      <c r="C828" s="25" t="n">
        <v>255.24</v>
      </c>
      <c r="D828" s="25" t="n">
        <v>22.32</v>
      </c>
      <c r="E828" s="25" t="n">
        <v>0.12</v>
      </c>
      <c r="F828" s="22" t="n">
        <f aca="false">WEEKDAY(A828,2)</f>
        <v>5</v>
      </c>
      <c r="G828" s="22" t="str">
        <f aca="false">IF(F828=7,IF(B828&gt;=23,"C","Sin turno"),IF(B828&lt;7,"C",IF(B828&lt;14,"A",IF(B828&lt;21,"B",IF(B828&lt;23,"Entre turnos",IF(F828=6,"Sin turno","C"))))))</f>
        <v>A</v>
      </c>
      <c r="H828" s="25" t="n">
        <f aca="false">IF(D828="","",MAX(0,D828-0.5*C828))</f>
        <v>0</v>
      </c>
    </row>
    <row r="829" customFormat="false" ht="15" hidden="false" customHeight="false" outlineLevel="0" collapsed="false">
      <c r="A829" s="21" t="n">
        <v>46255</v>
      </c>
      <c r="B829" s="22" t="n">
        <v>11</v>
      </c>
      <c r="C829" s="25" t="n">
        <v>275.88</v>
      </c>
      <c r="D829" s="25" t="n">
        <v>23.88</v>
      </c>
      <c r="E829" s="25" t="n">
        <v>0.12</v>
      </c>
      <c r="F829" s="22" t="n">
        <f aca="false">WEEKDAY(A829,2)</f>
        <v>5</v>
      </c>
      <c r="G829" s="22" t="str">
        <f aca="false">IF(F829=7,IF(B829&gt;=23,"C","Sin turno"),IF(B829&lt;7,"C",IF(B829&lt;14,"A",IF(B829&lt;21,"B",IF(B829&lt;23,"Entre turnos",IF(F829=6,"Sin turno","C"))))))</f>
        <v>A</v>
      </c>
      <c r="H829" s="25" t="n">
        <f aca="false">IF(D829="","",MAX(0,D829-0.5*C829))</f>
        <v>0</v>
      </c>
    </row>
    <row r="830" customFormat="false" ht="15" hidden="false" customHeight="false" outlineLevel="0" collapsed="false">
      <c r="A830" s="21" t="n">
        <v>46255</v>
      </c>
      <c r="B830" s="22" t="n">
        <v>12</v>
      </c>
      <c r="C830" s="25" t="n">
        <v>275.88</v>
      </c>
      <c r="D830" s="25" t="n">
        <v>21.84</v>
      </c>
      <c r="E830" s="25" t="n">
        <v>0</v>
      </c>
      <c r="F830" s="22" t="n">
        <f aca="false">WEEKDAY(A830,2)</f>
        <v>5</v>
      </c>
      <c r="G830" s="22" t="str">
        <f aca="false">IF(F830=7,IF(B830&gt;=23,"C","Sin turno"),IF(B830&lt;7,"C",IF(B830&lt;14,"A",IF(B830&lt;21,"B",IF(B830&lt;23,"Entre turnos",IF(F830=6,"Sin turno","C"))))))</f>
        <v>A</v>
      </c>
      <c r="H830" s="25" t="n">
        <f aca="false">IF(D830="","",MAX(0,D830-0.5*C830))</f>
        <v>0</v>
      </c>
    </row>
    <row r="831" customFormat="false" ht="15" hidden="false" customHeight="false" outlineLevel="0" collapsed="false">
      <c r="A831" s="21" t="n">
        <v>46255</v>
      </c>
      <c r="B831" s="22" t="n">
        <v>13</v>
      </c>
      <c r="C831" s="25" t="n">
        <v>266.4</v>
      </c>
      <c r="D831" s="25" t="n">
        <v>21.6</v>
      </c>
      <c r="E831" s="25" t="n">
        <v>0</v>
      </c>
      <c r="F831" s="22" t="n">
        <f aca="false">WEEKDAY(A831,2)</f>
        <v>5</v>
      </c>
      <c r="G831" s="22" t="str">
        <f aca="false">IF(F831=7,IF(B831&gt;=23,"C","Sin turno"),IF(B831&lt;7,"C",IF(B831&lt;14,"A",IF(B831&lt;21,"B",IF(B831&lt;23,"Entre turnos",IF(F831=6,"Sin turno","C"))))))</f>
        <v>A</v>
      </c>
      <c r="H831" s="25" t="n">
        <f aca="false">IF(D831="","",MAX(0,D831-0.5*C831))</f>
        <v>0</v>
      </c>
    </row>
    <row r="832" customFormat="false" ht="15" hidden="false" customHeight="false" outlineLevel="0" collapsed="false">
      <c r="A832" s="21" t="n">
        <v>46255</v>
      </c>
      <c r="B832" s="22" t="n">
        <v>14</v>
      </c>
      <c r="C832" s="25" t="n">
        <v>247.44</v>
      </c>
      <c r="D832" s="25" t="n">
        <v>25.8</v>
      </c>
      <c r="E832" s="25" t="n">
        <v>0</v>
      </c>
      <c r="F832" s="22" t="n">
        <f aca="false">WEEKDAY(A832,2)</f>
        <v>5</v>
      </c>
      <c r="G832" s="22" t="str">
        <f aca="false">IF(F832=7,IF(B832&gt;=23,"C","Sin turno"),IF(B832&lt;7,"C",IF(B832&lt;14,"A",IF(B832&lt;21,"B",IF(B832&lt;23,"Entre turnos",IF(F832=6,"Sin turno","C"))))))</f>
        <v>B</v>
      </c>
      <c r="H832" s="25" t="n">
        <f aca="false">IF(D832="","",MAX(0,D832-0.5*C832))</f>
        <v>0</v>
      </c>
    </row>
    <row r="833" customFormat="false" ht="15" hidden="false" customHeight="false" outlineLevel="0" collapsed="false">
      <c r="A833" s="21" t="n">
        <v>46255</v>
      </c>
      <c r="B833" s="22" t="n">
        <v>15</v>
      </c>
      <c r="C833" s="25" t="n">
        <v>246</v>
      </c>
      <c r="D833" s="25" t="n">
        <v>26.64</v>
      </c>
      <c r="E833" s="25" t="n">
        <v>0</v>
      </c>
      <c r="F833" s="22" t="n">
        <f aca="false">WEEKDAY(A833,2)</f>
        <v>5</v>
      </c>
      <c r="G833" s="22" t="str">
        <f aca="false">IF(F833=7,IF(B833&gt;=23,"C","Sin turno"),IF(B833&lt;7,"C",IF(B833&lt;14,"A",IF(B833&lt;21,"B",IF(B833&lt;23,"Entre turnos",IF(F833=6,"Sin turno","C"))))))</f>
        <v>B</v>
      </c>
      <c r="H833" s="25" t="n">
        <f aca="false">IF(D833="","",MAX(0,D833-0.5*C833))</f>
        <v>0</v>
      </c>
    </row>
    <row r="834" customFormat="false" ht="15" hidden="false" customHeight="false" outlineLevel="0" collapsed="false">
      <c r="A834" s="21" t="n">
        <v>46255</v>
      </c>
      <c r="B834" s="22" t="n">
        <v>16</v>
      </c>
      <c r="C834" s="25" t="n">
        <v>249.6</v>
      </c>
      <c r="D834" s="25" t="n">
        <v>29.88</v>
      </c>
      <c r="E834" s="25" t="n">
        <v>0</v>
      </c>
      <c r="F834" s="22" t="n">
        <f aca="false">WEEKDAY(A834,2)</f>
        <v>5</v>
      </c>
      <c r="G834" s="22" t="str">
        <f aca="false">IF(F834=7,IF(B834&gt;=23,"C","Sin turno"),IF(B834&lt;7,"C",IF(B834&lt;14,"A",IF(B834&lt;21,"B",IF(B834&lt;23,"Entre turnos",IF(F834=6,"Sin turno","C"))))))</f>
        <v>B</v>
      </c>
      <c r="H834" s="25" t="n">
        <f aca="false">IF(D834="","",MAX(0,D834-0.5*C834))</f>
        <v>0</v>
      </c>
    </row>
    <row r="835" customFormat="false" ht="15" hidden="false" customHeight="false" outlineLevel="0" collapsed="false">
      <c r="A835" s="21" t="n">
        <v>46255</v>
      </c>
      <c r="B835" s="22" t="n">
        <v>17</v>
      </c>
      <c r="C835" s="25" t="n">
        <v>216.96</v>
      </c>
      <c r="D835" s="25" t="n">
        <v>20.28</v>
      </c>
      <c r="E835" s="25" t="n">
        <v>0.48</v>
      </c>
      <c r="F835" s="22" t="n">
        <f aca="false">WEEKDAY(A835,2)</f>
        <v>5</v>
      </c>
      <c r="G835" s="22" t="str">
        <f aca="false">IF(F835=7,IF(B835&gt;=23,"C","Sin turno"),IF(B835&lt;7,"C",IF(B835&lt;14,"A",IF(B835&lt;21,"B",IF(B835&lt;23,"Entre turnos",IF(F835=6,"Sin turno","C"))))))</f>
        <v>B</v>
      </c>
      <c r="H835" s="25" t="n">
        <f aca="false">IF(D835="","",MAX(0,D835-0.5*C835))</f>
        <v>0</v>
      </c>
    </row>
    <row r="836" customFormat="false" ht="15" hidden="false" customHeight="false" outlineLevel="0" collapsed="false">
      <c r="A836" s="21" t="n">
        <v>46255</v>
      </c>
      <c r="B836" s="22" t="n">
        <v>18</v>
      </c>
      <c r="C836" s="25" t="n">
        <v>173.88</v>
      </c>
      <c r="D836" s="25" t="n">
        <v>23.16</v>
      </c>
      <c r="E836" s="25" t="n">
        <v>0.36</v>
      </c>
      <c r="F836" s="22" t="n">
        <f aca="false">WEEKDAY(A836,2)</f>
        <v>5</v>
      </c>
      <c r="G836" s="22" t="str">
        <f aca="false">IF(F836=7,IF(B836&gt;=23,"C","Sin turno"),IF(B836&lt;7,"C",IF(B836&lt;14,"A",IF(B836&lt;21,"B",IF(B836&lt;23,"Entre turnos",IF(F836=6,"Sin turno","C"))))))</f>
        <v>B</v>
      </c>
      <c r="H836" s="25" t="n">
        <f aca="false">IF(D836="","",MAX(0,D836-0.5*C836))</f>
        <v>0</v>
      </c>
    </row>
    <row r="837" customFormat="false" ht="15" hidden="false" customHeight="false" outlineLevel="0" collapsed="false">
      <c r="A837" s="21" t="n">
        <v>46255</v>
      </c>
      <c r="B837" s="22" t="n">
        <v>19</v>
      </c>
      <c r="C837" s="25" t="n">
        <v>200.4</v>
      </c>
      <c r="D837" s="25" t="n">
        <v>18.24</v>
      </c>
      <c r="E837" s="25" t="n">
        <v>0.6</v>
      </c>
      <c r="F837" s="22" t="n">
        <f aca="false">WEEKDAY(A837,2)</f>
        <v>5</v>
      </c>
      <c r="G837" s="22" t="str">
        <f aca="false">IF(F837=7,IF(B837&gt;=23,"C","Sin turno"),IF(B837&lt;7,"C",IF(B837&lt;14,"A",IF(B837&lt;21,"B",IF(B837&lt;23,"Entre turnos",IF(F837=6,"Sin turno","C"))))))</f>
        <v>B</v>
      </c>
      <c r="H837" s="25" t="n">
        <f aca="false">IF(D837="","",MAX(0,D837-0.5*C837))</f>
        <v>0</v>
      </c>
    </row>
    <row r="838" customFormat="false" ht="15" hidden="false" customHeight="false" outlineLevel="0" collapsed="false">
      <c r="A838" s="21" t="n">
        <v>46255</v>
      </c>
      <c r="B838" s="22" t="n">
        <v>20</v>
      </c>
      <c r="C838" s="25" t="n">
        <v>185.76</v>
      </c>
      <c r="D838" s="25" t="n">
        <v>21.96</v>
      </c>
      <c r="E838" s="25" t="n">
        <v>1.08</v>
      </c>
      <c r="F838" s="22" t="n">
        <f aca="false">WEEKDAY(A838,2)</f>
        <v>5</v>
      </c>
      <c r="G838" s="22" t="str">
        <f aca="false">IF(F838=7,IF(B838&gt;=23,"C","Sin turno"),IF(B838&lt;7,"C",IF(B838&lt;14,"A",IF(B838&lt;21,"B",IF(B838&lt;23,"Entre turnos",IF(F838=6,"Sin turno","C"))))))</f>
        <v>B</v>
      </c>
      <c r="H838" s="25" t="n">
        <f aca="false">IF(D838="","",MAX(0,D838-0.5*C838))</f>
        <v>0</v>
      </c>
    </row>
    <row r="839" customFormat="false" ht="15" hidden="false" customHeight="false" outlineLevel="0" collapsed="false">
      <c r="A839" s="21" t="n">
        <v>46255</v>
      </c>
      <c r="B839" s="22" t="n">
        <v>21</v>
      </c>
      <c r="C839" s="25" t="n">
        <v>132</v>
      </c>
      <c r="D839" s="25" t="n">
        <v>15.6</v>
      </c>
      <c r="E839" s="25" t="n">
        <v>0.72</v>
      </c>
      <c r="F839" s="22" t="n">
        <f aca="false">WEEKDAY(A839,2)</f>
        <v>5</v>
      </c>
      <c r="G839" s="22" t="str">
        <f aca="false">IF(F839=7,IF(B839&gt;=23,"C","Sin turno"),IF(B839&lt;7,"C",IF(B839&lt;14,"A",IF(B839&lt;21,"B",IF(B839&lt;23,"Entre turnos",IF(F839=6,"Sin turno","C"))))))</f>
        <v>Entre turnos</v>
      </c>
      <c r="H839" s="25" t="n">
        <f aca="false">IF(D839="","",MAX(0,D839-0.5*C839))</f>
        <v>0</v>
      </c>
    </row>
    <row r="840" customFormat="false" ht="15" hidden="false" customHeight="false" outlineLevel="0" collapsed="false">
      <c r="A840" s="21" t="n">
        <v>46255</v>
      </c>
      <c r="B840" s="22" t="n">
        <v>22</v>
      </c>
      <c r="C840" s="25" t="n">
        <v>96.72</v>
      </c>
      <c r="D840" s="25" t="n">
        <v>11.28</v>
      </c>
      <c r="E840" s="25" t="n">
        <v>0.84</v>
      </c>
      <c r="F840" s="22" t="n">
        <f aca="false">WEEKDAY(A840,2)</f>
        <v>5</v>
      </c>
      <c r="G840" s="22" t="str">
        <f aca="false">IF(F840=7,IF(B840&gt;=23,"C","Sin turno"),IF(B840&lt;7,"C",IF(B840&lt;14,"A",IF(B840&lt;21,"B",IF(B840&lt;23,"Entre turnos",IF(F840=6,"Sin turno","C"))))))</f>
        <v>Entre turnos</v>
      </c>
      <c r="H840" s="25" t="n">
        <f aca="false">IF(D840="","",MAX(0,D840-0.5*C840))</f>
        <v>0</v>
      </c>
    </row>
    <row r="841" customFormat="false" ht="15" hidden="false" customHeight="false" outlineLevel="0" collapsed="false">
      <c r="A841" s="21" t="n">
        <v>46255</v>
      </c>
      <c r="B841" s="22" t="n">
        <v>23</v>
      </c>
      <c r="C841" s="25" t="n">
        <v>95.04</v>
      </c>
      <c r="D841" s="25" t="n">
        <v>9.6</v>
      </c>
      <c r="E841" s="25" t="n">
        <v>0.84</v>
      </c>
      <c r="F841" s="22" t="n">
        <f aca="false">WEEKDAY(A841,2)</f>
        <v>5</v>
      </c>
      <c r="G841" s="22" t="str">
        <f aca="false">IF(F841=7,IF(B841&gt;=23,"C","Sin turno"),IF(B841&lt;7,"C",IF(B841&lt;14,"A",IF(B841&lt;21,"B",IF(B841&lt;23,"Entre turnos",IF(F841=6,"Sin turno","C"))))))</f>
        <v>C</v>
      </c>
      <c r="H841" s="25" t="n">
        <f aca="false">IF(D841="","",MAX(0,D841-0.5*C841))</f>
        <v>0</v>
      </c>
    </row>
    <row r="842" customFormat="false" ht="15" hidden="false" customHeight="false" outlineLevel="0" collapsed="false">
      <c r="A842" s="21" t="n">
        <v>46256</v>
      </c>
      <c r="B842" s="22" t="n">
        <v>0</v>
      </c>
      <c r="C842" s="25" t="n">
        <v>105.36</v>
      </c>
      <c r="D842" s="25" t="n">
        <v>12.36</v>
      </c>
      <c r="E842" s="25" t="n">
        <v>0.36</v>
      </c>
      <c r="F842" s="22" t="n">
        <f aca="false">WEEKDAY(A842,2)</f>
        <v>6</v>
      </c>
      <c r="G842" s="22" t="str">
        <f aca="false">IF(F842=7,IF(B842&gt;=23,"C","Sin turno"),IF(B842&lt;7,"C",IF(B842&lt;14,"A",IF(B842&lt;21,"B",IF(B842&lt;23,"Entre turnos",IF(F842=6,"Sin turno","C"))))))</f>
        <v>C</v>
      </c>
      <c r="H842" s="25" t="n">
        <f aca="false">IF(D842="","",MAX(0,D842-0.5*C842))</f>
        <v>0</v>
      </c>
    </row>
    <row r="843" customFormat="false" ht="15" hidden="false" customHeight="false" outlineLevel="0" collapsed="false">
      <c r="A843" s="21" t="n">
        <v>46256</v>
      </c>
      <c r="B843" s="22" t="n">
        <v>1</v>
      </c>
      <c r="C843" s="25" t="n">
        <v>104.04</v>
      </c>
      <c r="D843" s="25" t="n">
        <v>14.04</v>
      </c>
      <c r="E843" s="25" t="n">
        <v>0</v>
      </c>
      <c r="F843" s="22" t="n">
        <f aca="false">WEEKDAY(A843,2)</f>
        <v>6</v>
      </c>
      <c r="G843" s="22" t="str">
        <f aca="false">IF(F843=7,IF(B843&gt;=23,"C","Sin turno"),IF(B843&lt;7,"C",IF(B843&lt;14,"A",IF(B843&lt;21,"B",IF(B843&lt;23,"Entre turnos",IF(F843=6,"Sin turno","C"))))))</f>
        <v>C</v>
      </c>
      <c r="H843" s="25" t="n">
        <f aca="false">IF(D843="","",MAX(0,D843-0.5*C843))</f>
        <v>0</v>
      </c>
    </row>
    <row r="844" customFormat="false" ht="15" hidden="false" customHeight="false" outlineLevel="0" collapsed="false">
      <c r="A844" s="21" t="n">
        <v>46256</v>
      </c>
      <c r="B844" s="22" t="n">
        <v>2</v>
      </c>
      <c r="C844" s="25" t="n">
        <v>101.4</v>
      </c>
      <c r="D844" s="25" t="n">
        <v>14.04</v>
      </c>
      <c r="E844" s="25" t="n">
        <v>0.12</v>
      </c>
      <c r="F844" s="22" t="n">
        <f aca="false">WEEKDAY(A844,2)</f>
        <v>6</v>
      </c>
      <c r="G844" s="22" t="str">
        <f aca="false">IF(F844=7,IF(B844&gt;=23,"C","Sin turno"),IF(B844&lt;7,"C",IF(B844&lt;14,"A",IF(B844&lt;21,"B",IF(B844&lt;23,"Entre turnos",IF(F844=6,"Sin turno","C"))))))</f>
        <v>C</v>
      </c>
      <c r="H844" s="25" t="n">
        <f aca="false">IF(D844="","",MAX(0,D844-0.5*C844))</f>
        <v>0</v>
      </c>
    </row>
    <row r="845" customFormat="false" ht="15" hidden="false" customHeight="false" outlineLevel="0" collapsed="false">
      <c r="A845" s="21" t="n">
        <v>46256</v>
      </c>
      <c r="B845" s="22" t="n">
        <v>3</v>
      </c>
      <c r="C845" s="25" t="n">
        <v>98.76</v>
      </c>
      <c r="D845" s="25" t="n">
        <v>13.8</v>
      </c>
      <c r="E845" s="25" t="n">
        <v>0.24</v>
      </c>
      <c r="F845" s="22" t="n">
        <f aca="false">WEEKDAY(A845,2)</f>
        <v>6</v>
      </c>
      <c r="G845" s="22" t="str">
        <f aca="false">IF(F845=7,IF(B845&gt;=23,"C","Sin turno"),IF(B845&lt;7,"C",IF(B845&lt;14,"A",IF(B845&lt;21,"B",IF(B845&lt;23,"Entre turnos",IF(F845=6,"Sin turno","C"))))))</f>
        <v>C</v>
      </c>
      <c r="H845" s="25" t="n">
        <f aca="false">IF(D845="","",MAX(0,D845-0.5*C845))</f>
        <v>0</v>
      </c>
    </row>
    <row r="846" customFormat="false" ht="15" hidden="false" customHeight="false" outlineLevel="0" collapsed="false">
      <c r="A846" s="21" t="n">
        <v>46256</v>
      </c>
      <c r="B846" s="22" t="n">
        <v>4</v>
      </c>
      <c r="C846" s="25" t="n">
        <v>100.8</v>
      </c>
      <c r="D846" s="25" t="n">
        <v>15.6</v>
      </c>
      <c r="E846" s="25" t="n">
        <v>0.12</v>
      </c>
      <c r="F846" s="22" t="n">
        <f aca="false">WEEKDAY(A846,2)</f>
        <v>6</v>
      </c>
      <c r="G846" s="22" t="str">
        <f aca="false">IF(F846=7,IF(B846&gt;=23,"C","Sin turno"),IF(B846&lt;7,"C",IF(B846&lt;14,"A",IF(B846&lt;21,"B",IF(B846&lt;23,"Entre turnos",IF(F846=6,"Sin turno","C"))))))</f>
        <v>C</v>
      </c>
      <c r="H846" s="25" t="n">
        <f aca="false">IF(D846="","",MAX(0,D846-0.5*C846))</f>
        <v>0</v>
      </c>
    </row>
    <row r="847" customFormat="false" ht="15" hidden="false" customHeight="false" outlineLevel="0" collapsed="false">
      <c r="A847" s="21" t="n">
        <v>46256</v>
      </c>
      <c r="B847" s="22" t="n">
        <v>5</v>
      </c>
      <c r="C847" s="25" t="n">
        <v>101.16</v>
      </c>
      <c r="D847" s="25" t="n">
        <v>15</v>
      </c>
      <c r="E847" s="25" t="n">
        <v>0.12</v>
      </c>
      <c r="F847" s="22" t="n">
        <f aca="false">WEEKDAY(A847,2)</f>
        <v>6</v>
      </c>
      <c r="G847" s="22" t="str">
        <f aca="false">IF(F847=7,IF(B847&gt;=23,"C","Sin turno"),IF(B847&lt;7,"C",IF(B847&lt;14,"A",IF(B847&lt;21,"B",IF(B847&lt;23,"Entre turnos",IF(F847=6,"Sin turno","C"))))))</f>
        <v>C</v>
      </c>
      <c r="H847" s="25" t="n">
        <f aca="false">IF(D847="","",MAX(0,D847-0.5*C847))</f>
        <v>0</v>
      </c>
    </row>
    <row r="848" customFormat="false" ht="15" hidden="false" customHeight="false" outlineLevel="0" collapsed="false">
      <c r="A848" s="21" t="n">
        <v>46256</v>
      </c>
      <c r="B848" s="22" t="n">
        <v>6</v>
      </c>
      <c r="C848" s="25" t="n">
        <v>126.24</v>
      </c>
      <c r="D848" s="25" t="n">
        <v>17.52</v>
      </c>
      <c r="E848" s="25" t="n">
        <v>0.12</v>
      </c>
      <c r="F848" s="22" t="n">
        <f aca="false">WEEKDAY(A848,2)</f>
        <v>6</v>
      </c>
      <c r="G848" s="22" t="str">
        <f aca="false">IF(F848=7,IF(B848&gt;=23,"C","Sin turno"),IF(B848&lt;7,"C",IF(B848&lt;14,"A",IF(B848&lt;21,"B",IF(B848&lt;23,"Entre turnos",IF(F848=6,"Sin turno","C"))))))</f>
        <v>C</v>
      </c>
      <c r="H848" s="25" t="n">
        <f aca="false">IF(D848="","",MAX(0,D848-0.5*C848))</f>
        <v>0</v>
      </c>
    </row>
    <row r="849" customFormat="false" ht="15" hidden="false" customHeight="false" outlineLevel="0" collapsed="false">
      <c r="A849" s="21" t="n">
        <v>46256</v>
      </c>
      <c r="B849" s="22" t="n">
        <v>7</v>
      </c>
      <c r="C849" s="25" t="n">
        <v>189.6</v>
      </c>
      <c r="D849" s="25" t="n">
        <v>24.36</v>
      </c>
      <c r="E849" s="25" t="n">
        <v>0.24</v>
      </c>
      <c r="F849" s="22" t="n">
        <f aca="false">WEEKDAY(A849,2)</f>
        <v>6</v>
      </c>
      <c r="G849" s="22" t="str">
        <f aca="false">IF(F849=7,IF(B849&gt;=23,"C","Sin turno"),IF(B849&lt;7,"C",IF(B849&lt;14,"A",IF(B849&lt;21,"B",IF(B849&lt;23,"Entre turnos",IF(F849=6,"Sin turno","C"))))))</f>
        <v>A</v>
      </c>
      <c r="H849" s="25" t="n">
        <f aca="false">IF(D849="","",MAX(0,D849-0.5*C849))</f>
        <v>0</v>
      </c>
    </row>
    <row r="850" customFormat="false" ht="15" hidden="false" customHeight="false" outlineLevel="0" collapsed="false">
      <c r="A850" s="21" t="n">
        <v>46256</v>
      </c>
      <c r="B850" s="22" t="n">
        <v>8</v>
      </c>
      <c r="C850" s="25" t="n">
        <v>198.12</v>
      </c>
      <c r="D850" s="25" t="n">
        <v>26.88</v>
      </c>
      <c r="E850" s="25" t="n">
        <v>0.12</v>
      </c>
      <c r="F850" s="22" t="n">
        <f aca="false">WEEKDAY(A850,2)</f>
        <v>6</v>
      </c>
      <c r="G850" s="22" t="str">
        <f aca="false">IF(F850=7,IF(B850&gt;=23,"C","Sin turno"),IF(B850&lt;7,"C",IF(B850&lt;14,"A",IF(B850&lt;21,"B",IF(B850&lt;23,"Entre turnos",IF(F850=6,"Sin turno","C"))))))</f>
        <v>A</v>
      </c>
      <c r="H850" s="25" t="n">
        <f aca="false">IF(D850="","",MAX(0,D850-0.5*C850))</f>
        <v>0</v>
      </c>
    </row>
    <row r="851" customFormat="false" ht="15" hidden="false" customHeight="false" outlineLevel="0" collapsed="false">
      <c r="A851" s="21" t="n">
        <v>46256</v>
      </c>
      <c r="B851" s="22" t="n">
        <v>9</v>
      </c>
      <c r="C851" s="25" t="n">
        <v>211.56</v>
      </c>
      <c r="D851" s="25" t="n">
        <v>21.48</v>
      </c>
      <c r="E851" s="25" t="n">
        <v>0.12</v>
      </c>
      <c r="F851" s="22" t="n">
        <f aca="false">WEEKDAY(A851,2)</f>
        <v>6</v>
      </c>
      <c r="G851" s="22" t="str">
        <f aca="false">IF(F851=7,IF(B851&gt;=23,"C","Sin turno"),IF(B851&lt;7,"C",IF(B851&lt;14,"A",IF(B851&lt;21,"B",IF(B851&lt;23,"Entre turnos",IF(F851=6,"Sin turno","C"))))))</f>
        <v>A</v>
      </c>
      <c r="H851" s="25" t="n">
        <f aca="false">IF(D851="","",MAX(0,D851-0.5*C851))</f>
        <v>0</v>
      </c>
    </row>
    <row r="852" customFormat="false" ht="15" hidden="false" customHeight="false" outlineLevel="0" collapsed="false">
      <c r="A852" s="21" t="n">
        <v>46256</v>
      </c>
      <c r="B852" s="22" t="n">
        <v>10</v>
      </c>
      <c r="C852" s="25" t="n">
        <v>208.8</v>
      </c>
      <c r="D852" s="25" t="n">
        <v>22.08</v>
      </c>
      <c r="E852" s="25" t="n">
        <v>0.12</v>
      </c>
      <c r="F852" s="22" t="n">
        <f aca="false">WEEKDAY(A852,2)</f>
        <v>6</v>
      </c>
      <c r="G852" s="22" t="str">
        <f aca="false">IF(F852=7,IF(B852&gt;=23,"C","Sin turno"),IF(B852&lt;7,"C",IF(B852&lt;14,"A",IF(B852&lt;21,"B",IF(B852&lt;23,"Entre turnos",IF(F852=6,"Sin turno","C"))))))</f>
        <v>A</v>
      </c>
      <c r="H852" s="25" t="n">
        <f aca="false">IF(D852="","",MAX(0,D852-0.5*C852))</f>
        <v>0</v>
      </c>
    </row>
    <row r="853" customFormat="false" ht="15" hidden="false" customHeight="false" outlineLevel="0" collapsed="false">
      <c r="A853" s="21" t="n">
        <v>46256</v>
      </c>
      <c r="B853" s="22" t="n">
        <v>11</v>
      </c>
      <c r="C853" s="25" t="n">
        <v>196.44</v>
      </c>
      <c r="D853" s="25" t="n">
        <v>18.24</v>
      </c>
      <c r="E853" s="25" t="n">
        <v>0.12</v>
      </c>
      <c r="F853" s="22" t="n">
        <f aca="false">WEEKDAY(A853,2)</f>
        <v>6</v>
      </c>
      <c r="G853" s="22" t="str">
        <f aca="false">IF(F853=7,IF(B853&gt;=23,"C","Sin turno"),IF(B853&lt;7,"C",IF(B853&lt;14,"A",IF(B853&lt;21,"B",IF(B853&lt;23,"Entre turnos",IF(F853=6,"Sin turno","C"))))))</f>
        <v>A</v>
      </c>
      <c r="H853" s="25" t="n">
        <f aca="false">IF(D853="","",MAX(0,D853-0.5*C853))</f>
        <v>0</v>
      </c>
    </row>
    <row r="854" customFormat="false" ht="15" hidden="false" customHeight="false" outlineLevel="0" collapsed="false">
      <c r="A854" s="21" t="n">
        <v>46256</v>
      </c>
      <c r="B854" s="22" t="n">
        <v>12</v>
      </c>
      <c r="C854" s="25" t="n">
        <v>245.64</v>
      </c>
      <c r="D854" s="25" t="n">
        <v>20.04</v>
      </c>
      <c r="E854" s="25" t="n">
        <v>0.12</v>
      </c>
      <c r="F854" s="22" t="n">
        <f aca="false">WEEKDAY(A854,2)</f>
        <v>6</v>
      </c>
      <c r="G854" s="22" t="str">
        <f aca="false">IF(F854=7,IF(B854&gt;=23,"C","Sin turno"),IF(B854&lt;7,"C",IF(B854&lt;14,"A",IF(B854&lt;21,"B",IF(B854&lt;23,"Entre turnos",IF(F854=6,"Sin turno","C"))))))</f>
        <v>A</v>
      </c>
      <c r="H854" s="25" t="n">
        <f aca="false">IF(D854="","",MAX(0,D854-0.5*C854))</f>
        <v>0</v>
      </c>
    </row>
    <row r="855" customFormat="false" ht="15" hidden="false" customHeight="false" outlineLevel="0" collapsed="false">
      <c r="A855" s="21" t="n">
        <v>46256</v>
      </c>
      <c r="B855" s="22" t="n">
        <v>13</v>
      </c>
      <c r="C855" s="25" t="n">
        <v>216.96</v>
      </c>
      <c r="D855" s="25" t="n">
        <v>18.84</v>
      </c>
      <c r="E855" s="25" t="n">
        <v>0</v>
      </c>
      <c r="F855" s="22" t="n">
        <f aca="false">WEEKDAY(A855,2)</f>
        <v>6</v>
      </c>
      <c r="G855" s="22" t="str">
        <f aca="false">IF(F855=7,IF(B855&gt;=23,"C","Sin turno"),IF(B855&lt;7,"C",IF(B855&lt;14,"A",IF(B855&lt;21,"B",IF(B855&lt;23,"Entre turnos",IF(F855=6,"Sin turno","C"))))))</f>
        <v>A</v>
      </c>
      <c r="H855" s="25" t="n">
        <f aca="false">IF(D855="","",MAX(0,D855-0.5*C855))</f>
        <v>0</v>
      </c>
    </row>
    <row r="856" customFormat="false" ht="15" hidden="false" customHeight="false" outlineLevel="0" collapsed="false">
      <c r="A856" s="21" t="n">
        <v>46256</v>
      </c>
      <c r="B856" s="22" t="n">
        <v>14</v>
      </c>
      <c r="C856" s="25" t="n">
        <v>180.6</v>
      </c>
      <c r="D856" s="25" t="n">
        <v>23.04</v>
      </c>
      <c r="E856" s="25" t="n">
        <v>0.12</v>
      </c>
      <c r="F856" s="22" t="n">
        <f aca="false">WEEKDAY(A856,2)</f>
        <v>6</v>
      </c>
      <c r="G856" s="22" t="str">
        <f aca="false">IF(F856=7,IF(B856&gt;=23,"C","Sin turno"),IF(B856&lt;7,"C",IF(B856&lt;14,"A",IF(B856&lt;21,"B",IF(B856&lt;23,"Entre turnos",IF(F856=6,"Sin turno","C"))))))</f>
        <v>B</v>
      </c>
      <c r="H856" s="25" t="n">
        <f aca="false">IF(D856="","",MAX(0,D856-0.5*C856))</f>
        <v>0</v>
      </c>
    </row>
    <row r="857" customFormat="false" ht="15" hidden="false" customHeight="false" outlineLevel="0" collapsed="false">
      <c r="A857" s="21" t="n">
        <v>46256</v>
      </c>
      <c r="B857" s="22" t="n">
        <v>15</v>
      </c>
      <c r="C857" s="25" t="n">
        <v>192</v>
      </c>
      <c r="D857" s="25" t="n">
        <v>25.44</v>
      </c>
      <c r="E857" s="25" t="n">
        <v>0.36</v>
      </c>
      <c r="F857" s="22" t="n">
        <f aca="false">WEEKDAY(A857,2)</f>
        <v>6</v>
      </c>
      <c r="G857" s="22" t="str">
        <f aca="false">IF(F857=7,IF(B857&gt;=23,"C","Sin turno"),IF(B857&lt;7,"C",IF(B857&lt;14,"A",IF(B857&lt;21,"B",IF(B857&lt;23,"Entre turnos",IF(F857=6,"Sin turno","C"))))))</f>
        <v>B</v>
      </c>
      <c r="H857" s="25" t="n">
        <f aca="false">IF(D857="","",MAX(0,D857-0.5*C857))</f>
        <v>0</v>
      </c>
    </row>
    <row r="858" customFormat="false" ht="15" hidden="false" customHeight="false" outlineLevel="0" collapsed="false">
      <c r="A858" s="21" t="n">
        <v>46256</v>
      </c>
      <c r="B858" s="22" t="n">
        <v>16</v>
      </c>
      <c r="C858" s="25" t="n">
        <v>176.76</v>
      </c>
      <c r="D858" s="25" t="n">
        <v>29.52</v>
      </c>
      <c r="E858" s="25" t="n">
        <v>0.12</v>
      </c>
      <c r="F858" s="22" t="n">
        <f aca="false">WEEKDAY(A858,2)</f>
        <v>6</v>
      </c>
      <c r="G858" s="22" t="str">
        <f aca="false">IF(F858=7,IF(B858&gt;=23,"C","Sin turno"),IF(B858&lt;7,"C",IF(B858&lt;14,"A",IF(B858&lt;21,"B",IF(B858&lt;23,"Entre turnos",IF(F858=6,"Sin turno","C"))))))</f>
        <v>B</v>
      </c>
      <c r="H858" s="25" t="n">
        <f aca="false">IF(D858="","",MAX(0,D858-0.5*C858))</f>
        <v>0</v>
      </c>
    </row>
    <row r="859" customFormat="false" ht="15" hidden="false" customHeight="false" outlineLevel="0" collapsed="false">
      <c r="A859" s="21" t="n">
        <v>46256</v>
      </c>
      <c r="B859" s="22" t="n">
        <v>17</v>
      </c>
      <c r="C859" s="25" t="n">
        <v>189.6</v>
      </c>
      <c r="D859" s="25" t="n">
        <v>26.64</v>
      </c>
      <c r="E859" s="25" t="n">
        <v>0.48</v>
      </c>
      <c r="F859" s="22" t="n">
        <f aca="false">WEEKDAY(A859,2)</f>
        <v>6</v>
      </c>
      <c r="G859" s="22" t="str">
        <f aca="false">IF(F859=7,IF(B859&gt;=23,"C","Sin turno"),IF(B859&lt;7,"C",IF(B859&lt;14,"A",IF(B859&lt;21,"B",IF(B859&lt;23,"Entre turnos",IF(F859=6,"Sin turno","C"))))))</f>
        <v>B</v>
      </c>
      <c r="H859" s="25" t="n">
        <f aca="false">IF(D859="","",MAX(0,D859-0.5*C859))</f>
        <v>0</v>
      </c>
    </row>
    <row r="860" customFormat="false" ht="15" hidden="false" customHeight="false" outlineLevel="0" collapsed="false">
      <c r="A860" s="21" t="n">
        <v>46256</v>
      </c>
      <c r="B860" s="22" t="n">
        <v>18</v>
      </c>
      <c r="C860" s="25" t="n">
        <v>159.6</v>
      </c>
      <c r="D860" s="25" t="n">
        <v>22.8</v>
      </c>
      <c r="E860" s="25" t="n">
        <v>0</v>
      </c>
      <c r="F860" s="22" t="n">
        <f aca="false">WEEKDAY(A860,2)</f>
        <v>6</v>
      </c>
      <c r="G860" s="22" t="str">
        <f aca="false">IF(F860=7,IF(B860&gt;=23,"C","Sin turno"),IF(B860&lt;7,"C",IF(B860&lt;14,"A",IF(B860&lt;21,"B",IF(B860&lt;23,"Entre turnos",IF(F860=6,"Sin turno","C"))))))</f>
        <v>B</v>
      </c>
      <c r="H860" s="25" t="n">
        <f aca="false">IF(D860="","",MAX(0,D860-0.5*C860))</f>
        <v>0</v>
      </c>
    </row>
    <row r="861" customFormat="false" ht="15" hidden="false" customHeight="false" outlineLevel="0" collapsed="false">
      <c r="A861" s="21" t="n">
        <v>46256</v>
      </c>
      <c r="B861" s="22" t="n">
        <v>19</v>
      </c>
      <c r="C861" s="25" t="n">
        <v>165.36</v>
      </c>
      <c r="D861" s="25" t="n">
        <v>24.48</v>
      </c>
      <c r="E861" s="25" t="n">
        <v>0.24</v>
      </c>
      <c r="F861" s="22" t="n">
        <f aca="false">WEEKDAY(A861,2)</f>
        <v>6</v>
      </c>
      <c r="G861" s="22" t="str">
        <f aca="false">IF(F861=7,IF(B861&gt;=23,"C","Sin turno"),IF(B861&lt;7,"C",IF(B861&lt;14,"A",IF(B861&lt;21,"B",IF(B861&lt;23,"Entre turnos",IF(F861=6,"Sin turno","C"))))))</f>
        <v>B</v>
      </c>
      <c r="H861" s="25" t="n">
        <f aca="false">IF(D861="","",MAX(0,D861-0.5*C861))</f>
        <v>0</v>
      </c>
    </row>
    <row r="862" customFormat="false" ht="15" hidden="false" customHeight="false" outlineLevel="0" collapsed="false">
      <c r="A862" s="21" t="n">
        <v>46256</v>
      </c>
      <c r="B862" s="22" t="n">
        <v>20</v>
      </c>
      <c r="C862" s="25" t="n">
        <v>155.76</v>
      </c>
      <c r="D862" s="25" t="n">
        <v>21.6</v>
      </c>
      <c r="E862" s="25" t="n">
        <v>0.12</v>
      </c>
      <c r="F862" s="22" t="n">
        <f aca="false">WEEKDAY(A862,2)</f>
        <v>6</v>
      </c>
      <c r="G862" s="22" t="str">
        <f aca="false">IF(F862=7,IF(B862&gt;=23,"C","Sin turno"),IF(B862&lt;7,"C",IF(B862&lt;14,"A",IF(B862&lt;21,"B",IF(B862&lt;23,"Entre turnos",IF(F862=6,"Sin turno","C"))))))</f>
        <v>B</v>
      </c>
      <c r="H862" s="25" t="n">
        <f aca="false">IF(D862="","",MAX(0,D862-0.5*C862))</f>
        <v>0</v>
      </c>
    </row>
    <row r="863" customFormat="false" ht="15" hidden="false" customHeight="false" outlineLevel="0" collapsed="false">
      <c r="A863" s="21" t="n">
        <v>46256</v>
      </c>
      <c r="B863" s="22" t="n">
        <v>21</v>
      </c>
      <c r="C863" s="25" t="n">
        <v>93.48</v>
      </c>
      <c r="D863" s="25" t="n">
        <v>22.08</v>
      </c>
      <c r="E863" s="25" t="n">
        <v>0.24</v>
      </c>
      <c r="F863" s="22" t="n">
        <f aca="false">WEEKDAY(A863,2)</f>
        <v>6</v>
      </c>
      <c r="G863" s="22" t="str">
        <f aca="false">IF(F863=7,IF(B863&gt;=23,"C","Sin turno"),IF(B863&lt;7,"C",IF(B863&lt;14,"A",IF(B863&lt;21,"B",IF(B863&lt;23,"Entre turnos",IF(F863=6,"Sin turno","C"))))))</f>
        <v>Entre turnos</v>
      </c>
      <c r="H863" s="25" t="n">
        <f aca="false">IF(D863="","",MAX(0,D863-0.5*C863))</f>
        <v>0</v>
      </c>
    </row>
    <row r="864" customFormat="false" ht="15" hidden="false" customHeight="false" outlineLevel="0" collapsed="false">
      <c r="A864" s="21" t="n">
        <v>46256</v>
      </c>
      <c r="B864" s="22" t="n">
        <v>22</v>
      </c>
      <c r="C864" s="25" t="n">
        <v>51.96</v>
      </c>
      <c r="D864" s="25" t="n">
        <v>21.12</v>
      </c>
      <c r="E864" s="25" t="n">
        <v>0</v>
      </c>
      <c r="F864" s="22" t="n">
        <f aca="false">WEEKDAY(A864,2)</f>
        <v>6</v>
      </c>
      <c r="G864" s="22" t="str">
        <f aca="false">IF(F864=7,IF(B864&gt;=23,"C","Sin turno"),IF(B864&lt;7,"C",IF(B864&lt;14,"A",IF(B864&lt;21,"B",IF(B864&lt;23,"Entre turnos",IF(F864=6,"Sin turno","C"))))))</f>
        <v>Entre turnos</v>
      </c>
      <c r="H864" s="25" t="n">
        <f aca="false">IF(D864="","",MAX(0,D864-0.5*C864))</f>
        <v>0</v>
      </c>
    </row>
    <row r="865" customFormat="false" ht="15" hidden="false" customHeight="false" outlineLevel="0" collapsed="false">
      <c r="A865" s="21" t="n">
        <v>46256</v>
      </c>
      <c r="B865" s="22" t="n">
        <v>23</v>
      </c>
      <c r="C865" s="25" t="n">
        <v>52.08</v>
      </c>
      <c r="D865" s="25" t="n">
        <v>21.24</v>
      </c>
      <c r="E865" s="25" t="n">
        <v>0</v>
      </c>
      <c r="F865" s="22" t="n">
        <f aca="false">WEEKDAY(A865,2)</f>
        <v>6</v>
      </c>
      <c r="G865" s="22" t="str">
        <f aca="false">IF(F865=7,IF(B865&gt;=23,"C","Sin turno"),IF(B865&lt;7,"C",IF(B865&lt;14,"A",IF(B865&lt;21,"B",IF(B865&lt;23,"Entre turnos",IF(F865=6,"Sin turno","C"))))))</f>
        <v>Sin turno</v>
      </c>
      <c r="H865" s="25" t="n">
        <f aca="false">IF(D865="","",MAX(0,D865-0.5*C865))</f>
        <v>0</v>
      </c>
    </row>
    <row r="866" customFormat="false" ht="15" hidden="false" customHeight="false" outlineLevel="0" collapsed="false">
      <c r="A866" s="21" t="n">
        <v>46257</v>
      </c>
      <c r="B866" s="22" t="n">
        <v>0</v>
      </c>
      <c r="C866" s="25" t="n">
        <v>51.24</v>
      </c>
      <c r="D866" s="25" t="n">
        <v>21.12</v>
      </c>
      <c r="E866" s="25" t="n">
        <v>0</v>
      </c>
      <c r="F866" s="22" t="n">
        <f aca="false">WEEKDAY(A866,2)</f>
        <v>7</v>
      </c>
      <c r="G866" s="22" t="str">
        <f aca="false">IF(F866=7,IF(B866&gt;=23,"C","Sin turno"),IF(B866&lt;7,"C",IF(B866&lt;14,"A",IF(B866&lt;21,"B",IF(B866&lt;23,"Entre turnos",IF(F866=6,"Sin turno","C"))))))</f>
        <v>Sin turno</v>
      </c>
      <c r="H866" s="25" t="n">
        <f aca="false">IF(D866="","",MAX(0,D866-0.5*C866))</f>
        <v>0</v>
      </c>
    </row>
    <row r="867" customFormat="false" ht="15" hidden="false" customHeight="false" outlineLevel="0" collapsed="false">
      <c r="A867" s="21" t="n">
        <v>46257</v>
      </c>
      <c r="B867" s="22" t="n">
        <v>1</v>
      </c>
      <c r="C867" s="25" t="n">
        <v>50.04</v>
      </c>
      <c r="D867" s="25" t="n">
        <v>20.52</v>
      </c>
      <c r="E867" s="25" t="n">
        <v>0</v>
      </c>
      <c r="F867" s="22" t="n">
        <f aca="false">WEEKDAY(A867,2)</f>
        <v>7</v>
      </c>
      <c r="G867" s="22" t="str">
        <f aca="false">IF(F867=7,IF(B867&gt;=23,"C","Sin turno"),IF(B867&lt;7,"C",IF(B867&lt;14,"A",IF(B867&lt;21,"B",IF(B867&lt;23,"Entre turnos",IF(F867=6,"Sin turno","C"))))))</f>
        <v>Sin turno</v>
      </c>
      <c r="H867" s="25" t="n">
        <f aca="false">IF(D867="","",MAX(0,D867-0.5*C867))</f>
        <v>0</v>
      </c>
    </row>
    <row r="868" customFormat="false" ht="15" hidden="false" customHeight="false" outlineLevel="0" collapsed="false">
      <c r="A868" s="21" t="n">
        <v>46257</v>
      </c>
      <c r="B868" s="22" t="n">
        <v>2</v>
      </c>
      <c r="C868" s="25" t="n">
        <v>50.52</v>
      </c>
      <c r="D868" s="25" t="n">
        <v>21.24</v>
      </c>
      <c r="E868" s="25" t="n">
        <v>0</v>
      </c>
      <c r="F868" s="22" t="n">
        <f aca="false">WEEKDAY(A868,2)</f>
        <v>7</v>
      </c>
      <c r="G868" s="22" t="str">
        <f aca="false">IF(F868=7,IF(B868&gt;=23,"C","Sin turno"),IF(B868&lt;7,"C",IF(B868&lt;14,"A",IF(B868&lt;21,"B",IF(B868&lt;23,"Entre turnos",IF(F868=6,"Sin turno","C"))))))</f>
        <v>Sin turno</v>
      </c>
      <c r="H868" s="25" t="n">
        <f aca="false">IF(D868="","",MAX(0,D868-0.5*C868))</f>
        <v>0</v>
      </c>
    </row>
    <row r="869" customFormat="false" ht="15" hidden="false" customHeight="false" outlineLevel="0" collapsed="false">
      <c r="A869" s="21" t="n">
        <v>46257</v>
      </c>
      <c r="B869" s="22" t="n">
        <v>3</v>
      </c>
      <c r="C869" s="25" t="n">
        <v>49.44</v>
      </c>
      <c r="D869" s="25" t="n">
        <v>21.24</v>
      </c>
      <c r="E869" s="25" t="n">
        <v>0</v>
      </c>
      <c r="F869" s="22" t="n">
        <f aca="false">WEEKDAY(A869,2)</f>
        <v>7</v>
      </c>
      <c r="G869" s="22" t="str">
        <f aca="false">IF(F869=7,IF(B869&gt;=23,"C","Sin turno"),IF(B869&lt;7,"C",IF(B869&lt;14,"A",IF(B869&lt;21,"B",IF(B869&lt;23,"Entre turnos",IF(F869=6,"Sin turno","C"))))))</f>
        <v>Sin turno</v>
      </c>
      <c r="H869" s="25" t="n">
        <f aca="false">IF(D869="","",MAX(0,D869-0.5*C869))</f>
        <v>0</v>
      </c>
    </row>
    <row r="870" customFormat="false" ht="15" hidden="false" customHeight="false" outlineLevel="0" collapsed="false">
      <c r="A870" s="21" t="n">
        <v>46257</v>
      </c>
      <c r="B870" s="22" t="n">
        <v>4</v>
      </c>
      <c r="C870" s="25" t="n">
        <v>48.6</v>
      </c>
      <c r="D870" s="25" t="n">
        <v>21.48</v>
      </c>
      <c r="E870" s="25" t="n">
        <v>0</v>
      </c>
      <c r="F870" s="22" t="n">
        <f aca="false">WEEKDAY(A870,2)</f>
        <v>7</v>
      </c>
      <c r="G870" s="22" t="str">
        <f aca="false">IF(F870=7,IF(B870&gt;=23,"C","Sin turno"),IF(B870&lt;7,"C",IF(B870&lt;14,"A",IF(B870&lt;21,"B",IF(B870&lt;23,"Entre turnos",IF(F870=6,"Sin turno","C"))))))</f>
        <v>Sin turno</v>
      </c>
      <c r="H870" s="25" t="n">
        <f aca="false">IF(D870="","",MAX(0,D870-0.5*C870))</f>
        <v>0</v>
      </c>
    </row>
    <row r="871" customFormat="false" ht="15" hidden="false" customHeight="false" outlineLevel="0" collapsed="false">
      <c r="A871" s="21" t="n">
        <v>46257</v>
      </c>
      <c r="B871" s="22" t="n">
        <v>5</v>
      </c>
      <c r="C871" s="25" t="n">
        <v>46.8</v>
      </c>
      <c r="D871" s="25" t="n">
        <v>21.24</v>
      </c>
      <c r="E871" s="25" t="n">
        <v>0</v>
      </c>
      <c r="F871" s="22" t="n">
        <f aca="false">WEEKDAY(A871,2)</f>
        <v>7</v>
      </c>
      <c r="G871" s="22" t="str">
        <f aca="false">IF(F871=7,IF(B871&gt;=23,"C","Sin turno"),IF(B871&lt;7,"C",IF(B871&lt;14,"A",IF(B871&lt;21,"B",IF(B871&lt;23,"Entre turnos",IF(F871=6,"Sin turno","C"))))))</f>
        <v>Sin turno</v>
      </c>
      <c r="H871" s="25" t="n">
        <f aca="false">IF(D871="","",MAX(0,D871-0.5*C871))</f>
        <v>0</v>
      </c>
    </row>
    <row r="872" customFormat="false" ht="15" hidden="false" customHeight="false" outlineLevel="0" collapsed="false">
      <c r="A872" s="21" t="n">
        <v>46257</v>
      </c>
      <c r="B872" s="22" t="n">
        <v>6</v>
      </c>
      <c r="C872" s="25" t="n">
        <v>46.08</v>
      </c>
      <c r="D872" s="25" t="n">
        <v>21.84</v>
      </c>
      <c r="E872" s="25" t="n">
        <v>0</v>
      </c>
      <c r="F872" s="22" t="n">
        <f aca="false">WEEKDAY(A872,2)</f>
        <v>7</v>
      </c>
      <c r="G872" s="22" t="str">
        <f aca="false">IF(F872=7,IF(B872&gt;=23,"C","Sin turno"),IF(B872&lt;7,"C",IF(B872&lt;14,"A",IF(B872&lt;21,"B",IF(B872&lt;23,"Entre turnos",IF(F872=6,"Sin turno","C"))))))</f>
        <v>Sin turno</v>
      </c>
      <c r="H872" s="25" t="n">
        <f aca="false">IF(D872="","",MAX(0,D872-0.5*C872))</f>
        <v>0</v>
      </c>
    </row>
    <row r="873" customFormat="false" ht="15" hidden="false" customHeight="false" outlineLevel="0" collapsed="false">
      <c r="A873" s="21" t="n">
        <v>46257</v>
      </c>
      <c r="B873" s="22" t="n">
        <v>7</v>
      </c>
      <c r="C873" s="25" t="n">
        <v>46.08</v>
      </c>
      <c r="D873" s="25" t="n">
        <v>21.12</v>
      </c>
      <c r="E873" s="25" t="n">
        <v>0</v>
      </c>
      <c r="F873" s="22" t="n">
        <f aca="false">WEEKDAY(A873,2)</f>
        <v>7</v>
      </c>
      <c r="G873" s="22" t="str">
        <f aca="false">IF(F873=7,IF(B873&gt;=23,"C","Sin turno"),IF(B873&lt;7,"C",IF(B873&lt;14,"A",IF(B873&lt;21,"B",IF(B873&lt;23,"Entre turnos",IF(F873=6,"Sin turno","C"))))))</f>
        <v>Sin turno</v>
      </c>
      <c r="H873" s="25" t="n">
        <f aca="false">IF(D873="","",MAX(0,D873-0.5*C873))</f>
        <v>0</v>
      </c>
    </row>
    <row r="874" customFormat="false" ht="15" hidden="false" customHeight="false" outlineLevel="0" collapsed="false">
      <c r="A874" s="21" t="n">
        <v>46257</v>
      </c>
      <c r="B874" s="22" t="n">
        <v>8</v>
      </c>
      <c r="C874" s="25" t="n">
        <v>53.52</v>
      </c>
      <c r="D874" s="25" t="n">
        <v>21.36</v>
      </c>
      <c r="E874" s="25" t="n">
        <v>0</v>
      </c>
      <c r="F874" s="22" t="n">
        <f aca="false">WEEKDAY(A874,2)</f>
        <v>7</v>
      </c>
      <c r="G874" s="22" t="str">
        <f aca="false">IF(F874=7,IF(B874&gt;=23,"C","Sin turno"),IF(B874&lt;7,"C",IF(B874&lt;14,"A",IF(B874&lt;21,"B",IF(B874&lt;23,"Entre turnos",IF(F874=6,"Sin turno","C"))))))</f>
        <v>Sin turno</v>
      </c>
      <c r="H874" s="25" t="n">
        <f aca="false">IF(D874="","",MAX(0,D874-0.5*C874))</f>
        <v>0</v>
      </c>
    </row>
    <row r="875" customFormat="false" ht="15" hidden="false" customHeight="false" outlineLevel="0" collapsed="false">
      <c r="A875" s="21" t="n">
        <v>46257</v>
      </c>
      <c r="B875" s="22" t="n">
        <v>9</v>
      </c>
      <c r="C875" s="25" t="n">
        <v>60.24</v>
      </c>
      <c r="D875" s="25" t="n">
        <v>25.8</v>
      </c>
      <c r="E875" s="25" t="n">
        <v>0</v>
      </c>
      <c r="F875" s="22" t="n">
        <f aca="false">WEEKDAY(A875,2)</f>
        <v>7</v>
      </c>
      <c r="G875" s="22" t="str">
        <f aca="false">IF(F875=7,IF(B875&gt;=23,"C","Sin turno"),IF(B875&lt;7,"C",IF(B875&lt;14,"A",IF(B875&lt;21,"B",IF(B875&lt;23,"Entre turnos",IF(F875=6,"Sin turno","C"))))))</f>
        <v>Sin turno</v>
      </c>
      <c r="H875" s="25" t="n">
        <f aca="false">IF(D875="","",MAX(0,D875-0.5*C875))</f>
        <v>0</v>
      </c>
    </row>
    <row r="876" customFormat="false" ht="15" hidden="false" customHeight="false" outlineLevel="0" collapsed="false">
      <c r="A876" s="21" t="n">
        <v>46257</v>
      </c>
      <c r="B876" s="22" t="n">
        <v>10</v>
      </c>
      <c r="C876" s="25" t="n">
        <v>62.4</v>
      </c>
      <c r="D876" s="25" t="n">
        <v>26.64</v>
      </c>
      <c r="E876" s="25" t="n">
        <v>0</v>
      </c>
      <c r="F876" s="22" t="n">
        <f aca="false">WEEKDAY(A876,2)</f>
        <v>7</v>
      </c>
      <c r="G876" s="22" t="str">
        <f aca="false">IF(F876=7,IF(B876&gt;=23,"C","Sin turno"),IF(B876&lt;7,"C",IF(B876&lt;14,"A",IF(B876&lt;21,"B",IF(B876&lt;23,"Entre turnos",IF(F876=6,"Sin turno","C"))))))</f>
        <v>Sin turno</v>
      </c>
      <c r="H876" s="25" t="n">
        <f aca="false">IF(D876="","",MAX(0,D876-0.5*C876))</f>
        <v>0</v>
      </c>
    </row>
    <row r="877" customFormat="false" ht="15" hidden="false" customHeight="false" outlineLevel="0" collapsed="false">
      <c r="A877" s="21" t="n">
        <v>46257</v>
      </c>
      <c r="B877" s="22" t="n">
        <v>11</v>
      </c>
      <c r="C877" s="25" t="n">
        <v>64.2</v>
      </c>
      <c r="D877" s="25" t="n">
        <v>27.24</v>
      </c>
      <c r="E877" s="25" t="n">
        <v>0</v>
      </c>
      <c r="F877" s="22" t="n">
        <f aca="false">WEEKDAY(A877,2)</f>
        <v>7</v>
      </c>
      <c r="G877" s="22" t="str">
        <f aca="false">IF(F877=7,IF(B877&gt;=23,"C","Sin turno"),IF(B877&lt;7,"C",IF(B877&lt;14,"A",IF(B877&lt;21,"B",IF(B877&lt;23,"Entre turnos",IF(F877=6,"Sin turno","C"))))))</f>
        <v>Sin turno</v>
      </c>
      <c r="H877" s="25" t="n">
        <f aca="false">IF(D877="","",MAX(0,D877-0.5*C877))</f>
        <v>0</v>
      </c>
    </row>
    <row r="878" customFormat="false" ht="15" hidden="false" customHeight="false" outlineLevel="0" collapsed="false">
      <c r="A878" s="21" t="n">
        <v>46257</v>
      </c>
      <c r="B878" s="22" t="n">
        <v>12</v>
      </c>
      <c r="C878" s="25" t="n">
        <v>66.96</v>
      </c>
      <c r="D878" s="25" t="n">
        <v>26.88</v>
      </c>
      <c r="E878" s="25" t="n">
        <v>0</v>
      </c>
      <c r="F878" s="22" t="n">
        <f aca="false">WEEKDAY(A878,2)</f>
        <v>7</v>
      </c>
      <c r="G878" s="22" t="str">
        <f aca="false">IF(F878=7,IF(B878&gt;=23,"C","Sin turno"),IF(B878&lt;7,"C",IF(B878&lt;14,"A",IF(B878&lt;21,"B",IF(B878&lt;23,"Entre turnos",IF(F878=6,"Sin turno","C"))))))</f>
        <v>Sin turno</v>
      </c>
      <c r="H878" s="25" t="n">
        <f aca="false">IF(D878="","",MAX(0,D878-0.5*C878))</f>
        <v>0</v>
      </c>
    </row>
    <row r="879" customFormat="false" ht="15" hidden="false" customHeight="false" outlineLevel="0" collapsed="false">
      <c r="A879" s="21" t="n">
        <v>46257</v>
      </c>
      <c r="B879" s="22" t="n">
        <v>13</v>
      </c>
      <c r="C879" s="25" t="n">
        <v>66.36</v>
      </c>
      <c r="D879" s="25" t="n">
        <v>27.12</v>
      </c>
      <c r="E879" s="25" t="n">
        <v>0</v>
      </c>
      <c r="F879" s="22" t="n">
        <f aca="false">WEEKDAY(A879,2)</f>
        <v>7</v>
      </c>
      <c r="G879" s="22" t="str">
        <f aca="false">IF(F879=7,IF(B879&gt;=23,"C","Sin turno"),IF(B879&lt;7,"C",IF(B879&lt;14,"A",IF(B879&lt;21,"B",IF(B879&lt;23,"Entre turnos",IF(F879=6,"Sin turno","C"))))))</f>
        <v>Sin turno</v>
      </c>
      <c r="H879" s="25" t="n">
        <f aca="false">IF(D879="","",MAX(0,D879-0.5*C879))</f>
        <v>0</v>
      </c>
    </row>
    <row r="880" customFormat="false" ht="15" hidden="false" customHeight="false" outlineLevel="0" collapsed="false">
      <c r="A880" s="21" t="n">
        <v>46257</v>
      </c>
      <c r="B880" s="22" t="n">
        <v>14</v>
      </c>
      <c r="C880" s="25" t="n">
        <v>67.68</v>
      </c>
      <c r="D880" s="25" t="n">
        <v>26.76</v>
      </c>
      <c r="E880" s="25" t="n">
        <v>0</v>
      </c>
      <c r="F880" s="22" t="n">
        <f aca="false">WEEKDAY(A880,2)</f>
        <v>7</v>
      </c>
      <c r="G880" s="22" t="str">
        <f aca="false">IF(F880=7,IF(B880&gt;=23,"C","Sin turno"),IF(B880&lt;7,"C",IF(B880&lt;14,"A",IF(B880&lt;21,"B",IF(B880&lt;23,"Entre turnos",IF(F880=6,"Sin turno","C"))))))</f>
        <v>Sin turno</v>
      </c>
      <c r="H880" s="25" t="n">
        <f aca="false">IF(D880="","",MAX(0,D880-0.5*C880))</f>
        <v>0</v>
      </c>
    </row>
    <row r="881" customFormat="false" ht="15" hidden="false" customHeight="false" outlineLevel="0" collapsed="false">
      <c r="A881" s="21" t="n">
        <v>46257</v>
      </c>
      <c r="B881" s="22" t="n">
        <v>15</v>
      </c>
      <c r="C881" s="25" t="n">
        <v>65.52</v>
      </c>
      <c r="D881" s="25" t="n">
        <v>26.52</v>
      </c>
      <c r="E881" s="25" t="n">
        <v>0</v>
      </c>
      <c r="F881" s="22" t="n">
        <f aca="false">WEEKDAY(A881,2)</f>
        <v>7</v>
      </c>
      <c r="G881" s="22" t="str">
        <f aca="false">IF(F881=7,IF(B881&gt;=23,"C","Sin turno"),IF(B881&lt;7,"C",IF(B881&lt;14,"A",IF(B881&lt;21,"B",IF(B881&lt;23,"Entre turnos",IF(F881=6,"Sin turno","C"))))))</f>
        <v>Sin turno</v>
      </c>
      <c r="H881" s="25" t="n">
        <f aca="false">IF(D881="","",MAX(0,D881-0.5*C881))</f>
        <v>0</v>
      </c>
    </row>
    <row r="882" customFormat="false" ht="15" hidden="false" customHeight="false" outlineLevel="0" collapsed="false">
      <c r="A882" s="21" t="n">
        <v>46257</v>
      </c>
      <c r="B882" s="22" t="n">
        <v>16</v>
      </c>
      <c r="C882" s="25" t="n">
        <v>64.44</v>
      </c>
      <c r="D882" s="25" t="n">
        <v>26.88</v>
      </c>
      <c r="E882" s="25" t="n">
        <v>0</v>
      </c>
      <c r="F882" s="22" t="n">
        <f aca="false">WEEKDAY(A882,2)</f>
        <v>7</v>
      </c>
      <c r="G882" s="22" t="str">
        <f aca="false">IF(F882=7,IF(B882&gt;=23,"C","Sin turno"),IF(B882&lt;7,"C",IF(B882&lt;14,"A",IF(B882&lt;21,"B",IF(B882&lt;23,"Entre turnos",IF(F882=6,"Sin turno","C"))))))</f>
        <v>Sin turno</v>
      </c>
      <c r="H882" s="25" t="n">
        <f aca="false">IF(D882="","",MAX(0,D882-0.5*C882))</f>
        <v>0</v>
      </c>
    </row>
    <row r="883" customFormat="false" ht="15" hidden="false" customHeight="false" outlineLevel="0" collapsed="false">
      <c r="A883" s="21" t="n">
        <v>46257</v>
      </c>
      <c r="B883" s="22" t="n">
        <v>17</v>
      </c>
      <c r="C883" s="25" t="n">
        <v>63</v>
      </c>
      <c r="D883" s="25" t="n">
        <v>26.52</v>
      </c>
      <c r="E883" s="25" t="n">
        <v>0</v>
      </c>
      <c r="F883" s="22" t="n">
        <f aca="false">WEEKDAY(A883,2)</f>
        <v>7</v>
      </c>
      <c r="G883" s="22" t="str">
        <f aca="false">IF(F883=7,IF(B883&gt;=23,"C","Sin turno"),IF(B883&lt;7,"C",IF(B883&lt;14,"A",IF(B883&lt;21,"B",IF(B883&lt;23,"Entre turnos",IF(F883=6,"Sin turno","C"))))))</f>
        <v>Sin turno</v>
      </c>
      <c r="H883" s="25" t="n">
        <f aca="false">IF(D883="","",MAX(0,D883-0.5*C883))</f>
        <v>0</v>
      </c>
    </row>
    <row r="884" customFormat="false" ht="15" hidden="false" customHeight="false" outlineLevel="0" collapsed="false">
      <c r="A884" s="21" t="n">
        <v>46257</v>
      </c>
      <c r="B884" s="22" t="n">
        <v>18</v>
      </c>
      <c r="C884" s="25" t="n">
        <v>53.88</v>
      </c>
      <c r="D884" s="25" t="n">
        <v>20.52</v>
      </c>
      <c r="E884" s="25" t="n">
        <v>0</v>
      </c>
      <c r="F884" s="22" t="n">
        <f aca="false">WEEKDAY(A884,2)</f>
        <v>7</v>
      </c>
      <c r="G884" s="22" t="str">
        <f aca="false">IF(F884=7,IF(B884&gt;=23,"C","Sin turno"),IF(B884&lt;7,"C",IF(B884&lt;14,"A",IF(B884&lt;21,"B",IF(B884&lt;23,"Entre turnos",IF(F884=6,"Sin turno","C"))))))</f>
        <v>Sin turno</v>
      </c>
      <c r="H884" s="25" t="n">
        <f aca="false">IF(D884="","",MAX(0,D884-0.5*C884))</f>
        <v>0</v>
      </c>
    </row>
    <row r="885" customFormat="false" ht="15" hidden="false" customHeight="false" outlineLevel="0" collapsed="false">
      <c r="A885" s="21" t="n">
        <v>46257</v>
      </c>
      <c r="B885" s="22" t="n">
        <v>19</v>
      </c>
      <c r="C885" s="25" t="n">
        <v>52.08</v>
      </c>
      <c r="D885" s="25" t="n">
        <v>20.76</v>
      </c>
      <c r="E885" s="25" t="n">
        <v>0</v>
      </c>
      <c r="F885" s="22" t="n">
        <f aca="false">WEEKDAY(A885,2)</f>
        <v>7</v>
      </c>
      <c r="G885" s="22" t="str">
        <f aca="false">IF(F885=7,IF(B885&gt;=23,"C","Sin turno"),IF(B885&lt;7,"C",IF(B885&lt;14,"A",IF(B885&lt;21,"B",IF(B885&lt;23,"Entre turnos",IF(F885=6,"Sin turno","C"))))))</f>
        <v>Sin turno</v>
      </c>
      <c r="H885" s="25" t="n">
        <f aca="false">IF(D885="","",MAX(0,D885-0.5*C885))</f>
        <v>0</v>
      </c>
    </row>
    <row r="886" customFormat="false" ht="15" hidden="false" customHeight="false" outlineLevel="0" collapsed="false">
      <c r="A886" s="21" t="n">
        <v>46257</v>
      </c>
      <c r="B886" s="22" t="n">
        <v>20</v>
      </c>
      <c r="C886" s="25" t="n">
        <v>51.96</v>
      </c>
      <c r="D886" s="25" t="n">
        <v>20.64</v>
      </c>
      <c r="E886" s="25" t="n">
        <v>0</v>
      </c>
      <c r="F886" s="22" t="n">
        <f aca="false">WEEKDAY(A886,2)</f>
        <v>7</v>
      </c>
      <c r="G886" s="22" t="str">
        <f aca="false">IF(F886=7,IF(B886&gt;=23,"C","Sin turno"),IF(B886&lt;7,"C",IF(B886&lt;14,"A",IF(B886&lt;21,"B",IF(B886&lt;23,"Entre turnos",IF(F886=6,"Sin turno","C"))))))</f>
        <v>Sin turno</v>
      </c>
      <c r="H886" s="25" t="n">
        <f aca="false">IF(D886="","",MAX(0,D886-0.5*C886))</f>
        <v>0</v>
      </c>
    </row>
    <row r="887" customFormat="false" ht="15" hidden="false" customHeight="false" outlineLevel="0" collapsed="false">
      <c r="A887" s="21" t="n">
        <v>46257</v>
      </c>
      <c r="B887" s="22" t="n">
        <v>21</v>
      </c>
      <c r="C887" s="25" t="n">
        <v>50.76</v>
      </c>
      <c r="D887" s="25" t="n">
        <v>21.12</v>
      </c>
      <c r="E887" s="25" t="n">
        <v>0</v>
      </c>
      <c r="F887" s="22" t="n">
        <f aca="false">WEEKDAY(A887,2)</f>
        <v>7</v>
      </c>
      <c r="G887" s="22" t="str">
        <f aca="false">IF(F887=7,IF(B887&gt;=23,"C","Sin turno"),IF(B887&lt;7,"C",IF(B887&lt;14,"A",IF(B887&lt;21,"B",IF(B887&lt;23,"Entre turnos",IF(F887=6,"Sin turno","C"))))))</f>
        <v>Sin turno</v>
      </c>
      <c r="H887" s="25" t="n">
        <f aca="false">IF(D887="","",MAX(0,D887-0.5*C887))</f>
        <v>0</v>
      </c>
    </row>
    <row r="888" customFormat="false" ht="15" hidden="false" customHeight="false" outlineLevel="0" collapsed="false">
      <c r="A888" s="21" t="n">
        <v>46257</v>
      </c>
      <c r="B888" s="22" t="n">
        <v>22</v>
      </c>
      <c r="C888" s="25" t="n">
        <v>49.92</v>
      </c>
      <c r="D888" s="25" t="n">
        <v>20.64</v>
      </c>
      <c r="E888" s="25" t="n">
        <v>0</v>
      </c>
      <c r="F888" s="22" t="n">
        <f aca="false">WEEKDAY(A888,2)</f>
        <v>7</v>
      </c>
      <c r="G888" s="22" t="str">
        <f aca="false">IF(F888=7,IF(B888&gt;=23,"C","Sin turno"),IF(B888&lt;7,"C",IF(B888&lt;14,"A",IF(B888&lt;21,"B",IF(B888&lt;23,"Entre turnos",IF(F888=6,"Sin turno","C"))))))</f>
        <v>Sin turno</v>
      </c>
      <c r="H888" s="25" t="n">
        <f aca="false">IF(D888="","",MAX(0,D888-0.5*C888))</f>
        <v>0</v>
      </c>
    </row>
    <row r="889" customFormat="false" ht="15" hidden="false" customHeight="false" outlineLevel="0" collapsed="false">
      <c r="A889" s="21" t="n">
        <v>46257</v>
      </c>
      <c r="B889" s="22" t="n">
        <v>23</v>
      </c>
      <c r="C889" s="25" t="n">
        <v>79.44</v>
      </c>
      <c r="D889" s="25" t="n">
        <v>22.8</v>
      </c>
      <c r="E889" s="25" t="n">
        <v>0</v>
      </c>
      <c r="F889" s="22" t="n">
        <f aca="false">WEEKDAY(A889,2)</f>
        <v>7</v>
      </c>
      <c r="G889" s="22" t="str">
        <f aca="false">IF(F889=7,IF(B889&gt;=23,"C","Sin turno"),IF(B889&lt;7,"C",IF(B889&lt;14,"A",IF(B889&lt;21,"B",IF(B889&lt;23,"Entre turnos",IF(F889=6,"Sin turno","C"))))))</f>
        <v>C</v>
      </c>
      <c r="H889" s="25" t="n">
        <f aca="false">IF(D889="","",MAX(0,D889-0.5*C889))</f>
        <v>0</v>
      </c>
    </row>
    <row r="890" customFormat="false" ht="15" hidden="false" customHeight="false" outlineLevel="0" collapsed="false">
      <c r="A890" s="21" t="n">
        <v>46258</v>
      </c>
      <c r="B890" s="22" t="n">
        <v>0</v>
      </c>
      <c r="C890" s="25" t="n">
        <v>100.92</v>
      </c>
      <c r="D890" s="25" t="n">
        <v>12.72</v>
      </c>
      <c r="E890" s="25" t="n">
        <v>1.32</v>
      </c>
      <c r="F890" s="22" t="n">
        <f aca="false">WEEKDAY(A890,2)</f>
        <v>1</v>
      </c>
      <c r="G890" s="22" t="str">
        <f aca="false">IF(F890=7,IF(B890&gt;=23,"C","Sin turno"),IF(B890&lt;7,"C",IF(B890&lt;14,"A",IF(B890&lt;21,"B",IF(B890&lt;23,"Entre turnos",IF(F890=6,"Sin turno","C"))))))</f>
        <v>C</v>
      </c>
      <c r="H890" s="25" t="n">
        <f aca="false">IF(D890="","",MAX(0,D890-0.5*C890))</f>
        <v>0</v>
      </c>
    </row>
    <row r="891" customFormat="false" ht="15" hidden="false" customHeight="false" outlineLevel="0" collapsed="false">
      <c r="A891" s="21" t="n">
        <v>46258</v>
      </c>
      <c r="B891" s="22" t="n">
        <v>1</v>
      </c>
      <c r="C891" s="25" t="n">
        <v>92.52</v>
      </c>
      <c r="D891" s="25" t="n">
        <v>11.28</v>
      </c>
      <c r="E891" s="25" t="n">
        <v>1.2</v>
      </c>
      <c r="F891" s="22" t="n">
        <f aca="false">WEEKDAY(A891,2)</f>
        <v>1</v>
      </c>
      <c r="G891" s="22" t="str">
        <f aca="false">IF(F891=7,IF(B891&gt;=23,"C","Sin turno"),IF(B891&lt;7,"C",IF(B891&lt;14,"A",IF(B891&lt;21,"B",IF(B891&lt;23,"Entre turnos",IF(F891=6,"Sin turno","C"))))))</f>
        <v>C</v>
      </c>
      <c r="H891" s="25" t="n">
        <f aca="false">IF(D891="","",MAX(0,D891-0.5*C891))</f>
        <v>0</v>
      </c>
    </row>
    <row r="892" customFormat="false" ht="15" hidden="false" customHeight="false" outlineLevel="0" collapsed="false">
      <c r="A892" s="21" t="n">
        <v>46258</v>
      </c>
      <c r="B892" s="22" t="n">
        <v>2</v>
      </c>
      <c r="C892" s="25" t="n">
        <v>100.56</v>
      </c>
      <c r="D892" s="25" t="n">
        <v>12.72</v>
      </c>
      <c r="E892" s="25" t="n">
        <v>0.24</v>
      </c>
      <c r="F892" s="22" t="n">
        <f aca="false">WEEKDAY(A892,2)</f>
        <v>1</v>
      </c>
      <c r="G892" s="22" t="str">
        <f aca="false">IF(F892=7,IF(B892&gt;=23,"C","Sin turno"),IF(B892&lt;7,"C",IF(B892&lt;14,"A",IF(B892&lt;21,"B",IF(B892&lt;23,"Entre turnos",IF(F892=6,"Sin turno","C"))))))</f>
        <v>C</v>
      </c>
      <c r="H892" s="25" t="n">
        <f aca="false">IF(D892="","",MAX(0,D892-0.5*C892))</f>
        <v>0</v>
      </c>
    </row>
    <row r="893" customFormat="false" ht="15" hidden="false" customHeight="false" outlineLevel="0" collapsed="false">
      <c r="A893" s="21" t="n">
        <v>46258</v>
      </c>
      <c r="B893" s="22" t="n">
        <v>3</v>
      </c>
      <c r="C893" s="25" t="n">
        <v>91.92</v>
      </c>
      <c r="D893" s="25" t="n">
        <v>11.76</v>
      </c>
      <c r="E893" s="25" t="n">
        <v>1.08</v>
      </c>
      <c r="F893" s="22" t="n">
        <f aca="false">WEEKDAY(A893,2)</f>
        <v>1</v>
      </c>
      <c r="G893" s="22" t="str">
        <f aca="false">IF(F893=7,IF(B893&gt;=23,"C","Sin turno"),IF(B893&lt;7,"C",IF(B893&lt;14,"A",IF(B893&lt;21,"B",IF(B893&lt;23,"Entre turnos",IF(F893=6,"Sin turno","C"))))))</f>
        <v>C</v>
      </c>
      <c r="H893" s="25" t="n">
        <f aca="false">IF(D893="","",MAX(0,D893-0.5*C893))</f>
        <v>0</v>
      </c>
    </row>
    <row r="894" customFormat="false" ht="15" hidden="false" customHeight="false" outlineLevel="0" collapsed="false">
      <c r="A894" s="21" t="n">
        <v>46258</v>
      </c>
      <c r="B894" s="22" t="n">
        <v>4</v>
      </c>
      <c r="C894" s="25" t="n">
        <v>99.84</v>
      </c>
      <c r="D894" s="25" t="n">
        <v>11.52</v>
      </c>
      <c r="E894" s="25" t="n">
        <v>1.32</v>
      </c>
      <c r="F894" s="22" t="n">
        <f aca="false">WEEKDAY(A894,2)</f>
        <v>1</v>
      </c>
      <c r="G894" s="22" t="str">
        <f aca="false">IF(F894=7,IF(B894&gt;=23,"C","Sin turno"),IF(B894&lt;7,"C",IF(B894&lt;14,"A",IF(B894&lt;21,"B",IF(B894&lt;23,"Entre turnos",IF(F894=6,"Sin turno","C"))))))</f>
        <v>C</v>
      </c>
      <c r="H894" s="25" t="n">
        <f aca="false">IF(D894="","",MAX(0,D894-0.5*C894))</f>
        <v>0</v>
      </c>
    </row>
    <row r="895" customFormat="false" ht="15" hidden="false" customHeight="false" outlineLevel="0" collapsed="false">
      <c r="A895" s="21" t="n">
        <v>46258</v>
      </c>
      <c r="B895" s="22" t="n">
        <v>5</v>
      </c>
      <c r="C895" s="25" t="n">
        <v>98.76</v>
      </c>
      <c r="D895" s="25" t="n">
        <v>13.44</v>
      </c>
      <c r="E895" s="25" t="n">
        <v>1.44</v>
      </c>
      <c r="F895" s="22" t="n">
        <f aca="false">WEEKDAY(A895,2)</f>
        <v>1</v>
      </c>
      <c r="G895" s="22" t="str">
        <f aca="false">IF(F895=7,IF(B895&gt;=23,"C","Sin turno"),IF(B895&lt;7,"C",IF(B895&lt;14,"A",IF(B895&lt;21,"B",IF(B895&lt;23,"Entre turnos",IF(F895=6,"Sin turno","C"))))))</f>
        <v>C</v>
      </c>
      <c r="H895" s="25" t="n">
        <f aca="false">IF(D895="","",MAX(0,D895-0.5*C895))</f>
        <v>0</v>
      </c>
    </row>
    <row r="896" customFormat="false" ht="15" hidden="false" customHeight="false" outlineLevel="0" collapsed="false">
      <c r="A896" s="21" t="n">
        <v>46258</v>
      </c>
      <c r="B896" s="22" t="n">
        <v>6</v>
      </c>
      <c r="C896" s="25" t="n">
        <v>126.48</v>
      </c>
      <c r="D896" s="25" t="n">
        <v>15.48</v>
      </c>
      <c r="E896" s="25" t="n">
        <v>0.48</v>
      </c>
      <c r="F896" s="22" t="n">
        <f aca="false">WEEKDAY(A896,2)</f>
        <v>1</v>
      </c>
      <c r="G896" s="22" t="str">
        <f aca="false">IF(F896=7,IF(B896&gt;=23,"C","Sin turno"),IF(B896&lt;7,"C",IF(B896&lt;14,"A",IF(B896&lt;21,"B",IF(B896&lt;23,"Entre turnos",IF(F896=6,"Sin turno","C"))))))</f>
        <v>C</v>
      </c>
      <c r="H896" s="25" t="n">
        <f aca="false">IF(D896="","",MAX(0,D896-0.5*C896))</f>
        <v>0</v>
      </c>
    </row>
    <row r="897" customFormat="false" ht="15" hidden="false" customHeight="false" outlineLevel="0" collapsed="false">
      <c r="A897" s="21" t="n">
        <v>46258</v>
      </c>
      <c r="B897" s="22" t="n">
        <v>7</v>
      </c>
      <c r="C897" s="25" t="n">
        <v>245.88</v>
      </c>
      <c r="D897" s="25" t="n">
        <v>24.48</v>
      </c>
      <c r="E897" s="25" t="n">
        <v>0</v>
      </c>
      <c r="F897" s="22" t="n">
        <f aca="false">WEEKDAY(A897,2)</f>
        <v>1</v>
      </c>
      <c r="G897" s="22" t="str">
        <f aca="false">IF(F897=7,IF(B897&gt;=23,"C","Sin turno"),IF(B897&lt;7,"C",IF(B897&lt;14,"A",IF(B897&lt;21,"B",IF(B897&lt;23,"Entre turnos",IF(F897=6,"Sin turno","C"))))))</f>
        <v>A</v>
      </c>
      <c r="H897" s="25" t="n">
        <f aca="false">IF(D897="","",MAX(0,D897-0.5*C897))</f>
        <v>0</v>
      </c>
    </row>
    <row r="898" customFormat="false" ht="15" hidden="false" customHeight="false" outlineLevel="0" collapsed="false">
      <c r="A898" s="21" t="n">
        <v>46258</v>
      </c>
      <c r="B898" s="22" t="n">
        <v>8</v>
      </c>
      <c r="C898" s="25" t="n">
        <v>314.16</v>
      </c>
      <c r="D898" s="25" t="n">
        <v>27.12</v>
      </c>
      <c r="E898" s="25" t="n">
        <v>0</v>
      </c>
      <c r="F898" s="22" t="n">
        <f aca="false">WEEKDAY(A898,2)</f>
        <v>1</v>
      </c>
      <c r="G898" s="22" t="str">
        <f aca="false">IF(F898=7,IF(B898&gt;=23,"C","Sin turno"),IF(B898&lt;7,"C",IF(B898&lt;14,"A",IF(B898&lt;21,"B",IF(B898&lt;23,"Entre turnos",IF(F898=6,"Sin turno","C"))))))</f>
        <v>A</v>
      </c>
      <c r="H898" s="25" t="n">
        <f aca="false">IF(D898="","",MAX(0,D898-0.5*C898))</f>
        <v>0</v>
      </c>
    </row>
    <row r="899" customFormat="false" ht="15" hidden="false" customHeight="false" outlineLevel="0" collapsed="false">
      <c r="A899" s="21" t="n">
        <v>46258</v>
      </c>
      <c r="B899" s="22" t="n">
        <v>9</v>
      </c>
      <c r="C899" s="25" t="n">
        <v>285.96</v>
      </c>
      <c r="D899" s="25" t="n">
        <v>25.44</v>
      </c>
      <c r="E899" s="25" t="n">
        <v>0</v>
      </c>
      <c r="F899" s="22" t="n">
        <f aca="false">WEEKDAY(A899,2)</f>
        <v>1</v>
      </c>
      <c r="G899" s="22" t="str">
        <f aca="false">IF(F899=7,IF(B899&gt;=23,"C","Sin turno"),IF(B899&lt;7,"C",IF(B899&lt;14,"A",IF(B899&lt;21,"B",IF(B899&lt;23,"Entre turnos",IF(F899=6,"Sin turno","C"))))))</f>
        <v>A</v>
      </c>
      <c r="H899" s="25" t="n">
        <f aca="false">IF(D899="","",MAX(0,D899-0.5*C899))</f>
        <v>0</v>
      </c>
    </row>
    <row r="900" customFormat="false" ht="15" hidden="false" customHeight="false" outlineLevel="0" collapsed="false">
      <c r="A900" s="21" t="n">
        <v>46258</v>
      </c>
      <c r="B900" s="22" t="n">
        <v>10</v>
      </c>
      <c r="C900" s="25" t="n">
        <v>270.24</v>
      </c>
      <c r="D900" s="25" t="n">
        <v>22.68</v>
      </c>
      <c r="E900" s="25" t="n">
        <v>0</v>
      </c>
      <c r="F900" s="22" t="n">
        <f aca="false">WEEKDAY(A900,2)</f>
        <v>1</v>
      </c>
      <c r="G900" s="22" t="str">
        <f aca="false">IF(F900=7,IF(B900&gt;=23,"C","Sin turno"),IF(B900&lt;7,"C",IF(B900&lt;14,"A",IF(B900&lt;21,"B",IF(B900&lt;23,"Entre turnos",IF(F900=6,"Sin turno","C"))))))</f>
        <v>A</v>
      </c>
      <c r="H900" s="25" t="n">
        <f aca="false">IF(D900="","",MAX(0,D900-0.5*C900))</f>
        <v>0</v>
      </c>
    </row>
    <row r="901" customFormat="false" ht="15" hidden="false" customHeight="false" outlineLevel="0" collapsed="false">
      <c r="A901" s="21" t="n">
        <v>46258</v>
      </c>
      <c r="B901" s="22" t="n">
        <v>11</v>
      </c>
      <c r="C901" s="25" t="n">
        <v>281.04</v>
      </c>
      <c r="D901" s="25" t="n">
        <v>22.2</v>
      </c>
      <c r="E901" s="25" t="n">
        <v>0</v>
      </c>
      <c r="F901" s="22" t="n">
        <f aca="false">WEEKDAY(A901,2)</f>
        <v>1</v>
      </c>
      <c r="G901" s="22" t="str">
        <f aca="false">IF(F901=7,IF(B901&gt;=23,"C","Sin turno"),IF(B901&lt;7,"C",IF(B901&lt;14,"A",IF(B901&lt;21,"B",IF(B901&lt;23,"Entre turnos",IF(F901=6,"Sin turno","C"))))))</f>
        <v>A</v>
      </c>
      <c r="H901" s="25" t="n">
        <f aca="false">IF(D901="","",MAX(0,D901-0.5*C901))</f>
        <v>0</v>
      </c>
    </row>
    <row r="902" customFormat="false" ht="15" hidden="false" customHeight="false" outlineLevel="0" collapsed="false">
      <c r="A902" s="21" t="n">
        <v>46258</v>
      </c>
      <c r="B902" s="22" t="n">
        <v>12</v>
      </c>
      <c r="C902" s="25" t="n">
        <v>312.12</v>
      </c>
      <c r="D902" s="25" t="n">
        <v>25.8</v>
      </c>
      <c r="E902" s="25" t="n">
        <v>0</v>
      </c>
      <c r="F902" s="22" t="n">
        <f aca="false">WEEKDAY(A902,2)</f>
        <v>1</v>
      </c>
      <c r="G902" s="22" t="str">
        <f aca="false">IF(F902=7,IF(B902&gt;=23,"C","Sin turno"),IF(B902&lt;7,"C",IF(B902&lt;14,"A",IF(B902&lt;21,"B",IF(B902&lt;23,"Entre turnos",IF(F902=6,"Sin turno","C"))))))</f>
        <v>A</v>
      </c>
      <c r="H902" s="25" t="n">
        <f aca="false">IF(D902="","",MAX(0,D902-0.5*C902))</f>
        <v>0</v>
      </c>
    </row>
    <row r="903" customFormat="false" ht="15" hidden="false" customHeight="false" outlineLevel="0" collapsed="false">
      <c r="A903" s="21" t="n">
        <v>46258</v>
      </c>
      <c r="B903" s="22" t="n">
        <v>13</v>
      </c>
      <c r="C903" s="25" t="n">
        <v>297.6</v>
      </c>
      <c r="D903" s="25" t="n">
        <v>24.84</v>
      </c>
      <c r="E903" s="25" t="n">
        <v>0</v>
      </c>
      <c r="F903" s="22" t="n">
        <f aca="false">WEEKDAY(A903,2)</f>
        <v>1</v>
      </c>
      <c r="G903" s="22" t="str">
        <f aca="false">IF(F903=7,IF(B903&gt;=23,"C","Sin turno"),IF(B903&lt;7,"C",IF(B903&lt;14,"A",IF(B903&lt;21,"B",IF(B903&lt;23,"Entre turnos",IF(F903=6,"Sin turno","C"))))))</f>
        <v>A</v>
      </c>
      <c r="H903" s="25" t="n">
        <f aca="false">IF(D903="","",MAX(0,D903-0.5*C903))</f>
        <v>0</v>
      </c>
    </row>
    <row r="904" customFormat="false" ht="15" hidden="false" customHeight="false" outlineLevel="0" collapsed="false">
      <c r="A904" s="21" t="n">
        <v>46258</v>
      </c>
      <c r="B904" s="22" t="n">
        <v>14</v>
      </c>
      <c r="C904" s="25" t="n">
        <v>282</v>
      </c>
      <c r="D904" s="25" t="n">
        <v>24.84</v>
      </c>
      <c r="E904" s="25" t="n">
        <v>0</v>
      </c>
      <c r="F904" s="22" t="n">
        <f aca="false">WEEKDAY(A904,2)</f>
        <v>1</v>
      </c>
      <c r="G904" s="22" t="str">
        <f aca="false">IF(F904=7,IF(B904&gt;=23,"C","Sin turno"),IF(B904&lt;7,"C",IF(B904&lt;14,"A",IF(B904&lt;21,"B",IF(B904&lt;23,"Entre turnos",IF(F904=6,"Sin turno","C"))))))</f>
        <v>B</v>
      </c>
      <c r="H904" s="25" t="n">
        <f aca="false">IF(D904="","",MAX(0,D904-0.5*C904))</f>
        <v>0</v>
      </c>
    </row>
    <row r="905" customFormat="false" ht="15" hidden="false" customHeight="false" outlineLevel="0" collapsed="false">
      <c r="A905" s="21" t="n">
        <v>46258</v>
      </c>
      <c r="B905" s="22" t="n">
        <v>15</v>
      </c>
      <c r="C905" s="25" t="n">
        <v>276.72</v>
      </c>
      <c r="D905" s="25" t="n">
        <v>30</v>
      </c>
      <c r="E905" s="25" t="n">
        <v>0.12</v>
      </c>
      <c r="F905" s="22" t="n">
        <f aca="false">WEEKDAY(A905,2)</f>
        <v>1</v>
      </c>
      <c r="G905" s="22" t="str">
        <f aca="false">IF(F905=7,IF(B905&gt;=23,"C","Sin turno"),IF(B905&lt;7,"C",IF(B905&lt;14,"A",IF(B905&lt;21,"B",IF(B905&lt;23,"Entre turnos",IF(F905=6,"Sin turno","C"))))))</f>
        <v>B</v>
      </c>
      <c r="H905" s="25" t="n">
        <f aca="false">IF(D905="","",MAX(0,D905-0.5*C905))</f>
        <v>0</v>
      </c>
    </row>
    <row r="906" customFormat="false" ht="15" hidden="false" customHeight="false" outlineLevel="0" collapsed="false">
      <c r="A906" s="21" t="n">
        <v>46258</v>
      </c>
      <c r="B906" s="22" t="n">
        <v>16</v>
      </c>
      <c r="C906" s="25" t="n">
        <v>264.96</v>
      </c>
      <c r="D906" s="25" t="n">
        <v>29.88</v>
      </c>
      <c r="E906" s="25" t="n">
        <v>0</v>
      </c>
      <c r="F906" s="22" t="n">
        <f aca="false">WEEKDAY(A906,2)</f>
        <v>1</v>
      </c>
      <c r="G906" s="22" t="str">
        <f aca="false">IF(F906=7,IF(B906&gt;=23,"C","Sin turno"),IF(B906&lt;7,"C",IF(B906&lt;14,"A",IF(B906&lt;21,"B",IF(B906&lt;23,"Entre turnos",IF(F906=6,"Sin turno","C"))))))</f>
        <v>B</v>
      </c>
      <c r="H906" s="25" t="n">
        <f aca="false">IF(D906="","",MAX(0,D906-0.5*C906))</f>
        <v>0</v>
      </c>
    </row>
    <row r="907" customFormat="false" ht="15" hidden="false" customHeight="false" outlineLevel="0" collapsed="false">
      <c r="A907" s="21" t="n">
        <v>46258</v>
      </c>
      <c r="B907" s="22" t="n">
        <v>17</v>
      </c>
      <c r="C907" s="25" t="n">
        <v>223.08</v>
      </c>
      <c r="D907" s="25" t="n">
        <v>19.92</v>
      </c>
      <c r="E907" s="25" t="n">
        <v>0</v>
      </c>
      <c r="F907" s="22" t="n">
        <f aca="false">WEEKDAY(A907,2)</f>
        <v>1</v>
      </c>
      <c r="G907" s="22" t="str">
        <f aca="false">IF(F907=7,IF(B907&gt;=23,"C","Sin turno"),IF(B907&lt;7,"C",IF(B907&lt;14,"A",IF(B907&lt;21,"B",IF(B907&lt;23,"Entre turnos",IF(F907=6,"Sin turno","C"))))))</f>
        <v>B</v>
      </c>
      <c r="H907" s="25" t="n">
        <f aca="false">IF(D907="","",MAX(0,D907-0.5*C907))</f>
        <v>0</v>
      </c>
    </row>
    <row r="908" customFormat="false" ht="15" hidden="false" customHeight="false" outlineLevel="0" collapsed="false">
      <c r="A908" s="21" t="n">
        <v>46258</v>
      </c>
      <c r="B908" s="22" t="n">
        <v>18</v>
      </c>
      <c r="C908" s="25" t="n">
        <v>191.76</v>
      </c>
      <c r="D908" s="25" t="n">
        <v>16.44</v>
      </c>
      <c r="E908" s="25" t="n">
        <v>0</v>
      </c>
      <c r="F908" s="22" t="n">
        <f aca="false">WEEKDAY(A908,2)</f>
        <v>1</v>
      </c>
      <c r="G908" s="22" t="str">
        <f aca="false">IF(F908=7,IF(B908&gt;=23,"C","Sin turno"),IF(B908&lt;7,"C",IF(B908&lt;14,"A",IF(B908&lt;21,"B",IF(B908&lt;23,"Entre turnos",IF(F908=6,"Sin turno","C"))))))</f>
        <v>B</v>
      </c>
      <c r="H908" s="25" t="n">
        <f aca="false">IF(D908="","",MAX(0,D908-0.5*C908))</f>
        <v>0</v>
      </c>
    </row>
    <row r="909" customFormat="false" ht="15" hidden="false" customHeight="false" outlineLevel="0" collapsed="false">
      <c r="A909" s="21" t="n">
        <v>46258</v>
      </c>
      <c r="B909" s="22" t="n">
        <v>19</v>
      </c>
      <c r="C909" s="25" t="n">
        <v>207</v>
      </c>
      <c r="D909" s="25" t="n">
        <v>21.84</v>
      </c>
      <c r="E909" s="25" t="n">
        <v>0</v>
      </c>
      <c r="F909" s="22" t="n">
        <f aca="false">WEEKDAY(A909,2)</f>
        <v>1</v>
      </c>
      <c r="G909" s="22" t="str">
        <f aca="false">IF(F909=7,IF(B909&gt;=23,"C","Sin turno"),IF(B909&lt;7,"C",IF(B909&lt;14,"A",IF(B909&lt;21,"B",IF(B909&lt;23,"Entre turnos",IF(F909=6,"Sin turno","C"))))))</f>
        <v>B</v>
      </c>
      <c r="H909" s="25" t="n">
        <f aca="false">IF(D909="","",MAX(0,D909-0.5*C909))</f>
        <v>0</v>
      </c>
    </row>
    <row r="910" customFormat="false" ht="15" hidden="false" customHeight="false" outlineLevel="0" collapsed="false">
      <c r="A910" s="21" t="n">
        <v>46258</v>
      </c>
      <c r="B910" s="22" t="n">
        <v>20</v>
      </c>
      <c r="C910" s="25" t="n">
        <v>211.08</v>
      </c>
      <c r="D910" s="25" t="n">
        <v>19.44</v>
      </c>
      <c r="E910" s="25" t="n">
        <v>0</v>
      </c>
      <c r="F910" s="22" t="n">
        <f aca="false">WEEKDAY(A910,2)</f>
        <v>1</v>
      </c>
      <c r="G910" s="22" t="str">
        <f aca="false">IF(F910=7,IF(B910&gt;=23,"C","Sin turno"),IF(B910&lt;7,"C",IF(B910&lt;14,"A",IF(B910&lt;21,"B",IF(B910&lt;23,"Entre turnos",IF(F910=6,"Sin turno","C"))))))</f>
        <v>B</v>
      </c>
      <c r="H910" s="25" t="n">
        <f aca="false">IF(D910="","",MAX(0,D910-0.5*C910))</f>
        <v>0</v>
      </c>
    </row>
    <row r="911" customFormat="false" ht="15" hidden="false" customHeight="false" outlineLevel="0" collapsed="false">
      <c r="A911" s="21" t="n">
        <v>46258</v>
      </c>
      <c r="B911" s="22" t="n">
        <v>21</v>
      </c>
      <c r="C911" s="25" t="n">
        <v>155.88</v>
      </c>
      <c r="D911" s="25" t="n">
        <v>14.4</v>
      </c>
      <c r="E911" s="25" t="n">
        <v>0.12</v>
      </c>
      <c r="F911" s="22" t="n">
        <f aca="false">WEEKDAY(A911,2)</f>
        <v>1</v>
      </c>
      <c r="G911" s="22" t="str">
        <f aca="false">IF(F911=7,IF(B911&gt;=23,"C","Sin turno"),IF(B911&lt;7,"C",IF(B911&lt;14,"A",IF(B911&lt;21,"B",IF(B911&lt;23,"Entre turnos",IF(F911=6,"Sin turno","C"))))))</f>
        <v>Entre turnos</v>
      </c>
      <c r="H911" s="25" t="n">
        <f aca="false">IF(D911="","",MAX(0,D911-0.5*C911))</f>
        <v>0</v>
      </c>
    </row>
    <row r="912" customFormat="false" ht="15" hidden="false" customHeight="false" outlineLevel="0" collapsed="false">
      <c r="A912" s="21" t="n">
        <v>46258</v>
      </c>
      <c r="B912" s="22" t="n">
        <v>22</v>
      </c>
      <c r="C912" s="25" t="n">
        <v>107.28</v>
      </c>
      <c r="D912" s="25" t="n">
        <v>16.44</v>
      </c>
      <c r="E912" s="25" t="n">
        <v>0</v>
      </c>
      <c r="F912" s="22" t="n">
        <f aca="false">WEEKDAY(A912,2)</f>
        <v>1</v>
      </c>
      <c r="G912" s="22" t="str">
        <f aca="false">IF(F912=7,IF(B912&gt;=23,"C","Sin turno"),IF(B912&lt;7,"C",IF(B912&lt;14,"A",IF(B912&lt;21,"B",IF(B912&lt;23,"Entre turnos",IF(F912=6,"Sin turno","C"))))))</f>
        <v>Entre turnos</v>
      </c>
      <c r="H912" s="25" t="n">
        <f aca="false">IF(D912="","",MAX(0,D912-0.5*C912))</f>
        <v>0</v>
      </c>
    </row>
    <row r="913" customFormat="false" ht="15" hidden="false" customHeight="false" outlineLevel="0" collapsed="false">
      <c r="A913" s="21" t="n">
        <v>46258</v>
      </c>
      <c r="B913" s="22" t="n">
        <v>23</v>
      </c>
      <c r="C913" s="25" t="n">
        <v>112.8</v>
      </c>
      <c r="D913" s="25" t="n">
        <v>18.96</v>
      </c>
      <c r="E913" s="25" t="n">
        <v>0</v>
      </c>
      <c r="F913" s="22" t="n">
        <f aca="false">WEEKDAY(A913,2)</f>
        <v>1</v>
      </c>
      <c r="G913" s="22" t="str">
        <f aca="false">IF(F913=7,IF(B913&gt;=23,"C","Sin turno"),IF(B913&lt;7,"C",IF(B913&lt;14,"A",IF(B913&lt;21,"B",IF(B913&lt;23,"Entre turnos",IF(F913=6,"Sin turno","C"))))))</f>
        <v>C</v>
      </c>
      <c r="H913" s="25" t="n">
        <f aca="false">IF(D913="","",MAX(0,D913-0.5*C913))</f>
        <v>0</v>
      </c>
    </row>
    <row r="914" customFormat="false" ht="15" hidden="false" customHeight="false" outlineLevel="0" collapsed="false">
      <c r="A914" s="21" t="n">
        <v>46259</v>
      </c>
      <c r="B914" s="22" t="n">
        <v>0</v>
      </c>
      <c r="C914" s="25" t="n">
        <v>109.08</v>
      </c>
      <c r="D914" s="25" t="n">
        <v>22.32</v>
      </c>
      <c r="E914" s="25" t="n">
        <v>0.12</v>
      </c>
      <c r="F914" s="22" t="n">
        <f aca="false">WEEKDAY(A914,2)</f>
        <v>2</v>
      </c>
      <c r="G914" s="22" t="str">
        <f aca="false">IF(F914=7,IF(B914&gt;=23,"C","Sin turno"),IF(B914&lt;7,"C",IF(B914&lt;14,"A",IF(B914&lt;21,"B",IF(B914&lt;23,"Entre turnos",IF(F914=6,"Sin turno","C"))))))</f>
        <v>C</v>
      </c>
      <c r="H914" s="25" t="n">
        <f aca="false">IF(D914="","",MAX(0,D914-0.5*C914))</f>
        <v>0</v>
      </c>
    </row>
    <row r="915" customFormat="false" ht="15" hidden="false" customHeight="false" outlineLevel="0" collapsed="false">
      <c r="A915" s="21" t="n">
        <v>46259</v>
      </c>
      <c r="B915" s="22" t="n">
        <v>1</v>
      </c>
      <c r="C915" s="25" t="n">
        <v>110.04</v>
      </c>
      <c r="D915" s="25" t="n">
        <v>23.04</v>
      </c>
      <c r="E915" s="25" t="n">
        <v>0.24</v>
      </c>
      <c r="F915" s="22" t="n">
        <f aca="false">WEEKDAY(A915,2)</f>
        <v>2</v>
      </c>
      <c r="G915" s="22" t="str">
        <f aca="false">IF(F915=7,IF(B915&gt;=23,"C","Sin turno"),IF(B915&lt;7,"C",IF(B915&lt;14,"A",IF(B915&lt;21,"B",IF(B915&lt;23,"Entre turnos",IF(F915=6,"Sin turno","C"))))))</f>
        <v>C</v>
      </c>
      <c r="H915" s="25" t="n">
        <f aca="false">IF(D915="","",MAX(0,D915-0.5*C915))</f>
        <v>0</v>
      </c>
    </row>
    <row r="916" customFormat="false" ht="15" hidden="false" customHeight="false" outlineLevel="0" collapsed="false">
      <c r="A916" s="21" t="n">
        <v>46259</v>
      </c>
      <c r="B916" s="22" t="n">
        <v>2</v>
      </c>
      <c r="C916" s="25" t="n">
        <v>109.08</v>
      </c>
      <c r="D916" s="25" t="n">
        <v>25.56</v>
      </c>
      <c r="E916" s="25" t="n">
        <v>0.24</v>
      </c>
      <c r="F916" s="22" t="n">
        <f aca="false">WEEKDAY(A916,2)</f>
        <v>2</v>
      </c>
      <c r="G916" s="22" t="str">
        <f aca="false">IF(F916=7,IF(B916&gt;=23,"C","Sin turno"),IF(B916&lt;7,"C",IF(B916&lt;14,"A",IF(B916&lt;21,"B",IF(B916&lt;23,"Entre turnos",IF(F916=6,"Sin turno","C"))))))</f>
        <v>C</v>
      </c>
      <c r="H916" s="25" t="n">
        <f aca="false">IF(D916="","",MAX(0,D916-0.5*C916))</f>
        <v>0</v>
      </c>
    </row>
    <row r="917" customFormat="false" ht="15" hidden="false" customHeight="false" outlineLevel="0" collapsed="false">
      <c r="A917" s="21" t="n">
        <v>46259</v>
      </c>
      <c r="B917" s="22" t="n">
        <v>3</v>
      </c>
      <c r="C917" s="25" t="n">
        <v>108.84</v>
      </c>
      <c r="D917" s="25" t="n">
        <v>23.76</v>
      </c>
      <c r="E917" s="25" t="n">
        <v>0.72</v>
      </c>
      <c r="F917" s="22" t="n">
        <f aca="false">WEEKDAY(A917,2)</f>
        <v>2</v>
      </c>
      <c r="G917" s="22" t="str">
        <f aca="false">IF(F917=7,IF(B917&gt;=23,"C","Sin turno"),IF(B917&lt;7,"C",IF(B917&lt;14,"A",IF(B917&lt;21,"B",IF(B917&lt;23,"Entre turnos",IF(F917=6,"Sin turno","C"))))))</f>
        <v>C</v>
      </c>
      <c r="H917" s="25" t="n">
        <f aca="false">IF(D917="","",MAX(0,D917-0.5*C917))</f>
        <v>0</v>
      </c>
    </row>
    <row r="918" customFormat="false" ht="15" hidden="false" customHeight="false" outlineLevel="0" collapsed="false">
      <c r="A918" s="21" t="n">
        <v>46259</v>
      </c>
      <c r="B918" s="22" t="n">
        <v>4</v>
      </c>
      <c r="C918" s="25" t="n">
        <v>112.44</v>
      </c>
      <c r="D918" s="25" t="n">
        <v>22.32</v>
      </c>
      <c r="E918" s="25" t="n">
        <v>0.96</v>
      </c>
      <c r="F918" s="22" t="n">
        <f aca="false">WEEKDAY(A918,2)</f>
        <v>2</v>
      </c>
      <c r="G918" s="22" t="str">
        <f aca="false">IF(F918=7,IF(B918&gt;=23,"C","Sin turno"),IF(B918&lt;7,"C",IF(B918&lt;14,"A",IF(B918&lt;21,"B",IF(B918&lt;23,"Entre turnos",IF(F918=6,"Sin turno","C"))))))</f>
        <v>C</v>
      </c>
      <c r="H918" s="25" t="n">
        <f aca="false">IF(D918="","",MAX(0,D918-0.5*C918))</f>
        <v>0</v>
      </c>
    </row>
    <row r="919" customFormat="false" ht="15" hidden="false" customHeight="false" outlineLevel="0" collapsed="false">
      <c r="A919" s="21" t="n">
        <v>46259</v>
      </c>
      <c r="B919" s="22" t="n">
        <v>5</v>
      </c>
      <c r="C919" s="25" t="n">
        <v>116.4</v>
      </c>
      <c r="D919" s="25" t="n">
        <v>21.72</v>
      </c>
      <c r="E919" s="25" t="n">
        <v>0.36</v>
      </c>
      <c r="F919" s="22" t="n">
        <f aca="false">WEEKDAY(A919,2)</f>
        <v>2</v>
      </c>
      <c r="G919" s="22" t="str">
        <f aca="false">IF(F919=7,IF(B919&gt;=23,"C","Sin turno"),IF(B919&lt;7,"C",IF(B919&lt;14,"A",IF(B919&lt;21,"B",IF(B919&lt;23,"Entre turnos",IF(F919=6,"Sin turno","C"))))))</f>
        <v>C</v>
      </c>
      <c r="H919" s="25" t="n">
        <f aca="false">IF(D919="","",MAX(0,D919-0.5*C919))</f>
        <v>0</v>
      </c>
    </row>
    <row r="920" customFormat="false" ht="15" hidden="false" customHeight="false" outlineLevel="0" collapsed="false">
      <c r="A920" s="21" t="n">
        <v>46259</v>
      </c>
      <c r="B920" s="22" t="n">
        <v>6</v>
      </c>
      <c r="C920" s="25" t="n">
        <v>123.96</v>
      </c>
      <c r="D920" s="25" t="n">
        <v>19.56</v>
      </c>
      <c r="E920" s="25" t="n">
        <v>0.12</v>
      </c>
      <c r="F920" s="22" t="n">
        <f aca="false">WEEKDAY(A920,2)</f>
        <v>2</v>
      </c>
      <c r="G920" s="22" t="str">
        <f aca="false">IF(F920=7,IF(B920&gt;=23,"C","Sin turno"),IF(B920&lt;7,"C",IF(B920&lt;14,"A",IF(B920&lt;21,"B",IF(B920&lt;23,"Entre turnos",IF(F920=6,"Sin turno","C"))))))</f>
        <v>C</v>
      </c>
      <c r="H920" s="25" t="n">
        <f aca="false">IF(D920="","",MAX(0,D920-0.5*C920))</f>
        <v>0</v>
      </c>
    </row>
    <row r="921" customFormat="false" ht="15" hidden="false" customHeight="false" outlineLevel="0" collapsed="false">
      <c r="A921" s="21" t="n">
        <v>46259</v>
      </c>
      <c r="B921" s="22" t="n">
        <v>7</v>
      </c>
      <c r="C921" s="25" t="n">
        <v>266.76</v>
      </c>
      <c r="D921" s="25" t="n">
        <v>23.16</v>
      </c>
      <c r="E921" s="25" t="n">
        <v>0</v>
      </c>
      <c r="F921" s="22" t="n">
        <f aca="false">WEEKDAY(A921,2)</f>
        <v>2</v>
      </c>
      <c r="G921" s="22" t="str">
        <f aca="false">IF(F921=7,IF(B921&gt;=23,"C","Sin turno"),IF(B921&lt;7,"C",IF(B921&lt;14,"A",IF(B921&lt;21,"B",IF(B921&lt;23,"Entre turnos",IF(F921=6,"Sin turno","C"))))))</f>
        <v>A</v>
      </c>
      <c r="H921" s="25" t="n">
        <f aca="false">IF(D921="","",MAX(0,D921-0.5*C921))</f>
        <v>0</v>
      </c>
    </row>
    <row r="922" customFormat="false" ht="15" hidden="false" customHeight="false" outlineLevel="0" collapsed="false">
      <c r="A922" s="21" t="n">
        <v>46259</v>
      </c>
      <c r="B922" s="22" t="n">
        <v>8</v>
      </c>
      <c r="C922" s="25" t="n">
        <v>309.12</v>
      </c>
      <c r="D922" s="25" t="n">
        <v>22.68</v>
      </c>
      <c r="E922" s="25" t="n">
        <v>0</v>
      </c>
      <c r="F922" s="22" t="n">
        <f aca="false">WEEKDAY(A922,2)</f>
        <v>2</v>
      </c>
      <c r="G922" s="22" t="str">
        <f aca="false">IF(F922=7,IF(B922&gt;=23,"C","Sin turno"),IF(B922&lt;7,"C",IF(B922&lt;14,"A",IF(B922&lt;21,"B",IF(B922&lt;23,"Entre turnos",IF(F922=6,"Sin turno","C"))))))</f>
        <v>A</v>
      </c>
      <c r="H922" s="25" t="n">
        <f aca="false">IF(D922="","",MAX(0,D922-0.5*C922))</f>
        <v>0</v>
      </c>
    </row>
    <row r="923" customFormat="false" ht="15" hidden="false" customHeight="false" outlineLevel="0" collapsed="false">
      <c r="A923" s="21" t="n">
        <v>46259</v>
      </c>
      <c r="B923" s="22" t="n">
        <v>9</v>
      </c>
      <c r="C923" s="25" t="n">
        <v>318.72</v>
      </c>
      <c r="D923" s="25" t="n">
        <v>24</v>
      </c>
      <c r="E923" s="25" t="n">
        <v>0</v>
      </c>
      <c r="F923" s="22" t="n">
        <f aca="false">WEEKDAY(A923,2)</f>
        <v>2</v>
      </c>
      <c r="G923" s="22" t="str">
        <f aca="false">IF(F923=7,IF(B923&gt;=23,"C","Sin turno"),IF(B923&lt;7,"C",IF(B923&lt;14,"A",IF(B923&lt;21,"B",IF(B923&lt;23,"Entre turnos",IF(F923=6,"Sin turno","C"))))))</f>
        <v>A</v>
      </c>
      <c r="H923" s="25" t="n">
        <f aca="false">IF(D923="","",MAX(0,D923-0.5*C923))</f>
        <v>0</v>
      </c>
    </row>
    <row r="924" customFormat="false" ht="15" hidden="false" customHeight="false" outlineLevel="0" collapsed="false">
      <c r="A924" s="21" t="n">
        <v>46259</v>
      </c>
      <c r="B924" s="22" t="n">
        <v>10</v>
      </c>
      <c r="C924" s="25" t="n">
        <v>271.92</v>
      </c>
      <c r="D924" s="25" t="n">
        <v>23.4</v>
      </c>
      <c r="E924" s="25" t="n">
        <v>0</v>
      </c>
      <c r="F924" s="22" t="n">
        <f aca="false">WEEKDAY(A924,2)</f>
        <v>2</v>
      </c>
      <c r="G924" s="22" t="str">
        <f aca="false">IF(F924=7,IF(B924&gt;=23,"C","Sin turno"),IF(B924&lt;7,"C",IF(B924&lt;14,"A",IF(B924&lt;21,"B",IF(B924&lt;23,"Entre turnos",IF(F924=6,"Sin turno","C"))))))</f>
        <v>A</v>
      </c>
      <c r="H924" s="25" t="n">
        <f aca="false">IF(D924="","",MAX(0,D924-0.5*C924))</f>
        <v>0</v>
      </c>
    </row>
    <row r="925" customFormat="false" ht="15" hidden="false" customHeight="false" outlineLevel="0" collapsed="false">
      <c r="A925" s="21" t="n">
        <v>46259</v>
      </c>
      <c r="B925" s="22" t="n">
        <v>11</v>
      </c>
      <c r="C925" s="25" t="n">
        <v>266.52</v>
      </c>
      <c r="D925" s="25" t="n">
        <v>24.72</v>
      </c>
      <c r="E925" s="25" t="n">
        <v>0</v>
      </c>
      <c r="F925" s="22" t="n">
        <f aca="false">WEEKDAY(A925,2)</f>
        <v>2</v>
      </c>
      <c r="G925" s="22" t="str">
        <f aca="false">IF(F925=7,IF(B925&gt;=23,"C","Sin turno"),IF(B925&lt;7,"C",IF(B925&lt;14,"A",IF(B925&lt;21,"B",IF(B925&lt;23,"Entre turnos",IF(F925=6,"Sin turno","C"))))))</f>
        <v>A</v>
      </c>
      <c r="H925" s="25" t="n">
        <f aca="false">IF(D925="","",MAX(0,D925-0.5*C925))</f>
        <v>0</v>
      </c>
    </row>
    <row r="926" customFormat="false" ht="15" hidden="false" customHeight="false" outlineLevel="0" collapsed="false">
      <c r="A926" s="21" t="n">
        <v>46259</v>
      </c>
      <c r="B926" s="22" t="n">
        <v>12</v>
      </c>
      <c r="C926" s="25" t="n">
        <v>313.08</v>
      </c>
      <c r="D926" s="25" t="n">
        <v>24.36</v>
      </c>
      <c r="E926" s="25" t="n">
        <v>0</v>
      </c>
      <c r="F926" s="22" t="n">
        <f aca="false">WEEKDAY(A926,2)</f>
        <v>2</v>
      </c>
      <c r="G926" s="22" t="str">
        <f aca="false">IF(F926=7,IF(B926&gt;=23,"C","Sin turno"),IF(B926&lt;7,"C",IF(B926&lt;14,"A",IF(B926&lt;21,"B",IF(B926&lt;23,"Entre turnos",IF(F926=6,"Sin turno","C"))))))</f>
        <v>A</v>
      </c>
      <c r="H926" s="25" t="n">
        <f aca="false">IF(D926="","",MAX(0,D926-0.5*C926))</f>
        <v>0</v>
      </c>
    </row>
    <row r="927" customFormat="false" ht="15" hidden="false" customHeight="false" outlineLevel="0" collapsed="false">
      <c r="A927" s="21" t="n">
        <v>46259</v>
      </c>
      <c r="B927" s="22" t="n">
        <v>13</v>
      </c>
      <c r="C927" s="25" t="n">
        <v>280.2</v>
      </c>
      <c r="D927" s="25" t="n">
        <v>21.96</v>
      </c>
      <c r="E927" s="25" t="n">
        <v>0</v>
      </c>
      <c r="F927" s="22" t="n">
        <f aca="false">WEEKDAY(A927,2)</f>
        <v>2</v>
      </c>
      <c r="G927" s="22" t="str">
        <f aca="false">IF(F927=7,IF(B927&gt;=23,"C","Sin turno"),IF(B927&lt;7,"C",IF(B927&lt;14,"A",IF(B927&lt;21,"B",IF(B927&lt;23,"Entre turnos",IF(F927=6,"Sin turno","C"))))))</f>
        <v>A</v>
      </c>
      <c r="H927" s="25" t="n">
        <f aca="false">IF(D927="","",MAX(0,D927-0.5*C927))</f>
        <v>0</v>
      </c>
    </row>
    <row r="928" customFormat="false" ht="15" hidden="false" customHeight="false" outlineLevel="0" collapsed="false">
      <c r="A928" s="21" t="n">
        <v>46259</v>
      </c>
      <c r="B928" s="22" t="n">
        <v>14</v>
      </c>
      <c r="C928" s="25" t="n">
        <v>298.32</v>
      </c>
      <c r="D928" s="25" t="n">
        <v>23.28</v>
      </c>
      <c r="E928" s="25" t="n">
        <v>0.12</v>
      </c>
      <c r="F928" s="22" t="n">
        <f aca="false">WEEKDAY(A928,2)</f>
        <v>2</v>
      </c>
      <c r="G928" s="22" t="str">
        <f aca="false">IF(F928=7,IF(B928&gt;=23,"C","Sin turno"),IF(B928&lt;7,"C",IF(B928&lt;14,"A",IF(B928&lt;21,"B",IF(B928&lt;23,"Entre turnos",IF(F928=6,"Sin turno","C"))))))</f>
        <v>B</v>
      </c>
      <c r="H928" s="25" t="n">
        <f aca="false">IF(D928="","",MAX(0,D928-0.5*C928))</f>
        <v>0</v>
      </c>
    </row>
    <row r="929" customFormat="false" ht="15" hidden="false" customHeight="false" outlineLevel="0" collapsed="false">
      <c r="A929" s="21" t="n">
        <v>46259</v>
      </c>
      <c r="B929" s="22" t="n">
        <v>15</v>
      </c>
      <c r="C929" s="25" t="n">
        <v>289.32</v>
      </c>
      <c r="D929" s="25" t="n">
        <v>26.88</v>
      </c>
      <c r="E929" s="25" t="n">
        <v>0</v>
      </c>
      <c r="F929" s="22" t="n">
        <f aca="false">WEEKDAY(A929,2)</f>
        <v>2</v>
      </c>
      <c r="G929" s="22" t="str">
        <f aca="false">IF(F929=7,IF(B929&gt;=23,"C","Sin turno"),IF(B929&lt;7,"C",IF(B929&lt;14,"A",IF(B929&lt;21,"B",IF(B929&lt;23,"Entre turnos",IF(F929=6,"Sin turno","C"))))))</f>
        <v>B</v>
      </c>
      <c r="H929" s="25" t="n">
        <f aca="false">IF(D929="","",MAX(0,D929-0.5*C929))</f>
        <v>0</v>
      </c>
    </row>
    <row r="930" customFormat="false" ht="15" hidden="false" customHeight="false" outlineLevel="0" collapsed="false">
      <c r="A930" s="21" t="n">
        <v>46259</v>
      </c>
      <c r="B930" s="22" t="n">
        <v>16</v>
      </c>
      <c r="C930" s="25" t="n">
        <v>284.64</v>
      </c>
      <c r="D930" s="25" t="n">
        <v>22.44</v>
      </c>
      <c r="E930" s="25" t="n">
        <v>0</v>
      </c>
      <c r="F930" s="22" t="n">
        <f aca="false">WEEKDAY(A930,2)</f>
        <v>2</v>
      </c>
      <c r="G930" s="22" t="str">
        <f aca="false">IF(F930=7,IF(B930&gt;=23,"C","Sin turno"),IF(B930&lt;7,"C",IF(B930&lt;14,"A",IF(B930&lt;21,"B",IF(B930&lt;23,"Entre turnos",IF(F930=6,"Sin turno","C"))))))</f>
        <v>B</v>
      </c>
      <c r="H930" s="25" t="n">
        <f aca="false">IF(D930="","",MAX(0,D930-0.5*C930))</f>
        <v>0</v>
      </c>
    </row>
    <row r="931" customFormat="false" ht="15" hidden="false" customHeight="false" outlineLevel="0" collapsed="false">
      <c r="A931" s="21" t="n">
        <v>46259</v>
      </c>
      <c r="B931" s="22" t="n">
        <v>17</v>
      </c>
      <c r="C931" s="25" t="n">
        <v>259.92</v>
      </c>
      <c r="D931" s="25" t="n">
        <v>26.16</v>
      </c>
      <c r="E931" s="25" t="n">
        <v>0</v>
      </c>
      <c r="F931" s="22" t="n">
        <f aca="false">WEEKDAY(A931,2)</f>
        <v>2</v>
      </c>
      <c r="G931" s="22" t="str">
        <f aca="false">IF(F931=7,IF(B931&gt;=23,"C","Sin turno"),IF(B931&lt;7,"C",IF(B931&lt;14,"A",IF(B931&lt;21,"B",IF(B931&lt;23,"Entre turnos",IF(F931=6,"Sin turno","C"))))))</f>
        <v>B</v>
      </c>
      <c r="H931" s="25" t="n">
        <f aca="false">IF(D931="","",MAX(0,D931-0.5*C931))</f>
        <v>0</v>
      </c>
    </row>
    <row r="932" customFormat="false" ht="15" hidden="false" customHeight="false" outlineLevel="0" collapsed="false">
      <c r="A932" s="21" t="n">
        <v>46259</v>
      </c>
      <c r="B932" s="22" t="n">
        <v>18</v>
      </c>
      <c r="C932" s="25" t="n">
        <v>207.6</v>
      </c>
      <c r="D932" s="25" t="n">
        <v>16.92</v>
      </c>
      <c r="E932" s="25" t="n">
        <v>0.12</v>
      </c>
      <c r="F932" s="22" t="n">
        <f aca="false">WEEKDAY(A932,2)</f>
        <v>2</v>
      </c>
      <c r="G932" s="22" t="str">
        <f aca="false">IF(F932=7,IF(B932&gt;=23,"C","Sin turno"),IF(B932&lt;7,"C",IF(B932&lt;14,"A",IF(B932&lt;21,"B",IF(B932&lt;23,"Entre turnos",IF(F932=6,"Sin turno","C"))))))</f>
        <v>B</v>
      </c>
      <c r="H932" s="25" t="n">
        <f aca="false">IF(D932="","",MAX(0,D932-0.5*C932))</f>
        <v>0</v>
      </c>
    </row>
    <row r="933" customFormat="false" ht="15" hidden="false" customHeight="false" outlineLevel="0" collapsed="false">
      <c r="A933" s="21" t="n">
        <v>46259</v>
      </c>
      <c r="B933" s="22" t="n">
        <v>19</v>
      </c>
      <c r="C933" s="25" t="n">
        <v>228.36</v>
      </c>
      <c r="D933" s="25" t="n">
        <v>23.76</v>
      </c>
      <c r="E933" s="25" t="n">
        <v>0</v>
      </c>
      <c r="F933" s="22" t="n">
        <f aca="false">WEEKDAY(A933,2)</f>
        <v>2</v>
      </c>
      <c r="G933" s="22" t="str">
        <f aca="false">IF(F933=7,IF(B933&gt;=23,"C","Sin turno"),IF(B933&lt;7,"C",IF(B933&lt;14,"A",IF(B933&lt;21,"B",IF(B933&lt;23,"Entre turnos",IF(F933=6,"Sin turno","C"))))))</f>
        <v>B</v>
      </c>
      <c r="H933" s="25" t="n">
        <f aca="false">IF(D933="","",MAX(0,D933-0.5*C933))</f>
        <v>0</v>
      </c>
    </row>
    <row r="934" customFormat="false" ht="15" hidden="false" customHeight="false" outlineLevel="0" collapsed="false">
      <c r="A934" s="21" t="n">
        <v>46259</v>
      </c>
      <c r="B934" s="22" t="n">
        <v>20</v>
      </c>
      <c r="C934" s="25" t="n">
        <v>213</v>
      </c>
      <c r="D934" s="25" t="n">
        <v>15.6</v>
      </c>
      <c r="E934" s="25" t="n">
        <v>0</v>
      </c>
      <c r="F934" s="22" t="n">
        <f aca="false">WEEKDAY(A934,2)</f>
        <v>2</v>
      </c>
      <c r="G934" s="22" t="str">
        <f aca="false">IF(F934=7,IF(B934&gt;=23,"C","Sin turno"),IF(B934&lt;7,"C",IF(B934&lt;14,"A",IF(B934&lt;21,"B",IF(B934&lt;23,"Entre turnos",IF(F934=6,"Sin turno","C"))))))</f>
        <v>B</v>
      </c>
      <c r="H934" s="25" t="n">
        <f aca="false">IF(D934="","",MAX(0,D934-0.5*C934))</f>
        <v>0</v>
      </c>
    </row>
    <row r="935" customFormat="false" ht="15" hidden="false" customHeight="false" outlineLevel="0" collapsed="false">
      <c r="A935" s="21" t="n">
        <v>46259</v>
      </c>
      <c r="B935" s="22" t="n">
        <v>21</v>
      </c>
      <c r="C935" s="25" t="n">
        <v>154.44</v>
      </c>
      <c r="D935" s="25" t="n">
        <v>17.64</v>
      </c>
      <c r="E935" s="25" t="n">
        <v>0.12</v>
      </c>
      <c r="F935" s="22" t="n">
        <f aca="false">WEEKDAY(A935,2)</f>
        <v>2</v>
      </c>
      <c r="G935" s="22" t="str">
        <f aca="false">IF(F935=7,IF(B935&gt;=23,"C","Sin turno"),IF(B935&lt;7,"C",IF(B935&lt;14,"A",IF(B935&lt;21,"B",IF(B935&lt;23,"Entre turnos",IF(F935=6,"Sin turno","C"))))))</f>
        <v>Entre turnos</v>
      </c>
      <c r="H935" s="25" t="n">
        <f aca="false">IF(D935="","",MAX(0,D935-0.5*C935))</f>
        <v>0</v>
      </c>
    </row>
    <row r="936" customFormat="false" ht="15" hidden="false" customHeight="false" outlineLevel="0" collapsed="false">
      <c r="A936" s="21" t="n">
        <v>46259</v>
      </c>
      <c r="B936" s="22" t="n">
        <v>22</v>
      </c>
      <c r="C936" s="25" t="n">
        <v>106.8</v>
      </c>
      <c r="D936" s="25" t="n">
        <v>15</v>
      </c>
      <c r="E936" s="25" t="n">
        <v>0.12</v>
      </c>
      <c r="F936" s="22" t="n">
        <f aca="false">WEEKDAY(A936,2)</f>
        <v>2</v>
      </c>
      <c r="G936" s="22" t="str">
        <f aca="false">IF(F936=7,IF(B936&gt;=23,"C","Sin turno"),IF(B936&lt;7,"C",IF(B936&lt;14,"A",IF(B936&lt;21,"B",IF(B936&lt;23,"Entre turnos",IF(F936=6,"Sin turno","C"))))))</f>
        <v>Entre turnos</v>
      </c>
      <c r="H936" s="25" t="n">
        <f aca="false">IF(D936="","",MAX(0,D936-0.5*C936))</f>
        <v>0</v>
      </c>
    </row>
    <row r="937" customFormat="false" ht="15" hidden="false" customHeight="false" outlineLevel="0" collapsed="false">
      <c r="A937" s="21" t="n">
        <v>46259</v>
      </c>
      <c r="B937" s="22" t="n">
        <v>23</v>
      </c>
      <c r="C937" s="25" t="n">
        <v>104.28</v>
      </c>
      <c r="D937" s="25" t="n">
        <v>14.88</v>
      </c>
      <c r="E937" s="25" t="n">
        <v>0.12</v>
      </c>
      <c r="F937" s="22" t="n">
        <f aca="false">WEEKDAY(A937,2)</f>
        <v>2</v>
      </c>
      <c r="G937" s="22" t="str">
        <f aca="false">IF(F937=7,IF(B937&gt;=23,"C","Sin turno"),IF(B937&lt;7,"C",IF(B937&lt;14,"A",IF(B937&lt;21,"B",IF(B937&lt;23,"Entre turnos",IF(F937=6,"Sin turno","C"))))))</f>
        <v>C</v>
      </c>
      <c r="H937" s="25" t="n">
        <f aca="false">IF(D937="","",MAX(0,D937-0.5*C937))</f>
        <v>0</v>
      </c>
    </row>
    <row r="938" customFormat="false" ht="15" hidden="false" customHeight="false" outlineLevel="0" collapsed="false">
      <c r="A938" s="21" t="n">
        <v>46260</v>
      </c>
      <c r="B938" s="22" t="n">
        <v>0</v>
      </c>
      <c r="C938" s="25" t="n">
        <v>115.44</v>
      </c>
      <c r="D938" s="25" t="n">
        <v>21.72</v>
      </c>
      <c r="E938" s="25" t="n">
        <v>0</v>
      </c>
      <c r="F938" s="22" t="n">
        <f aca="false">WEEKDAY(A938,2)</f>
        <v>3</v>
      </c>
      <c r="G938" s="22" t="str">
        <f aca="false">IF(F938=7,IF(B938&gt;=23,"C","Sin turno"),IF(B938&lt;7,"C",IF(B938&lt;14,"A",IF(B938&lt;21,"B",IF(B938&lt;23,"Entre turnos",IF(F938=6,"Sin turno","C"))))))</f>
        <v>C</v>
      </c>
      <c r="H938" s="25" t="n">
        <f aca="false">IF(D938="","",MAX(0,D938-0.5*C938))</f>
        <v>0</v>
      </c>
    </row>
    <row r="939" customFormat="false" ht="15" hidden="false" customHeight="false" outlineLevel="0" collapsed="false">
      <c r="A939" s="21" t="n">
        <v>46260</v>
      </c>
      <c r="B939" s="22" t="n">
        <v>1</v>
      </c>
      <c r="C939" s="25" t="n">
        <v>118.8</v>
      </c>
      <c r="D939" s="25" t="n">
        <v>19.32</v>
      </c>
      <c r="E939" s="25" t="n">
        <v>0.36</v>
      </c>
      <c r="F939" s="22" t="n">
        <f aca="false">WEEKDAY(A939,2)</f>
        <v>3</v>
      </c>
      <c r="G939" s="22" t="str">
        <f aca="false">IF(F939=7,IF(B939&gt;=23,"C","Sin turno"),IF(B939&lt;7,"C",IF(B939&lt;14,"A",IF(B939&lt;21,"B",IF(B939&lt;23,"Entre turnos",IF(F939=6,"Sin turno","C"))))))</f>
        <v>C</v>
      </c>
      <c r="H939" s="25" t="n">
        <f aca="false">IF(D939="","",MAX(0,D939-0.5*C939))</f>
        <v>0</v>
      </c>
    </row>
    <row r="940" customFormat="false" ht="15" hidden="false" customHeight="false" outlineLevel="0" collapsed="false">
      <c r="A940" s="21" t="n">
        <v>46260</v>
      </c>
      <c r="B940" s="22" t="n">
        <v>2</v>
      </c>
      <c r="C940" s="25" t="n">
        <v>127.92</v>
      </c>
      <c r="D940" s="25" t="n">
        <v>15</v>
      </c>
      <c r="E940" s="25" t="n">
        <v>0.96</v>
      </c>
      <c r="F940" s="22" t="n">
        <f aca="false">WEEKDAY(A940,2)</f>
        <v>3</v>
      </c>
      <c r="G940" s="22" t="str">
        <f aca="false">IF(F940=7,IF(B940&gt;=23,"C","Sin turno"),IF(B940&lt;7,"C",IF(B940&lt;14,"A",IF(B940&lt;21,"B",IF(B940&lt;23,"Entre turnos",IF(F940=6,"Sin turno","C"))))))</f>
        <v>C</v>
      </c>
      <c r="H940" s="25" t="n">
        <f aca="false">IF(D940="","",MAX(0,D940-0.5*C940))</f>
        <v>0</v>
      </c>
    </row>
    <row r="941" customFormat="false" ht="15" hidden="false" customHeight="false" outlineLevel="0" collapsed="false">
      <c r="A941" s="21" t="n">
        <v>46260</v>
      </c>
      <c r="B941" s="22" t="n">
        <v>3</v>
      </c>
      <c r="C941" s="25" t="n">
        <v>118.08</v>
      </c>
      <c r="D941" s="25" t="n">
        <v>20.52</v>
      </c>
      <c r="E941" s="25" t="n">
        <v>0.36</v>
      </c>
      <c r="F941" s="22" t="n">
        <f aca="false">WEEKDAY(A941,2)</f>
        <v>3</v>
      </c>
      <c r="G941" s="22" t="str">
        <f aca="false">IF(F941=7,IF(B941&gt;=23,"C","Sin turno"),IF(B941&lt;7,"C",IF(B941&lt;14,"A",IF(B941&lt;21,"B",IF(B941&lt;23,"Entre turnos",IF(F941=6,"Sin turno","C"))))))</f>
        <v>C</v>
      </c>
      <c r="H941" s="25" t="n">
        <f aca="false">IF(D941="","",MAX(0,D941-0.5*C941))</f>
        <v>0</v>
      </c>
    </row>
    <row r="942" customFormat="false" ht="15" hidden="false" customHeight="false" outlineLevel="0" collapsed="false">
      <c r="A942" s="21" t="n">
        <v>46260</v>
      </c>
      <c r="B942" s="22" t="n">
        <v>4</v>
      </c>
      <c r="C942" s="25" t="n">
        <v>118.92</v>
      </c>
      <c r="D942" s="25" t="n">
        <v>19.56</v>
      </c>
      <c r="E942" s="25" t="n">
        <v>0.36</v>
      </c>
      <c r="F942" s="22" t="n">
        <f aca="false">WEEKDAY(A942,2)</f>
        <v>3</v>
      </c>
      <c r="G942" s="22" t="str">
        <f aca="false">IF(F942=7,IF(B942&gt;=23,"C","Sin turno"),IF(B942&lt;7,"C",IF(B942&lt;14,"A",IF(B942&lt;21,"B",IF(B942&lt;23,"Entre turnos",IF(F942=6,"Sin turno","C"))))))</f>
        <v>C</v>
      </c>
      <c r="H942" s="25" t="n">
        <f aca="false">IF(D942="","",MAX(0,D942-0.5*C942))</f>
        <v>0</v>
      </c>
    </row>
    <row r="943" customFormat="false" ht="15" hidden="false" customHeight="false" outlineLevel="0" collapsed="false">
      <c r="A943" s="21" t="n">
        <v>46260</v>
      </c>
      <c r="B943" s="22" t="n">
        <v>5</v>
      </c>
      <c r="C943" s="25" t="n">
        <v>121.32</v>
      </c>
      <c r="D943" s="25" t="n">
        <v>19.68</v>
      </c>
      <c r="E943" s="25" t="n">
        <v>0.36</v>
      </c>
      <c r="F943" s="22" t="n">
        <f aca="false">WEEKDAY(A943,2)</f>
        <v>3</v>
      </c>
      <c r="G943" s="22" t="str">
        <f aca="false">IF(F943=7,IF(B943&gt;=23,"C","Sin turno"),IF(B943&lt;7,"C",IF(B943&lt;14,"A",IF(B943&lt;21,"B",IF(B943&lt;23,"Entre turnos",IF(F943=6,"Sin turno","C"))))))</f>
        <v>C</v>
      </c>
      <c r="H943" s="25" t="n">
        <f aca="false">IF(D943="","",MAX(0,D943-0.5*C943))</f>
        <v>0</v>
      </c>
    </row>
    <row r="944" customFormat="false" ht="15" hidden="false" customHeight="false" outlineLevel="0" collapsed="false">
      <c r="A944" s="21" t="n">
        <v>46260</v>
      </c>
      <c r="B944" s="22" t="n">
        <v>6</v>
      </c>
      <c r="C944" s="25" t="n">
        <v>138.12</v>
      </c>
      <c r="D944" s="25" t="n">
        <v>18.36</v>
      </c>
      <c r="E944" s="25" t="n">
        <v>0.24</v>
      </c>
      <c r="F944" s="22" t="n">
        <f aca="false">WEEKDAY(A944,2)</f>
        <v>3</v>
      </c>
      <c r="G944" s="22" t="str">
        <f aca="false">IF(F944=7,IF(B944&gt;=23,"C","Sin turno"),IF(B944&lt;7,"C",IF(B944&lt;14,"A",IF(B944&lt;21,"B",IF(B944&lt;23,"Entre turnos",IF(F944=6,"Sin turno","C"))))))</f>
        <v>C</v>
      </c>
      <c r="H944" s="25" t="n">
        <f aca="false">IF(D944="","",MAX(0,D944-0.5*C944))</f>
        <v>0</v>
      </c>
    </row>
    <row r="945" customFormat="false" ht="15" hidden="false" customHeight="false" outlineLevel="0" collapsed="false">
      <c r="A945" s="21" t="n">
        <v>46260</v>
      </c>
      <c r="B945" s="22" t="n">
        <v>7</v>
      </c>
      <c r="C945" s="25" t="n">
        <v>261.12</v>
      </c>
      <c r="D945" s="25" t="n">
        <v>25.8</v>
      </c>
      <c r="E945" s="25" t="n">
        <v>0</v>
      </c>
      <c r="F945" s="22" t="n">
        <f aca="false">WEEKDAY(A945,2)</f>
        <v>3</v>
      </c>
      <c r="G945" s="22" t="str">
        <f aca="false">IF(F945=7,IF(B945&gt;=23,"C","Sin turno"),IF(B945&lt;7,"C",IF(B945&lt;14,"A",IF(B945&lt;21,"B",IF(B945&lt;23,"Entre turnos",IF(F945=6,"Sin turno","C"))))))</f>
        <v>A</v>
      </c>
      <c r="H945" s="25" t="n">
        <f aca="false">IF(D945="","",MAX(0,D945-0.5*C945))</f>
        <v>0</v>
      </c>
    </row>
    <row r="946" customFormat="false" ht="15" hidden="false" customHeight="false" outlineLevel="0" collapsed="false">
      <c r="A946" s="21" t="n">
        <v>46260</v>
      </c>
      <c r="B946" s="22" t="n">
        <v>8</v>
      </c>
      <c r="C946" s="25" t="n">
        <v>291.36</v>
      </c>
      <c r="D946" s="25" t="n">
        <v>24.72</v>
      </c>
      <c r="E946" s="25" t="n">
        <v>0</v>
      </c>
      <c r="F946" s="22" t="n">
        <f aca="false">WEEKDAY(A946,2)</f>
        <v>3</v>
      </c>
      <c r="G946" s="22" t="str">
        <f aca="false">IF(F946=7,IF(B946&gt;=23,"C","Sin turno"),IF(B946&lt;7,"C",IF(B946&lt;14,"A",IF(B946&lt;21,"B",IF(B946&lt;23,"Entre turnos",IF(F946=6,"Sin turno","C"))))))</f>
        <v>A</v>
      </c>
      <c r="H946" s="25" t="n">
        <f aca="false">IF(D946="","",MAX(0,D946-0.5*C946))</f>
        <v>0</v>
      </c>
    </row>
    <row r="947" customFormat="false" ht="15" hidden="false" customHeight="false" outlineLevel="0" collapsed="false">
      <c r="A947" s="21" t="n">
        <v>46260</v>
      </c>
      <c r="B947" s="22" t="n">
        <v>9</v>
      </c>
      <c r="C947" s="25" t="n">
        <v>307.56</v>
      </c>
      <c r="D947" s="25" t="n">
        <v>21.36</v>
      </c>
      <c r="E947" s="25" t="n">
        <v>0</v>
      </c>
      <c r="F947" s="22" t="n">
        <f aca="false">WEEKDAY(A947,2)</f>
        <v>3</v>
      </c>
      <c r="G947" s="22" t="str">
        <f aca="false">IF(F947=7,IF(B947&gt;=23,"C","Sin turno"),IF(B947&lt;7,"C",IF(B947&lt;14,"A",IF(B947&lt;21,"B",IF(B947&lt;23,"Entre turnos",IF(F947=6,"Sin turno","C"))))))</f>
        <v>A</v>
      </c>
      <c r="H947" s="25" t="n">
        <f aca="false">IF(D947="","",MAX(0,D947-0.5*C947))</f>
        <v>0</v>
      </c>
    </row>
    <row r="948" customFormat="false" ht="15" hidden="false" customHeight="false" outlineLevel="0" collapsed="false">
      <c r="A948" s="21" t="n">
        <v>46260</v>
      </c>
      <c r="B948" s="22" t="n">
        <v>10</v>
      </c>
      <c r="C948" s="25" t="n">
        <v>274.8</v>
      </c>
      <c r="D948" s="25" t="n">
        <v>23.64</v>
      </c>
      <c r="E948" s="25" t="n">
        <v>0</v>
      </c>
      <c r="F948" s="22" t="n">
        <f aca="false">WEEKDAY(A948,2)</f>
        <v>3</v>
      </c>
      <c r="G948" s="22" t="str">
        <f aca="false">IF(F948=7,IF(B948&gt;=23,"C","Sin turno"),IF(B948&lt;7,"C",IF(B948&lt;14,"A",IF(B948&lt;21,"B",IF(B948&lt;23,"Entre turnos",IF(F948=6,"Sin turno","C"))))))</f>
        <v>A</v>
      </c>
      <c r="H948" s="25" t="n">
        <f aca="false">IF(D948="","",MAX(0,D948-0.5*C948))</f>
        <v>0</v>
      </c>
    </row>
    <row r="949" customFormat="false" ht="15" hidden="false" customHeight="false" outlineLevel="0" collapsed="false">
      <c r="A949" s="21" t="n">
        <v>46260</v>
      </c>
      <c r="B949" s="22" t="n">
        <v>11</v>
      </c>
      <c r="C949" s="25" t="n">
        <v>285.72</v>
      </c>
      <c r="D949" s="25" t="n">
        <v>23.64</v>
      </c>
      <c r="E949" s="25" t="n">
        <v>0</v>
      </c>
      <c r="F949" s="22" t="n">
        <f aca="false">WEEKDAY(A949,2)</f>
        <v>3</v>
      </c>
      <c r="G949" s="22" t="str">
        <f aca="false">IF(F949=7,IF(B949&gt;=23,"C","Sin turno"),IF(B949&lt;7,"C",IF(B949&lt;14,"A",IF(B949&lt;21,"B",IF(B949&lt;23,"Entre turnos",IF(F949=6,"Sin turno","C"))))))</f>
        <v>A</v>
      </c>
      <c r="H949" s="25" t="n">
        <f aca="false">IF(D949="","",MAX(0,D949-0.5*C949))</f>
        <v>0</v>
      </c>
    </row>
    <row r="950" customFormat="false" ht="15" hidden="false" customHeight="false" outlineLevel="0" collapsed="false">
      <c r="A950" s="21" t="n">
        <v>46260</v>
      </c>
      <c r="B950" s="22" t="n">
        <v>12</v>
      </c>
      <c r="C950" s="25" t="n">
        <v>323.04</v>
      </c>
      <c r="D950" s="25" t="n">
        <v>28.32</v>
      </c>
      <c r="E950" s="25" t="n">
        <v>0</v>
      </c>
      <c r="F950" s="22" t="n">
        <f aca="false">WEEKDAY(A950,2)</f>
        <v>3</v>
      </c>
      <c r="G950" s="22" t="str">
        <f aca="false">IF(F950=7,IF(B950&gt;=23,"C","Sin turno"),IF(B950&lt;7,"C",IF(B950&lt;14,"A",IF(B950&lt;21,"B",IF(B950&lt;23,"Entre turnos",IF(F950=6,"Sin turno","C"))))))</f>
        <v>A</v>
      </c>
      <c r="H950" s="25" t="n">
        <f aca="false">IF(D950="","",MAX(0,D950-0.5*C950))</f>
        <v>0</v>
      </c>
    </row>
    <row r="951" customFormat="false" ht="15" hidden="false" customHeight="false" outlineLevel="0" collapsed="false">
      <c r="A951" s="21" t="n">
        <v>46260</v>
      </c>
      <c r="B951" s="22" t="n">
        <v>13</v>
      </c>
      <c r="C951" s="25" t="n">
        <v>336.84</v>
      </c>
      <c r="D951" s="25" t="n">
        <v>30.48</v>
      </c>
      <c r="E951" s="25" t="n">
        <v>0</v>
      </c>
      <c r="F951" s="22" t="n">
        <f aca="false">WEEKDAY(A951,2)</f>
        <v>3</v>
      </c>
      <c r="G951" s="22" t="str">
        <f aca="false">IF(F951=7,IF(B951&gt;=23,"C","Sin turno"),IF(B951&lt;7,"C",IF(B951&lt;14,"A",IF(B951&lt;21,"B",IF(B951&lt;23,"Entre turnos",IF(F951=6,"Sin turno","C"))))))</f>
        <v>A</v>
      </c>
      <c r="H951" s="25" t="n">
        <f aca="false">IF(D951="","",MAX(0,D951-0.5*C951))</f>
        <v>0</v>
      </c>
    </row>
    <row r="952" customFormat="false" ht="15" hidden="false" customHeight="false" outlineLevel="0" collapsed="false">
      <c r="A952" s="21" t="n">
        <v>46260</v>
      </c>
      <c r="B952" s="22" t="n">
        <v>14</v>
      </c>
      <c r="C952" s="25" t="n">
        <v>325.32</v>
      </c>
      <c r="D952" s="25" t="n">
        <v>29.88</v>
      </c>
      <c r="E952" s="25" t="n">
        <v>0</v>
      </c>
      <c r="F952" s="22" t="n">
        <f aca="false">WEEKDAY(A952,2)</f>
        <v>3</v>
      </c>
      <c r="G952" s="22" t="str">
        <f aca="false">IF(F952=7,IF(B952&gt;=23,"C","Sin turno"),IF(B952&lt;7,"C",IF(B952&lt;14,"A",IF(B952&lt;21,"B",IF(B952&lt;23,"Entre turnos",IF(F952=6,"Sin turno","C"))))))</f>
        <v>B</v>
      </c>
      <c r="H952" s="25" t="n">
        <f aca="false">IF(D952="","",MAX(0,D952-0.5*C952))</f>
        <v>0</v>
      </c>
    </row>
    <row r="953" customFormat="false" ht="15" hidden="false" customHeight="false" outlineLevel="0" collapsed="false">
      <c r="A953" s="21" t="n">
        <v>46260</v>
      </c>
      <c r="B953" s="22" t="n">
        <v>15</v>
      </c>
      <c r="C953" s="25" t="n">
        <v>319.8</v>
      </c>
      <c r="D953" s="25" t="n">
        <v>23.64</v>
      </c>
      <c r="E953" s="25" t="n">
        <v>0.12</v>
      </c>
      <c r="F953" s="22" t="n">
        <f aca="false">WEEKDAY(A953,2)</f>
        <v>3</v>
      </c>
      <c r="G953" s="22" t="str">
        <f aca="false">IF(F953=7,IF(B953&gt;=23,"C","Sin turno"),IF(B953&lt;7,"C",IF(B953&lt;14,"A",IF(B953&lt;21,"B",IF(B953&lt;23,"Entre turnos",IF(F953=6,"Sin turno","C"))))))</f>
        <v>B</v>
      </c>
      <c r="H953" s="25" t="n">
        <f aca="false">IF(D953="","",MAX(0,D953-0.5*C953))</f>
        <v>0</v>
      </c>
    </row>
    <row r="954" customFormat="false" ht="15" hidden="false" customHeight="false" outlineLevel="0" collapsed="false">
      <c r="A954" s="21" t="n">
        <v>46260</v>
      </c>
      <c r="B954" s="22" t="n">
        <v>16</v>
      </c>
      <c r="C954" s="25" t="n">
        <v>308.64</v>
      </c>
      <c r="D954" s="25" t="n">
        <v>26.76</v>
      </c>
      <c r="E954" s="25" t="n">
        <v>0</v>
      </c>
      <c r="F954" s="22" t="n">
        <f aca="false">WEEKDAY(A954,2)</f>
        <v>3</v>
      </c>
      <c r="G954" s="22" t="str">
        <f aca="false">IF(F954=7,IF(B954&gt;=23,"C","Sin turno"),IF(B954&lt;7,"C",IF(B954&lt;14,"A",IF(B954&lt;21,"B",IF(B954&lt;23,"Entre turnos",IF(F954=6,"Sin turno","C"))))))</f>
        <v>B</v>
      </c>
      <c r="H954" s="25" t="n">
        <f aca="false">IF(D954="","",MAX(0,D954-0.5*C954))</f>
        <v>0</v>
      </c>
    </row>
    <row r="955" customFormat="false" ht="15" hidden="false" customHeight="false" outlineLevel="0" collapsed="false">
      <c r="A955" s="21" t="n">
        <v>46260</v>
      </c>
      <c r="B955" s="22" t="n">
        <v>17</v>
      </c>
      <c r="C955" s="25" t="n">
        <v>229.32</v>
      </c>
      <c r="D955" s="25" t="n">
        <v>21.96</v>
      </c>
      <c r="E955" s="25" t="n">
        <v>0</v>
      </c>
      <c r="F955" s="22" t="n">
        <f aca="false">WEEKDAY(A955,2)</f>
        <v>3</v>
      </c>
      <c r="G955" s="22" t="str">
        <f aca="false">IF(F955=7,IF(B955&gt;=23,"C","Sin turno"),IF(B955&lt;7,"C",IF(B955&lt;14,"A",IF(B955&lt;21,"B",IF(B955&lt;23,"Entre turnos",IF(F955=6,"Sin turno","C"))))))</f>
        <v>B</v>
      </c>
      <c r="H955" s="25" t="n">
        <f aca="false">IF(D955="","",MAX(0,D955-0.5*C955))</f>
        <v>0</v>
      </c>
    </row>
    <row r="956" customFormat="false" ht="15" hidden="false" customHeight="false" outlineLevel="0" collapsed="false">
      <c r="A956" s="21" t="n">
        <v>46260</v>
      </c>
      <c r="B956" s="22" t="n">
        <v>18</v>
      </c>
      <c r="C956" s="25" t="n">
        <v>195.6</v>
      </c>
      <c r="D956" s="25" t="n">
        <v>20.16</v>
      </c>
      <c r="E956" s="25" t="n">
        <v>0.36</v>
      </c>
      <c r="F956" s="22" t="n">
        <f aca="false">WEEKDAY(A956,2)</f>
        <v>3</v>
      </c>
      <c r="G956" s="22" t="str">
        <f aca="false">IF(F956=7,IF(B956&gt;=23,"C","Sin turno"),IF(B956&lt;7,"C",IF(B956&lt;14,"A",IF(B956&lt;21,"B",IF(B956&lt;23,"Entre turnos",IF(F956=6,"Sin turno","C"))))))</f>
        <v>B</v>
      </c>
      <c r="H956" s="25" t="n">
        <f aca="false">IF(D956="","",MAX(0,D956-0.5*C956))</f>
        <v>0</v>
      </c>
    </row>
    <row r="957" customFormat="false" ht="15" hidden="false" customHeight="false" outlineLevel="0" collapsed="false">
      <c r="A957" s="21" t="n">
        <v>46260</v>
      </c>
      <c r="B957" s="22" t="n">
        <v>19</v>
      </c>
      <c r="C957" s="25" t="n">
        <v>211.8</v>
      </c>
      <c r="D957" s="25" t="n">
        <v>20.52</v>
      </c>
      <c r="E957" s="25" t="n">
        <v>0</v>
      </c>
      <c r="F957" s="22" t="n">
        <f aca="false">WEEKDAY(A957,2)</f>
        <v>3</v>
      </c>
      <c r="G957" s="22" t="str">
        <f aca="false">IF(F957=7,IF(B957&gt;=23,"C","Sin turno"),IF(B957&lt;7,"C",IF(B957&lt;14,"A",IF(B957&lt;21,"B",IF(B957&lt;23,"Entre turnos",IF(F957=6,"Sin turno","C"))))))</f>
        <v>B</v>
      </c>
      <c r="H957" s="25" t="n">
        <f aca="false">IF(D957="","",MAX(0,D957-0.5*C957))</f>
        <v>0</v>
      </c>
    </row>
    <row r="958" customFormat="false" ht="15" hidden="false" customHeight="false" outlineLevel="0" collapsed="false">
      <c r="A958" s="21" t="n">
        <v>46260</v>
      </c>
      <c r="B958" s="22" t="n">
        <v>20</v>
      </c>
      <c r="C958" s="25" t="n">
        <v>226.32</v>
      </c>
      <c r="D958" s="25" t="n">
        <v>21.12</v>
      </c>
      <c r="E958" s="25" t="n">
        <v>0.12</v>
      </c>
      <c r="F958" s="22" t="n">
        <f aca="false">WEEKDAY(A958,2)</f>
        <v>3</v>
      </c>
      <c r="G958" s="22" t="str">
        <f aca="false">IF(F958=7,IF(B958&gt;=23,"C","Sin turno"),IF(B958&lt;7,"C",IF(B958&lt;14,"A",IF(B958&lt;21,"B",IF(B958&lt;23,"Entre turnos",IF(F958=6,"Sin turno","C"))))))</f>
        <v>B</v>
      </c>
      <c r="H958" s="25" t="n">
        <f aca="false">IF(D958="","",MAX(0,D958-0.5*C958))</f>
        <v>0</v>
      </c>
    </row>
    <row r="959" customFormat="false" ht="15" hidden="false" customHeight="false" outlineLevel="0" collapsed="false">
      <c r="A959" s="21" t="n">
        <v>46260</v>
      </c>
      <c r="B959" s="22" t="n">
        <v>21</v>
      </c>
      <c r="C959" s="25" t="n">
        <v>141.12</v>
      </c>
      <c r="D959" s="25" t="n">
        <v>16.08</v>
      </c>
      <c r="E959" s="25" t="n">
        <v>0</v>
      </c>
      <c r="F959" s="22" t="n">
        <f aca="false">WEEKDAY(A959,2)</f>
        <v>3</v>
      </c>
      <c r="G959" s="22" t="str">
        <f aca="false">IF(F959=7,IF(B959&gt;=23,"C","Sin turno"),IF(B959&lt;7,"C",IF(B959&lt;14,"A",IF(B959&lt;21,"B",IF(B959&lt;23,"Entre turnos",IF(F959=6,"Sin turno","C"))))))</f>
        <v>Entre turnos</v>
      </c>
      <c r="H959" s="25" t="n">
        <f aca="false">IF(D959="","",MAX(0,D959-0.5*C959))</f>
        <v>0</v>
      </c>
    </row>
    <row r="960" customFormat="false" ht="15" hidden="false" customHeight="false" outlineLevel="0" collapsed="false">
      <c r="A960" s="21" t="n">
        <v>46260</v>
      </c>
      <c r="B960" s="22" t="n">
        <v>22</v>
      </c>
      <c r="C960" s="25" t="n">
        <v>102.84</v>
      </c>
      <c r="D960" s="25" t="n">
        <v>12.36</v>
      </c>
      <c r="E960" s="25" t="n">
        <v>0.36</v>
      </c>
      <c r="F960" s="22" t="n">
        <f aca="false">WEEKDAY(A960,2)</f>
        <v>3</v>
      </c>
      <c r="G960" s="22" t="str">
        <f aca="false">IF(F960=7,IF(B960&gt;=23,"C","Sin turno"),IF(B960&lt;7,"C",IF(B960&lt;14,"A",IF(B960&lt;21,"B",IF(B960&lt;23,"Entre turnos",IF(F960=6,"Sin turno","C"))))))</f>
        <v>Entre turnos</v>
      </c>
      <c r="H960" s="25" t="n">
        <f aca="false">IF(D960="","",MAX(0,D960-0.5*C960))</f>
        <v>0</v>
      </c>
    </row>
    <row r="961" customFormat="false" ht="15" hidden="false" customHeight="false" outlineLevel="0" collapsed="false">
      <c r="A961" s="21" t="n">
        <v>46260</v>
      </c>
      <c r="B961" s="22" t="n">
        <v>23</v>
      </c>
      <c r="C961" s="25" t="n">
        <v>101.4</v>
      </c>
      <c r="D961" s="25" t="n">
        <v>12</v>
      </c>
      <c r="E961" s="25" t="n">
        <v>0.24</v>
      </c>
      <c r="F961" s="22" t="n">
        <f aca="false">WEEKDAY(A961,2)</f>
        <v>3</v>
      </c>
      <c r="G961" s="22" t="str">
        <f aca="false">IF(F961=7,IF(B961&gt;=23,"C","Sin turno"),IF(B961&lt;7,"C",IF(B961&lt;14,"A",IF(B961&lt;21,"B",IF(B961&lt;23,"Entre turnos",IF(F961=6,"Sin turno","C"))))))</f>
        <v>C</v>
      </c>
      <c r="H961" s="25" t="n">
        <f aca="false">IF(D961="","",MAX(0,D961-0.5*C961))</f>
        <v>0</v>
      </c>
    </row>
    <row r="962" customFormat="false" ht="15" hidden="false" customHeight="false" outlineLevel="0" collapsed="false">
      <c r="A962" s="21" t="n">
        <v>46261</v>
      </c>
      <c r="B962" s="22" t="n">
        <v>0</v>
      </c>
      <c r="C962" s="25" t="n">
        <v>115.8</v>
      </c>
      <c r="D962" s="25" t="n">
        <v>19.32</v>
      </c>
      <c r="E962" s="25" t="n">
        <v>0.12</v>
      </c>
      <c r="F962" s="22" t="n">
        <f aca="false">WEEKDAY(A962,2)</f>
        <v>4</v>
      </c>
      <c r="G962" s="22" t="str">
        <f aca="false">IF(F962=7,IF(B962&gt;=23,"C","Sin turno"),IF(B962&lt;7,"C",IF(B962&lt;14,"A",IF(B962&lt;21,"B",IF(B962&lt;23,"Entre turnos",IF(F962=6,"Sin turno","C"))))))</f>
        <v>C</v>
      </c>
      <c r="H962" s="25" t="n">
        <f aca="false">IF(D962="","",MAX(0,D962-0.5*C962))</f>
        <v>0</v>
      </c>
    </row>
    <row r="963" customFormat="false" ht="15" hidden="false" customHeight="false" outlineLevel="0" collapsed="false">
      <c r="A963" s="21" t="n">
        <v>46261</v>
      </c>
      <c r="B963" s="22" t="n">
        <v>1</v>
      </c>
      <c r="C963" s="25" t="n">
        <v>117.24</v>
      </c>
      <c r="D963" s="25" t="n">
        <v>21.12</v>
      </c>
      <c r="E963" s="25" t="n">
        <v>0</v>
      </c>
      <c r="F963" s="22" t="n">
        <f aca="false">WEEKDAY(A963,2)</f>
        <v>4</v>
      </c>
      <c r="G963" s="22" t="str">
        <f aca="false">IF(F963=7,IF(B963&gt;=23,"C","Sin turno"),IF(B963&lt;7,"C",IF(B963&lt;14,"A",IF(B963&lt;21,"B",IF(B963&lt;23,"Entre turnos",IF(F963=6,"Sin turno","C"))))))</f>
        <v>C</v>
      </c>
      <c r="H963" s="25" t="n">
        <f aca="false">IF(D963="","",MAX(0,D963-0.5*C963))</f>
        <v>0</v>
      </c>
    </row>
    <row r="964" customFormat="false" ht="15" hidden="false" customHeight="false" outlineLevel="0" collapsed="false">
      <c r="A964" s="21" t="n">
        <v>46261</v>
      </c>
      <c r="B964" s="22" t="n">
        <v>2</v>
      </c>
      <c r="C964" s="25" t="n">
        <v>115.32</v>
      </c>
      <c r="D964" s="25" t="n">
        <v>19.56</v>
      </c>
      <c r="E964" s="25" t="n">
        <v>0.12</v>
      </c>
      <c r="F964" s="22" t="n">
        <f aca="false">WEEKDAY(A964,2)</f>
        <v>4</v>
      </c>
      <c r="G964" s="22" t="str">
        <f aca="false">IF(F964=7,IF(B964&gt;=23,"C","Sin turno"),IF(B964&lt;7,"C",IF(B964&lt;14,"A",IF(B964&lt;21,"B",IF(B964&lt;23,"Entre turnos",IF(F964=6,"Sin turno","C"))))))</f>
        <v>C</v>
      </c>
      <c r="H964" s="25" t="n">
        <f aca="false">IF(D964="","",MAX(0,D964-0.5*C964))</f>
        <v>0</v>
      </c>
    </row>
    <row r="965" customFormat="false" ht="15" hidden="false" customHeight="false" outlineLevel="0" collapsed="false">
      <c r="A965" s="21" t="n">
        <v>46261</v>
      </c>
      <c r="B965" s="22" t="n">
        <v>3</v>
      </c>
      <c r="C965" s="25" t="n">
        <v>108.84</v>
      </c>
      <c r="D965" s="25" t="n">
        <v>17.76</v>
      </c>
      <c r="E965" s="25" t="n">
        <v>0</v>
      </c>
      <c r="F965" s="22" t="n">
        <f aca="false">WEEKDAY(A965,2)</f>
        <v>4</v>
      </c>
      <c r="G965" s="22" t="str">
        <f aca="false">IF(F965=7,IF(B965&gt;=23,"C","Sin turno"),IF(B965&lt;7,"C",IF(B965&lt;14,"A",IF(B965&lt;21,"B",IF(B965&lt;23,"Entre turnos",IF(F965=6,"Sin turno","C"))))))</f>
        <v>C</v>
      </c>
      <c r="H965" s="25" t="n">
        <f aca="false">IF(D965="","",MAX(0,D965-0.5*C965))</f>
        <v>0</v>
      </c>
    </row>
    <row r="966" customFormat="false" ht="15" hidden="false" customHeight="false" outlineLevel="0" collapsed="false">
      <c r="A966" s="21" t="n">
        <v>46261</v>
      </c>
      <c r="B966" s="22" t="n">
        <v>4</v>
      </c>
      <c r="C966" s="25" t="n">
        <v>106.08</v>
      </c>
      <c r="D966" s="25" t="n">
        <v>17.64</v>
      </c>
      <c r="E966" s="25" t="n">
        <v>0.12</v>
      </c>
      <c r="F966" s="22" t="n">
        <f aca="false">WEEKDAY(A966,2)</f>
        <v>4</v>
      </c>
      <c r="G966" s="22" t="str">
        <f aca="false">IF(F966=7,IF(B966&gt;=23,"C","Sin turno"),IF(B966&lt;7,"C",IF(B966&lt;14,"A",IF(B966&lt;21,"B",IF(B966&lt;23,"Entre turnos",IF(F966=6,"Sin turno","C"))))))</f>
        <v>C</v>
      </c>
      <c r="H966" s="25" t="n">
        <f aca="false">IF(D966="","",MAX(0,D966-0.5*C966))</f>
        <v>0</v>
      </c>
    </row>
    <row r="967" customFormat="false" ht="15" hidden="false" customHeight="false" outlineLevel="0" collapsed="false">
      <c r="A967" s="21" t="n">
        <v>46261</v>
      </c>
      <c r="B967" s="22" t="n">
        <v>5</v>
      </c>
      <c r="C967" s="25" t="n">
        <v>109.8</v>
      </c>
      <c r="D967" s="25" t="n">
        <v>17.88</v>
      </c>
      <c r="E967" s="25" t="n">
        <v>0</v>
      </c>
      <c r="F967" s="22" t="n">
        <f aca="false">WEEKDAY(A967,2)</f>
        <v>4</v>
      </c>
      <c r="G967" s="22" t="str">
        <f aca="false">IF(F967=7,IF(B967&gt;=23,"C","Sin turno"),IF(B967&lt;7,"C",IF(B967&lt;14,"A",IF(B967&lt;21,"B",IF(B967&lt;23,"Entre turnos",IF(F967=6,"Sin turno","C"))))))</f>
        <v>C</v>
      </c>
      <c r="H967" s="25" t="n">
        <f aca="false">IF(D967="","",MAX(0,D967-0.5*C967))</f>
        <v>0</v>
      </c>
    </row>
    <row r="968" customFormat="false" ht="15" hidden="false" customHeight="false" outlineLevel="0" collapsed="false">
      <c r="A968" s="21" t="n">
        <v>46261</v>
      </c>
      <c r="B968" s="22" t="n">
        <v>6</v>
      </c>
      <c r="C968" s="25" t="n">
        <v>139.32</v>
      </c>
      <c r="D968" s="25" t="n">
        <v>20.64</v>
      </c>
      <c r="E968" s="25" t="n">
        <v>0.12</v>
      </c>
      <c r="F968" s="22" t="n">
        <f aca="false">WEEKDAY(A968,2)</f>
        <v>4</v>
      </c>
      <c r="G968" s="22" t="str">
        <f aca="false">IF(F968=7,IF(B968&gt;=23,"C","Sin turno"),IF(B968&lt;7,"C",IF(B968&lt;14,"A",IF(B968&lt;21,"B",IF(B968&lt;23,"Entre turnos",IF(F968=6,"Sin turno","C"))))))</f>
        <v>C</v>
      </c>
      <c r="H968" s="25" t="n">
        <f aca="false">IF(D968="","",MAX(0,D968-0.5*C968))</f>
        <v>0</v>
      </c>
    </row>
    <row r="969" customFormat="false" ht="15" hidden="false" customHeight="false" outlineLevel="0" collapsed="false">
      <c r="A969" s="21" t="n">
        <v>46261</v>
      </c>
      <c r="B969" s="22" t="n">
        <v>7</v>
      </c>
      <c r="C969" s="25" t="n">
        <v>250.56</v>
      </c>
      <c r="D969" s="25" t="n">
        <v>25.2</v>
      </c>
      <c r="E969" s="25" t="n">
        <v>0</v>
      </c>
      <c r="F969" s="22" t="n">
        <f aca="false">WEEKDAY(A969,2)</f>
        <v>4</v>
      </c>
      <c r="G969" s="22" t="str">
        <f aca="false">IF(F969=7,IF(B969&gt;=23,"C","Sin turno"),IF(B969&lt;7,"C",IF(B969&lt;14,"A",IF(B969&lt;21,"B",IF(B969&lt;23,"Entre turnos",IF(F969=6,"Sin turno","C"))))))</f>
        <v>A</v>
      </c>
      <c r="H969" s="25" t="n">
        <f aca="false">IF(D969="","",MAX(0,D969-0.5*C969))</f>
        <v>0</v>
      </c>
    </row>
    <row r="970" customFormat="false" ht="15" hidden="false" customHeight="false" outlineLevel="0" collapsed="false">
      <c r="A970" s="21" t="n">
        <v>46261</v>
      </c>
      <c r="B970" s="22" t="n">
        <v>8</v>
      </c>
      <c r="C970" s="25" t="n">
        <v>293.4</v>
      </c>
      <c r="D970" s="25" t="n">
        <v>24.12</v>
      </c>
      <c r="E970" s="25" t="n">
        <v>0</v>
      </c>
      <c r="F970" s="22" t="n">
        <f aca="false">WEEKDAY(A970,2)</f>
        <v>4</v>
      </c>
      <c r="G970" s="22" t="str">
        <f aca="false">IF(F970=7,IF(B970&gt;=23,"C","Sin turno"),IF(B970&lt;7,"C",IF(B970&lt;14,"A",IF(B970&lt;21,"B",IF(B970&lt;23,"Entre turnos",IF(F970=6,"Sin turno","C"))))))</f>
        <v>A</v>
      </c>
      <c r="H970" s="25" t="n">
        <f aca="false">IF(D970="","",MAX(0,D970-0.5*C970))</f>
        <v>0</v>
      </c>
    </row>
    <row r="971" customFormat="false" ht="15" hidden="false" customHeight="false" outlineLevel="0" collapsed="false">
      <c r="A971" s="21" t="n">
        <v>46261</v>
      </c>
      <c r="B971" s="22" t="n">
        <v>9</v>
      </c>
      <c r="C971" s="25" t="n">
        <v>277.68</v>
      </c>
      <c r="D971" s="25" t="n">
        <v>26.28</v>
      </c>
      <c r="E971" s="25" t="n">
        <v>0</v>
      </c>
      <c r="F971" s="22" t="n">
        <f aca="false">WEEKDAY(A971,2)</f>
        <v>4</v>
      </c>
      <c r="G971" s="22" t="str">
        <f aca="false">IF(F971=7,IF(B971&gt;=23,"C","Sin turno"),IF(B971&lt;7,"C",IF(B971&lt;14,"A",IF(B971&lt;21,"B",IF(B971&lt;23,"Entre turnos",IF(F971=6,"Sin turno","C"))))))</f>
        <v>A</v>
      </c>
      <c r="H971" s="25" t="n">
        <f aca="false">IF(D971="","",MAX(0,D971-0.5*C971))</f>
        <v>0</v>
      </c>
    </row>
    <row r="972" customFormat="false" ht="15" hidden="false" customHeight="false" outlineLevel="0" collapsed="false">
      <c r="A972" s="21" t="n">
        <v>46261</v>
      </c>
      <c r="B972" s="22" t="n">
        <v>10</v>
      </c>
      <c r="C972" s="25" t="n">
        <v>276</v>
      </c>
      <c r="D972" s="25" t="n">
        <v>26.88</v>
      </c>
      <c r="E972" s="25" t="n">
        <v>0</v>
      </c>
      <c r="F972" s="22" t="n">
        <f aca="false">WEEKDAY(A972,2)</f>
        <v>4</v>
      </c>
      <c r="G972" s="22" t="str">
        <f aca="false">IF(F972=7,IF(B972&gt;=23,"C","Sin turno"),IF(B972&lt;7,"C",IF(B972&lt;14,"A",IF(B972&lt;21,"B",IF(B972&lt;23,"Entre turnos",IF(F972=6,"Sin turno","C"))))))</f>
        <v>A</v>
      </c>
      <c r="H972" s="25" t="n">
        <f aca="false">IF(D972="","",MAX(0,D972-0.5*C972))</f>
        <v>0</v>
      </c>
    </row>
    <row r="973" customFormat="false" ht="15" hidden="false" customHeight="false" outlineLevel="0" collapsed="false">
      <c r="A973" s="21" t="n">
        <v>46261</v>
      </c>
      <c r="B973" s="22" t="n">
        <v>11</v>
      </c>
      <c r="C973" s="25" t="n">
        <v>278.88</v>
      </c>
      <c r="D973" s="25" t="n">
        <v>21.84</v>
      </c>
      <c r="E973" s="25" t="n">
        <v>0</v>
      </c>
      <c r="F973" s="22" t="n">
        <f aca="false">WEEKDAY(A973,2)</f>
        <v>4</v>
      </c>
      <c r="G973" s="22" t="str">
        <f aca="false">IF(F973=7,IF(B973&gt;=23,"C","Sin turno"),IF(B973&lt;7,"C",IF(B973&lt;14,"A",IF(B973&lt;21,"B",IF(B973&lt;23,"Entre turnos",IF(F973=6,"Sin turno","C"))))))</f>
        <v>A</v>
      </c>
      <c r="H973" s="25" t="n">
        <f aca="false">IF(D973="","",MAX(0,D973-0.5*C973))</f>
        <v>0</v>
      </c>
    </row>
    <row r="974" customFormat="false" ht="15" hidden="false" customHeight="false" outlineLevel="0" collapsed="false">
      <c r="A974" s="21" t="n">
        <v>46261</v>
      </c>
      <c r="B974" s="22" t="n">
        <v>12</v>
      </c>
      <c r="C974" s="25" t="n">
        <v>290.28</v>
      </c>
      <c r="D974" s="25" t="n">
        <v>20.88</v>
      </c>
      <c r="E974" s="25" t="n">
        <v>0</v>
      </c>
      <c r="F974" s="22" t="n">
        <f aca="false">WEEKDAY(A974,2)</f>
        <v>4</v>
      </c>
      <c r="G974" s="22" t="str">
        <f aca="false">IF(F974=7,IF(B974&gt;=23,"C","Sin turno"),IF(B974&lt;7,"C",IF(B974&lt;14,"A",IF(B974&lt;21,"B",IF(B974&lt;23,"Entre turnos",IF(F974=6,"Sin turno","C"))))))</f>
        <v>A</v>
      </c>
      <c r="H974" s="25" t="n">
        <f aca="false">IF(D974="","",MAX(0,D974-0.5*C974))</f>
        <v>0</v>
      </c>
    </row>
    <row r="975" customFormat="false" ht="15" hidden="false" customHeight="false" outlineLevel="0" collapsed="false">
      <c r="A975" s="21" t="n">
        <v>46261</v>
      </c>
      <c r="B975" s="22" t="n">
        <v>13</v>
      </c>
      <c r="C975" s="25" t="n">
        <v>306</v>
      </c>
      <c r="D975" s="25" t="n">
        <v>24</v>
      </c>
      <c r="E975" s="25" t="n">
        <v>0</v>
      </c>
      <c r="F975" s="22" t="n">
        <f aca="false">WEEKDAY(A975,2)</f>
        <v>4</v>
      </c>
      <c r="G975" s="22" t="str">
        <f aca="false">IF(F975=7,IF(B975&gt;=23,"C","Sin turno"),IF(B975&lt;7,"C",IF(B975&lt;14,"A",IF(B975&lt;21,"B",IF(B975&lt;23,"Entre turnos",IF(F975=6,"Sin turno","C"))))))</f>
        <v>A</v>
      </c>
      <c r="H975" s="25" t="n">
        <f aca="false">IF(D975="","",MAX(0,D975-0.5*C975))</f>
        <v>0</v>
      </c>
    </row>
    <row r="976" customFormat="false" ht="15" hidden="false" customHeight="false" outlineLevel="0" collapsed="false">
      <c r="A976" s="21" t="n">
        <v>46261</v>
      </c>
      <c r="B976" s="22" t="n">
        <v>14</v>
      </c>
      <c r="C976" s="25" t="n">
        <v>290.4</v>
      </c>
      <c r="D976" s="25" t="n">
        <v>25.2</v>
      </c>
      <c r="E976" s="25" t="n">
        <v>0.12</v>
      </c>
      <c r="F976" s="22" t="n">
        <f aca="false">WEEKDAY(A976,2)</f>
        <v>4</v>
      </c>
      <c r="G976" s="22" t="str">
        <f aca="false">IF(F976=7,IF(B976&gt;=23,"C","Sin turno"),IF(B976&lt;7,"C",IF(B976&lt;14,"A",IF(B976&lt;21,"B",IF(B976&lt;23,"Entre turnos",IF(F976=6,"Sin turno","C"))))))</f>
        <v>B</v>
      </c>
      <c r="H976" s="25" t="n">
        <f aca="false">IF(D976="","",MAX(0,D976-0.5*C976))</f>
        <v>0</v>
      </c>
    </row>
    <row r="977" customFormat="false" ht="15" hidden="false" customHeight="false" outlineLevel="0" collapsed="false">
      <c r="A977" s="21" t="n">
        <v>46261</v>
      </c>
      <c r="B977" s="22" t="n">
        <v>15</v>
      </c>
      <c r="C977" s="25" t="n">
        <v>290.04</v>
      </c>
      <c r="D977" s="25" t="n">
        <v>25.2</v>
      </c>
      <c r="E977" s="25" t="n">
        <v>0</v>
      </c>
      <c r="F977" s="22" t="n">
        <f aca="false">WEEKDAY(A977,2)</f>
        <v>4</v>
      </c>
      <c r="G977" s="22" t="str">
        <f aca="false">IF(F977=7,IF(B977&gt;=23,"C","Sin turno"),IF(B977&lt;7,"C",IF(B977&lt;14,"A",IF(B977&lt;21,"B",IF(B977&lt;23,"Entre turnos",IF(F977=6,"Sin turno","C"))))))</f>
        <v>B</v>
      </c>
      <c r="H977" s="25" t="n">
        <f aca="false">IF(D977="","",MAX(0,D977-0.5*C977))</f>
        <v>0</v>
      </c>
    </row>
    <row r="978" customFormat="false" ht="15" hidden="false" customHeight="false" outlineLevel="0" collapsed="false">
      <c r="A978" s="21" t="n">
        <v>46261</v>
      </c>
      <c r="B978" s="22" t="n">
        <v>16</v>
      </c>
      <c r="C978" s="25" t="n">
        <v>288.72</v>
      </c>
      <c r="D978" s="25" t="n">
        <v>24</v>
      </c>
      <c r="E978" s="25" t="n">
        <v>0</v>
      </c>
      <c r="F978" s="22" t="n">
        <f aca="false">WEEKDAY(A978,2)</f>
        <v>4</v>
      </c>
      <c r="G978" s="22" t="str">
        <f aca="false">IF(F978=7,IF(B978&gt;=23,"C","Sin turno"),IF(B978&lt;7,"C",IF(B978&lt;14,"A",IF(B978&lt;21,"B",IF(B978&lt;23,"Entre turnos",IF(F978=6,"Sin turno","C"))))))</f>
        <v>B</v>
      </c>
      <c r="H978" s="25" t="n">
        <f aca="false">IF(D978="","",MAX(0,D978-0.5*C978))</f>
        <v>0</v>
      </c>
    </row>
    <row r="979" customFormat="false" ht="15" hidden="false" customHeight="false" outlineLevel="0" collapsed="false">
      <c r="A979" s="21" t="n">
        <v>46261</v>
      </c>
      <c r="B979" s="22" t="n">
        <v>17</v>
      </c>
      <c r="C979" s="25" t="n">
        <v>241.92</v>
      </c>
      <c r="D979" s="25" t="n">
        <v>21.36</v>
      </c>
      <c r="E979" s="25" t="n">
        <v>0</v>
      </c>
      <c r="F979" s="22" t="n">
        <f aca="false">WEEKDAY(A979,2)</f>
        <v>4</v>
      </c>
      <c r="G979" s="22" t="str">
        <f aca="false">IF(F979=7,IF(B979&gt;=23,"C","Sin turno"),IF(B979&lt;7,"C",IF(B979&lt;14,"A",IF(B979&lt;21,"B",IF(B979&lt;23,"Entre turnos",IF(F979=6,"Sin turno","C"))))))</f>
        <v>B</v>
      </c>
      <c r="H979" s="25" t="n">
        <f aca="false">IF(D979="","",MAX(0,D979-0.5*C979))</f>
        <v>0</v>
      </c>
    </row>
    <row r="980" customFormat="false" ht="15" hidden="false" customHeight="false" outlineLevel="0" collapsed="false">
      <c r="A980" s="21" t="n">
        <v>46261</v>
      </c>
      <c r="B980" s="22" t="n">
        <v>18</v>
      </c>
      <c r="C980" s="25" t="n">
        <v>186.48</v>
      </c>
      <c r="D980" s="25" t="n">
        <v>15.48</v>
      </c>
      <c r="E980" s="25" t="n">
        <v>0.72</v>
      </c>
      <c r="F980" s="22" t="n">
        <f aca="false">WEEKDAY(A980,2)</f>
        <v>4</v>
      </c>
      <c r="G980" s="22" t="str">
        <f aca="false">IF(F980=7,IF(B980&gt;=23,"C","Sin turno"),IF(B980&lt;7,"C",IF(B980&lt;14,"A",IF(B980&lt;21,"B",IF(B980&lt;23,"Entre turnos",IF(F980=6,"Sin turno","C"))))))</f>
        <v>B</v>
      </c>
      <c r="H980" s="25" t="n">
        <f aca="false">IF(D980="","",MAX(0,D980-0.5*C980))</f>
        <v>0</v>
      </c>
    </row>
    <row r="981" customFormat="false" ht="15" hidden="false" customHeight="false" outlineLevel="0" collapsed="false">
      <c r="A981" s="21" t="n">
        <v>46261</v>
      </c>
      <c r="B981" s="22" t="n">
        <v>19</v>
      </c>
      <c r="C981" s="25" t="n">
        <v>214.8</v>
      </c>
      <c r="D981" s="25" t="n">
        <v>21</v>
      </c>
      <c r="E981" s="25" t="n">
        <v>0.12</v>
      </c>
      <c r="F981" s="22" t="n">
        <f aca="false">WEEKDAY(A981,2)</f>
        <v>4</v>
      </c>
      <c r="G981" s="22" t="str">
        <f aca="false">IF(F981=7,IF(B981&gt;=23,"C","Sin turno"),IF(B981&lt;7,"C",IF(B981&lt;14,"A",IF(B981&lt;21,"B",IF(B981&lt;23,"Entre turnos",IF(F981=6,"Sin turno","C"))))))</f>
        <v>B</v>
      </c>
      <c r="H981" s="25" t="n">
        <f aca="false">IF(D981="","",MAX(0,D981-0.5*C981))</f>
        <v>0</v>
      </c>
    </row>
    <row r="982" customFormat="false" ht="15" hidden="false" customHeight="false" outlineLevel="0" collapsed="false">
      <c r="A982" s="21" t="n">
        <v>46261</v>
      </c>
      <c r="B982" s="22" t="n">
        <v>20</v>
      </c>
      <c r="C982" s="25" t="n">
        <v>221.04</v>
      </c>
      <c r="D982" s="25" t="n">
        <v>19.32</v>
      </c>
      <c r="E982" s="25" t="n">
        <v>0</v>
      </c>
      <c r="F982" s="22" t="n">
        <f aca="false">WEEKDAY(A982,2)</f>
        <v>4</v>
      </c>
      <c r="G982" s="22" t="str">
        <f aca="false">IF(F982=7,IF(B982&gt;=23,"C","Sin turno"),IF(B982&lt;7,"C",IF(B982&lt;14,"A",IF(B982&lt;21,"B",IF(B982&lt;23,"Entre turnos",IF(F982=6,"Sin turno","C"))))))</f>
        <v>B</v>
      </c>
      <c r="H982" s="25" t="n">
        <f aca="false">IF(D982="","",MAX(0,D982-0.5*C982))</f>
        <v>0</v>
      </c>
    </row>
    <row r="983" customFormat="false" ht="15" hidden="false" customHeight="false" outlineLevel="0" collapsed="false">
      <c r="A983" s="21" t="n">
        <v>46261</v>
      </c>
      <c r="B983" s="22" t="n">
        <v>21</v>
      </c>
      <c r="C983" s="25" t="n">
        <v>138.48</v>
      </c>
      <c r="D983" s="25" t="n">
        <v>13.56</v>
      </c>
      <c r="E983" s="25" t="n">
        <v>0.24</v>
      </c>
      <c r="F983" s="22" t="n">
        <f aca="false">WEEKDAY(A983,2)</f>
        <v>4</v>
      </c>
      <c r="G983" s="22" t="str">
        <f aca="false">IF(F983=7,IF(B983&gt;=23,"C","Sin turno"),IF(B983&lt;7,"C",IF(B983&lt;14,"A",IF(B983&lt;21,"B",IF(B983&lt;23,"Entre turnos",IF(F983=6,"Sin turno","C"))))))</f>
        <v>Entre turnos</v>
      </c>
      <c r="H983" s="25" t="n">
        <f aca="false">IF(D983="","",MAX(0,D983-0.5*C983))</f>
        <v>0</v>
      </c>
    </row>
    <row r="984" customFormat="false" ht="15" hidden="false" customHeight="false" outlineLevel="0" collapsed="false">
      <c r="A984" s="21" t="n">
        <v>46261</v>
      </c>
      <c r="B984" s="22" t="n">
        <v>22</v>
      </c>
      <c r="C984" s="25" t="n">
        <v>100.92</v>
      </c>
      <c r="D984" s="25" t="n">
        <v>12.12</v>
      </c>
      <c r="E984" s="25" t="n">
        <v>0.48</v>
      </c>
      <c r="F984" s="22" t="n">
        <f aca="false">WEEKDAY(A984,2)</f>
        <v>4</v>
      </c>
      <c r="G984" s="22" t="str">
        <f aca="false">IF(F984=7,IF(B984&gt;=23,"C","Sin turno"),IF(B984&lt;7,"C",IF(B984&lt;14,"A",IF(B984&lt;21,"B",IF(B984&lt;23,"Entre turnos",IF(F984=6,"Sin turno","C"))))))</f>
        <v>Entre turnos</v>
      </c>
      <c r="H984" s="25" t="n">
        <f aca="false">IF(D984="","",MAX(0,D984-0.5*C984))</f>
        <v>0</v>
      </c>
    </row>
    <row r="985" customFormat="false" ht="15" hidden="false" customHeight="false" outlineLevel="0" collapsed="false">
      <c r="A985" s="21" t="n">
        <v>46261</v>
      </c>
      <c r="B985" s="22" t="n">
        <v>23</v>
      </c>
      <c r="C985" s="25" t="n">
        <v>102.36</v>
      </c>
      <c r="D985" s="25" t="n">
        <v>14.16</v>
      </c>
      <c r="E985" s="25" t="n">
        <v>0.36</v>
      </c>
      <c r="F985" s="22" t="n">
        <f aca="false">WEEKDAY(A985,2)</f>
        <v>4</v>
      </c>
      <c r="G985" s="22" t="str">
        <f aca="false">IF(F985=7,IF(B985&gt;=23,"C","Sin turno"),IF(B985&lt;7,"C",IF(B985&lt;14,"A",IF(B985&lt;21,"B",IF(B985&lt;23,"Entre turnos",IF(F985=6,"Sin turno","C"))))))</f>
        <v>C</v>
      </c>
      <c r="H985" s="25" t="n">
        <f aca="false">IF(D985="","",MAX(0,D985-0.5*C985))</f>
        <v>0</v>
      </c>
    </row>
    <row r="986" customFormat="false" ht="15" hidden="false" customHeight="false" outlineLevel="0" collapsed="false">
      <c r="A986" s="21" t="n">
        <v>46262</v>
      </c>
      <c r="B986" s="22" t="n">
        <v>0</v>
      </c>
      <c r="C986" s="25" t="n">
        <v>118.68</v>
      </c>
      <c r="D986" s="25" t="n">
        <v>19.8</v>
      </c>
      <c r="E986" s="25" t="n">
        <v>0.12</v>
      </c>
      <c r="F986" s="22" t="n">
        <f aca="false">WEEKDAY(A986,2)</f>
        <v>5</v>
      </c>
      <c r="G986" s="22" t="str">
        <f aca="false">IF(F986=7,IF(B986&gt;=23,"C","Sin turno"),IF(B986&lt;7,"C",IF(B986&lt;14,"A",IF(B986&lt;21,"B",IF(B986&lt;23,"Entre turnos",IF(F986=6,"Sin turno","C"))))))</f>
        <v>C</v>
      </c>
      <c r="H986" s="25" t="n">
        <f aca="false">IF(D986="","",MAX(0,D986-0.5*C986))</f>
        <v>0</v>
      </c>
    </row>
    <row r="987" customFormat="false" ht="15" hidden="false" customHeight="false" outlineLevel="0" collapsed="false">
      <c r="A987" s="21" t="n">
        <v>46262</v>
      </c>
      <c r="B987" s="22" t="n">
        <v>1</v>
      </c>
      <c r="C987" s="25" t="n">
        <v>113.4</v>
      </c>
      <c r="D987" s="25" t="n">
        <v>19.08</v>
      </c>
      <c r="E987" s="25" t="n">
        <v>0.24</v>
      </c>
      <c r="F987" s="22" t="n">
        <f aca="false">WEEKDAY(A987,2)</f>
        <v>5</v>
      </c>
      <c r="G987" s="22" t="str">
        <f aca="false">IF(F987=7,IF(B987&gt;=23,"C","Sin turno"),IF(B987&lt;7,"C",IF(B987&lt;14,"A",IF(B987&lt;21,"B",IF(B987&lt;23,"Entre turnos",IF(F987=6,"Sin turno","C"))))))</f>
        <v>C</v>
      </c>
      <c r="H987" s="25" t="n">
        <f aca="false">IF(D987="","",MAX(0,D987-0.5*C987))</f>
        <v>0</v>
      </c>
    </row>
    <row r="988" customFormat="false" ht="15" hidden="false" customHeight="false" outlineLevel="0" collapsed="false">
      <c r="A988" s="21" t="n">
        <v>46262</v>
      </c>
      <c r="B988" s="22" t="n">
        <v>2</v>
      </c>
      <c r="C988" s="25" t="n">
        <v>115.44</v>
      </c>
      <c r="D988" s="25" t="n">
        <v>18.84</v>
      </c>
      <c r="E988" s="25" t="n">
        <v>0.24</v>
      </c>
      <c r="F988" s="22" t="n">
        <f aca="false">WEEKDAY(A988,2)</f>
        <v>5</v>
      </c>
      <c r="G988" s="22" t="str">
        <f aca="false">IF(F988=7,IF(B988&gt;=23,"C","Sin turno"),IF(B988&lt;7,"C",IF(B988&lt;14,"A",IF(B988&lt;21,"B",IF(B988&lt;23,"Entre turnos",IF(F988=6,"Sin turno","C"))))))</f>
        <v>C</v>
      </c>
      <c r="H988" s="25" t="n">
        <f aca="false">IF(D988="","",MAX(0,D988-0.5*C988))</f>
        <v>0</v>
      </c>
    </row>
    <row r="989" customFormat="false" ht="15" hidden="false" customHeight="false" outlineLevel="0" collapsed="false">
      <c r="A989" s="21" t="n">
        <v>46262</v>
      </c>
      <c r="B989" s="22" t="n">
        <v>3</v>
      </c>
      <c r="C989" s="25" t="n">
        <v>109.8</v>
      </c>
      <c r="D989" s="25" t="n">
        <v>17.52</v>
      </c>
      <c r="E989" s="25" t="n">
        <v>0.12</v>
      </c>
      <c r="F989" s="22" t="n">
        <f aca="false">WEEKDAY(A989,2)</f>
        <v>5</v>
      </c>
      <c r="G989" s="22" t="str">
        <f aca="false">IF(F989=7,IF(B989&gt;=23,"C","Sin turno"),IF(B989&lt;7,"C",IF(B989&lt;14,"A",IF(B989&lt;21,"B",IF(B989&lt;23,"Entre turnos",IF(F989=6,"Sin turno","C"))))))</f>
        <v>C</v>
      </c>
      <c r="H989" s="25" t="n">
        <f aca="false">IF(D989="","",MAX(0,D989-0.5*C989))</f>
        <v>0</v>
      </c>
    </row>
    <row r="990" customFormat="false" ht="15" hidden="false" customHeight="false" outlineLevel="0" collapsed="false">
      <c r="A990" s="21" t="n">
        <v>46262</v>
      </c>
      <c r="B990" s="22" t="n">
        <v>4</v>
      </c>
      <c r="C990" s="25" t="n">
        <v>108.48</v>
      </c>
      <c r="D990" s="25" t="n">
        <v>17.64</v>
      </c>
      <c r="E990" s="25" t="n">
        <v>0.12</v>
      </c>
      <c r="F990" s="22" t="n">
        <f aca="false">WEEKDAY(A990,2)</f>
        <v>5</v>
      </c>
      <c r="G990" s="22" t="str">
        <f aca="false">IF(F990=7,IF(B990&gt;=23,"C","Sin turno"),IF(B990&lt;7,"C",IF(B990&lt;14,"A",IF(B990&lt;21,"B",IF(B990&lt;23,"Entre turnos",IF(F990=6,"Sin turno","C"))))))</f>
        <v>C</v>
      </c>
      <c r="H990" s="25" t="n">
        <f aca="false">IF(D990="","",MAX(0,D990-0.5*C990))</f>
        <v>0</v>
      </c>
    </row>
    <row r="991" customFormat="false" ht="15" hidden="false" customHeight="false" outlineLevel="0" collapsed="false">
      <c r="A991" s="21" t="n">
        <v>46262</v>
      </c>
      <c r="B991" s="22" t="n">
        <v>5</v>
      </c>
      <c r="C991" s="25" t="n">
        <v>123.48</v>
      </c>
      <c r="D991" s="25" t="n">
        <v>19.92</v>
      </c>
      <c r="E991" s="25" t="n">
        <v>0.12</v>
      </c>
      <c r="F991" s="22" t="n">
        <f aca="false">WEEKDAY(A991,2)</f>
        <v>5</v>
      </c>
      <c r="G991" s="22" t="str">
        <f aca="false">IF(F991=7,IF(B991&gt;=23,"C","Sin turno"),IF(B991&lt;7,"C",IF(B991&lt;14,"A",IF(B991&lt;21,"B",IF(B991&lt;23,"Entre turnos",IF(F991=6,"Sin turno","C"))))))</f>
        <v>C</v>
      </c>
      <c r="H991" s="25" t="n">
        <f aca="false">IF(D991="","",MAX(0,D991-0.5*C991))</f>
        <v>0</v>
      </c>
    </row>
    <row r="992" customFormat="false" ht="15" hidden="false" customHeight="false" outlineLevel="0" collapsed="false">
      <c r="A992" s="21" t="n">
        <v>46262</v>
      </c>
      <c r="B992" s="22" t="n">
        <v>6</v>
      </c>
      <c r="C992" s="25" t="n">
        <v>136.92</v>
      </c>
      <c r="D992" s="25" t="n">
        <v>20.04</v>
      </c>
      <c r="E992" s="25" t="n">
        <v>0.12</v>
      </c>
      <c r="F992" s="22" t="n">
        <f aca="false">WEEKDAY(A992,2)</f>
        <v>5</v>
      </c>
      <c r="G992" s="22" t="str">
        <f aca="false">IF(F992=7,IF(B992&gt;=23,"C","Sin turno"),IF(B992&lt;7,"C",IF(B992&lt;14,"A",IF(B992&lt;21,"B",IF(B992&lt;23,"Entre turnos",IF(F992=6,"Sin turno","C"))))))</f>
        <v>C</v>
      </c>
      <c r="H992" s="25" t="n">
        <f aca="false">IF(D992="","",MAX(0,D992-0.5*C992))</f>
        <v>0</v>
      </c>
    </row>
    <row r="993" customFormat="false" ht="15" hidden="false" customHeight="false" outlineLevel="0" collapsed="false">
      <c r="A993" s="21" t="n">
        <v>46262</v>
      </c>
      <c r="B993" s="22" t="n">
        <v>7</v>
      </c>
      <c r="C993" s="25" t="n">
        <v>236.4</v>
      </c>
      <c r="D993" s="25" t="n">
        <v>21.6</v>
      </c>
      <c r="E993" s="25" t="n">
        <v>0.12</v>
      </c>
      <c r="F993" s="22" t="n">
        <f aca="false">WEEKDAY(A993,2)</f>
        <v>5</v>
      </c>
      <c r="G993" s="22" t="str">
        <f aca="false">IF(F993=7,IF(B993&gt;=23,"C","Sin turno"),IF(B993&lt;7,"C",IF(B993&lt;14,"A",IF(B993&lt;21,"B",IF(B993&lt;23,"Entre turnos",IF(F993=6,"Sin turno","C"))))))</f>
        <v>A</v>
      </c>
      <c r="H993" s="25" t="n">
        <f aca="false">IF(D993="","",MAX(0,D993-0.5*C993))</f>
        <v>0</v>
      </c>
    </row>
    <row r="994" customFormat="false" ht="15" hidden="false" customHeight="false" outlineLevel="0" collapsed="false">
      <c r="A994" s="21" t="n">
        <v>46262</v>
      </c>
      <c r="B994" s="22" t="n">
        <v>8</v>
      </c>
      <c r="C994" s="25" t="n">
        <v>267.24</v>
      </c>
      <c r="D994" s="25" t="n">
        <v>25.32</v>
      </c>
      <c r="E994" s="25" t="n">
        <v>0</v>
      </c>
      <c r="F994" s="22" t="n">
        <f aca="false">WEEKDAY(A994,2)</f>
        <v>5</v>
      </c>
      <c r="G994" s="22" t="str">
        <f aca="false">IF(F994=7,IF(B994&gt;=23,"C","Sin turno"),IF(B994&lt;7,"C",IF(B994&lt;14,"A",IF(B994&lt;21,"B",IF(B994&lt;23,"Entre turnos",IF(F994=6,"Sin turno","C"))))))</f>
        <v>A</v>
      </c>
      <c r="H994" s="25" t="n">
        <f aca="false">IF(D994="","",MAX(0,D994-0.5*C994))</f>
        <v>0</v>
      </c>
    </row>
    <row r="995" customFormat="false" ht="15" hidden="false" customHeight="false" outlineLevel="0" collapsed="false">
      <c r="A995" s="21" t="n">
        <v>46262</v>
      </c>
      <c r="B995" s="22" t="n">
        <v>9</v>
      </c>
      <c r="C995" s="25" t="n">
        <v>276.36</v>
      </c>
      <c r="D995" s="25" t="n">
        <v>19.92</v>
      </c>
      <c r="E995" s="25" t="n">
        <v>0</v>
      </c>
      <c r="F995" s="22" t="n">
        <f aca="false">WEEKDAY(A995,2)</f>
        <v>5</v>
      </c>
      <c r="G995" s="22" t="str">
        <f aca="false">IF(F995=7,IF(B995&gt;=23,"C","Sin turno"),IF(B995&lt;7,"C",IF(B995&lt;14,"A",IF(B995&lt;21,"B",IF(B995&lt;23,"Entre turnos",IF(F995=6,"Sin turno","C"))))))</f>
        <v>A</v>
      </c>
      <c r="H995" s="25" t="n">
        <f aca="false">IF(D995="","",MAX(0,D995-0.5*C995))</f>
        <v>0</v>
      </c>
    </row>
    <row r="996" customFormat="false" ht="15" hidden="false" customHeight="false" outlineLevel="0" collapsed="false">
      <c r="A996" s="21" t="n">
        <v>46262</v>
      </c>
      <c r="B996" s="22" t="n">
        <v>10</v>
      </c>
      <c r="C996" s="25" t="n">
        <v>289.44</v>
      </c>
      <c r="D996" s="25" t="n">
        <v>25.08</v>
      </c>
      <c r="E996" s="25" t="n">
        <v>0</v>
      </c>
      <c r="F996" s="22" t="n">
        <f aca="false">WEEKDAY(A996,2)</f>
        <v>5</v>
      </c>
      <c r="G996" s="22" t="str">
        <f aca="false">IF(F996=7,IF(B996&gt;=23,"C","Sin turno"),IF(B996&lt;7,"C",IF(B996&lt;14,"A",IF(B996&lt;21,"B",IF(B996&lt;23,"Entre turnos",IF(F996=6,"Sin turno","C"))))))</f>
        <v>A</v>
      </c>
      <c r="H996" s="25" t="n">
        <f aca="false">IF(D996="","",MAX(0,D996-0.5*C996))</f>
        <v>0</v>
      </c>
    </row>
    <row r="997" customFormat="false" ht="15" hidden="false" customHeight="false" outlineLevel="0" collapsed="false">
      <c r="A997" s="21" t="n">
        <v>46262</v>
      </c>
      <c r="B997" s="22" t="n">
        <v>11</v>
      </c>
      <c r="C997" s="25" t="n">
        <v>282.84</v>
      </c>
      <c r="D997" s="25" t="n">
        <v>24.96</v>
      </c>
      <c r="E997" s="25" t="n">
        <v>0</v>
      </c>
      <c r="F997" s="22" t="n">
        <f aca="false">WEEKDAY(A997,2)</f>
        <v>5</v>
      </c>
      <c r="G997" s="22" t="str">
        <f aca="false">IF(F997=7,IF(B997&gt;=23,"C","Sin turno"),IF(B997&lt;7,"C",IF(B997&lt;14,"A",IF(B997&lt;21,"B",IF(B997&lt;23,"Entre turnos",IF(F997=6,"Sin turno","C"))))))</f>
        <v>A</v>
      </c>
      <c r="H997" s="25" t="n">
        <f aca="false">IF(D997="","",MAX(0,D997-0.5*C997))</f>
        <v>0</v>
      </c>
    </row>
    <row r="998" customFormat="false" ht="15" hidden="false" customHeight="false" outlineLevel="0" collapsed="false">
      <c r="A998" s="21" t="n">
        <v>46262</v>
      </c>
      <c r="B998" s="22" t="n">
        <v>12</v>
      </c>
      <c r="C998" s="25" t="n">
        <v>296.88</v>
      </c>
      <c r="D998" s="25" t="n">
        <v>23.04</v>
      </c>
      <c r="E998" s="25" t="n">
        <v>0.12</v>
      </c>
      <c r="F998" s="22" t="n">
        <f aca="false">WEEKDAY(A998,2)</f>
        <v>5</v>
      </c>
      <c r="G998" s="22" t="str">
        <f aca="false">IF(F998=7,IF(B998&gt;=23,"C","Sin turno"),IF(B998&lt;7,"C",IF(B998&lt;14,"A",IF(B998&lt;21,"B",IF(B998&lt;23,"Entre turnos",IF(F998=6,"Sin turno","C"))))))</f>
        <v>A</v>
      </c>
      <c r="H998" s="25" t="n">
        <f aca="false">IF(D998="","",MAX(0,D998-0.5*C998))</f>
        <v>0</v>
      </c>
    </row>
    <row r="999" customFormat="false" ht="15" hidden="false" customHeight="false" outlineLevel="0" collapsed="false">
      <c r="A999" s="21" t="n">
        <v>46262</v>
      </c>
      <c r="B999" s="22" t="n">
        <v>13</v>
      </c>
      <c r="C999" s="25" t="n">
        <v>294.36</v>
      </c>
      <c r="D999" s="25" t="n">
        <v>23.88</v>
      </c>
      <c r="E999" s="25" t="n">
        <v>0</v>
      </c>
      <c r="F999" s="22" t="n">
        <f aca="false">WEEKDAY(A999,2)</f>
        <v>5</v>
      </c>
      <c r="G999" s="22" t="str">
        <f aca="false">IF(F999=7,IF(B999&gt;=23,"C","Sin turno"),IF(B999&lt;7,"C",IF(B999&lt;14,"A",IF(B999&lt;21,"B",IF(B999&lt;23,"Entre turnos",IF(F999=6,"Sin turno","C"))))))</f>
        <v>A</v>
      </c>
      <c r="H999" s="25" t="n">
        <f aca="false">IF(D999="","",MAX(0,D999-0.5*C999))</f>
        <v>0</v>
      </c>
    </row>
    <row r="1000" customFormat="false" ht="15" hidden="false" customHeight="false" outlineLevel="0" collapsed="false">
      <c r="A1000" s="21" t="n">
        <v>46262</v>
      </c>
      <c r="B1000" s="22" t="n">
        <v>14</v>
      </c>
      <c r="C1000" s="25" t="n">
        <v>300</v>
      </c>
      <c r="D1000" s="25" t="n">
        <v>30.72</v>
      </c>
      <c r="E1000" s="25" t="n">
        <v>0</v>
      </c>
      <c r="F1000" s="22" t="n">
        <f aca="false">WEEKDAY(A1000,2)</f>
        <v>5</v>
      </c>
      <c r="G1000" s="22" t="str">
        <f aca="false">IF(F1000=7,IF(B1000&gt;=23,"C","Sin turno"),IF(B1000&lt;7,"C",IF(B1000&lt;14,"A",IF(B1000&lt;21,"B",IF(B1000&lt;23,"Entre turnos",IF(F1000=6,"Sin turno","C"))))))</f>
        <v>B</v>
      </c>
      <c r="H1000" s="25" t="n">
        <f aca="false">IF(D1000="","",MAX(0,D1000-0.5*C1000))</f>
        <v>0</v>
      </c>
    </row>
    <row r="1001" customFormat="false" ht="15" hidden="false" customHeight="false" outlineLevel="0" collapsed="false">
      <c r="A1001" s="21" t="n">
        <v>46262</v>
      </c>
      <c r="B1001" s="22" t="n">
        <v>15</v>
      </c>
      <c r="C1001" s="25" t="n">
        <v>314.4</v>
      </c>
      <c r="D1001" s="25" t="n">
        <v>27.72</v>
      </c>
      <c r="E1001" s="25" t="n">
        <v>0.24</v>
      </c>
      <c r="F1001" s="22" t="n">
        <f aca="false">WEEKDAY(A1001,2)</f>
        <v>5</v>
      </c>
      <c r="G1001" s="22" t="str">
        <f aca="false">IF(F1001=7,IF(B1001&gt;=23,"C","Sin turno"),IF(B1001&lt;7,"C",IF(B1001&lt;14,"A",IF(B1001&lt;21,"B",IF(B1001&lt;23,"Entre turnos",IF(F1001=6,"Sin turno","C"))))))</f>
        <v>B</v>
      </c>
      <c r="H1001" s="25" t="n">
        <f aca="false">IF(D1001="","",MAX(0,D1001-0.5*C1001))</f>
        <v>0</v>
      </c>
    </row>
    <row r="1002" customFormat="false" ht="15" hidden="false" customHeight="false" outlineLevel="0" collapsed="false">
      <c r="A1002" s="21" t="n">
        <v>46262</v>
      </c>
      <c r="B1002" s="22" t="n">
        <v>16</v>
      </c>
      <c r="C1002" s="25" t="n">
        <v>296.04</v>
      </c>
      <c r="D1002" s="25" t="n">
        <v>30.36</v>
      </c>
      <c r="E1002" s="25" t="n">
        <v>0</v>
      </c>
      <c r="F1002" s="22" t="n">
        <f aca="false">WEEKDAY(A1002,2)</f>
        <v>5</v>
      </c>
      <c r="G1002" s="22" t="str">
        <f aca="false">IF(F1002=7,IF(B1002&gt;=23,"C","Sin turno"),IF(B1002&lt;7,"C",IF(B1002&lt;14,"A",IF(B1002&lt;21,"B",IF(B1002&lt;23,"Entre turnos",IF(F1002=6,"Sin turno","C"))))))</f>
        <v>B</v>
      </c>
      <c r="H1002" s="25" t="n">
        <f aca="false">IF(D1002="","",MAX(0,D1002-0.5*C1002))</f>
        <v>0</v>
      </c>
    </row>
    <row r="1003" customFormat="false" ht="15" hidden="false" customHeight="false" outlineLevel="0" collapsed="false">
      <c r="A1003" s="21" t="n">
        <v>46262</v>
      </c>
      <c r="B1003" s="22" t="n">
        <v>17</v>
      </c>
      <c r="C1003" s="25" t="n">
        <v>257.88</v>
      </c>
      <c r="D1003" s="25" t="n">
        <v>21.6</v>
      </c>
      <c r="E1003" s="25" t="n">
        <v>0.24</v>
      </c>
      <c r="F1003" s="22" t="n">
        <f aca="false">WEEKDAY(A1003,2)</f>
        <v>5</v>
      </c>
      <c r="G1003" s="22" t="str">
        <f aca="false">IF(F1003=7,IF(B1003&gt;=23,"C","Sin turno"),IF(B1003&lt;7,"C",IF(B1003&lt;14,"A",IF(B1003&lt;21,"B",IF(B1003&lt;23,"Entre turnos",IF(F1003=6,"Sin turno","C"))))))</f>
        <v>B</v>
      </c>
      <c r="H1003" s="25" t="n">
        <f aca="false">IF(D1003="","",MAX(0,D1003-0.5*C1003))</f>
        <v>0</v>
      </c>
    </row>
    <row r="1004" customFormat="false" ht="15" hidden="false" customHeight="false" outlineLevel="0" collapsed="false">
      <c r="A1004" s="21" t="n">
        <v>46262</v>
      </c>
      <c r="B1004" s="22" t="n">
        <v>18</v>
      </c>
      <c r="C1004" s="25" t="n">
        <v>207.12</v>
      </c>
      <c r="D1004" s="25" t="n">
        <v>21.24</v>
      </c>
      <c r="E1004" s="25" t="n">
        <v>0.48</v>
      </c>
      <c r="F1004" s="22" t="n">
        <f aca="false">WEEKDAY(A1004,2)</f>
        <v>5</v>
      </c>
      <c r="G1004" s="22" t="str">
        <f aca="false">IF(F1004=7,IF(B1004&gt;=23,"C","Sin turno"),IF(B1004&lt;7,"C",IF(B1004&lt;14,"A",IF(B1004&lt;21,"B",IF(B1004&lt;23,"Entre turnos",IF(F1004=6,"Sin turno","C"))))))</f>
        <v>B</v>
      </c>
      <c r="H1004" s="25" t="n">
        <f aca="false">IF(D1004="","",MAX(0,D1004-0.5*C1004))</f>
        <v>0</v>
      </c>
    </row>
    <row r="1005" customFormat="false" ht="15" hidden="false" customHeight="false" outlineLevel="0" collapsed="false">
      <c r="A1005" s="21" t="n">
        <v>46262</v>
      </c>
      <c r="B1005" s="22" t="n">
        <v>19</v>
      </c>
      <c r="C1005" s="25" t="n">
        <v>224.88</v>
      </c>
      <c r="D1005" s="25" t="n">
        <v>18.84</v>
      </c>
      <c r="E1005" s="25" t="n">
        <v>0.6</v>
      </c>
      <c r="F1005" s="22" t="n">
        <f aca="false">WEEKDAY(A1005,2)</f>
        <v>5</v>
      </c>
      <c r="G1005" s="22" t="str">
        <f aca="false">IF(F1005=7,IF(B1005&gt;=23,"C","Sin turno"),IF(B1005&lt;7,"C",IF(B1005&lt;14,"A",IF(B1005&lt;21,"B",IF(B1005&lt;23,"Entre turnos",IF(F1005=6,"Sin turno","C"))))))</f>
        <v>B</v>
      </c>
      <c r="H1005" s="25" t="n">
        <f aca="false">IF(D1005="","",MAX(0,D1005-0.5*C1005))</f>
        <v>0</v>
      </c>
    </row>
    <row r="1006" customFormat="false" ht="15" hidden="false" customHeight="false" outlineLevel="0" collapsed="false">
      <c r="A1006" s="21" t="n">
        <v>46262</v>
      </c>
      <c r="B1006" s="22" t="n">
        <v>20</v>
      </c>
      <c r="C1006" s="25" t="n">
        <v>211.68</v>
      </c>
      <c r="D1006" s="25" t="n">
        <v>21.84</v>
      </c>
      <c r="E1006" s="25" t="n">
        <v>0.6</v>
      </c>
      <c r="F1006" s="22" t="n">
        <f aca="false">WEEKDAY(A1006,2)</f>
        <v>5</v>
      </c>
      <c r="G1006" s="22" t="str">
        <f aca="false">IF(F1006=7,IF(B1006&gt;=23,"C","Sin turno"),IF(B1006&lt;7,"C",IF(B1006&lt;14,"A",IF(B1006&lt;21,"B",IF(B1006&lt;23,"Entre turnos",IF(F1006=6,"Sin turno","C"))))))</f>
        <v>B</v>
      </c>
      <c r="H1006" s="25" t="n">
        <f aca="false">IF(D1006="","",MAX(0,D1006-0.5*C1006))</f>
        <v>0</v>
      </c>
    </row>
    <row r="1007" customFormat="false" ht="15" hidden="false" customHeight="false" outlineLevel="0" collapsed="false">
      <c r="A1007" s="21" t="n">
        <v>46262</v>
      </c>
      <c r="B1007" s="22" t="n">
        <v>21</v>
      </c>
      <c r="C1007" s="25" t="n">
        <v>164.64</v>
      </c>
      <c r="D1007" s="25" t="n">
        <v>18.6</v>
      </c>
      <c r="E1007" s="25" t="n">
        <v>0.24</v>
      </c>
      <c r="F1007" s="22" t="n">
        <f aca="false">WEEKDAY(A1007,2)</f>
        <v>5</v>
      </c>
      <c r="G1007" s="22" t="str">
        <f aca="false">IF(F1007=7,IF(B1007&gt;=23,"C","Sin turno"),IF(B1007&lt;7,"C",IF(B1007&lt;14,"A",IF(B1007&lt;21,"B",IF(B1007&lt;23,"Entre turnos",IF(F1007=6,"Sin turno","C"))))))</f>
        <v>Entre turnos</v>
      </c>
      <c r="H1007" s="25" t="n">
        <f aca="false">IF(D1007="","",MAX(0,D1007-0.5*C1007))</f>
        <v>0</v>
      </c>
    </row>
    <row r="1008" customFormat="false" ht="15" hidden="false" customHeight="false" outlineLevel="0" collapsed="false">
      <c r="A1008" s="21" t="n">
        <v>46262</v>
      </c>
      <c r="B1008" s="22" t="n">
        <v>22</v>
      </c>
      <c r="C1008" s="25" t="n">
        <v>121.8</v>
      </c>
      <c r="D1008" s="25" t="n">
        <v>20.16</v>
      </c>
      <c r="E1008" s="25" t="n">
        <v>0.24</v>
      </c>
      <c r="F1008" s="22" t="n">
        <f aca="false">WEEKDAY(A1008,2)</f>
        <v>5</v>
      </c>
      <c r="G1008" s="22" t="str">
        <f aca="false">IF(F1008=7,IF(B1008&gt;=23,"C","Sin turno"),IF(B1008&lt;7,"C",IF(B1008&lt;14,"A",IF(B1008&lt;21,"B",IF(B1008&lt;23,"Entre turnos",IF(F1008=6,"Sin turno","C"))))))</f>
        <v>Entre turnos</v>
      </c>
      <c r="H1008" s="25" t="n">
        <f aca="false">IF(D1008="","",MAX(0,D1008-0.5*C1008))</f>
        <v>0</v>
      </c>
    </row>
    <row r="1009" customFormat="false" ht="15" hidden="false" customHeight="false" outlineLevel="0" collapsed="false">
      <c r="A1009" s="21" t="n">
        <v>46262</v>
      </c>
      <c r="B1009" s="22" t="n">
        <v>23</v>
      </c>
      <c r="C1009" s="25" t="n">
        <v>126.48</v>
      </c>
      <c r="D1009" s="25" t="n">
        <v>16.8</v>
      </c>
      <c r="E1009" s="25" t="n">
        <v>0.36</v>
      </c>
      <c r="F1009" s="22" t="n">
        <f aca="false">WEEKDAY(A1009,2)</f>
        <v>5</v>
      </c>
      <c r="G1009" s="22" t="str">
        <f aca="false">IF(F1009=7,IF(B1009&gt;=23,"C","Sin turno"),IF(B1009&lt;7,"C",IF(B1009&lt;14,"A",IF(B1009&lt;21,"B",IF(B1009&lt;23,"Entre turnos",IF(F1009=6,"Sin turno","C"))))))</f>
        <v>C</v>
      </c>
      <c r="H1009" s="25" t="n">
        <f aca="false">IF(D1009="","",MAX(0,D1009-0.5*C1009))</f>
        <v>0</v>
      </c>
    </row>
    <row r="1010" customFormat="false" ht="15" hidden="false" customHeight="false" outlineLevel="0" collapsed="false">
      <c r="A1010" s="21" t="n">
        <v>46263</v>
      </c>
      <c r="B1010" s="22" t="n">
        <v>0</v>
      </c>
      <c r="C1010" s="25" t="n">
        <v>143.88</v>
      </c>
      <c r="D1010" s="25" t="n">
        <v>16.68</v>
      </c>
      <c r="E1010" s="25" t="n">
        <v>0.12</v>
      </c>
      <c r="F1010" s="22" t="n">
        <f aca="false">WEEKDAY(A1010,2)</f>
        <v>6</v>
      </c>
      <c r="G1010" s="22" t="str">
        <f aca="false">IF(F1010=7,IF(B1010&gt;=23,"C","Sin turno"),IF(B1010&lt;7,"C",IF(B1010&lt;14,"A",IF(B1010&lt;21,"B",IF(B1010&lt;23,"Entre turnos",IF(F1010=6,"Sin turno","C"))))))</f>
        <v>C</v>
      </c>
      <c r="H1010" s="25" t="n">
        <f aca="false">IF(D1010="","",MAX(0,D1010-0.5*C1010))</f>
        <v>0</v>
      </c>
    </row>
    <row r="1011" customFormat="false" ht="15" hidden="false" customHeight="false" outlineLevel="0" collapsed="false">
      <c r="A1011" s="21" t="n">
        <v>46263</v>
      </c>
      <c r="B1011" s="22" t="n">
        <v>1</v>
      </c>
      <c r="C1011" s="25" t="n">
        <v>141</v>
      </c>
      <c r="D1011" s="25" t="n">
        <v>17.52</v>
      </c>
      <c r="E1011" s="25" t="n">
        <v>0.12</v>
      </c>
      <c r="F1011" s="22" t="n">
        <f aca="false">WEEKDAY(A1011,2)</f>
        <v>6</v>
      </c>
      <c r="G1011" s="22" t="str">
        <f aca="false">IF(F1011=7,IF(B1011&gt;=23,"C","Sin turno"),IF(B1011&lt;7,"C",IF(B1011&lt;14,"A",IF(B1011&lt;21,"B",IF(B1011&lt;23,"Entre turnos",IF(F1011=6,"Sin turno","C"))))))</f>
        <v>C</v>
      </c>
      <c r="H1011" s="25" t="n">
        <f aca="false">IF(D1011="","",MAX(0,D1011-0.5*C1011))</f>
        <v>0</v>
      </c>
    </row>
    <row r="1012" customFormat="false" ht="15" hidden="false" customHeight="false" outlineLevel="0" collapsed="false">
      <c r="A1012" s="21" t="n">
        <v>46263</v>
      </c>
      <c r="B1012" s="22" t="n">
        <v>2</v>
      </c>
      <c r="C1012" s="25" t="n">
        <v>139.56</v>
      </c>
      <c r="D1012" s="25" t="n">
        <v>16.92</v>
      </c>
      <c r="E1012" s="25" t="n">
        <v>0.12</v>
      </c>
      <c r="F1012" s="22" t="n">
        <f aca="false">WEEKDAY(A1012,2)</f>
        <v>6</v>
      </c>
      <c r="G1012" s="22" t="str">
        <f aca="false">IF(F1012=7,IF(B1012&gt;=23,"C","Sin turno"),IF(B1012&lt;7,"C",IF(B1012&lt;14,"A",IF(B1012&lt;21,"B",IF(B1012&lt;23,"Entre turnos",IF(F1012=6,"Sin turno","C"))))))</f>
        <v>C</v>
      </c>
      <c r="H1012" s="25" t="n">
        <f aca="false">IF(D1012="","",MAX(0,D1012-0.5*C1012))</f>
        <v>0</v>
      </c>
    </row>
    <row r="1013" customFormat="false" ht="15" hidden="false" customHeight="false" outlineLevel="0" collapsed="false">
      <c r="A1013" s="21" t="n">
        <v>46263</v>
      </c>
      <c r="B1013" s="22" t="n">
        <v>3</v>
      </c>
      <c r="C1013" s="25" t="n">
        <v>133.56</v>
      </c>
      <c r="D1013" s="25" t="n">
        <v>16.08</v>
      </c>
      <c r="E1013" s="25" t="n">
        <v>0.24</v>
      </c>
      <c r="F1013" s="22" t="n">
        <f aca="false">WEEKDAY(A1013,2)</f>
        <v>6</v>
      </c>
      <c r="G1013" s="22" t="str">
        <f aca="false">IF(F1013=7,IF(B1013&gt;=23,"C","Sin turno"),IF(B1013&lt;7,"C",IF(B1013&lt;14,"A",IF(B1013&lt;21,"B",IF(B1013&lt;23,"Entre turnos",IF(F1013=6,"Sin turno","C"))))))</f>
        <v>C</v>
      </c>
      <c r="H1013" s="25" t="n">
        <f aca="false">IF(D1013="","",MAX(0,D1013-0.5*C1013))</f>
        <v>0</v>
      </c>
    </row>
    <row r="1014" customFormat="false" ht="15" hidden="false" customHeight="false" outlineLevel="0" collapsed="false">
      <c r="A1014" s="21" t="n">
        <v>46263</v>
      </c>
      <c r="B1014" s="22" t="n">
        <v>4</v>
      </c>
      <c r="C1014" s="25" t="n">
        <v>128.64</v>
      </c>
      <c r="D1014" s="25" t="n">
        <v>15.48</v>
      </c>
      <c r="E1014" s="25" t="n">
        <v>0.12</v>
      </c>
      <c r="F1014" s="22" t="n">
        <f aca="false">WEEKDAY(A1014,2)</f>
        <v>6</v>
      </c>
      <c r="G1014" s="22" t="str">
        <f aca="false">IF(F1014=7,IF(B1014&gt;=23,"C","Sin turno"),IF(B1014&lt;7,"C",IF(B1014&lt;14,"A",IF(B1014&lt;21,"B",IF(B1014&lt;23,"Entre turnos",IF(F1014=6,"Sin turno","C"))))))</f>
        <v>C</v>
      </c>
      <c r="H1014" s="25" t="n">
        <f aca="false">IF(D1014="","",MAX(0,D1014-0.5*C1014))</f>
        <v>0</v>
      </c>
    </row>
    <row r="1015" customFormat="false" ht="15" hidden="false" customHeight="false" outlineLevel="0" collapsed="false">
      <c r="A1015" s="21" t="n">
        <v>46263</v>
      </c>
      <c r="B1015" s="22" t="n">
        <v>5</v>
      </c>
      <c r="C1015" s="25" t="n">
        <v>138.96</v>
      </c>
      <c r="D1015" s="25" t="n">
        <v>15.24</v>
      </c>
      <c r="E1015" s="25" t="n">
        <v>0.6</v>
      </c>
      <c r="F1015" s="22" t="n">
        <f aca="false">WEEKDAY(A1015,2)</f>
        <v>6</v>
      </c>
      <c r="G1015" s="22" t="str">
        <f aca="false">IF(F1015=7,IF(B1015&gt;=23,"C","Sin turno"),IF(B1015&lt;7,"C",IF(B1015&lt;14,"A",IF(B1015&lt;21,"B",IF(B1015&lt;23,"Entre turnos",IF(F1015=6,"Sin turno","C"))))))</f>
        <v>C</v>
      </c>
      <c r="H1015" s="25" t="n">
        <f aca="false">IF(D1015="","",MAX(0,D1015-0.5*C1015))</f>
        <v>0</v>
      </c>
    </row>
    <row r="1016" customFormat="false" ht="15" hidden="false" customHeight="false" outlineLevel="0" collapsed="false">
      <c r="A1016" s="21" t="n">
        <v>46263</v>
      </c>
      <c r="B1016" s="22" t="n">
        <v>6</v>
      </c>
      <c r="C1016" s="25" t="n">
        <v>145.32</v>
      </c>
      <c r="D1016" s="25" t="n">
        <v>17.4</v>
      </c>
      <c r="E1016" s="25" t="n">
        <v>0.36</v>
      </c>
      <c r="F1016" s="22" t="n">
        <f aca="false">WEEKDAY(A1016,2)</f>
        <v>6</v>
      </c>
      <c r="G1016" s="22" t="str">
        <f aca="false">IF(F1016=7,IF(B1016&gt;=23,"C","Sin turno"),IF(B1016&lt;7,"C",IF(B1016&lt;14,"A",IF(B1016&lt;21,"B",IF(B1016&lt;23,"Entre turnos",IF(F1016=6,"Sin turno","C"))))))</f>
        <v>C</v>
      </c>
      <c r="H1016" s="25" t="n">
        <f aca="false">IF(D1016="","",MAX(0,D1016-0.5*C1016))</f>
        <v>0</v>
      </c>
    </row>
    <row r="1017" customFormat="false" ht="15" hidden="false" customHeight="false" outlineLevel="0" collapsed="false">
      <c r="A1017" s="21" t="n">
        <v>46263</v>
      </c>
      <c r="B1017" s="22" t="n">
        <v>7</v>
      </c>
      <c r="C1017" s="25" t="n">
        <v>202.8</v>
      </c>
      <c r="D1017" s="25" t="n">
        <v>21.96</v>
      </c>
      <c r="E1017" s="25" t="n">
        <v>0.24</v>
      </c>
      <c r="F1017" s="22" t="n">
        <f aca="false">WEEKDAY(A1017,2)</f>
        <v>6</v>
      </c>
      <c r="G1017" s="22" t="str">
        <f aca="false">IF(F1017=7,IF(B1017&gt;=23,"C","Sin turno"),IF(B1017&lt;7,"C",IF(B1017&lt;14,"A",IF(B1017&lt;21,"B",IF(B1017&lt;23,"Entre turnos",IF(F1017=6,"Sin turno","C"))))))</f>
        <v>A</v>
      </c>
      <c r="H1017" s="25" t="n">
        <f aca="false">IF(D1017="","",MAX(0,D1017-0.5*C1017))</f>
        <v>0</v>
      </c>
    </row>
    <row r="1018" customFormat="false" ht="15" hidden="false" customHeight="false" outlineLevel="0" collapsed="false">
      <c r="A1018" s="21" t="n">
        <v>46263</v>
      </c>
      <c r="B1018" s="22" t="n">
        <v>8</v>
      </c>
      <c r="C1018" s="25" t="n">
        <v>232.68</v>
      </c>
      <c r="D1018" s="25" t="n">
        <v>21.12</v>
      </c>
      <c r="E1018" s="25" t="n">
        <v>0.12</v>
      </c>
      <c r="F1018" s="22" t="n">
        <f aca="false">WEEKDAY(A1018,2)</f>
        <v>6</v>
      </c>
      <c r="G1018" s="22" t="str">
        <f aca="false">IF(F1018=7,IF(B1018&gt;=23,"C","Sin turno"),IF(B1018&lt;7,"C",IF(B1018&lt;14,"A",IF(B1018&lt;21,"B",IF(B1018&lt;23,"Entre turnos",IF(F1018=6,"Sin turno","C"))))))</f>
        <v>A</v>
      </c>
      <c r="H1018" s="25" t="n">
        <f aca="false">IF(D1018="","",MAX(0,D1018-0.5*C1018))</f>
        <v>0</v>
      </c>
    </row>
    <row r="1019" customFormat="false" ht="15" hidden="false" customHeight="false" outlineLevel="0" collapsed="false">
      <c r="A1019" s="21" t="n">
        <v>46263</v>
      </c>
      <c r="B1019" s="22" t="n">
        <v>9</v>
      </c>
      <c r="C1019" s="25" t="n">
        <v>233.04</v>
      </c>
      <c r="D1019" s="25" t="n">
        <v>16.2</v>
      </c>
      <c r="E1019" s="25" t="n">
        <v>0.24</v>
      </c>
      <c r="F1019" s="22" t="n">
        <f aca="false">WEEKDAY(A1019,2)</f>
        <v>6</v>
      </c>
      <c r="G1019" s="22" t="str">
        <f aca="false">IF(F1019=7,IF(B1019&gt;=23,"C","Sin turno"),IF(B1019&lt;7,"C",IF(B1019&lt;14,"A",IF(B1019&lt;21,"B",IF(B1019&lt;23,"Entre turnos",IF(F1019=6,"Sin turno","C"))))))</f>
        <v>A</v>
      </c>
      <c r="H1019" s="25" t="n">
        <f aca="false">IF(D1019="","",MAX(0,D1019-0.5*C1019))</f>
        <v>0</v>
      </c>
    </row>
    <row r="1020" customFormat="false" ht="15" hidden="false" customHeight="false" outlineLevel="0" collapsed="false">
      <c r="A1020" s="21" t="n">
        <v>46263</v>
      </c>
      <c r="B1020" s="22" t="n">
        <v>10</v>
      </c>
      <c r="C1020" s="25" t="n">
        <v>240.12</v>
      </c>
      <c r="D1020" s="25" t="n">
        <v>17.88</v>
      </c>
      <c r="E1020" s="25" t="n">
        <v>0.12</v>
      </c>
      <c r="F1020" s="22" t="n">
        <f aca="false">WEEKDAY(A1020,2)</f>
        <v>6</v>
      </c>
      <c r="G1020" s="22" t="str">
        <f aca="false">IF(F1020=7,IF(B1020&gt;=23,"C","Sin turno"),IF(B1020&lt;7,"C",IF(B1020&lt;14,"A",IF(B1020&lt;21,"B",IF(B1020&lt;23,"Entre turnos",IF(F1020=6,"Sin turno","C"))))))</f>
        <v>A</v>
      </c>
      <c r="H1020" s="25" t="n">
        <f aca="false">IF(D1020="","",MAX(0,D1020-0.5*C1020))</f>
        <v>0</v>
      </c>
    </row>
    <row r="1021" customFormat="false" ht="15" hidden="false" customHeight="false" outlineLevel="0" collapsed="false">
      <c r="A1021" s="21" t="n">
        <v>46263</v>
      </c>
      <c r="B1021" s="22" t="n">
        <v>11</v>
      </c>
      <c r="C1021" s="25" t="n">
        <v>243.72</v>
      </c>
      <c r="D1021" s="25" t="n">
        <v>23.16</v>
      </c>
      <c r="E1021" s="25" t="n">
        <v>0</v>
      </c>
      <c r="F1021" s="22" t="n">
        <f aca="false">WEEKDAY(A1021,2)</f>
        <v>6</v>
      </c>
      <c r="G1021" s="22" t="str">
        <f aca="false">IF(F1021=7,IF(B1021&gt;=23,"C","Sin turno"),IF(B1021&lt;7,"C",IF(B1021&lt;14,"A",IF(B1021&lt;21,"B",IF(B1021&lt;23,"Entre turnos",IF(F1021=6,"Sin turno","C"))))))</f>
        <v>A</v>
      </c>
      <c r="H1021" s="25" t="n">
        <f aca="false">IF(D1021="","",MAX(0,D1021-0.5*C1021))</f>
        <v>0</v>
      </c>
    </row>
    <row r="1022" customFormat="false" ht="15" hidden="false" customHeight="false" outlineLevel="0" collapsed="false">
      <c r="A1022" s="21" t="n">
        <v>46263</v>
      </c>
      <c r="B1022" s="22" t="n">
        <v>12</v>
      </c>
      <c r="C1022" s="25" t="n">
        <v>236.52</v>
      </c>
      <c r="D1022" s="25" t="n">
        <v>18.84</v>
      </c>
      <c r="E1022" s="25" t="n">
        <v>0.36</v>
      </c>
      <c r="F1022" s="22" t="n">
        <f aca="false">WEEKDAY(A1022,2)</f>
        <v>6</v>
      </c>
      <c r="G1022" s="22" t="str">
        <f aca="false">IF(F1022=7,IF(B1022&gt;=23,"C","Sin turno"),IF(B1022&lt;7,"C",IF(B1022&lt;14,"A",IF(B1022&lt;21,"B",IF(B1022&lt;23,"Entre turnos",IF(F1022=6,"Sin turno","C"))))))</f>
        <v>A</v>
      </c>
      <c r="H1022" s="25" t="n">
        <f aca="false">IF(D1022="","",MAX(0,D1022-0.5*C1022))</f>
        <v>0</v>
      </c>
    </row>
    <row r="1023" customFormat="false" ht="15" hidden="false" customHeight="false" outlineLevel="0" collapsed="false">
      <c r="A1023" s="21" t="n">
        <v>46263</v>
      </c>
      <c r="B1023" s="22" t="n">
        <v>13</v>
      </c>
      <c r="C1023" s="25" t="n">
        <v>230.28</v>
      </c>
      <c r="D1023" s="25" t="n">
        <v>20.04</v>
      </c>
      <c r="E1023" s="25" t="n">
        <v>0.48</v>
      </c>
      <c r="F1023" s="22" t="n">
        <f aca="false">WEEKDAY(A1023,2)</f>
        <v>6</v>
      </c>
      <c r="G1023" s="22" t="str">
        <f aca="false">IF(F1023=7,IF(B1023&gt;=23,"C","Sin turno"),IF(B1023&lt;7,"C",IF(B1023&lt;14,"A",IF(B1023&lt;21,"B",IF(B1023&lt;23,"Entre turnos",IF(F1023=6,"Sin turno","C"))))))</f>
        <v>A</v>
      </c>
      <c r="H1023" s="25" t="n">
        <f aca="false">IF(D1023="","",MAX(0,D1023-0.5*C1023))</f>
        <v>0</v>
      </c>
    </row>
    <row r="1024" customFormat="false" ht="15" hidden="false" customHeight="false" outlineLevel="0" collapsed="false">
      <c r="A1024" s="21" t="n">
        <v>46263</v>
      </c>
      <c r="B1024" s="22" t="n">
        <v>14</v>
      </c>
      <c r="C1024" s="25" t="n">
        <v>238.92</v>
      </c>
      <c r="D1024" s="25" t="n">
        <v>19.2</v>
      </c>
      <c r="E1024" s="25" t="n">
        <v>0.48</v>
      </c>
      <c r="F1024" s="22" t="n">
        <f aca="false">WEEKDAY(A1024,2)</f>
        <v>6</v>
      </c>
      <c r="G1024" s="22" t="str">
        <f aca="false">IF(F1024=7,IF(B1024&gt;=23,"C","Sin turno"),IF(B1024&lt;7,"C",IF(B1024&lt;14,"A",IF(B1024&lt;21,"B",IF(B1024&lt;23,"Entre turnos",IF(F1024=6,"Sin turno","C"))))))</f>
        <v>B</v>
      </c>
      <c r="H1024" s="25" t="n">
        <f aca="false">IF(D1024="","",MAX(0,D1024-0.5*C1024))</f>
        <v>0</v>
      </c>
    </row>
    <row r="1025" customFormat="false" ht="15" hidden="false" customHeight="false" outlineLevel="0" collapsed="false">
      <c r="A1025" s="21" t="n">
        <v>46263</v>
      </c>
      <c r="B1025" s="22" t="n">
        <v>15</v>
      </c>
      <c r="C1025" s="25" t="n">
        <v>242.76</v>
      </c>
      <c r="D1025" s="25" t="n">
        <v>20.52</v>
      </c>
      <c r="E1025" s="25" t="n">
        <v>1.32</v>
      </c>
      <c r="F1025" s="22" t="n">
        <f aca="false">WEEKDAY(A1025,2)</f>
        <v>6</v>
      </c>
      <c r="G1025" s="22" t="str">
        <f aca="false">IF(F1025=7,IF(B1025&gt;=23,"C","Sin turno"),IF(B1025&lt;7,"C",IF(B1025&lt;14,"A",IF(B1025&lt;21,"B",IF(B1025&lt;23,"Entre turnos",IF(F1025=6,"Sin turno","C"))))))</f>
        <v>B</v>
      </c>
      <c r="H1025" s="25" t="n">
        <f aca="false">IF(D1025="","",MAX(0,D1025-0.5*C1025))</f>
        <v>0</v>
      </c>
    </row>
    <row r="1026" customFormat="false" ht="15" hidden="false" customHeight="false" outlineLevel="0" collapsed="false">
      <c r="A1026" s="21" t="n">
        <v>46263</v>
      </c>
      <c r="B1026" s="22" t="n">
        <v>16</v>
      </c>
      <c r="C1026" s="25" t="n">
        <v>238.8</v>
      </c>
      <c r="D1026" s="25" t="n">
        <v>19.56</v>
      </c>
      <c r="E1026" s="25" t="n">
        <v>0.72</v>
      </c>
      <c r="F1026" s="22" t="n">
        <f aca="false">WEEKDAY(A1026,2)</f>
        <v>6</v>
      </c>
      <c r="G1026" s="22" t="str">
        <f aca="false">IF(F1026=7,IF(B1026&gt;=23,"C","Sin turno"),IF(B1026&lt;7,"C",IF(B1026&lt;14,"A",IF(B1026&lt;21,"B",IF(B1026&lt;23,"Entre turnos",IF(F1026=6,"Sin turno","C"))))))</f>
        <v>B</v>
      </c>
      <c r="H1026" s="25" t="n">
        <f aca="false">IF(D1026="","",MAX(0,D1026-0.5*C1026))</f>
        <v>0</v>
      </c>
    </row>
    <row r="1027" customFormat="false" ht="15" hidden="false" customHeight="false" outlineLevel="0" collapsed="false">
      <c r="A1027" s="21" t="n">
        <v>46263</v>
      </c>
      <c r="B1027" s="22" t="n">
        <v>17</v>
      </c>
      <c r="C1027" s="25" t="n">
        <v>225.6</v>
      </c>
      <c r="D1027" s="25" t="n">
        <v>17.88</v>
      </c>
      <c r="E1027" s="25" t="n">
        <v>0.36</v>
      </c>
      <c r="F1027" s="22" t="n">
        <f aca="false">WEEKDAY(A1027,2)</f>
        <v>6</v>
      </c>
      <c r="G1027" s="22" t="str">
        <f aca="false">IF(F1027=7,IF(B1027&gt;=23,"C","Sin turno"),IF(B1027&lt;7,"C",IF(B1027&lt;14,"A",IF(B1027&lt;21,"B",IF(B1027&lt;23,"Entre turnos",IF(F1027=6,"Sin turno","C"))))))</f>
        <v>B</v>
      </c>
      <c r="H1027" s="25" t="n">
        <f aca="false">IF(D1027="","",MAX(0,D1027-0.5*C1027))</f>
        <v>0</v>
      </c>
    </row>
    <row r="1028" customFormat="false" ht="15" hidden="false" customHeight="false" outlineLevel="0" collapsed="false">
      <c r="A1028" s="21" t="n">
        <v>46263</v>
      </c>
      <c r="B1028" s="22" t="n">
        <v>18</v>
      </c>
      <c r="C1028" s="25" t="n">
        <v>199.8</v>
      </c>
      <c r="D1028" s="25" t="n">
        <v>22.44</v>
      </c>
      <c r="E1028" s="25" t="n">
        <v>0.36</v>
      </c>
      <c r="F1028" s="22" t="n">
        <f aca="false">WEEKDAY(A1028,2)</f>
        <v>6</v>
      </c>
      <c r="G1028" s="22" t="str">
        <f aca="false">IF(F1028=7,IF(B1028&gt;=23,"C","Sin turno"),IF(B1028&lt;7,"C",IF(B1028&lt;14,"A",IF(B1028&lt;21,"B",IF(B1028&lt;23,"Entre turnos",IF(F1028=6,"Sin turno","C"))))))</f>
        <v>B</v>
      </c>
      <c r="H1028" s="25" t="n">
        <f aca="false">IF(D1028="","",MAX(0,D1028-0.5*C1028))</f>
        <v>0</v>
      </c>
    </row>
    <row r="1029" customFormat="false" ht="15" hidden="false" customHeight="false" outlineLevel="0" collapsed="false">
      <c r="A1029" s="21" t="n">
        <v>46263</v>
      </c>
      <c r="B1029" s="22" t="n">
        <v>19</v>
      </c>
      <c r="C1029" s="25" t="n">
        <v>214.08</v>
      </c>
      <c r="D1029" s="25" t="n">
        <v>17.76</v>
      </c>
      <c r="E1029" s="25" t="n">
        <v>0.24</v>
      </c>
      <c r="F1029" s="22" t="n">
        <f aca="false">WEEKDAY(A1029,2)</f>
        <v>6</v>
      </c>
      <c r="G1029" s="22" t="str">
        <f aca="false">IF(F1029=7,IF(B1029&gt;=23,"C","Sin turno"),IF(B1029&lt;7,"C",IF(B1029&lt;14,"A",IF(B1029&lt;21,"B",IF(B1029&lt;23,"Entre turnos",IF(F1029=6,"Sin turno","C"))))))</f>
        <v>B</v>
      </c>
      <c r="H1029" s="25" t="n">
        <f aca="false">IF(D1029="","",MAX(0,D1029-0.5*C1029))</f>
        <v>0</v>
      </c>
    </row>
    <row r="1030" customFormat="false" ht="15" hidden="false" customHeight="false" outlineLevel="0" collapsed="false">
      <c r="A1030" s="21" t="n">
        <v>46263</v>
      </c>
      <c r="B1030" s="22" t="n">
        <v>20</v>
      </c>
      <c r="C1030" s="25" t="n">
        <v>206.04</v>
      </c>
      <c r="D1030" s="25" t="n">
        <v>18.12</v>
      </c>
      <c r="E1030" s="25" t="n">
        <v>0.24</v>
      </c>
      <c r="F1030" s="22" t="n">
        <f aca="false">WEEKDAY(A1030,2)</f>
        <v>6</v>
      </c>
      <c r="G1030" s="22" t="str">
        <f aca="false">IF(F1030=7,IF(B1030&gt;=23,"C","Sin turno"),IF(B1030&lt;7,"C",IF(B1030&lt;14,"A",IF(B1030&lt;21,"B",IF(B1030&lt;23,"Entre turnos",IF(F1030=6,"Sin turno","C"))))))</f>
        <v>B</v>
      </c>
      <c r="H1030" s="25" t="n">
        <f aca="false">IF(D1030="","",MAX(0,D1030-0.5*C1030))</f>
        <v>0</v>
      </c>
    </row>
    <row r="1031" customFormat="false" ht="15" hidden="false" customHeight="false" outlineLevel="0" collapsed="false">
      <c r="A1031" s="21" t="n">
        <v>46263</v>
      </c>
      <c r="B1031" s="22" t="n">
        <v>21</v>
      </c>
      <c r="C1031" s="25" t="n">
        <v>106.68</v>
      </c>
      <c r="D1031" s="25" t="n">
        <v>24</v>
      </c>
      <c r="E1031" s="25" t="n">
        <v>0</v>
      </c>
      <c r="F1031" s="22" t="n">
        <f aca="false">WEEKDAY(A1031,2)</f>
        <v>6</v>
      </c>
      <c r="G1031" s="22" t="str">
        <f aca="false">IF(F1031=7,IF(B1031&gt;=23,"C","Sin turno"),IF(B1031&lt;7,"C",IF(B1031&lt;14,"A",IF(B1031&lt;21,"B",IF(B1031&lt;23,"Entre turnos",IF(F1031=6,"Sin turno","C"))))))</f>
        <v>Entre turnos</v>
      </c>
      <c r="H1031" s="25" t="n">
        <f aca="false">IF(D1031="","",MAX(0,D1031-0.5*C1031))</f>
        <v>0</v>
      </c>
    </row>
    <row r="1032" customFormat="false" ht="15" hidden="false" customHeight="false" outlineLevel="0" collapsed="false">
      <c r="A1032" s="21" t="n">
        <v>46263</v>
      </c>
      <c r="B1032" s="22" t="n">
        <v>22</v>
      </c>
      <c r="C1032" s="25" t="n">
        <v>53.4</v>
      </c>
      <c r="D1032" s="25" t="n">
        <v>28.44</v>
      </c>
      <c r="E1032" s="25" t="n">
        <v>0</v>
      </c>
      <c r="F1032" s="22" t="n">
        <f aca="false">WEEKDAY(A1032,2)</f>
        <v>6</v>
      </c>
      <c r="G1032" s="22" t="str">
        <f aca="false">IF(F1032=7,IF(B1032&gt;=23,"C","Sin turno"),IF(B1032&lt;7,"C",IF(B1032&lt;14,"A",IF(B1032&lt;21,"B",IF(B1032&lt;23,"Entre turnos",IF(F1032=6,"Sin turno","C"))))))</f>
        <v>Entre turnos</v>
      </c>
      <c r="H1032" s="25" t="n">
        <f aca="false">IF(D1032="","",MAX(0,D1032-0.5*C1032))</f>
        <v>1.74</v>
      </c>
    </row>
    <row r="1033" customFormat="false" ht="15" hidden="false" customHeight="false" outlineLevel="0" collapsed="false">
      <c r="A1033" s="21" t="n">
        <v>46263</v>
      </c>
      <c r="B1033" s="22" t="n">
        <v>23</v>
      </c>
      <c r="C1033" s="25" t="n">
        <v>51.72</v>
      </c>
      <c r="D1033" s="25" t="n">
        <v>27.12</v>
      </c>
      <c r="E1033" s="25" t="n">
        <v>0</v>
      </c>
      <c r="F1033" s="22" t="n">
        <f aca="false">WEEKDAY(A1033,2)</f>
        <v>6</v>
      </c>
      <c r="G1033" s="22" t="str">
        <f aca="false">IF(F1033=7,IF(B1033&gt;=23,"C","Sin turno"),IF(B1033&lt;7,"C",IF(B1033&lt;14,"A",IF(B1033&lt;21,"B",IF(B1033&lt;23,"Entre turnos",IF(F1033=6,"Sin turno","C"))))))</f>
        <v>Sin turno</v>
      </c>
      <c r="H1033" s="25" t="n">
        <f aca="false">IF(D1033="","",MAX(0,D1033-0.5*C1033))</f>
        <v>1.26</v>
      </c>
    </row>
    <row r="1034" customFormat="false" ht="15" hidden="false" customHeight="false" outlineLevel="0" collapsed="false">
      <c r="A1034" s="21" t="n">
        <v>46264</v>
      </c>
      <c r="B1034" s="22" t="n">
        <v>0</v>
      </c>
      <c r="C1034" s="25" t="n">
        <v>51</v>
      </c>
      <c r="D1034" s="25" t="n">
        <v>27</v>
      </c>
      <c r="E1034" s="25" t="n">
        <v>0</v>
      </c>
      <c r="F1034" s="22" t="n">
        <f aca="false">WEEKDAY(A1034,2)</f>
        <v>7</v>
      </c>
      <c r="G1034" s="22" t="str">
        <f aca="false">IF(F1034=7,IF(B1034&gt;=23,"C","Sin turno"),IF(B1034&lt;7,"C",IF(B1034&lt;14,"A",IF(B1034&lt;21,"B",IF(B1034&lt;23,"Entre turnos",IF(F1034=6,"Sin turno","C"))))))</f>
        <v>Sin turno</v>
      </c>
      <c r="H1034" s="25" t="n">
        <f aca="false">IF(D1034="","",MAX(0,D1034-0.5*C1034))</f>
        <v>1.5</v>
      </c>
    </row>
    <row r="1035" customFormat="false" ht="15" hidden="false" customHeight="false" outlineLevel="0" collapsed="false">
      <c r="A1035" s="21" t="n">
        <v>46264</v>
      </c>
      <c r="B1035" s="22" t="n">
        <v>1</v>
      </c>
      <c r="C1035" s="25" t="n">
        <v>49.44</v>
      </c>
      <c r="D1035" s="25" t="n">
        <v>26.88</v>
      </c>
      <c r="E1035" s="25" t="n">
        <v>0</v>
      </c>
      <c r="F1035" s="22" t="n">
        <f aca="false">WEEKDAY(A1035,2)</f>
        <v>7</v>
      </c>
      <c r="G1035" s="22" t="str">
        <f aca="false">IF(F1035=7,IF(B1035&gt;=23,"C","Sin turno"),IF(B1035&lt;7,"C",IF(B1035&lt;14,"A",IF(B1035&lt;21,"B",IF(B1035&lt;23,"Entre turnos",IF(F1035=6,"Sin turno","C"))))))</f>
        <v>Sin turno</v>
      </c>
      <c r="H1035" s="25" t="n">
        <f aca="false">IF(D1035="","",MAX(0,D1035-0.5*C1035))</f>
        <v>2.16</v>
      </c>
    </row>
    <row r="1036" customFormat="false" ht="15" hidden="false" customHeight="false" outlineLevel="0" collapsed="false">
      <c r="A1036" s="21" t="n">
        <v>46264</v>
      </c>
      <c r="B1036" s="22" t="n">
        <v>2</v>
      </c>
      <c r="C1036" s="25" t="n">
        <v>49.08</v>
      </c>
      <c r="D1036" s="25" t="n">
        <v>26.76</v>
      </c>
      <c r="E1036" s="25" t="n">
        <v>0</v>
      </c>
      <c r="F1036" s="22" t="n">
        <f aca="false">WEEKDAY(A1036,2)</f>
        <v>7</v>
      </c>
      <c r="G1036" s="22" t="str">
        <f aca="false">IF(F1036=7,IF(B1036&gt;=23,"C","Sin turno"),IF(B1036&lt;7,"C",IF(B1036&lt;14,"A",IF(B1036&lt;21,"B",IF(B1036&lt;23,"Entre turnos",IF(F1036=6,"Sin turno","C"))))))</f>
        <v>Sin turno</v>
      </c>
      <c r="H1036" s="25" t="n">
        <f aca="false">IF(D1036="","",MAX(0,D1036-0.5*C1036))</f>
        <v>2.22</v>
      </c>
    </row>
    <row r="1037" customFormat="false" ht="15" hidden="false" customHeight="false" outlineLevel="0" collapsed="false">
      <c r="A1037" s="21" t="n">
        <v>46264</v>
      </c>
      <c r="B1037" s="22" t="n">
        <v>3</v>
      </c>
      <c r="C1037" s="25" t="n">
        <v>48.6</v>
      </c>
      <c r="D1037" s="25" t="n">
        <v>26.52</v>
      </c>
      <c r="E1037" s="25" t="n">
        <v>0</v>
      </c>
      <c r="F1037" s="22" t="n">
        <f aca="false">WEEKDAY(A1037,2)</f>
        <v>7</v>
      </c>
      <c r="G1037" s="22" t="str">
        <f aca="false">IF(F1037=7,IF(B1037&gt;=23,"C","Sin turno"),IF(B1037&lt;7,"C",IF(B1037&lt;14,"A",IF(B1037&lt;21,"B",IF(B1037&lt;23,"Entre turnos",IF(F1037=6,"Sin turno","C"))))))</f>
        <v>Sin turno</v>
      </c>
      <c r="H1037" s="25" t="n">
        <f aca="false">IF(D1037="","",MAX(0,D1037-0.5*C1037))</f>
        <v>2.22</v>
      </c>
    </row>
    <row r="1038" customFormat="false" ht="15" hidden="false" customHeight="false" outlineLevel="0" collapsed="false">
      <c r="A1038" s="21" t="n">
        <v>46264</v>
      </c>
      <c r="B1038" s="22" t="n">
        <v>4</v>
      </c>
      <c r="C1038" s="25" t="n">
        <v>48.48</v>
      </c>
      <c r="D1038" s="25" t="n">
        <v>26.88</v>
      </c>
      <c r="E1038" s="25" t="n">
        <v>0</v>
      </c>
      <c r="F1038" s="22" t="n">
        <f aca="false">WEEKDAY(A1038,2)</f>
        <v>7</v>
      </c>
      <c r="G1038" s="22" t="str">
        <f aca="false">IF(F1038=7,IF(B1038&gt;=23,"C","Sin turno"),IF(B1038&lt;7,"C",IF(B1038&lt;14,"A",IF(B1038&lt;21,"B",IF(B1038&lt;23,"Entre turnos",IF(F1038=6,"Sin turno","C"))))))</f>
        <v>Sin turno</v>
      </c>
      <c r="H1038" s="25" t="n">
        <f aca="false">IF(D1038="","",MAX(0,D1038-0.5*C1038))</f>
        <v>2.64</v>
      </c>
    </row>
    <row r="1039" customFormat="false" ht="15" hidden="false" customHeight="false" outlineLevel="0" collapsed="false">
      <c r="A1039" s="21" t="n">
        <v>46264</v>
      </c>
      <c r="B1039" s="22" t="n">
        <v>5</v>
      </c>
      <c r="C1039" s="25" t="n">
        <v>48.96</v>
      </c>
      <c r="D1039" s="25" t="n">
        <v>26.28</v>
      </c>
      <c r="E1039" s="25" t="n">
        <v>0</v>
      </c>
      <c r="F1039" s="22" t="n">
        <f aca="false">WEEKDAY(A1039,2)</f>
        <v>7</v>
      </c>
      <c r="G1039" s="22" t="str">
        <f aca="false">IF(F1039=7,IF(B1039&gt;=23,"C","Sin turno"),IF(B1039&lt;7,"C",IF(B1039&lt;14,"A",IF(B1039&lt;21,"B",IF(B1039&lt;23,"Entre turnos",IF(F1039=6,"Sin turno","C"))))))</f>
        <v>Sin turno</v>
      </c>
      <c r="H1039" s="25" t="n">
        <f aca="false">IF(D1039="","",MAX(0,D1039-0.5*C1039))</f>
        <v>1.8</v>
      </c>
    </row>
    <row r="1040" customFormat="false" ht="15" hidden="false" customHeight="false" outlineLevel="0" collapsed="false">
      <c r="A1040" s="21" t="n">
        <v>46264</v>
      </c>
      <c r="B1040" s="22" t="n">
        <v>6</v>
      </c>
      <c r="C1040" s="25" t="n">
        <v>47.64</v>
      </c>
      <c r="D1040" s="25" t="n">
        <v>27.36</v>
      </c>
      <c r="E1040" s="25" t="n">
        <v>0</v>
      </c>
      <c r="F1040" s="22" t="n">
        <f aca="false">WEEKDAY(A1040,2)</f>
        <v>7</v>
      </c>
      <c r="G1040" s="22" t="str">
        <f aca="false">IF(F1040=7,IF(B1040&gt;=23,"C","Sin turno"),IF(B1040&lt;7,"C",IF(B1040&lt;14,"A",IF(B1040&lt;21,"B",IF(B1040&lt;23,"Entre turnos",IF(F1040=6,"Sin turno","C"))))))</f>
        <v>Sin turno</v>
      </c>
      <c r="H1040" s="25" t="n">
        <f aca="false">IF(D1040="","",MAX(0,D1040-0.5*C1040))</f>
        <v>3.54</v>
      </c>
    </row>
    <row r="1041" customFormat="false" ht="15" hidden="false" customHeight="false" outlineLevel="0" collapsed="false">
      <c r="A1041" s="21" t="n">
        <v>46264</v>
      </c>
      <c r="B1041" s="22" t="n">
        <v>7</v>
      </c>
      <c r="C1041" s="25" t="n">
        <v>46.68</v>
      </c>
      <c r="D1041" s="25" t="n">
        <v>27.12</v>
      </c>
      <c r="E1041" s="25" t="n">
        <v>0</v>
      </c>
      <c r="F1041" s="22" t="n">
        <f aca="false">WEEKDAY(A1041,2)</f>
        <v>7</v>
      </c>
      <c r="G1041" s="22" t="str">
        <f aca="false">IF(F1041=7,IF(B1041&gt;=23,"C","Sin turno"),IF(B1041&lt;7,"C",IF(B1041&lt;14,"A",IF(B1041&lt;21,"B",IF(B1041&lt;23,"Entre turnos",IF(F1041=6,"Sin turno","C"))))))</f>
        <v>Sin turno</v>
      </c>
      <c r="H1041" s="25" t="n">
        <f aca="false">IF(D1041="","",MAX(0,D1041-0.5*C1041))</f>
        <v>3.78</v>
      </c>
    </row>
    <row r="1042" customFormat="false" ht="15" hidden="false" customHeight="false" outlineLevel="0" collapsed="false">
      <c r="A1042" s="21" t="n">
        <v>46264</v>
      </c>
      <c r="B1042" s="22" t="n">
        <v>8</v>
      </c>
      <c r="C1042" s="25" t="n">
        <v>47.88</v>
      </c>
      <c r="D1042" s="25" t="n">
        <v>26.28</v>
      </c>
      <c r="E1042" s="25" t="n">
        <v>0</v>
      </c>
      <c r="F1042" s="22" t="n">
        <f aca="false">WEEKDAY(A1042,2)</f>
        <v>7</v>
      </c>
      <c r="G1042" s="22" t="str">
        <f aca="false">IF(F1042=7,IF(B1042&gt;=23,"C","Sin turno"),IF(B1042&lt;7,"C",IF(B1042&lt;14,"A",IF(B1042&lt;21,"B",IF(B1042&lt;23,"Entre turnos",IF(F1042=6,"Sin turno","C"))))))</f>
        <v>Sin turno</v>
      </c>
      <c r="H1042" s="25" t="n">
        <f aca="false">IF(D1042="","",MAX(0,D1042-0.5*C1042))</f>
        <v>2.34</v>
      </c>
    </row>
    <row r="1043" customFormat="false" ht="15" hidden="false" customHeight="false" outlineLevel="0" collapsed="false">
      <c r="A1043" s="21" t="n">
        <v>46264</v>
      </c>
      <c r="B1043" s="22" t="n">
        <v>9</v>
      </c>
      <c r="C1043" s="25" t="n">
        <v>50.88</v>
      </c>
      <c r="D1043" s="25" t="n">
        <v>27.12</v>
      </c>
      <c r="E1043" s="25" t="n">
        <v>0</v>
      </c>
      <c r="F1043" s="22" t="n">
        <f aca="false">WEEKDAY(A1043,2)</f>
        <v>7</v>
      </c>
      <c r="G1043" s="22" t="str">
        <f aca="false">IF(F1043=7,IF(B1043&gt;=23,"C","Sin turno"),IF(B1043&lt;7,"C",IF(B1043&lt;14,"A",IF(B1043&lt;21,"B",IF(B1043&lt;23,"Entre turnos",IF(F1043=6,"Sin turno","C"))))))</f>
        <v>Sin turno</v>
      </c>
      <c r="H1043" s="25" t="n">
        <f aca="false">IF(D1043="","",MAX(0,D1043-0.5*C1043))</f>
        <v>1.68</v>
      </c>
    </row>
    <row r="1044" customFormat="false" ht="15" hidden="false" customHeight="false" outlineLevel="0" collapsed="false">
      <c r="A1044" s="21" t="n">
        <v>46264</v>
      </c>
      <c r="B1044" s="22" t="n">
        <v>10</v>
      </c>
      <c r="C1044" s="25" t="n">
        <v>52.08</v>
      </c>
      <c r="D1044" s="25" t="n">
        <v>27</v>
      </c>
      <c r="E1044" s="25" t="n">
        <v>0</v>
      </c>
      <c r="F1044" s="22" t="n">
        <f aca="false">WEEKDAY(A1044,2)</f>
        <v>7</v>
      </c>
      <c r="G1044" s="22" t="str">
        <f aca="false">IF(F1044=7,IF(B1044&gt;=23,"C","Sin turno"),IF(B1044&lt;7,"C",IF(B1044&lt;14,"A",IF(B1044&lt;21,"B",IF(B1044&lt;23,"Entre turnos",IF(F1044=6,"Sin turno","C"))))))</f>
        <v>Sin turno</v>
      </c>
      <c r="H1044" s="25" t="n">
        <f aca="false">IF(D1044="","",MAX(0,D1044-0.5*C1044))</f>
        <v>0.960000000000001</v>
      </c>
    </row>
    <row r="1045" customFormat="false" ht="15" hidden="false" customHeight="false" outlineLevel="0" collapsed="false">
      <c r="A1045" s="21" t="n">
        <v>46264</v>
      </c>
      <c r="B1045" s="22" t="n">
        <v>11</v>
      </c>
      <c r="C1045" s="25" t="n">
        <v>55.56</v>
      </c>
      <c r="D1045" s="25" t="n">
        <v>27.48</v>
      </c>
      <c r="E1045" s="25" t="n">
        <v>0</v>
      </c>
      <c r="F1045" s="22" t="n">
        <f aca="false">WEEKDAY(A1045,2)</f>
        <v>7</v>
      </c>
      <c r="G1045" s="22" t="str">
        <f aca="false">IF(F1045=7,IF(B1045&gt;=23,"C","Sin turno"),IF(B1045&lt;7,"C",IF(B1045&lt;14,"A",IF(B1045&lt;21,"B",IF(B1045&lt;23,"Entre turnos",IF(F1045=6,"Sin turno","C"))))))</f>
        <v>Sin turno</v>
      </c>
      <c r="H1045" s="25" t="n">
        <f aca="false">IF(D1045="","",MAX(0,D1045-0.5*C1045))</f>
        <v>0</v>
      </c>
    </row>
    <row r="1046" customFormat="false" ht="15" hidden="false" customHeight="false" outlineLevel="0" collapsed="false">
      <c r="A1046" s="21" t="n">
        <v>46264</v>
      </c>
      <c r="B1046" s="22" t="n">
        <v>12</v>
      </c>
      <c r="C1046" s="25" t="n">
        <v>55.8</v>
      </c>
      <c r="D1046" s="25" t="n">
        <v>27.36</v>
      </c>
      <c r="E1046" s="25" t="n">
        <v>0</v>
      </c>
      <c r="F1046" s="22" t="n">
        <f aca="false">WEEKDAY(A1046,2)</f>
        <v>7</v>
      </c>
      <c r="G1046" s="22" t="str">
        <f aca="false">IF(F1046=7,IF(B1046&gt;=23,"C","Sin turno"),IF(B1046&lt;7,"C",IF(B1046&lt;14,"A",IF(B1046&lt;21,"B",IF(B1046&lt;23,"Entre turnos",IF(F1046=6,"Sin turno","C"))))))</f>
        <v>Sin turno</v>
      </c>
      <c r="H1046" s="25" t="n">
        <f aca="false">IF(D1046="","",MAX(0,D1046-0.5*C1046))</f>
        <v>0</v>
      </c>
    </row>
    <row r="1047" customFormat="false" ht="15" hidden="false" customHeight="false" outlineLevel="0" collapsed="false">
      <c r="A1047" s="21" t="n">
        <v>46264</v>
      </c>
      <c r="B1047" s="22" t="n">
        <v>13</v>
      </c>
      <c r="C1047" s="25" t="n">
        <v>61.2</v>
      </c>
      <c r="D1047" s="25" t="n">
        <v>27.72</v>
      </c>
      <c r="E1047" s="25" t="n">
        <v>0.12</v>
      </c>
      <c r="F1047" s="22" t="n">
        <f aca="false">WEEKDAY(A1047,2)</f>
        <v>7</v>
      </c>
      <c r="G1047" s="22" t="str">
        <f aca="false">IF(F1047=7,IF(B1047&gt;=23,"C","Sin turno"),IF(B1047&lt;7,"C",IF(B1047&lt;14,"A",IF(B1047&lt;21,"B",IF(B1047&lt;23,"Entre turnos",IF(F1047=6,"Sin turno","C"))))))</f>
        <v>Sin turno</v>
      </c>
      <c r="H1047" s="25" t="n">
        <f aca="false">IF(D1047="","",MAX(0,D1047-0.5*C1047))</f>
        <v>0</v>
      </c>
    </row>
    <row r="1048" customFormat="false" ht="15" hidden="false" customHeight="false" outlineLevel="0" collapsed="false">
      <c r="A1048" s="21" t="n">
        <v>46264</v>
      </c>
      <c r="B1048" s="22" t="n">
        <v>14</v>
      </c>
      <c r="C1048" s="25" t="n">
        <v>58.8</v>
      </c>
      <c r="D1048" s="25" t="n">
        <v>28.32</v>
      </c>
      <c r="E1048" s="25" t="n">
        <v>0</v>
      </c>
      <c r="F1048" s="22" t="n">
        <f aca="false">WEEKDAY(A1048,2)</f>
        <v>7</v>
      </c>
      <c r="G1048" s="22" t="str">
        <f aca="false">IF(F1048=7,IF(B1048&gt;=23,"C","Sin turno"),IF(B1048&lt;7,"C",IF(B1048&lt;14,"A",IF(B1048&lt;21,"B",IF(B1048&lt;23,"Entre turnos",IF(F1048=6,"Sin turno","C"))))))</f>
        <v>Sin turno</v>
      </c>
      <c r="H1048" s="25" t="n">
        <f aca="false">IF(D1048="","",MAX(0,D1048-0.5*C1048))</f>
        <v>0</v>
      </c>
    </row>
    <row r="1049" customFormat="false" ht="15" hidden="false" customHeight="false" outlineLevel="0" collapsed="false">
      <c r="A1049" s="21" t="n">
        <v>46264</v>
      </c>
      <c r="B1049" s="22" t="n">
        <v>15</v>
      </c>
      <c r="C1049" s="25" t="n">
        <v>56.4</v>
      </c>
      <c r="D1049" s="25" t="n">
        <v>28.44</v>
      </c>
      <c r="E1049" s="25" t="n">
        <v>0</v>
      </c>
      <c r="F1049" s="22" t="n">
        <f aca="false">WEEKDAY(A1049,2)</f>
        <v>7</v>
      </c>
      <c r="G1049" s="22" t="str">
        <f aca="false">IF(F1049=7,IF(B1049&gt;=23,"C","Sin turno"),IF(B1049&lt;7,"C",IF(B1049&lt;14,"A",IF(B1049&lt;21,"B",IF(B1049&lt;23,"Entre turnos",IF(F1049=6,"Sin turno","C"))))))</f>
        <v>Sin turno</v>
      </c>
      <c r="H1049" s="25" t="n">
        <f aca="false">IF(D1049="","",MAX(0,D1049-0.5*C1049))</f>
        <v>0.240000000000002</v>
      </c>
    </row>
    <row r="1050" customFormat="false" ht="15" hidden="false" customHeight="false" outlineLevel="0" collapsed="false">
      <c r="A1050" s="21" t="n">
        <v>46264</v>
      </c>
      <c r="B1050" s="22" t="n">
        <v>16</v>
      </c>
      <c r="C1050" s="25" t="n">
        <v>57.24</v>
      </c>
      <c r="D1050" s="25" t="n">
        <v>28.32</v>
      </c>
      <c r="E1050" s="25" t="n">
        <v>0</v>
      </c>
      <c r="F1050" s="22" t="n">
        <f aca="false">WEEKDAY(A1050,2)</f>
        <v>7</v>
      </c>
      <c r="G1050" s="22" t="str">
        <f aca="false">IF(F1050=7,IF(B1050&gt;=23,"C","Sin turno"),IF(B1050&lt;7,"C",IF(B1050&lt;14,"A",IF(B1050&lt;21,"B",IF(B1050&lt;23,"Entre turnos",IF(F1050=6,"Sin turno","C"))))))</f>
        <v>Sin turno</v>
      </c>
      <c r="H1050" s="25" t="n">
        <f aca="false">IF(D1050="","",MAX(0,D1050-0.5*C1050))</f>
        <v>0</v>
      </c>
    </row>
    <row r="1051" customFormat="false" ht="15" hidden="false" customHeight="false" outlineLevel="0" collapsed="false">
      <c r="A1051" s="21" t="n">
        <v>46264</v>
      </c>
      <c r="B1051" s="22" t="n">
        <v>17</v>
      </c>
      <c r="C1051" s="25" t="n">
        <v>56.52</v>
      </c>
      <c r="D1051" s="25" t="n">
        <v>28.32</v>
      </c>
      <c r="E1051" s="25" t="n">
        <v>0</v>
      </c>
      <c r="F1051" s="22" t="n">
        <f aca="false">WEEKDAY(A1051,2)</f>
        <v>7</v>
      </c>
      <c r="G1051" s="22" t="str">
        <f aca="false">IF(F1051=7,IF(B1051&gt;=23,"C","Sin turno"),IF(B1051&lt;7,"C",IF(B1051&lt;14,"A",IF(B1051&lt;21,"B",IF(B1051&lt;23,"Entre turnos",IF(F1051=6,"Sin turno","C"))))))</f>
        <v>Sin turno</v>
      </c>
      <c r="H1051" s="25" t="n">
        <f aca="false">IF(D1051="","",MAX(0,D1051-0.5*C1051))</f>
        <v>0.0599999999999987</v>
      </c>
    </row>
    <row r="1052" customFormat="false" ht="15" hidden="false" customHeight="false" outlineLevel="0" collapsed="false">
      <c r="A1052" s="21" t="n">
        <v>46264</v>
      </c>
      <c r="B1052" s="22" t="n">
        <v>18</v>
      </c>
      <c r="C1052" s="25" t="n">
        <v>55.8</v>
      </c>
      <c r="D1052" s="25" t="n">
        <v>27.24</v>
      </c>
      <c r="E1052" s="25" t="n">
        <v>0</v>
      </c>
      <c r="F1052" s="22" t="n">
        <f aca="false">WEEKDAY(A1052,2)</f>
        <v>7</v>
      </c>
      <c r="G1052" s="22" t="str">
        <f aca="false">IF(F1052=7,IF(B1052&gt;=23,"C","Sin turno"),IF(B1052&lt;7,"C",IF(B1052&lt;14,"A",IF(B1052&lt;21,"B",IF(B1052&lt;23,"Entre turnos",IF(F1052=6,"Sin turno","C"))))))</f>
        <v>Sin turno</v>
      </c>
      <c r="H1052" s="25" t="n">
        <f aca="false">IF(D1052="","",MAX(0,D1052-0.5*C1052))</f>
        <v>0</v>
      </c>
    </row>
    <row r="1053" customFormat="false" ht="15" hidden="false" customHeight="false" outlineLevel="0" collapsed="false">
      <c r="A1053" s="21" t="n">
        <v>46264</v>
      </c>
      <c r="B1053" s="22" t="n">
        <v>19</v>
      </c>
      <c r="C1053" s="25" t="n">
        <v>54.36</v>
      </c>
      <c r="D1053" s="25" t="n">
        <v>27.36</v>
      </c>
      <c r="E1053" s="25" t="n">
        <v>0</v>
      </c>
      <c r="F1053" s="22" t="n">
        <f aca="false">WEEKDAY(A1053,2)</f>
        <v>7</v>
      </c>
      <c r="G1053" s="22" t="str">
        <f aca="false">IF(F1053=7,IF(B1053&gt;=23,"C","Sin turno"),IF(B1053&lt;7,"C",IF(B1053&lt;14,"A",IF(B1053&lt;21,"B",IF(B1053&lt;23,"Entre turnos",IF(F1053=6,"Sin turno","C"))))))</f>
        <v>Sin turno</v>
      </c>
      <c r="H1053" s="25" t="n">
        <f aca="false">IF(D1053="","",MAX(0,D1053-0.5*C1053))</f>
        <v>0.18</v>
      </c>
    </row>
    <row r="1054" customFormat="false" ht="15" hidden="false" customHeight="false" outlineLevel="0" collapsed="false">
      <c r="A1054" s="21" t="n">
        <v>46264</v>
      </c>
      <c r="B1054" s="22" t="n">
        <v>20</v>
      </c>
      <c r="C1054" s="25" t="n">
        <v>52.08</v>
      </c>
      <c r="D1054" s="25" t="n">
        <v>27.36</v>
      </c>
      <c r="E1054" s="25" t="n">
        <v>0</v>
      </c>
      <c r="F1054" s="22" t="n">
        <f aca="false">WEEKDAY(A1054,2)</f>
        <v>7</v>
      </c>
      <c r="G1054" s="22" t="str">
        <f aca="false">IF(F1054=7,IF(B1054&gt;=23,"C","Sin turno"),IF(B1054&lt;7,"C",IF(B1054&lt;14,"A",IF(B1054&lt;21,"B",IF(B1054&lt;23,"Entre turnos",IF(F1054=6,"Sin turno","C"))))))</f>
        <v>Sin turno</v>
      </c>
      <c r="H1054" s="25" t="n">
        <f aca="false">IF(D1054="","",MAX(0,D1054-0.5*C1054))</f>
        <v>1.32</v>
      </c>
    </row>
    <row r="1055" customFormat="false" ht="15" hidden="false" customHeight="false" outlineLevel="0" collapsed="false">
      <c r="A1055" s="21" t="n">
        <v>46264</v>
      </c>
      <c r="B1055" s="22" t="n">
        <v>21</v>
      </c>
      <c r="C1055" s="25" t="n">
        <v>51.84</v>
      </c>
      <c r="D1055" s="25" t="n">
        <v>27.6</v>
      </c>
      <c r="E1055" s="25" t="n">
        <v>0</v>
      </c>
      <c r="F1055" s="22" t="n">
        <f aca="false">WEEKDAY(A1055,2)</f>
        <v>7</v>
      </c>
      <c r="G1055" s="22" t="str">
        <f aca="false">IF(F1055=7,IF(B1055&gt;=23,"C","Sin turno"),IF(B1055&lt;7,"C",IF(B1055&lt;14,"A",IF(B1055&lt;21,"B",IF(B1055&lt;23,"Entre turnos",IF(F1055=6,"Sin turno","C"))))))</f>
        <v>Sin turno</v>
      </c>
      <c r="H1055" s="25" t="n">
        <f aca="false">IF(D1055="","",MAX(0,D1055-0.5*C1055))</f>
        <v>1.68</v>
      </c>
    </row>
    <row r="1056" customFormat="false" ht="15" hidden="false" customHeight="false" outlineLevel="0" collapsed="false">
      <c r="A1056" s="21" t="n">
        <v>46264</v>
      </c>
      <c r="B1056" s="22" t="n">
        <v>22</v>
      </c>
      <c r="C1056" s="25" t="n">
        <v>52.08</v>
      </c>
      <c r="D1056" s="25" t="n">
        <v>27.84</v>
      </c>
      <c r="E1056" s="25" t="n">
        <v>0</v>
      </c>
      <c r="F1056" s="22" t="n">
        <f aca="false">WEEKDAY(A1056,2)</f>
        <v>7</v>
      </c>
      <c r="G1056" s="22" t="str">
        <f aca="false">IF(F1056=7,IF(B1056&gt;=23,"C","Sin turno"),IF(B1056&lt;7,"C",IF(B1056&lt;14,"A",IF(B1056&lt;21,"B",IF(B1056&lt;23,"Entre turnos",IF(F1056=6,"Sin turno","C"))))))</f>
        <v>Sin turno</v>
      </c>
      <c r="H1056" s="25" t="n">
        <f aca="false">IF(D1056="","",MAX(0,D1056-0.5*C1056))</f>
        <v>1.8</v>
      </c>
    </row>
    <row r="1057" customFormat="false" ht="15" hidden="false" customHeight="false" outlineLevel="0" collapsed="false">
      <c r="A1057" s="21" t="n">
        <v>46264</v>
      </c>
      <c r="B1057" s="22" t="n">
        <v>23</v>
      </c>
      <c r="C1057" s="25" t="n">
        <v>73.68</v>
      </c>
      <c r="D1057" s="25" t="n">
        <v>16.08</v>
      </c>
      <c r="E1057" s="25" t="n">
        <v>0.6</v>
      </c>
      <c r="F1057" s="22" t="n">
        <f aca="false">WEEKDAY(A1057,2)</f>
        <v>7</v>
      </c>
      <c r="G1057" s="22" t="str">
        <f aca="false">IF(F1057=7,IF(B1057&gt;=23,"C","Sin turno"),IF(B1057&lt;7,"C",IF(B1057&lt;14,"A",IF(B1057&lt;21,"B",IF(B1057&lt;23,"Entre turnos",IF(F1057=6,"Sin turno","C"))))))</f>
        <v>C</v>
      </c>
      <c r="H1057" s="25" t="n">
        <f aca="false">IF(D1057="","",MAX(0,D1057-0.5*C1057))</f>
        <v>0</v>
      </c>
    </row>
    <row r="1058" customFormat="false" ht="15" hidden="false" customHeight="false" outlineLevel="0" collapsed="false">
      <c r="A1058" s="21" t="n">
        <v>46265</v>
      </c>
      <c r="B1058" s="22" t="n">
        <v>0</v>
      </c>
      <c r="C1058" s="25" t="n">
        <v>82.44</v>
      </c>
      <c r="D1058" s="25" t="n">
        <v>9.6</v>
      </c>
      <c r="E1058" s="25" t="n">
        <v>0.96</v>
      </c>
      <c r="F1058" s="22" t="n">
        <f aca="false">WEEKDAY(A1058,2)</f>
        <v>1</v>
      </c>
      <c r="G1058" s="22" t="str">
        <f aca="false">IF(F1058=7,IF(B1058&gt;=23,"C","Sin turno"),IF(B1058&lt;7,"C",IF(B1058&lt;14,"A",IF(B1058&lt;21,"B",IF(B1058&lt;23,"Entre turnos",IF(F1058=6,"Sin turno","C"))))))</f>
        <v>C</v>
      </c>
      <c r="H1058" s="25" t="n">
        <f aca="false">IF(D1058="","",MAX(0,D1058-0.5*C1058))</f>
        <v>0</v>
      </c>
    </row>
    <row r="1059" customFormat="false" ht="15" hidden="false" customHeight="false" outlineLevel="0" collapsed="false">
      <c r="A1059" s="21" t="n">
        <v>46265</v>
      </c>
      <c r="B1059" s="22" t="n">
        <v>1</v>
      </c>
      <c r="C1059" s="25" t="n">
        <v>86.52</v>
      </c>
      <c r="D1059" s="25" t="n">
        <v>8.4</v>
      </c>
      <c r="E1059" s="25" t="n">
        <v>0.84</v>
      </c>
      <c r="F1059" s="22" t="n">
        <f aca="false">WEEKDAY(A1059,2)</f>
        <v>1</v>
      </c>
      <c r="G1059" s="22" t="str">
        <f aca="false">IF(F1059=7,IF(B1059&gt;=23,"C","Sin turno"),IF(B1059&lt;7,"C",IF(B1059&lt;14,"A",IF(B1059&lt;21,"B",IF(B1059&lt;23,"Entre turnos",IF(F1059=6,"Sin turno","C"))))))</f>
        <v>C</v>
      </c>
      <c r="H1059" s="25" t="n">
        <f aca="false">IF(D1059="","",MAX(0,D1059-0.5*C1059))</f>
        <v>0</v>
      </c>
    </row>
    <row r="1060" customFormat="false" ht="15" hidden="false" customHeight="false" outlineLevel="0" collapsed="false">
      <c r="A1060" s="21" t="n">
        <v>46265</v>
      </c>
      <c r="B1060" s="22" t="n">
        <v>2</v>
      </c>
      <c r="C1060" s="25" t="n">
        <v>83.64</v>
      </c>
      <c r="D1060" s="25" t="n">
        <v>8.64</v>
      </c>
      <c r="E1060" s="25" t="n">
        <v>0.84</v>
      </c>
      <c r="F1060" s="22" t="n">
        <f aca="false">WEEKDAY(A1060,2)</f>
        <v>1</v>
      </c>
      <c r="G1060" s="22" t="str">
        <f aca="false">IF(F1060=7,IF(B1060&gt;=23,"C","Sin turno"),IF(B1060&lt;7,"C",IF(B1060&lt;14,"A",IF(B1060&lt;21,"B",IF(B1060&lt;23,"Entre turnos",IF(F1060=6,"Sin turno","C"))))))</f>
        <v>C</v>
      </c>
      <c r="H1060" s="25" t="n">
        <f aca="false">IF(D1060="","",MAX(0,D1060-0.5*C1060))</f>
        <v>0</v>
      </c>
    </row>
    <row r="1061" customFormat="false" ht="15" hidden="false" customHeight="false" outlineLevel="0" collapsed="false">
      <c r="A1061" s="21" t="n">
        <v>46265</v>
      </c>
      <c r="B1061" s="22" t="n">
        <v>3</v>
      </c>
      <c r="C1061" s="25" t="n">
        <v>85.2</v>
      </c>
      <c r="D1061" s="25" t="n">
        <v>8.16</v>
      </c>
      <c r="E1061" s="25" t="n">
        <v>0.84</v>
      </c>
      <c r="F1061" s="22" t="n">
        <f aca="false">WEEKDAY(A1061,2)</f>
        <v>1</v>
      </c>
      <c r="G1061" s="22" t="str">
        <f aca="false">IF(F1061=7,IF(B1061&gt;=23,"C","Sin turno"),IF(B1061&lt;7,"C",IF(B1061&lt;14,"A",IF(B1061&lt;21,"B",IF(B1061&lt;23,"Entre turnos",IF(F1061=6,"Sin turno","C"))))))</f>
        <v>C</v>
      </c>
      <c r="H1061" s="25" t="n">
        <f aca="false">IF(D1061="","",MAX(0,D1061-0.5*C1061))</f>
        <v>0</v>
      </c>
    </row>
    <row r="1062" customFormat="false" ht="15" hidden="false" customHeight="false" outlineLevel="0" collapsed="false">
      <c r="A1062" s="21" t="n">
        <v>46265</v>
      </c>
      <c r="B1062" s="22" t="n">
        <v>4</v>
      </c>
      <c r="C1062" s="25" t="n">
        <v>87.12</v>
      </c>
      <c r="D1062" s="25" t="n">
        <v>7.2</v>
      </c>
      <c r="E1062" s="25" t="n">
        <v>0.84</v>
      </c>
      <c r="F1062" s="22" t="n">
        <f aca="false">WEEKDAY(A1062,2)</f>
        <v>1</v>
      </c>
      <c r="G1062" s="22" t="str">
        <f aca="false">IF(F1062=7,IF(B1062&gt;=23,"C","Sin turno"),IF(B1062&lt;7,"C",IF(B1062&lt;14,"A",IF(B1062&lt;21,"B",IF(B1062&lt;23,"Entre turnos",IF(F1062=6,"Sin turno","C"))))))</f>
        <v>C</v>
      </c>
      <c r="H1062" s="25" t="n">
        <f aca="false">IF(D1062="","",MAX(0,D1062-0.5*C1062))</f>
        <v>0</v>
      </c>
    </row>
    <row r="1063" customFormat="false" ht="15" hidden="false" customHeight="false" outlineLevel="0" collapsed="false">
      <c r="A1063" s="21" t="n">
        <v>46265</v>
      </c>
      <c r="B1063" s="22" t="n">
        <v>5</v>
      </c>
      <c r="C1063" s="25" t="n">
        <v>112.68</v>
      </c>
      <c r="D1063" s="25" t="n">
        <v>12.72</v>
      </c>
      <c r="E1063" s="25" t="n">
        <v>0.24</v>
      </c>
      <c r="F1063" s="22" t="n">
        <f aca="false">WEEKDAY(A1063,2)</f>
        <v>1</v>
      </c>
      <c r="G1063" s="22" t="str">
        <f aca="false">IF(F1063=7,IF(B1063&gt;=23,"C","Sin turno"),IF(B1063&lt;7,"C",IF(B1063&lt;14,"A",IF(B1063&lt;21,"B",IF(B1063&lt;23,"Entre turnos",IF(F1063=6,"Sin turno","C"))))))</f>
        <v>C</v>
      </c>
      <c r="H1063" s="25" t="n">
        <f aca="false">IF(D1063="","",MAX(0,D1063-0.5*C1063))</f>
        <v>0</v>
      </c>
    </row>
    <row r="1064" customFormat="false" ht="15" hidden="false" customHeight="false" outlineLevel="0" collapsed="false">
      <c r="A1064" s="21" t="n">
        <v>46265</v>
      </c>
      <c r="B1064" s="22" t="n">
        <v>6</v>
      </c>
      <c r="C1064" s="25" t="n">
        <v>111.48</v>
      </c>
      <c r="D1064" s="25" t="n">
        <v>13.92</v>
      </c>
      <c r="E1064" s="25" t="n">
        <v>0.24</v>
      </c>
      <c r="F1064" s="22" t="n">
        <f aca="false">WEEKDAY(A1064,2)</f>
        <v>1</v>
      </c>
      <c r="G1064" s="22" t="str">
        <f aca="false">IF(F1064=7,IF(B1064&gt;=23,"C","Sin turno"),IF(B1064&lt;7,"C",IF(B1064&lt;14,"A",IF(B1064&lt;21,"B",IF(B1064&lt;23,"Entre turnos",IF(F1064=6,"Sin turno","C"))))))</f>
        <v>C</v>
      </c>
      <c r="H1064" s="25" t="n">
        <f aca="false">IF(D1064="","",MAX(0,D1064-0.5*C1064))</f>
        <v>0</v>
      </c>
    </row>
    <row r="1065" customFormat="false" ht="15" hidden="false" customHeight="false" outlineLevel="0" collapsed="false">
      <c r="A1065" s="21" t="n">
        <v>46265</v>
      </c>
      <c r="B1065" s="22" t="n">
        <v>7</v>
      </c>
      <c r="C1065" s="25" t="n">
        <v>167.04</v>
      </c>
      <c r="D1065" s="25" t="n">
        <v>21.12</v>
      </c>
      <c r="E1065" s="25" t="n">
        <v>0.24</v>
      </c>
      <c r="F1065" s="22" t="n">
        <f aca="false">WEEKDAY(A1065,2)</f>
        <v>1</v>
      </c>
      <c r="G1065" s="22" t="str">
        <f aca="false">IF(F1065=7,IF(B1065&gt;=23,"C","Sin turno"),IF(B1065&lt;7,"C",IF(B1065&lt;14,"A",IF(B1065&lt;21,"B",IF(B1065&lt;23,"Entre turnos",IF(F1065=6,"Sin turno","C"))))))</f>
        <v>A</v>
      </c>
      <c r="H1065" s="25" t="n">
        <f aca="false">IF(D1065="","",MAX(0,D1065-0.5*C1065))</f>
        <v>0</v>
      </c>
    </row>
    <row r="1066" customFormat="false" ht="15" hidden="false" customHeight="false" outlineLevel="0" collapsed="false">
      <c r="A1066" s="21" t="n">
        <v>46265</v>
      </c>
      <c r="B1066" s="22" t="n">
        <v>8</v>
      </c>
      <c r="C1066" s="25" t="n">
        <v>175.68</v>
      </c>
      <c r="D1066" s="25" t="n">
        <v>20.52</v>
      </c>
      <c r="E1066" s="25" t="n">
        <v>0.12</v>
      </c>
      <c r="F1066" s="22" t="n">
        <f aca="false">WEEKDAY(A1066,2)</f>
        <v>1</v>
      </c>
      <c r="G1066" s="22" t="str">
        <f aca="false">IF(F1066=7,IF(B1066&gt;=23,"C","Sin turno"),IF(B1066&lt;7,"C",IF(B1066&lt;14,"A",IF(B1066&lt;21,"B",IF(B1066&lt;23,"Entre turnos",IF(F1066=6,"Sin turno","C"))))))</f>
        <v>A</v>
      </c>
      <c r="H1066" s="25" t="n">
        <f aca="false">IF(D1066="","",MAX(0,D1066-0.5*C1066))</f>
        <v>0</v>
      </c>
    </row>
    <row r="1067" customFormat="false" ht="15" hidden="false" customHeight="false" outlineLevel="0" collapsed="false">
      <c r="A1067" s="21" t="n">
        <v>46265</v>
      </c>
      <c r="B1067" s="22" t="n">
        <v>9</v>
      </c>
      <c r="C1067" s="25" t="n">
        <v>187.56</v>
      </c>
      <c r="D1067" s="25" t="n">
        <v>18.84</v>
      </c>
      <c r="E1067" s="25" t="n">
        <v>0.12</v>
      </c>
      <c r="F1067" s="22" t="n">
        <f aca="false">WEEKDAY(A1067,2)</f>
        <v>1</v>
      </c>
      <c r="G1067" s="22" t="str">
        <f aca="false">IF(F1067=7,IF(B1067&gt;=23,"C","Sin turno"),IF(B1067&lt;7,"C",IF(B1067&lt;14,"A",IF(B1067&lt;21,"B",IF(B1067&lt;23,"Entre turnos",IF(F1067=6,"Sin turno","C"))))))</f>
        <v>A</v>
      </c>
      <c r="H1067" s="25" t="n">
        <f aca="false">IF(D1067="","",MAX(0,D1067-0.5*C1067))</f>
        <v>0</v>
      </c>
    </row>
    <row r="1068" customFormat="false" ht="15" hidden="false" customHeight="false" outlineLevel="0" collapsed="false">
      <c r="A1068" s="21" t="n">
        <v>46265</v>
      </c>
      <c r="B1068" s="22" t="n">
        <v>10</v>
      </c>
      <c r="C1068" s="25" t="n">
        <v>189.12</v>
      </c>
      <c r="D1068" s="25" t="n">
        <v>17.28</v>
      </c>
      <c r="E1068" s="25" t="n">
        <v>0</v>
      </c>
      <c r="F1068" s="22" t="n">
        <f aca="false">WEEKDAY(A1068,2)</f>
        <v>1</v>
      </c>
      <c r="G1068" s="22" t="str">
        <f aca="false">IF(F1068=7,IF(B1068&gt;=23,"C","Sin turno"),IF(B1068&lt;7,"C",IF(B1068&lt;14,"A",IF(B1068&lt;21,"B",IF(B1068&lt;23,"Entre turnos",IF(F1068=6,"Sin turno","C"))))))</f>
        <v>A</v>
      </c>
      <c r="H1068" s="25" t="n">
        <f aca="false">IF(D1068="","",MAX(0,D1068-0.5*C1068))</f>
        <v>0</v>
      </c>
    </row>
    <row r="1069" customFormat="false" ht="15" hidden="false" customHeight="false" outlineLevel="0" collapsed="false">
      <c r="A1069" s="21" t="n">
        <v>46265</v>
      </c>
      <c r="B1069" s="22" t="n">
        <v>11</v>
      </c>
      <c r="C1069" s="25" t="n">
        <v>192</v>
      </c>
      <c r="D1069" s="25" t="n">
        <v>19.92</v>
      </c>
      <c r="E1069" s="25" t="n">
        <v>0.12</v>
      </c>
      <c r="F1069" s="22" t="n">
        <f aca="false">WEEKDAY(A1069,2)</f>
        <v>1</v>
      </c>
      <c r="G1069" s="22" t="str">
        <f aca="false">IF(F1069=7,IF(B1069&gt;=23,"C","Sin turno"),IF(B1069&lt;7,"C",IF(B1069&lt;14,"A",IF(B1069&lt;21,"B",IF(B1069&lt;23,"Entre turnos",IF(F1069=6,"Sin turno","C"))))))</f>
        <v>A</v>
      </c>
      <c r="H1069" s="25" t="n">
        <f aca="false">IF(D1069="","",MAX(0,D1069-0.5*C1069))</f>
        <v>0</v>
      </c>
    </row>
    <row r="1070" customFormat="false" ht="15" hidden="false" customHeight="false" outlineLevel="0" collapsed="false">
      <c r="A1070" s="21" t="n">
        <v>46265</v>
      </c>
      <c r="B1070" s="22" t="n">
        <v>12</v>
      </c>
      <c r="C1070" s="25" t="n">
        <v>191.88</v>
      </c>
      <c r="D1070" s="25" t="n">
        <v>17.04</v>
      </c>
      <c r="E1070" s="25" t="n">
        <v>0.24</v>
      </c>
      <c r="F1070" s="22" t="n">
        <f aca="false">WEEKDAY(A1070,2)</f>
        <v>1</v>
      </c>
      <c r="G1070" s="22" t="str">
        <f aca="false">IF(F1070=7,IF(B1070&gt;=23,"C","Sin turno"),IF(B1070&lt;7,"C",IF(B1070&lt;14,"A",IF(B1070&lt;21,"B",IF(B1070&lt;23,"Entre turnos",IF(F1070=6,"Sin turno","C"))))))</f>
        <v>A</v>
      </c>
      <c r="H1070" s="25" t="n">
        <f aca="false">IF(D1070="","",MAX(0,D1070-0.5*C1070))</f>
        <v>0</v>
      </c>
    </row>
    <row r="1071" customFormat="false" ht="15" hidden="false" customHeight="false" outlineLevel="0" collapsed="false">
      <c r="A1071" s="21" t="n">
        <v>46265</v>
      </c>
      <c r="B1071" s="22" t="n">
        <v>13</v>
      </c>
      <c r="C1071" s="25" t="n">
        <v>188.88</v>
      </c>
      <c r="D1071" s="25" t="n">
        <v>18.84</v>
      </c>
      <c r="E1071" s="25" t="n">
        <v>0.6</v>
      </c>
      <c r="F1071" s="22" t="n">
        <f aca="false">WEEKDAY(A1071,2)</f>
        <v>1</v>
      </c>
      <c r="G1071" s="22" t="str">
        <f aca="false">IF(F1071=7,IF(B1071&gt;=23,"C","Sin turno"),IF(B1071&lt;7,"C",IF(B1071&lt;14,"A",IF(B1071&lt;21,"B",IF(B1071&lt;23,"Entre turnos",IF(F1071=6,"Sin turno","C"))))))</f>
        <v>A</v>
      </c>
      <c r="H1071" s="25" t="n">
        <f aca="false">IF(D1071="","",MAX(0,D1071-0.5*C1071))</f>
        <v>0</v>
      </c>
    </row>
    <row r="1072" customFormat="false" ht="15" hidden="false" customHeight="false" outlineLevel="0" collapsed="false">
      <c r="A1072" s="21" t="n">
        <v>46265</v>
      </c>
      <c r="B1072" s="22" t="n">
        <v>14</v>
      </c>
      <c r="C1072" s="25" t="n">
        <v>190.2</v>
      </c>
      <c r="D1072" s="25" t="n">
        <v>19.08</v>
      </c>
      <c r="E1072" s="25" t="n">
        <v>0.36</v>
      </c>
      <c r="F1072" s="22" t="n">
        <f aca="false">WEEKDAY(A1072,2)</f>
        <v>1</v>
      </c>
      <c r="G1072" s="22" t="str">
        <f aca="false">IF(F1072=7,IF(B1072&gt;=23,"C","Sin turno"),IF(B1072&lt;7,"C",IF(B1072&lt;14,"A",IF(B1072&lt;21,"B",IF(B1072&lt;23,"Entre turnos",IF(F1072=6,"Sin turno","C"))))))</f>
        <v>B</v>
      </c>
      <c r="H1072" s="25" t="n">
        <f aca="false">IF(D1072="","",MAX(0,D1072-0.5*C1072))</f>
        <v>0</v>
      </c>
    </row>
    <row r="1073" customFormat="false" ht="15" hidden="false" customHeight="false" outlineLevel="0" collapsed="false">
      <c r="A1073" s="21" t="n">
        <v>46265</v>
      </c>
      <c r="B1073" s="22" t="n">
        <v>15</v>
      </c>
      <c r="C1073" s="25" t="n">
        <v>186.6</v>
      </c>
      <c r="D1073" s="25" t="n">
        <v>22.08</v>
      </c>
      <c r="E1073" s="25" t="n">
        <v>0</v>
      </c>
      <c r="F1073" s="22" t="n">
        <f aca="false">WEEKDAY(A1073,2)</f>
        <v>1</v>
      </c>
      <c r="G1073" s="22" t="str">
        <f aca="false">IF(F1073=7,IF(B1073&gt;=23,"C","Sin turno"),IF(B1073&lt;7,"C",IF(B1073&lt;14,"A",IF(B1073&lt;21,"B",IF(B1073&lt;23,"Entre turnos",IF(F1073=6,"Sin turno","C"))))))</f>
        <v>B</v>
      </c>
      <c r="H1073" s="25" t="n">
        <f aca="false">IF(D1073="","",MAX(0,D1073-0.5*C1073))</f>
        <v>0</v>
      </c>
    </row>
    <row r="1074" customFormat="false" ht="15" hidden="false" customHeight="false" outlineLevel="0" collapsed="false">
      <c r="A1074" s="21" t="n">
        <v>46265</v>
      </c>
      <c r="B1074" s="22" t="n">
        <v>16</v>
      </c>
      <c r="C1074" s="25" t="n">
        <v>174.48</v>
      </c>
      <c r="D1074" s="25" t="n">
        <v>21.12</v>
      </c>
      <c r="E1074" s="25" t="n">
        <v>0.12</v>
      </c>
      <c r="F1074" s="22" t="n">
        <f aca="false">WEEKDAY(A1074,2)</f>
        <v>1</v>
      </c>
      <c r="G1074" s="22" t="str">
        <f aca="false">IF(F1074=7,IF(B1074&gt;=23,"C","Sin turno"),IF(B1074&lt;7,"C",IF(B1074&lt;14,"A",IF(B1074&lt;21,"B",IF(B1074&lt;23,"Entre turnos",IF(F1074=6,"Sin turno","C"))))))</f>
        <v>B</v>
      </c>
      <c r="H1074" s="25" t="n">
        <f aca="false">IF(D1074="","",MAX(0,D1074-0.5*C1074))</f>
        <v>0</v>
      </c>
    </row>
    <row r="1075" customFormat="false" ht="15" hidden="false" customHeight="false" outlineLevel="0" collapsed="false">
      <c r="A1075" s="21" t="n">
        <v>46265</v>
      </c>
      <c r="B1075" s="22" t="n">
        <v>17</v>
      </c>
      <c r="C1075" s="25" t="n">
        <v>127.08</v>
      </c>
      <c r="D1075" s="25" t="n">
        <v>15.6</v>
      </c>
      <c r="E1075" s="25" t="n">
        <v>0.24</v>
      </c>
      <c r="F1075" s="22" t="n">
        <f aca="false">WEEKDAY(A1075,2)</f>
        <v>1</v>
      </c>
      <c r="G1075" s="22" t="str">
        <f aca="false">IF(F1075=7,IF(B1075&gt;=23,"C","Sin turno"),IF(B1075&lt;7,"C",IF(B1075&lt;14,"A",IF(B1075&lt;21,"B",IF(B1075&lt;23,"Entre turnos",IF(F1075=6,"Sin turno","C"))))))</f>
        <v>B</v>
      </c>
      <c r="H1075" s="25" t="n">
        <f aca="false">IF(D1075="","",MAX(0,D1075-0.5*C1075))</f>
        <v>0</v>
      </c>
    </row>
    <row r="1076" customFormat="false" ht="15" hidden="false" customHeight="false" outlineLevel="0" collapsed="false">
      <c r="A1076" s="21" t="n">
        <v>46265</v>
      </c>
      <c r="B1076" s="22" t="n">
        <v>18</v>
      </c>
      <c r="C1076" s="25" t="n">
        <v>122.04</v>
      </c>
      <c r="D1076" s="25" t="n">
        <v>14.88</v>
      </c>
      <c r="E1076" s="25" t="n">
        <v>0.24</v>
      </c>
      <c r="F1076" s="22" t="n">
        <f aca="false">WEEKDAY(A1076,2)</f>
        <v>1</v>
      </c>
      <c r="G1076" s="22" t="str">
        <f aca="false">IF(F1076=7,IF(B1076&gt;=23,"C","Sin turno"),IF(B1076&lt;7,"C",IF(B1076&lt;14,"A",IF(B1076&lt;21,"B",IF(B1076&lt;23,"Entre turnos",IF(F1076=6,"Sin turno","C"))))))</f>
        <v>B</v>
      </c>
      <c r="H1076" s="25" t="n">
        <f aca="false">IF(D1076="","",MAX(0,D1076-0.5*C1076))</f>
        <v>0</v>
      </c>
    </row>
    <row r="1077" customFormat="false" ht="15" hidden="false" customHeight="false" outlineLevel="0" collapsed="false">
      <c r="A1077" s="21" t="n">
        <v>46265</v>
      </c>
      <c r="B1077" s="22" t="n">
        <v>19</v>
      </c>
      <c r="C1077" s="25" t="n">
        <v>113.64</v>
      </c>
      <c r="D1077" s="25" t="n">
        <v>13.68</v>
      </c>
      <c r="E1077" s="25" t="n">
        <v>0</v>
      </c>
      <c r="F1077" s="22" t="n">
        <f aca="false">WEEKDAY(A1077,2)</f>
        <v>1</v>
      </c>
      <c r="G1077" s="22" t="str">
        <f aca="false">IF(F1077=7,IF(B1077&gt;=23,"C","Sin turno"),IF(B1077&lt;7,"C",IF(B1077&lt;14,"A",IF(B1077&lt;21,"B",IF(B1077&lt;23,"Entre turnos",IF(F1077=6,"Sin turno","C"))))))</f>
        <v>B</v>
      </c>
      <c r="H1077" s="25" t="n">
        <f aca="false">IF(D1077="","",MAX(0,D1077-0.5*C1077))</f>
        <v>0</v>
      </c>
    </row>
    <row r="1078" customFormat="false" ht="15" hidden="false" customHeight="false" outlineLevel="0" collapsed="false">
      <c r="A1078" s="21" t="n">
        <v>46265</v>
      </c>
      <c r="B1078" s="22" t="n">
        <v>20</v>
      </c>
      <c r="C1078" s="25" t="n">
        <v>109.68</v>
      </c>
      <c r="D1078" s="25" t="n">
        <v>12.36</v>
      </c>
      <c r="E1078" s="25" t="n">
        <v>0.12</v>
      </c>
      <c r="F1078" s="22" t="n">
        <f aca="false">WEEKDAY(A1078,2)</f>
        <v>1</v>
      </c>
      <c r="G1078" s="22" t="str">
        <f aca="false">IF(F1078=7,IF(B1078&gt;=23,"C","Sin turno"),IF(B1078&lt;7,"C",IF(B1078&lt;14,"A",IF(B1078&lt;21,"B",IF(B1078&lt;23,"Entre turnos",IF(F1078=6,"Sin turno","C"))))))</f>
        <v>B</v>
      </c>
      <c r="H1078" s="25" t="n">
        <f aca="false">IF(D1078="","",MAX(0,D1078-0.5*C1078))</f>
        <v>0</v>
      </c>
    </row>
    <row r="1079" customFormat="false" ht="15" hidden="false" customHeight="false" outlineLevel="0" collapsed="false">
      <c r="A1079" s="21" t="n">
        <v>46265</v>
      </c>
      <c r="B1079" s="22" t="n">
        <v>21</v>
      </c>
      <c r="C1079" s="25" t="n">
        <v>111.12</v>
      </c>
      <c r="D1079" s="25" t="n">
        <v>11.04</v>
      </c>
      <c r="E1079" s="25" t="n">
        <v>0.48</v>
      </c>
      <c r="F1079" s="22" t="n">
        <f aca="false">WEEKDAY(A1079,2)</f>
        <v>1</v>
      </c>
      <c r="G1079" s="22" t="str">
        <f aca="false">IF(F1079=7,IF(B1079&gt;=23,"C","Sin turno"),IF(B1079&lt;7,"C",IF(B1079&lt;14,"A",IF(B1079&lt;21,"B",IF(B1079&lt;23,"Entre turnos",IF(F1079=6,"Sin turno","C"))))))</f>
        <v>Entre turnos</v>
      </c>
      <c r="H1079" s="25" t="n">
        <f aca="false">IF(D1079="","",MAX(0,D1079-0.5*C1079))</f>
        <v>0</v>
      </c>
    </row>
    <row r="1080" customFormat="false" ht="15" hidden="false" customHeight="false" outlineLevel="0" collapsed="false">
      <c r="A1080" s="21" t="n">
        <v>46265</v>
      </c>
      <c r="B1080" s="22" t="n">
        <v>22</v>
      </c>
      <c r="C1080" s="25" t="n">
        <v>114.24</v>
      </c>
      <c r="D1080" s="25" t="n">
        <v>12.96</v>
      </c>
      <c r="E1080" s="25" t="n">
        <v>0.12</v>
      </c>
      <c r="F1080" s="22" t="n">
        <f aca="false">WEEKDAY(A1080,2)</f>
        <v>1</v>
      </c>
      <c r="G1080" s="22" t="str">
        <f aca="false">IF(F1080=7,IF(B1080&gt;=23,"C","Sin turno"),IF(B1080&lt;7,"C",IF(B1080&lt;14,"A",IF(B1080&lt;21,"B",IF(B1080&lt;23,"Entre turnos",IF(F1080=6,"Sin turno","C"))))))</f>
        <v>Entre turnos</v>
      </c>
      <c r="H1080" s="25" t="n">
        <f aca="false">IF(D1080="","",MAX(0,D1080-0.5*C1080))</f>
        <v>0</v>
      </c>
    </row>
    <row r="1081" customFormat="false" ht="15" hidden="false" customHeight="false" outlineLevel="0" collapsed="false">
      <c r="A1081" s="21" t="n">
        <v>46265</v>
      </c>
      <c r="B1081" s="22" t="n">
        <v>23</v>
      </c>
      <c r="C1081" s="25" t="n">
        <v>112.8</v>
      </c>
      <c r="D1081" s="25" t="n">
        <v>12.84</v>
      </c>
      <c r="E1081" s="25" t="n">
        <v>0.12</v>
      </c>
      <c r="F1081" s="22" t="n">
        <f aca="false">WEEKDAY(A1081,2)</f>
        <v>1</v>
      </c>
      <c r="G1081" s="22" t="str">
        <f aca="false">IF(F1081=7,IF(B1081&gt;=23,"C","Sin turno"),IF(B1081&lt;7,"C",IF(B1081&lt;14,"A",IF(B1081&lt;21,"B",IF(B1081&lt;23,"Entre turnos",IF(F1081=6,"Sin turno","C"))))))</f>
        <v>C</v>
      </c>
      <c r="H1081" s="25" t="n">
        <f aca="false">IF(D1081="","",MAX(0,D1081-0.5*C1081))</f>
        <v>0</v>
      </c>
    </row>
    <row r="1082" customFormat="false" ht="15" hidden="false" customHeight="false" outlineLevel="0" collapsed="false">
      <c r="A1082" s="21" t="n">
        <v>46266</v>
      </c>
      <c r="B1082" s="22" t="n">
        <v>0</v>
      </c>
      <c r="C1082" s="25" t="n">
        <v>93.96</v>
      </c>
      <c r="D1082" s="25" t="n">
        <v>9.72</v>
      </c>
      <c r="E1082" s="25" t="n">
        <v>0.84</v>
      </c>
      <c r="F1082" s="22" t="n">
        <f aca="false">WEEKDAY(A1082,2)</f>
        <v>2</v>
      </c>
      <c r="G1082" s="22" t="str">
        <f aca="false">IF(F1082=7,IF(B1082&gt;=23,"C","Sin turno"),IF(B1082&lt;7,"C",IF(B1082&lt;14,"A",IF(B1082&lt;21,"B",IF(B1082&lt;23,"Entre turnos",IF(F1082=6,"Sin turno","C"))))))</f>
        <v>C</v>
      </c>
      <c r="H1082" s="25" t="n">
        <f aca="false">IF(D1082="","",MAX(0,D1082-0.5*C1082))</f>
        <v>0</v>
      </c>
    </row>
    <row r="1083" customFormat="false" ht="15" hidden="false" customHeight="false" outlineLevel="0" collapsed="false">
      <c r="A1083" s="21" t="n">
        <v>46266</v>
      </c>
      <c r="B1083" s="22" t="n">
        <v>1</v>
      </c>
      <c r="C1083" s="25" t="n">
        <v>94.8</v>
      </c>
      <c r="D1083" s="25" t="n">
        <v>11.64</v>
      </c>
      <c r="E1083" s="25" t="n">
        <v>0.36</v>
      </c>
      <c r="F1083" s="22" t="n">
        <f aca="false">WEEKDAY(A1083,2)</f>
        <v>2</v>
      </c>
      <c r="G1083" s="22" t="str">
        <f aca="false">IF(F1083=7,IF(B1083&gt;=23,"C","Sin turno"),IF(B1083&lt;7,"C",IF(B1083&lt;14,"A",IF(B1083&lt;21,"B",IF(B1083&lt;23,"Entre turnos",IF(F1083=6,"Sin turno","C"))))))</f>
        <v>C</v>
      </c>
      <c r="H1083" s="25" t="n">
        <f aca="false">IF(D1083="","",MAX(0,D1083-0.5*C1083))</f>
        <v>0</v>
      </c>
    </row>
    <row r="1084" customFormat="false" ht="15" hidden="false" customHeight="false" outlineLevel="0" collapsed="false">
      <c r="A1084" s="21" t="n">
        <v>46266</v>
      </c>
      <c r="B1084" s="22" t="n">
        <v>2</v>
      </c>
      <c r="C1084" s="25" t="n">
        <v>91.56</v>
      </c>
      <c r="D1084" s="25" t="n">
        <v>10.32</v>
      </c>
      <c r="E1084" s="25" t="n">
        <v>0.6</v>
      </c>
      <c r="F1084" s="22" t="n">
        <f aca="false">WEEKDAY(A1084,2)</f>
        <v>2</v>
      </c>
      <c r="G1084" s="22" t="str">
        <f aca="false">IF(F1084=7,IF(B1084&gt;=23,"C","Sin turno"),IF(B1084&lt;7,"C",IF(B1084&lt;14,"A",IF(B1084&lt;21,"B",IF(B1084&lt;23,"Entre turnos",IF(F1084=6,"Sin turno","C"))))))</f>
        <v>C</v>
      </c>
      <c r="H1084" s="25" t="n">
        <f aca="false">IF(D1084="","",MAX(0,D1084-0.5*C1084))</f>
        <v>0</v>
      </c>
    </row>
    <row r="1085" customFormat="false" ht="15" hidden="false" customHeight="false" outlineLevel="0" collapsed="false">
      <c r="A1085" s="21" t="n">
        <v>46266</v>
      </c>
      <c r="B1085" s="22" t="n">
        <v>3</v>
      </c>
      <c r="C1085" s="25" t="n">
        <v>93.24</v>
      </c>
      <c r="D1085" s="25" t="n">
        <v>9.6</v>
      </c>
      <c r="E1085" s="25" t="n">
        <v>0.48</v>
      </c>
      <c r="F1085" s="22" t="n">
        <f aca="false">WEEKDAY(A1085,2)</f>
        <v>2</v>
      </c>
      <c r="G1085" s="22" t="str">
        <f aca="false">IF(F1085=7,IF(B1085&gt;=23,"C","Sin turno"),IF(B1085&lt;7,"C",IF(B1085&lt;14,"A",IF(B1085&lt;21,"B",IF(B1085&lt;23,"Entre turnos",IF(F1085=6,"Sin turno","C"))))))</f>
        <v>C</v>
      </c>
      <c r="H1085" s="25" t="n">
        <f aca="false">IF(D1085="","",MAX(0,D1085-0.5*C1085))</f>
        <v>0</v>
      </c>
    </row>
    <row r="1086" customFormat="false" ht="15" hidden="false" customHeight="false" outlineLevel="0" collapsed="false">
      <c r="A1086" s="21" t="n">
        <v>46266</v>
      </c>
      <c r="B1086" s="22" t="n">
        <v>4</v>
      </c>
      <c r="C1086" s="25" t="n">
        <v>92.04</v>
      </c>
      <c r="D1086" s="25" t="n">
        <v>10.08</v>
      </c>
      <c r="E1086" s="25" t="n">
        <v>0.6</v>
      </c>
      <c r="F1086" s="22" t="n">
        <f aca="false">WEEKDAY(A1086,2)</f>
        <v>2</v>
      </c>
      <c r="G1086" s="22" t="str">
        <f aca="false">IF(F1086=7,IF(B1086&gt;=23,"C","Sin turno"),IF(B1086&lt;7,"C",IF(B1086&lt;14,"A",IF(B1086&lt;21,"B",IF(B1086&lt;23,"Entre turnos",IF(F1086=6,"Sin turno","C"))))))</f>
        <v>C</v>
      </c>
      <c r="H1086" s="25" t="n">
        <f aca="false">IF(D1086="","",MAX(0,D1086-0.5*C1086))</f>
        <v>0</v>
      </c>
    </row>
    <row r="1087" customFormat="false" ht="15" hidden="false" customHeight="false" outlineLevel="0" collapsed="false">
      <c r="A1087" s="21" t="n">
        <v>46266</v>
      </c>
      <c r="B1087" s="22" t="n">
        <v>5</v>
      </c>
      <c r="C1087" s="25" t="n">
        <v>93.36</v>
      </c>
      <c r="D1087" s="25" t="n">
        <v>12.36</v>
      </c>
      <c r="E1087" s="25" t="n">
        <v>0.12</v>
      </c>
      <c r="F1087" s="22" t="n">
        <f aca="false">WEEKDAY(A1087,2)</f>
        <v>2</v>
      </c>
      <c r="G1087" s="22" t="str">
        <f aca="false">IF(F1087=7,IF(B1087&gt;=23,"C","Sin turno"),IF(B1087&lt;7,"C",IF(B1087&lt;14,"A",IF(B1087&lt;21,"B",IF(B1087&lt;23,"Entre turnos",IF(F1087=6,"Sin turno","C"))))))</f>
        <v>C</v>
      </c>
      <c r="H1087" s="25" t="n">
        <f aca="false">IF(D1087="","",MAX(0,D1087-0.5*C1087))</f>
        <v>0</v>
      </c>
    </row>
    <row r="1088" customFormat="false" ht="15" hidden="false" customHeight="false" outlineLevel="0" collapsed="false">
      <c r="A1088" s="21" t="n">
        <v>46266</v>
      </c>
      <c r="B1088" s="22" t="n">
        <v>6</v>
      </c>
      <c r="C1088" s="25" t="n">
        <v>113.64</v>
      </c>
      <c r="D1088" s="25" t="n">
        <v>13.8</v>
      </c>
      <c r="E1088" s="25" t="n">
        <v>0.24</v>
      </c>
      <c r="F1088" s="22" t="n">
        <f aca="false">WEEKDAY(A1088,2)</f>
        <v>2</v>
      </c>
      <c r="G1088" s="22" t="str">
        <f aca="false">IF(F1088=7,IF(B1088&gt;=23,"C","Sin turno"),IF(B1088&lt;7,"C",IF(B1088&lt;14,"A",IF(B1088&lt;21,"B",IF(B1088&lt;23,"Entre turnos",IF(F1088=6,"Sin turno","C"))))))</f>
        <v>C</v>
      </c>
      <c r="H1088" s="25" t="n">
        <f aca="false">IF(D1088="","",MAX(0,D1088-0.5*C1088))</f>
        <v>0</v>
      </c>
    </row>
    <row r="1089" customFormat="false" ht="15" hidden="false" customHeight="false" outlineLevel="0" collapsed="false">
      <c r="A1089" s="21" t="n">
        <v>46266</v>
      </c>
      <c r="B1089" s="22" t="n">
        <v>7</v>
      </c>
      <c r="C1089" s="25" t="n">
        <v>219.48</v>
      </c>
      <c r="D1089" s="25" t="n">
        <v>18.96</v>
      </c>
      <c r="E1089" s="25" t="n">
        <v>0</v>
      </c>
      <c r="F1089" s="22" t="n">
        <f aca="false">WEEKDAY(A1089,2)</f>
        <v>2</v>
      </c>
      <c r="G1089" s="22" t="str">
        <f aca="false">IF(F1089=7,IF(B1089&gt;=23,"C","Sin turno"),IF(B1089&lt;7,"C",IF(B1089&lt;14,"A",IF(B1089&lt;21,"B",IF(B1089&lt;23,"Entre turnos",IF(F1089=6,"Sin turno","C"))))))</f>
        <v>A</v>
      </c>
      <c r="H1089" s="25" t="n">
        <f aca="false">IF(D1089="","",MAX(0,D1089-0.5*C1089))</f>
        <v>0</v>
      </c>
    </row>
    <row r="1090" customFormat="false" ht="15" hidden="false" customHeight="false" outlineLevel="0" collapsed="false">
      <c r="A1090" s="21" t="n">
        <v>46266</v>
      </c>
      <c r="B1090" s="22" t="n">
        <v>8</v>
      </c>
      <c r="C1090" s="25" t="n">
        <v>269.04</v>
      </c>
      <c r="D1090" s="25" t="n">
        <v>22.56</v>
      </c>
      <c r="E1090" s="25" t="n">
        <v>0</v>
      </c>
      <c r="F1090" s="22" t="n">
        <f aca="false">WEEKDAY(A1090,2)</f>
        <v>2</v>
      </c>
      <c r="G1090" s="22" t="str">
        <f aca="false">IF(F1090=7,IF(B1090&gt;=23,"C","Sin turno"),IF(B1090&lt;7,"C",IF(B1090&lt;14,"A",IF(B1090&lt;21,"B",IF(B1090&lt;23,"Entre turnos",IF(F1090=6,"Sin turno","C"))))))</f>
        <v>A</v>
      </c>
      <c r="H1090" s="25" t="n">
        <f aca="false">IF(D1090="","",MAX(0,D1090-0.5*C1090))</f>
        <v>0</v>
      </c>
    </row>
    <row r="1091" customFormat="false" ht="15" hidden="false" customHeight="false" outlineLevel="0" collapsed="false">
      <c r="A1091" s="21" t="n">
        <v>46266</v>
      </c>
      <c r="B1091" s="22" t="n">
        <v>9</v>
      </c>
      <c r="C1091" s="25" t="n">
        <v>289.56</v>
      </c>
      <c r="D1091" s="25" t="n">
        <v>26.28</v>
      </c>
      <c r="E1091" s="25" t="n">
        <v>0.12</v>
      </c>
      <c r="F1091" s="22" t="n">
        <f aca="false">WEEKDAY(A1091,2)</f>
        <v>2</v>
      </c>
      <c r="G1091" s="22" t="str">
        <f aca="false">IF(F1091=7,IF(B1091&gt;=23,"C","Sin turno"),IF(B1091&lt;7,"C",IF(B1091&lt;14,"A",IF(B1091&lt;21,"B",IF(B1091&lt;23,"Entre turnos",IF(F1091=6,"Sin turno","C"))))))</f>
        <v>A</v>
      </c>
      <c r="H1091" s="25" t="n">
        <f aca="false">IF(D1091="","",MAX(0,D1091-0.5*C1091))</f>
        <v>0</v>
      </c>
    </row>
    <row r="1092" customFormat="false" ht="15" hidden="false" customHeight="false" outlineLevel="0" collapsed="false">
      <c r="A1092" s="21" t="n">
        <v>46266</v>
      </c>
      <c r="B1092" s="22" t="n">
        <v>10</v>
      </c>
      <c r="C1092" s="25" t="n">
        <v>281.16</v>
      </c>
      <c r="D1092" s="25" t="n">
        <v>24.84</v>
      </c>
      <c r="E1092" s="25" t="n">
        <v>0</v>
      </c>
      <c r="F1092" s="22" t="n">
        <f aca="false">WEEKDAY(A1092,2)</f>
        <v>2</v>
      </c>
      <c r="G1092" s="22" t="str">
        <f aca="false">IF(F1092=7,IF(B1092&gt;=23,"C","Sin turno"),IF(B1092&lt;7,"C",IF(B1092&lt;14,"A",IF(B1092&lt;21,"B",IF(B1092&lt;23,"Entre turnos",IF(F1092=6,"Sin turno","C"))))))</f>
        <v>A</v>
      </c>
      <c r="H1092" s="25" t="n">
        <f aca="false">IF(D1092="","",MAX(0,D1092-0.5*C1092))</f>
        <v>0</v>
      </c>
    </row>
    <row r="1093" customFormat="false" ht="15" hidden="false" customHeight="false" outlineLevel="0" collapsed="false">
      <c r="A1093" s="21" t="n">
        <v>46266</v>
      </c>
      <c r="B1093" s="22" t="n">
        <v>11</v>
      </c>
      <c r="C1093" s="25" t="n">
        <v>253.68</v>
      </c>
      <c r="D1093" s="25" t="n">
        <v>24.6</v>
      </c>
      <c r="E1093" s="25" t="n">
        <v>0</v>
      </c>
      <c r="F1093" s="22" t="n">
        <f aca="false">WEEKDAY(A1093,2)</f>
        <v>2</v>
      </c>
      <c r="G1093" s="22" t="str">
        <f aca="false">IF(F1093=7,IF(B1093&gt;=23,"C","Sin turno"),IF(B1093&lt;7,"C",IF(B1093&lt;14,"A",IF(B1093&lt;21,"B",IF(B1093&lt;23,"Entre turnos",IF(F1093=6,"Sin turno","C"))))))</f>
        <v>A</v>
      </c>
      <c r="H1093" s="25" t="n">
        <f aca="false">IF(D1093="","",MAX(0,D1093-0.5*C1093))</f>
        <v>0</v>
      </c>
    </row>
    <row r="1094" customFormat="false" ht="15" hidden="false" customHeight="false" outlineLevel="0" collapsed="false">
      <c r="A1094" s="21" t="n">
        <v>46266</v>
      </c>
      <c r="B1094" s="22" t="n">
        <v>12</v>
      </c>
      <c r="C1094" s="25" t="n">
        <v>282.36</v>
      </c>
      <c r="D1094" s="25" t="n">
        <v>24</v>
      </c>
      <c r="E1094" s="25" t="n">
        <v>0.12</v>
      </c>
      <c r="F1094" s="22" t="n">
        <f aca="false">WEEKDAY(A1094,2)</f>
        <v>2</v>
      </c>
      <c r="G1094" s="22" t="str">
        <f aca="false">IF(F1094=7,IF(B1094&gt;=23,"C","Sin turno"),IF(B1094&lt;7,"C",IF(B1094&lt;14,"A",IF(B1094&lt;21,"B",IF(B1094&lt;23,"Entre turnos",IF(F1094=6,"Sin turno","C"))))))</f>
        <v>A</v>
      </c>
      <c r="H1094" s="25" t="n">
        <f aca="false">IF(D1094="","",MAX(0,D1094-0.5*C1094))</f>
        <v>0</v>
      </c>
    </row>
    <row r="1095" customFormat="false" ht="15" hidden="false" customHeight="false" outlineLevel="0" collapsed="false">
      <c r="A1095" s="21" t="n">
        <v>46266</v>
      </c>
      <c r="B1095" s="22" t="n">
        <v>13</v>
      </c>
      <c r="C1095" s="25" t="n">
        <v>310.68</v>
      </c>
      <c r="D1095" s="25" t="n">
        <v>24</v>
      </c>
      <c r="E1095" s="25" t="n">
        <v>0.12</v>
      </c>
      <c r="F1095" s="22" t="n">
        <f aca="false">WEEKDAY(A1095,2)</f>
        <v>2</v>
      </c>
      <c r="G1095" s="22" t="str">
        <f aca="false">IF(F1095=7,IF(B1095&gt;=23,"C","Sin turno"),IF(B1095&lt;7,"C",IF(B1095&lt;14,"A",IF(B1095&lt;21,"B",IF(B1095&lt;23,"Entre turnos",IF(F1095=6,"Sin turno","C"))))))</f>
        <v>A</v>
      </c>
      <c r="H1095" s="25" t="n">
        <f aca="false">IF(D1095="","",MAX(0,D1095-0.5*C1095))</f>
        <v>0</v>
      </c>
    </row>
    <row r="1096" customFormat="false" ht="15" hidden="false" customHeight="false" outlineLevel="0" collapsed="false">
      <c r="A1096" s="21" t="n">
        <v>46266</v>
      </c>
      <c r="B1096" s="22" t="n">
        <v>14</v>
      </c>
      <c r="C1096" s="25" t="n">
        <v>286.8</v>
      </c>
      <c r="D1096" s="25" t="n">
        <v>28.56</v>
      </c>
      <c r="E1096" s="25" t="n">
        <v>0</v>
      </c>
      <c r="F1096" s="22" t="n">
        <f aca="false">WEEKDAY(A1096,2)</f>
        <v>2</v>
      </c>
      <c r="G1096" s="22" t="str">
        <f aca="false">IF(F1096=7,IF(B1096&gt;=23,"C","Sin turno"),IF(B1096&lt;7,"C",IF(B1096&lt;14,"A",IF(B1096&lt;21,"B",IF(B1096&lt;23,"Entre turnos",IF(F1096=6,"Sin turno","C"))))))</f>
        <v>B</v>
      </c>
      <c r="H1096" s="25" t="n">
        <f aca="false">IF(D1096="","",MAX(0,D1096-0.5*C1096))</f>
        <v>0</v>
      </c>
    </row>
    <row r="1097" customFormat="false" ht="15" hidden="false" customHeight="false" outlineLevel="0" collapsed="false">
      <c r="A1097" s="21" t="n">
        <v>46266</v>
      </c>
      <c r="B1097" s="22" t="n">
        <v>15</v>
      </c>
      <c r="C1097" s="25" t="n">
        <v>247.68</v>
      </c>
      <c r="D1097" s="25" t="n">
        <v>25.92</v>
      </c>
      <c r="E1097" s="25" t="n">
        <v>0</v>
      </c>
      <c r="F1097" s="22" t="n">
        <f aca="false">WEEKDAY(A1097,2)</f>
        <v>2</v>
      </c>
      <c r="G1097" s="22" t="str">
        <f aca="false">IF(F1097=7,IF(B1097&gt;=23,"C","Sin turno"),IF(B1097&lt;7,"C",IF(B1097&lt;14,"A",IF(B1097&lt;21,"B",IF(B1097&lt;23,"Entre turnos",IF(F1097=6,"Sin turno","C"))))))</f>
        <v>B</v>
      </c>
      <c r="H1097" s="25" t="n">
        <f aca="false">IF(D1097="","",MAX(0,D1097-0.5*C1097))</f>
        <v>0</v>
      </c>
    </row>
    <row r="1098" customFormat="false" ht="15" hidden="false" customHeight="false" outlineLevel="0" collapsed="false">
      <c r="A1098" s="21" t="n">
        <v>46266</v>
      </c>
      <c r="B1098" s="22" t="n">
        <v>16</v>
      </c>
      <c r="C1098" s="25" t="n">
        <v>232.44</v>
      </c>
      <c r="D1098" s="25" t="n">
        <v>27.84</v>
      </c>
      <c r="E1098" s="25" t="n">
        <v>0</v>
      </c>
      <c r="F1098" s="22" t="n">
        <f aca="false">WEEKDAY(A1098,2)</f>
        <v>2</v>
      </c>
      <c r="G1098" s="22" t="str">
        <f aca="false">IF(F1098=7,IF(B1098&gt;=23,"C","Sin turno"),IF(B1098&lt;7,"C",IF(B1098&lt;14,"A",IF(B1098&lt;21,"B",IF(B1098&lt;23,"Entre turnos",IF(F1098=6,"Sin turno","C"))))))</f>
        <v>B</v>
      </c>
      <c r="H1098" s="25" t="n">
        <f aca="false">IF(D1098="","",MAX(0,D1098-0.5*C1098))</f>
        <v>0</v>
      </c>
    </row>
    <row r="1099" customFormat="false" ht="15" hidden="false" customHeight="false" outlineLevel="0" collapsed="false">
      <c r="A1099" s="21" t="n">
        <v>46266</v>
      </c>
      <c r="B1099" s="22" t="n">
        <v>17</v>
      </c>
      <c r="C1099" s="25" t="n">
        <v>190.68</v>
      </c>
      <c r="D1099" s="25" t="n">
        <v>15.84</v>
      </c>
      <c r="E1099" s="25" t="n">
        <v>0.24</v>
      </c>
      <c r="F1099" s="22" t="n">
        <f aca="false">WEEKDAY(A1099,2)</f>
        <v>2</v>
      </c>
      <c r="G1099" s="22" t="str">
        <f aca="false">IF(F1099=7,IF(B1099&gt;=23,"C","Sin turno"),IF(B1099&lt;7,"C",IF(B1099&lt;14,"A",IF(B1099&lt;21,"B",IF(B1099&lt;23,"Entre turnos",IF(F1099=6,"Sin turno","C"))))))</f>
        <v>B</v>
      </c>
      <c r="H1099" s="25" t="n">
        <f aca="false">IF(D1099="","",MAX(0,D1099-0.5*C1099))</f>
        <v>0</v>
      </c>
    </row>
    <row r="1100" customFormat="false" ht="15" hidden="false" customHeight="false" outlineLevel="0" collapsed="false">
      <c r="A1100" s="21" t="n">
        <v>46266</v>
      </c>
      <c r="B1100" s="22" t="n">
        <v>18</v>
      </c>
      <c r="C1100" s="25" t="n">
        <v>184.92</v>
      </c>
      <c r="D1100" s="25" t="n">
        <v>13.44</v>
      </c>
      <c r="E1100" s="25" t="n">
        <v>0.36</v>
      </c>
      <c r="F1100" s="22" t="n">
        <f aca="false">WEEKDAY(A1100,2)</f>
        <v>2</v>
      </c>
      <c r="G1100" s="22" t="str">
        <f aca="false">IF(F1100=7,IF(B1100&gt;=23,"C","Sin turno"),IF(B1100&lt;7,"C",IF(B1100&lt;14,"A",IF(B1100&lt;21,"B",IF(B1100&lt;23,"Entre turnos",IF(F1100=6,"Sin turno","C"))))))</f>
        <v>B</v>
      </c>
      <c r="H1100" s="25" t="n">
        <f aca="false">IF(D1100="","",MAX(0,D1100-0.5*C1100))</f>
        <v>0</v>
      </c>
    </row>
    <row r="1101" customFormat="false" ht="15" hidden="false" customHeight="false" outlineLevel="0" collapsed="false">
      <c r="A1101" s="21" t="n">
        <v>46266</v>
      </c>
      <c r="B1101" s="22" t="n">
        <v>19</v>
      </c>
      <c r="C1101" s="25" t="n">
        <v>171.48</v>
      </c>
      <c r="D1101" s="25" t="n">
        <v>22.68</v>
      </c>
      <c r="E1101" s="25" t="n">
        <v>0.24</v>
      </c>
      <c r="F1101" s="22" t="n">
        <f aca="false">WEEKDAY(A1101,2)</f>
        <v>2</v>
      </c>
      <c r="G1101" s="22" t="str">
        <f aca="false">IF(F1101=7,IF(B1101&gt;=23,"C","Sin turno"),IF(B1101&lt;7,"C",IF(B1101&lt;14,"A",IF(B1101&lt;21,"B",IF(B1101&lt;23,"Entre turnos",IF(F1101=6,"Sin turno","C"))))))</f>
        <v>B</v>
      </c>
      <c r="H1101" s="25" t="n">
        <f aca="false">IF(D1101="","",MAX(0,D1101-0.5*C1101))</f>
        <v>0</v>
      </c>
    </row>
    <row r="1102" customFormat="false" ht="15" hidden="false" customHeight="false" outlineLevel="0" collapsed="false">
      <c r="A1102" s="21" t="n">
        <v>46266</v>
      </c>
      <c r="B1102" s="22" t="n">
        <v>20</v>
      </c>
      <c r="C1102" s="25" t="n">
        <v>186.24</v>
      </c>
      <c r="D1102" s="25" t="n">
        <v>15.24</v>
      </c>
      <c r="E1102" s="25" t="n">
        <v>0.36</v>
      </c>
      <c r="F1102" s="22" t="n">
        <f aca="false">WEEKDAY(A1102,2)</f>
        <v>2</v>
      </c>
      <c r="G1102" s="22" t="str">
        <f aca="false">IF(F1102=7,IF(B1102&gt;=23,"C","Sin turno"),IF(B1102&lt;7,"C",IF(B1102&lt;14,"A",IF(B1102&lt;21,"B",IF(B1102&lt;23,"Entre turnos",IF(F1102=6,"Sin turno","C"))))))</f>
        <v>B</v>
      </c>
      <c r="H1102" s="25" t="n">
        <f aca="false">IF(D1102="","",MAX(0,D1102-0.5*C1102))</f>
        <v>0</v>
      </c>
    </row>
    <row r="1103" customFormat="false" ht="15" hidden="false" customHeight="false" outlineLevel="0" collapsed="false">
      <c r="A1103" s="21" t="n">
        <v>46266</v>
      </c>
      <c r="B1103" s="22" t="n">
        <v>21</v>
      </c>
      <c r="C1103" s="25" t="n">
        <v>192.48</v>
      </c>
      <c r="D1103" s="25" t="n">
        <v>20.4</v>
      </c>
      <c r="E1103" s="25" t="n">
        <v>0.48</v>
      </c>
      <c r="F1103" s="22" t="n">
        <f aca="false">WEEKDAY(A1103,2)</f>
        <v>2</v>
      </c>
      <c r="G1103" s="22" t="str">
        <f aca="false">IF(F1103=7,IF(B1103&gt;=23,"C","Sin turno"),IF(B1103&lt;7,"C",IF(B1103&lt;14,"A",IF(B1103&lt;21,"B",IF(B1103&lt;23,"Entre turnos",IF(F1103=6,"Sin turno","C"))))))</f>
        <v>Entre turnos</v>
      </c>
      <c r="H1103" s="25" t="n">
        <f aca="false">IF(D1103="","",MAX(0,D1103-0.5*C1103))</f>
        <v>0</v>
      </c>
    </row>
    <row r="1104" customFormat="false" ht="15" hidden="false" customHeight="false" outlineLevel="0" collapsed="false">
      <c r="A1104" s="21" t="n">
        <v>46266</v>
      </c>
      <c r="B1104" s="22" t="n">
        <v>22</v>
      </c>
      <c r="C1104" s="25" t="n">
        <v>168.84</v>
      </c>
      <c r="D1104" s="25" t="n">
        <v>18.6</v>
      </c>
      <c r="E1104" s="25" t="n">
        <v>1.08</v>
      </c>
      <c r="F1104" s="22" t="n">
        <f aca="false">WEEKDAY(A1104,2)</f>
        <v>2</v>
      </c>
      <c r="G1104" s="22" t="str">
        <f aca="false">IF(F1104=7,IF(B1104&gt;=23,"C","Sin turno"),IF(B1104&lt;7,"C",IF(B1104&lt;14,"A",IF(B1104&lt;21,"B",IF(B1104&lt;23,"Entre turnos",IF(F1104=6,"Sin turno","C"))))))</f>
        <v>Entre turnos</v>
      </c>
      <c r="H1104" s="25" t="n">
        <f aca="false">IF(D1104="","",MAX(0,D1104-0.5*C1104))</f>
        <v>0</v>
      </c>
    </row>
    <row r="1105" customFormat="false" ht="15" hidden="false" customHeight="false" outlineLevel="0" collapsed="false">
      <c r="A1105" s="21" t="n">
        <v>46266</v>
      </c>
      <c r="B1105" s="22" t="n">
        <v>23</v>
      </c>
      <c r="C1105" s="25" t="n">
        <v>124.56</v>
      </c>
      <c r="D1105" s="25" t="n">
        <v>19.32</v>
      </c>
      <c r="E1105" s="25" t="n">
        <v>0.48</v>
      </c>
      <c r="F1105" s="22" t="n">
        <f aca="false">WEEKDAY(A1105,2)</f>
        <v>2</v>
      </c>
      <c r="G1105" s="22" t="str">
        <f aca="false">IF(F1105=7,IF(B1105&gt;=23,"C","Sin turno"),IF(B1105&lt;7,"C",IF(B1105&lt;14,"A",IF(B1105&lt;21,"B",IF(B1105&lt;23,"Entre turnos",IF(F1105=6,"Sin turno","C"))))))</f>
        <v>C</v>
      </c>
      <c r="H1105" s="25" t="n">
        <f aca="false">IF(D1105="","",MAX(0,D1105-0.5*C1105))</f>
        <v>0</v>
      </c>
    </row>
    <row r="1106" customFormat="false" ht="15" hidden="false" customHeight="false" outlineLevel="0" collapsed="false">
      <c r="A1106" s="21" t="n">
        <v>46267</v>
      </c>
      <c r="B1106" s="22" t="n">
        <v>0</v>
      </c>
      <c r="C1106" s="25" t="n">
        <v>111.96</v>
      </c>
      <c r="D1106" s="25" t="n">
        <v>20.04</v>
      </c>
      <c r="E1106" s="25" t="n">
        <v>0.24</v>
      </c>
      <c r="F1106" s="22" t="n">
        <f aca="false">WEEKDAY(A1106,2)</f>
        <v>3</v>
      </c>
      <c r="G1106" s="22" t="str">
        <f aca="false">IF(F1106=7,IF(B1106&gt;=23,"C","Sin turno"),IF(B1106&lt;7,"C",IF(B1106&lt;14,"A",IF(B1106&lt;21,"B",IF(B1106&lt;23,"Entre turnos",IF(F1106=6,"Sin turno","C"))))))</f>
        <v>C</v>
      </c>
      <c r="H1106" s="25" t="n">
        <f aca="false">IF(D1106="","",MAX(0,D1106-0.5*C1106))</f>
        <v>0</v>
      </c>
    </row>
    <row r="1107" customFormat="false" ht="15" hidden="false" customHeight="false" outlineLevel="0" collapsed="false">
      <c r="A1107" s="21" t="n">
        <v>46267</v>
      </c>
      <c r="B1107" s="22" t="n">
        <v>1</v>
      </c>
      <c r="C1107" s="25" t="n">
        <v>106.68</v>
      </c>
      <c r="D1107" s="25" t="n">
        <v>22.68</v>
      </c>
      <c r="E1107" s="25" t="n">
        <v>0.24</v>
      </c>
      <c r="F1107" s="22" t="n">
        <f aca="false">WEEKDAY(A1107,2)</f>
        <v>3</v>
      </c>
      <c r="G1107" s="22" t="str">
        <f aca="false">IF(F1107=7,IF(B1107&gt;=23,"C","Sin turno"),IF(B1107&lt;7,"C",IF(B1107&lt;14,"A",IF(B1107&lt;21,"B",IF(B1107&lt;23,"Entre turnos",IF(F1107=6,"Sin turno","C"))))))</f>
        <v>C</v>
      </c>
      <c r="H1107" s="25" t="n">
        <f aca="false">IF(D1107="","",MAX(0,D1107-0.5*C1107))</f>
        <v>0</v>
      </c>
    </row>
    <row r="1108" customFormat="false" ht="15" hidden="false" customHeight="false" outlineLevel="0" collapsed="false">
      <c r="A1108" s="21" t="n">
        <v>46267</v>
      </c>
      <c r="B1108" s="22" t="n">
        <v>2</v>
      </c>
      <c r="C1108" s="25" t="n">
        <v>106.2</v>
      </c>
      <c r="D1108" s="25" t="n">
        <v>22.68</v>
      </c>
      <c r="E1108" s="25" t="n">
        <v>0.24</v>
      </c>
      <c r="F1108" s="22" t="n">
        <f aca="false">WEEKDAY(A1108,2)</f>
        <v>3</v>
      </c>
      <c r="G1108" s="22" t="str">
        <f aca="false">IF(F1108=7,IF(B1108&gt;=23,"C","Sin turno"),IF(B1108&lt;7,"C",IF(B1108&lt;14,"A",IF(B1108&lt;21,"B",IF(B1108&lt;23,"Entre turnos",IF(F1108=6,"Sin turno","C"))))))</f>
        <v>C</v>
      </c>
      <c r="H1108" s="25" t="n">
        <f aca="false">IF(D1108="","",MAX(0,D1108-0.5*C1108))</f>
        <v>0</v>
      </c>
    </row>
    <row r="1109" customFormat="false" ht="15" hidden="false" customHeight="false" outlineLevel="0" collapsed="false">
      <c r="A1109" s="21" t="n">
        <v>46267</v>
      </c>
      <c r="B1109" s="22" t="n">
        <v>3</v>
      </c>
      <c r="C1109" s="25" t="n">
        <v>103.56</v>
      </c>
      <c r="D1109" s="25" t="n">
        <v>19.92</v>
      </c>
      <c r="E1109" s="25" t="n">
        <v>0.24</v>
      </c>
      <c r="F1109" s="22" t="n">
        <f aca="false">WEEKDAY(A1109,2)</f>
        <v>3</v>
      </c>
      <c r="G1109" s="22" t="str">
        <f aca="false">IF(F1109=7,IF(B1109&gt;=23,"C","Sin turno"),IF(B1109&lt;7,"C",IF(B1109&lt;14,"A",IF(B1109&lt;21,"B",IF(B1109&lt;23,"Entre turnos",IF(F1109=6,"Sin turno","C"))))))</f>
        <v>C</v>
      </c>
      <c r="H1109" s="25" t="n">
        <f aca="false">IF(D1109="","",MAX(0,D1109-0.5*C1109))</f>
        <v>0</v>
      </c>
    </row>
    <row r="1110" customFormat="false" ht="15" hidden="false" customHeight="false" outlineLevel="0" collapsed="false">
      <c r="A1110" s="21" t="n">
        <v>46267</v>
      </c>
      <c r="B1110" s="22" t="n">
        <v>4</v>
      </c>
      <c r="C1110" s="25" t="n">
        <v>107.76</v>
      </c>
      <c r="D1110" s="25" t="n">
        <v>21</v>
      </c>
      <c r="E1110" s="25" t="n">
        <v>0.12</v>
      </c>
      <c r="F1110" s="22" t="n">
        <f aca="false">WEEKDAY(A1110,2)</f>
        <v>3</v>
      </c>
      <c r="G1110" s="22" t="str">
        <f aca="false">IF(F1110=7,IF(B1110&gt;=23,"C","Sin turno"),IF(B1110&lt;7,"C",IF(B1110&lt;14,"A",IF(B1110&lt;21,"B",IF(B1110&lt;23,"Entre turnos",IF(F1110=6,"Sin turno","C"))))))</f>
        <v>C</v>
      </c>
      <c r="H1110" s="25" t="n">
        <f aca="false">IF(D1110="","",MAX(0,D1110-0.5*C1110))</f>
        <v>0</v>
      </c>
    </row>
    <row r="1111" customFormat="false" ht="15" hidden="false" customHeight="false" outlineLevel="0" collapsed="false">
      <c r="A1111" s="21" t="n">
        <v>46267</v>
      </c>
      <c r="B1111" s="22" t="n">
        <v>5</v>
      </c>
      <c r="C1111" s="25" t="n">
        <v>103.08</v>
      </c>
      <c r="D1111" s="25" t="n">
        <v>18.24</v>
      </c>
      <c r="E1111" s="25" t="n">
        <v>0</v>
      </c>
      <c r="F1111" s="22" t="n">
        <f aca="false">WEEKDAY(A1111,2)</f>
        <v>3</v>
      </c>
      <c r="G1111" s="22" t="str">
        <f aca="false">IF(F1111=7,IF(B1111&gt;=23,"C","Sin turno"),IF(B1111&lt;7,"C",IF(B1111&lt;14,"A",IF(B1111&lt;21,"B",IF(B1111&lt;23,"Entre turnos",IF(F1111=6,"Sin turno","C"))))))</f>
        <v>C</v>
      </c>
      <c r="H1111" s="25" t="n">
        <f aca="false">IF(D1111="","",MAX(0,D1111-0.5*C1111))</f>
        <v>0</v>
      </c>
    </row>
    <row r="1112" customFormat="false" ht="15" hidden="false" customHeight="false" outlineLevel="0" collapsed="false">
      <c r="A1112" s="21" t="n">
        <v>46267</v>
      </c>
      <c r="B1112" s="22" t="n">
        <v>6</v>
      </c>
      <c r="C1112" s="25" t="n">
        <v>125.76</v>
      </c>
      <c r="D1112" s="25" t="n">
        <v>20.52</v>
      </c>
      <c r="E1112" s="25" t="n">
        <v>0.12</v>
      </c>
      <c r="F1112" s="22" t="n">
        <f aca="false">WEEKDAY(A1112,2)</f>
        <v>3</v>
      </c>
      <c r="G1112" s="22" t="str">
        <f aca="false">IF(F1112=7,IF(B1112&gt;=23,"C","Sin turno"),IF(B1112&lt;7,"C",IF(B1112&lt;14,"A",IF(B1112&lt;21,"B",IF(B1112&lt;23,"Entre turnos",IF(F1112=6,"Sin turno","C"))))))</f>
        <v>C</v>
      </c>
      <c r="H1112" s="25" t="n">
        <f aca="false">IF(D1112="","",MAX(0,D1112-0.5*C1112))</f>
        <v>0</v>
      </c>
    </row>
    <row r="1113" customFormat="false" ht="15" hidden="false" customHeight="false" outlineLevel="0" collapsed="false">
      <c r="A1113" s="21" t="n">
        <v>46267</v>
      </c>
      <c r="B1113" s="22" t="n">
        <v>7</v>
      </c>
      <c r="C1113" s="25" t="n">
        <v>238.44</v>
      </c>
      <c r="D1113" s="25" t="n">
        <v>26.16</v>
      </c>
      <c r="E1113" s="25" t="n">
        <v>0.12</v>
      </c>
      <c r="F1113" s="22" t="n">
        <f aca="false">WEEKDAY(A1113,2)</f>
        <v>3</v>
      </c>
      <c r="G1113" s="22" t="str">
        <f aca="false">IF(F1113=7,IF(B1113&gt;=23,"C","Sin turno"),IF(B1113&lt;7,"C",IF(B1113&lt;14,"A",IF(B1113&lt;21,"B",IF(B1113&lt;23,"Entre turnos",IF(F1113=6,"Sin turno","C"))))))</f>
        <v>A</v>
      </c>
      <c r="H1113" s="25" t="n">
        <f aca="false">IF(D1113="","",MAX(0,D1113-0.5*C1113))</f>
        <v>0</v>
      </c>
    </row>
    <row r="1114" customFormat="false" ht="15" hidden="false" customHeight="false" outlineLevel="0" collapsed="false">
      <c r="A1114" s="21" t="n">
        <v>46267</v>
      </c>
      <c r="B1114" s="22" t="n">
        <v>8</v>
      </c>
      <c r="C1114" s="25" t="n">
        <v>267.96</v>
      </c>
      <c r="D1114" s="25" t="n">
        <v>24.12</v>
      </c>
      <c r="E1114" s="25" t="n">
        <v>0.12</v>
      </c>
      <c r="F1114" s="22" t="n">
        <f aca="false">WEEKDAY(A1114,2)</f>
        <v>3</v>
      </c>
      <c r="G1114" s="22" t="str">
        <f aca="false">IF(F1114=7,IF(B1114&gt;=23,"C","Sin turno"),IF(B1114&lt;7,"C",IF(B1114&lt;14,"A",IF(B1114&lt;21,"B",IF(B1114&lt;23,"Entre turnos",IF(F1114=6,"Sin turno","C"))))))</f>
        <v>A</v>
      </c>
      <c r="H1114" s="25" t="n">
        <f aca="false">IF(D1114="","",MAX(0,D1114-0.5*C1114))</f>
        <v>0</v>
      </c>
    </row>
    <row r="1115" customFormat="false" ht="15" hidden="false" customHeight="false" outlineLevel="0" collapsed="false">
      <c r="A1115" s="21" t="n">
        <v>46267</v>
      </c>
      <c r="B1115" s="22" t="n">
        <v>9</v>
      </c>
      <c r="C1115" s="25" t="n">
        <v>256.92</v>
      </c>
      <c r="D1115" s="25" t="n">
        <v>21.24</v>
      </c>
      <c r="E1115" s="25" t="n">
        <v>0</v>
      </c>
      <c r="F1115" s="22" t="n">
        <f aca="false">WEEKDAY(A1115,2)</f>
        <v>3</v>
      </c>
      <c r="G1115" s="22" t="str">
        <f aca="false">IF(F1115=7,IF(B1115&gt;=23,"C","Sin turno"),IF(B1115&lt;7,"C",IF(B1115&lt;14,"A",IF(B1115&lt;21,"B",IF(B1115&lt;23,"Entre turnos",IF(F1115=6,"Sin turno","C"))))))</f>
        <v>A</v>
      </c>
      <c r="H1115" s="25" t="n">
        <f aca="false">IF(D1115="","",MAX(0,D1115-0.5*C1115))</f>
        <v>0</v>
      </c>
    </row>
    <row r="1116" customFormat="false" ht="15" hidden="false" customHeight="false" outlineLevel="0" collapsed="false">
      <c r="A1116" s="21" t="n">
        <v>46267</v>
      </c>
      <c r="B1116" s="22" t="n">
        <v>10</v>
      </c>
      <c r="C1116" s="25" t="n">
        <v>275.04</v>
      </c>
      <c r="D1116" s="25" t="n">
        <v>24.6</v>
      </c>
      <c r="E1116" s="25" t="n">
        <v>0.12</v>
      </c>
      <c r="F1116" s="22" t="n">
        <f aca="false">WEEKDAY(A1116,2)</f>
        <v>3</v>
      </c>
      <c r="G1116" s="22" t="str">
        <f aca="false">IF(F1116=7,IF(B1116&gt;=23,"C","Sin turno"),IF(B1116&lt;7,"C",IF(B1116&lt;14,"A",IF(B1116&lt;21,"B",IF(B1116&lt;23,"Entre turnos",IF(F1116=6,"Sin turno","C"))))))</f>
        <v>A</v>
      </c>
      <c r="H1116" s="25" t="n">
        <f aca="false">IF(D1116="","",MAX(0,D1116-0.5*C1116))</f>
        <v>0</v>
      </c>
    </row>
    <row r="1117" customFormat="false" ht="15" hidden="false" customHeight="false" outlineLevel="0" collapsed="false">
      <c r="A1117" s="21" t="n">
        <v>46267</v>
      </c>
      <c r="B1117" s="22" t="n">
        <v>11</v>
      </c>
      <c r="C1117" s="25" t="n">
        <v>237.48</v>
      </c>
      <c r="D1117" s="25" t="n">
        <v>23.4</v>
      </c>
      <c r="E1117" s="25" t="n">
        <v>0.24</v>
      </c>
      <c r="F1117" s="22" t="n">
        <f aca="false">WEEKDAY(A1117,2)</f>
        <v>3</v>
      </c>
      <c r="G1117" s="22" t="str">
        <f aca="false">IF(F1117=7,IF(B1117&gt;=23,"C","Sin turno"),IF(B1117&lt;7,"C",IF(B1117&lt;14,"A",IF(B1117&lt;21,"B",IF(B1117&lt;23,"Entre turnos",IF(F1117=6,"Sin turno","C"))))))</f>
        <v>A</v>
      </c>
      <c r="H1117" s="25" t="n">
        <f aca="false">IF(D1117="","",MAX(0,D1117-0.5*C1117))</f>
        <v>0</v>
      </c>
    </row>
    <row r="1118" customFormat="false" ht="15" hidden="false" customHeight="false" outlineLevel="0" collapsed="false">
      <c r="A1118" s="21" t="n">
        <v>46267</v>
      </c>
      <c r="B1118" s="22" t="n">
        <v>12</v>
      </c>
      <c r="C1118" s="25" t="n">
        <v>270.84</v>
      </c>
      <c r="D1118" s="25" t="n">
        <v>24</v>
      </c>
      <c r="E1118" s="25" t="n">
        <v>0</v>
      </c>
      <c r="F1118" s="22" t="n">
        <f aca="false">WEEKDAY(A1118,2)</f>
        <v>3</v>
      </c>
      <c r="G1118" s="22" t="str">
        <f aca="false">IF(F1118=7,IF(B1118&gt;=23,"C","Sin turno"),IF(B1118&lt;7,"C",IF(B1118&lt;14,"A",IF(B1118&lt;21,"B",IF(B1118&lt;23,"Entre turnos",IF(F1118=6,"Sin turno","C"))))))</f>
        <v>A</v>
      </c>
      <c r="H1118" s="25" t="n">
        <f aca="false">IF(D1118="","",MAX(0,D1118-0.5*C1118))</f>
        <v>0</v>
      </c>
    </row>
    <row r="1119" customFormat="false" ht="15" hidden="false" customHeight="false" outlineLevel="0" collapsed="false">
      <c r="A1119" s="21" t="n">
        <v>46267</v>
      </c>
      <c r="B1119" s="22" t="n">
        <v>13</v>
      </c>
      <c r="C1119" s="25" t="n">
        <v>262.44</v>
      </c>
      <c r="D1119" s="25" t="n">
        <v>21.96</v>
      </c>
      <c r="E1119" s="25" t="n">
        <v>0.12</v>
      </c>
      <c r="F1119" s="22" t="n">
        <f aca="false">WEEKDAY(A1119,2)</f>
        <v>3</v>
      </c>
      <c r="G1119" s="22" t="str">
        <f aca="false">IF(F1119=7,IF(B1119&gt;=23,"C","Sin turno"),IF(B1119&lt;7,"C",IF(B1119&lt;14,"A",IF(B1119&lt;21,"B",IF(B1119&lt;23,"Entre turnos",IF(F1119=6,"Sin turno","C"))))))</f>
        <v>A</v>
      </c>
      <c r="H1119" s="25" t="n">
        <f aca="false">IF(D1119="","",MAX(0,D1119-0.5*C1119))</f>
        <v>0</v>
      </c>
    </row>
    <row r="1120" customFormat="false" ht="15" hidden="false" customHeight="false" outlineLevel="0" collapsed="false">
      <c r="A1120" s="21" t="n">
        <v>46267</v>
      </c>
      <c r="B1120" s="22" t="n">
        <v>14</v>
      </c>
      <c r="C1120" s="25" t="n">
        <v>274.08</v>
      </c>
      <c r="D1120" s="25" t="n">
        <v>24.24</v>
      </c>
      <c r="E1120" s="25" t="n">
        <v>0.36</v>
      </c>
      <c r="F1120" s="22" t="n">
        <f aca="false">WEEKDAY(A1120,2)</f>
        <v>3</v>
      </c>
      <c r="G1120" s="22" t="str">
        <f aca="false">IF(F1120=7,IF(B1120&gt;=23,"C","Sin turno"),IF(B1120&lt;7,"C",IF(B1120&lt;14,"A",IF(B1120&lt;21,"B",IF(B1120&lt;23,"Entre turnos",IF(F1120=6,"Sin turno","C"))))))</f>
        <v>B</v>
      </c>
      <c r="H1120" s="25" t="n">
        <f aca="false">IF(D1120="","",MAX(0,D1120-0.5*C1120))</f>
        <v>0</v>
      </c>
    </row>
    <row r="1121" customFormat="false" ht="15" hidden="false" customHeight="false" outlineLevel="0" collapsed="false">
      <c r="A1121" s="21" t="n">
        <v>46267</v>
      </c>
      <c r="B1121" s="22" t="n">
        <v>15</v>
      </c>
      <c r="C1121" s="25" t="n">
        <v>250.32</v>
      </c>
      <c r="D1121" s="25" t="n">
        <v>28.68</v>
      </c>
      <c r="E1121" s="25" t="n">
        <v>0.12</v>
      </c>
      <c r="F1121" s="22" t="n">
        <f aca="false">WEEKDAY(A1121,2)</f>
        <v>3</v>
      </c>
      <c r="G1121" s="22" t="str">
        <f aca="false">IF(F1121=7,IF(B1121&gt;=23,"C","Sin turno"),IF(B1121&lt;7,"C",IF(B1121&lt;14,"A",IF(B1121&lt;21,"B",IF(B1121&lt;23,"Entre turnos",IF(F1121=6,"Sin turno","C"))))))</f>
        <v>B</v>
      </c>
      <c r="H1121" s="25" t="n">
        <f aca="false">IF(D1121="","",MAX(0,D1121-0.5*C1121))</f>
        <v>0</v>
      </c>
    </row>
    <row r="1122" customFormat="false" ht="15" hidden="false" customHeight="false" outlineLevel="0" collapsed="false">
      <c r="A1122" s="21" t="n">
        <v>46267</v>
      </c>
      <c r="B1122" s="22" t="n">
        <v>16</v>
      </c>
      <c r="C1122" s="25" t="n">
        <v>228.96</v>
      </c>
      <c r="D1122" s="25" t="n">
        <v>26.64</v>
      </c>
      <c r="E1122" s="25" t="n">
        <v>0</v>
      </c>
      <c r="F1122" s="22" t="n">
        <f aca="false">WEEKDAY(A1122,2)</f>
        <v>3</v>
      </c>
      <c r="G1122" s="22" t="str">
        <f aca="false">IF(F1122=7,IF(B1122&gt;=23,"C","Sin turno"),IF(B1122&lt;7,"C",IF(B1122&lt;14,"A",IF(B1122&lt;21,"B",IF(B1122&lt;23,"Entre turnos",IF(F1122=6,"Sin turno","C"))))))</f>
        <v>B</v>
      </c>
      <c r="H1122" s="25" t="n">
        <f aca="false">IF(D1122="","",MAX(0,D1122-0.5*C1122))</f>
        <v>0</v>
      </c>
    </row>
    <row r="1123" customFormat="false" ht="15" hidden="false" customHeight="false" outlineLevel="0" collapsed="false">
      <c r="A1123" s="21" t="n">
        <v>46267</v>
      </c>
      <c r="B1123" s="22" t="n">
        <v>17</v>
      </c>
      <c r="C1123" s="25" t="n">
        <v>207.12</v>
      </c>
      <c r="D1123" s="25" t="n">
        <v>17.4</v>
      </c>
      <c r="E1123" s="25" t="n">
        <v>0.12</v>
      </c>
      <c r="F1123" s="22" t="n">
        <f aca="false">WEEKDAY(A1123,2)</f>
        <v>3</v>
      </c>
      <c r="G1123" s="22" t="str">
        <f aca="false">IF(F1123=7,IF(B1123&gt;=23,"C","Sin turno"),IF(B1123&lt;7,"C",IF(B1123&lt;14,"A",IF(B1123&lt;21,"B",IF(B1123&lt;23,"Entre turnos",IF(F1123=6,"Sin turno","C"))))))</f>
        <v>B</v>
      </c>
      <c r="H1123" s="25" t="n">
        <f aca="false">IF(D1123="","",MAX(0,D1123-0.5*C1123))</f>
        <v>0</v>
      </c>
    </row>
    <row r="1124" customFormat="false" ht="15" hidden="false" customHeight="false" outlineLevel="0" collapsed="false">
      <c r="A1124" s="21" t="n">
        <v>46267</v>
      </c>
      <c r="B1124" s="22" t="n">
        <v>18</v>
      </c>
      <c r="C1124" s="25" t="n">
        <v>200.16</v>
      </c>
      <c r="D1124" s="25" t="n">
        <v>18.96</v>
      </c>
      <c r="E1124" s="25" t="n">
        <v>0</v>
      </c>
      <c r="F1124" s="22" t="n">
        <f aca="false">WEEKDAY(A1124,2)</f>
        <v>3</v>
      </c>
      <c r="G1124" s="22" t="str">
        <f aca="false">IF(F1124=7,IF(B1124&gt;=23,"C","Sin turno"),IF(B1124&lt;7,"C",IF(B1124&lt;14,"A",IF(B1124&lt;21,"B",IF(B1124&lt;23,"Entre turnos",IF(F1124=6,"Sin turno","C"))))))</f>
        <v>B</v>
      </c>
      <c r="H1124" s="25" t="n">
        <f aca="false">IF(D1124="","",MAX(0,D1124-0.5*C1124))</f>
        <v>0</v>
      </c>
    </row>
    <row r="1125" customFormat="false" ht="15" hidden="false" customHeight="false" outlineLevel="0" collapsed="false">
      <c r="A1125" s="21" t="n">
        <v>46267</v>
      </c>
      <c r="B1125" s="22" t="n">
        <v>19</v>
      </c>
      <c r="C1125" s="25" t="n">
        <v>173.52</v>
      </c>
      <c r="D1125" s="25" t="n">
        <v>16.68</v>
      </c>
      <c r="E1125" s="25" t="n">
        <v>0.84</v>
      </c>
      <c r="F1125" s="22" t="n">
        <f aca="false">WEEKDAY(A1125,2)</f>
        <v>3</v>
      </c>
      <c r="G1125" s="22" t="str">
        <f aca="false">IF(F1125=7,IF(B1125&gt;=23,"C","Sin turno"),IF(B1125&lt;7,"C",IF(B1125&lt;14,"A",IF(B1125&lt;21,"B",IF(B1125&lt;23,"Entre turnos",IF(F1125=6,"Sin turno","C"))))))</f>
        <v>B</v>
      </c>
      <c r="H1125" s="25" t="n">
        <f aca="false">IF(D1125="","",MAX(0,D1125-0.5*C1125))</f>
        <v>0</v>
      </c>
    </row>
    <row r="1126" customFormat="false" ht="15" hidden="false" customHeight="false" outlineLevel="0" collapsed="false">
      <c r="A1126" s="21" t="n">
        <v>46267</v>
      </c>
      <c r="B1126" s="22" t="n">
        <v>20</v>
      </c>
      <c r="C1126" s="25" t="n">
        <v>193.8</v>
      </c>
      <c r="D1126" s="25" t="n">
        <v>21.96</v>
      </c>
      <c r="E1126" s="25" t="n">
        <v>0.48</v>
      </c>
      <c r="F1126" s="22" t="n">
        <f aca="false">WEEKDAY(A1126,2)</f>
        <v>3</v>
      </c>
      <c r="G1126" s="22" t="str">
        <f aca="false">IF(F1126=7,IF(B1126&gt;=23,"C","Sin turno"),IF(B1126&lt;7,"C",IF(B1126&lt;14,"A",IF(B1126&lt;21,"B",IF(B1126&lt;23,"Entre turnos",IF(F1126=6,"Sin turno","C"))))))</f>
        <v>B</v>
      </c>
      <c r="H1126" s="25" t="n">
        <f aca="false">IF(D1126="","",MAX(0,D1126-0.5*C1126))</f>
        <v>0</v>
      </c>
    </row>
    <row r="1127" customFormat="false" ht="15" hidden="false" customHeight="false" outlineLevel="0" collapsed="false">
      <c r="A1127" s="21" t="n">
        <v>46267</v>
      </c>
      <c r="B1127" s="22" t="n">
        <v>21</v>
      </c>
      <c r="C1127" s="25" t="n">
        <v>182.64</v>
      </c>
      <c r="D1127" s="25" t="n">
        <v>15.36</v>
      </c>
      <c r="E1127" s="25" t="n">
        <v>1.32</v>
      </c>
      <c r="F1127" s="22" t="n">
        <f aca="false">WEEKDAY(A1127,2)</f>
        <v>3</v>
      </c>
      <c r="G1127" s="22" t="str">
        <f aca="false">IF(F1127=7,IF(B1127&gt;=23,"C","Sin turno"),IF(B1127&lt;7,"C",IF(B1127&lt;14,"A",IF(B1127&lt;21,"B",IF(B1127&lt;23,"Entre turnos",IF(F1127=6,"Sin turno","C"))))))</f>
        <v>Entre turnos</v>
      </c>
      <c r="H1127" s="25" t="n">
        <f aca="false">IF(D1127="","",MAX(0,D1127-0.5*C1127))</f>
        <v>0</v>
      </c>
    </row>
    <row r="1128" customFormat="false" ht="15" hidden="false" customHeight="false" outlineLevel="0" collapsed="false">
      <c r="A1128" s="21" t="n">
        <v>46267</v>
      </c>
      <c r="B1128" s="22" t="n">
        <v>22</v>
      </c>
      <c r="C1128" s="25" t="n">
        <v>171.48</v>
      </c>
      <c r="D1128" s="25" t="n">
        <v>17.76</v>
      </c>
      <c r="E1128" s="25" t="n">
        <v>0.96</v>
      </c>
      <c r="F1128" s="22" t="n">
        <f aca="false">WEEKDAY(A1128,2)</f>
        <v>3</v>
      </c>
      <c r="G1128" s="22" t="str">
        <f aca="false">IF(F1128=7,IF(B1128&gt;=23,"C","Sin turno"),IF(B1128&lt;7,"C",IF(B1128&lt;14,"A",IF(B1128&lt;21,"B",IF(B1128&lt;23,"Entre turnos",IF(F1128=6,"Sin turno","C"))))))</f>
        <v>Entre turnos</v>
      </c>
      <c r="H1128" s="25" t="n">
        <f aca="false">IF(D1128="","",MAX(0,D1128-0.5*C1128))</f>
        <v>0</v>
      </c>
    </row>
    <row r="1129" customFormat="false" ht="15" hidden="false" customHeight="false" outlineLevel="0" collapsed="false">
      <c r="A1129" s="21" t="n">
        <v>46267</v>
      </c>
      <c r="B1129" s="22" t="n">
        <v>23</v>
      </c>
      <c r="C1129" s="25" t="n">
        <v>122.76</v>
      </c>
      <c r="D1129" s="25" t="n">
        <v>20.28</v>
      </c>
      <c r="E1129" s="25" t="n">
        <v>0.36</v>
      </c>
      <c r="F1129" s="22" t="n">
        <f aca="false">WEEKDAY(A1129,2)</f>
        <v>3</v>
      </c>
      <c r="G1129" s="22" t="str">
        <f aca="false">IF(F1129=7,IF(B1129&gt;=23,"C","Sin turno"),IF(B1129&lt;7,"C",IF(B1129&lt;14,"A",IF(B1129&lt;21,"B",IF(B1129&lt;23,"Entre turnos",IF(F1129=6,"Sin turno","C"))))))</f>
        <v>C</v>
      </c>
      <c r="H1129" s="25" t="n">
        <f aca="false">IF(D1129="","",MAX(0,D1129-0.5*C1129))</f>
        <v>0</v>
      </c>
    </row>
    <row r="1130" customFormat="false" ht="15" hidden="false" customHeight="false" outlineLevel="0" collapsed="false">
      <c r="A1130" s="21" t="n">
        <v>46268</v>
      </c>
      <c r="B1130" s="22" t="n">
        <v>0</v>
      </c>
      <c r="C1130" s="25" t="n">
        <v>105.48</v>
      </c>
      <c r="D1130" s="25" t="n">
        <v>20.28</v>
      </c>
      <c r="E1130" s="25" t="n">
        <v>0.24</v>
      </c>
      <c r="F1130" s="22" t="n">
        <f aca="false">WEEKDAY(A1130,2)</f>
        <v>4</v>
      </c>
      <c r="G1130" s="22" t="str">
        <f aca="false">IF(F1130=7,IF(B1130&gt;=23,"C","Sin turno"),IF(B1130&lt;7,"C",IF(B1130&lt;14,"A",IF(B1130&lt;21,"B",IF(B1130&lt;23,"Entre turnos",IF(F1130=6,"Sin turno","C"))))))</f>
        <v>C</v>
      </c>
      <c r="H1130" s="25" t="n">
        <f aca="false">IF(D1130="","",MAX(0,D1130-0.5*C1130))</f>
        <v>0</v>
      </c>
    </row>
    <row r="1131" customFormat="false" ht="15" hidden="false" customHeight="false" outlineLevel="0" collapsed="false">
      <c r="A1131" s="21" t="n">
        <v>46268</v>
      </c>
      <c r="B1131" s="22" t="n">
        <v>1</v>
      </c>
      <c r="C1131" s="25" t="n">
        <v>102.6</v>
      </c>
      <c r="D1131" s="25" t="n">
        <v>19.44</v>
      </c>
      <c r="E1131" s="25" t="n">
        <v>0.24</v>
      </c>
      <c r="F1131" s="22" t="n">
        <f aca="false">WEEKDAY(A1131,2)</f>
        <v>4</v>
      </c>
      <c r="G1131" s="22" t="str">
        <f aca="false">IF(F1131=7,IF(B1131&gt;=23,"C","Sin turno"),IF(B1131&lt;7,"C",IF(B1131&lt;14,"A",IF(B1131&lt;21,"B",IF(B1131&lt;23,"Entre turnos",IF(F1131=6,"Sin turno","C"))))))</f>
        <v>C</v>
      </c>
      <c r="H1131" s="25" t="n">
        <f aca="false">IF(D1131="","",MAX(0,D1131-0.5*C1131))</f>
        <v>0</v>
      </c>
    </row>
    <row r="1132" customFormat="false" ht="15" hidden="false" customHeight="false" outlineLevel="0" collapsed="false">
      <c r="A1132" s="21" t="n">
        <v>46268</v>
      </c>
      <c r="B1132" s="22" t="n">
        <v>2</v>
      </c>
      <c r="C1132" s="25" t="n">
        <v>104.28</v>
      </c>
      <c r="D1132" s="25" t="n">
        <v>19.56</v>
      </c>
      <c r="E1132" s="25" t="n">
        <v>0.48</v>
      </c>
      <c r="F1132" s="22" t="n">
        <f aca="false">WEEKDAY(A1132,2)</f>
        <v>4</v>
      </c>
      <c r="G1132" s="22" t="str">
        <f aca="false">IF(F1132=7,IF(B1132&gt;=23,"C","Sin turno"),IF(B1132&lt;7,"C",IF(B1132&lt;14,"A",IF(B1132&lt;21,"B",IF(B1132&lt;23,"Entre turnos",IF(F1132=6,"Sin turno","C"))))))</f>
        <v>C</v>
      </c>
      <c r="H1132" s="25" t="n">
        <f aca="false">IF(D1132="","",MAX(0,D1132-0.5*C1132))</f>
        <v>0</v>
      </c>
    </row>
    <row r="1133" customFormat="false" ht="15" hidden="false" customHeight="false" outlineLevel="0" collapsed="false">
      <c r="A1133" s="21" t="n">
        <v>46268</v>
      </c>
      <c r="B1133" s="22" t="n">
        <v>3</v>
      </c>
      <c r="C1133" s="25" t="n">
        <v>100.2</v>
      </c>
      <c r="D1133" s="25" t="n">
        <v>19.08</v>
      </c>
      <c r="E1133" s="25" t="n">
        <v>0.24</v>
      </c>
      <c r="F1133" s="22" t="n">
        <f aca="false">WEEKDAY(A1133,2)</f>
        <v>4</v>
      </c>
      <c r="G1133" s="22" t="str">
        <f aca="false">IF(F1133=7,IF(B1133&gt;=23,"C","Sin turno"),IF(B1133&lt;7,"C",IF(B1133&lt;14,"A",IF(B1133&lt;21,"B",IF(B1133&lt;23,"Entre turnos",IF(F1133=6,"Sin turno","C"))))))</f>
        <v>C</v>
      </c>
      <c r="H1133" s="25" t="n">
        <f aca="false">IF(D1133="","",MAX(0,D1133-0.5*C1133))</f>
        <v>0</v>
      </c>
    </row>
    <row r="1134" customFormat="false" ht="15" hidden="false" customHeight="false" outlineLevel="0" collapsed="false">
      <c r="A1134" s="21" t="n">
        <v>46268</v>
      </c>
      <c r="B1134" s="22" t="n">
        <v>4</v>
      </c>
      <c r="C1134" s="25" t="n">
        <v>100.56</v>
      </c>
      <c r="D1134" s="25" t="n">
        <v>19.56</v>
      </c>
      <c r="E1134" s="25" t="n">
        <v>0.24</v>
      </c>
      <c r="F1134" s="22" t="n">
        <f aca="false">WEEKDAY(A1134,2)</f>
        <v>4</v>
      </c>
      <c r="G1134" s="22" t="str">
        <f aca="false">IF(F1134=7,IF(B1134&gt;=23,"C","Sin turno"),IF(B1134&lt;7,"C",IF(B1134&lt;14,"A",IF(B1134&lt;21,"B",IF(B1134&lt;23,"Entre turnos",IF(F1134=6,"Sin turno","C"))))))</f>
        <v>C</v>
      </c>
      <c r="H1134" s="25" t="n">
        <f aca="false">IF(D1134="","",MAX(0,D1134-0.5*C1134))</f>
        <v>0</v>
      </c>
    </row>
    <row r="1135" customFormat="false" ht="15" hidden="false" customHeight="false" outlineLevel="0" collapsed="false">
      <c r="A1135" s="21" t="n">
        <v>46268</v>
      </c>
      <c r="B1135" s="22" t="n">
        <v>5</v>
      </c>
      <c r="C1135" s="25" t="n">
        <v>102.24</v>
      </c>
      <c r="D1135" s="25" t="n">
        <v>20.04</v>
      </c>
      <c r="E1135" s="25" t="n">
        <v>0.12</v>
      </c>
      <c r="F1135" s="22" t="n">
        <f aca="false">WEEKDAY(A1135,2)</f>
        <v>4</v>
      </c>
      <c r="G1135" s="22" t="str">
        <f aca="false">IF(F1135=7,IF(B1135&gt;=23,"C","Sin turno"),IF(B1135&lt;7,"C",IF(B1135&lt;14,"A",IF(B1135&lt;21,"B",IF(B1135&lt;23,"Entre turnos",IF(F1135=6,"Sin turno","C"))))))</f>
        <v>C</v>
      </c>
      <c r="H1135" s="25" t="n">
        <f aca="false">IF(D1135="","",MAX(0,D1135-0.5*C1135))</f>
        <v>0</v>
      </c>
    </row>
    <row r="1136" customFormat="false" ht="15" hidden="false" customHeight="false" outlineLevel="0" collapsed="false">
      <c r="A1136" s="21" t="n">
        <v>46268</v>
      </c>
      <c r="B1136" s="22" t="n">
        <v>6</v>
      </c>
      <c r="C1136" s="25" t="n">
        <v>116.4</v>
      </c>
      <c r="D1136" s="25" t="n">
        <v>18.96</v>
      </c>
      <c r="E1136" s="25" t="n">
        <v>0.36</v>
      </c>
      <c r="F1136" s="22" t="n">
        <f aca="false">WEEKDAY(A1136,2)</f>
        <v>4</v>
      </c>
      <c r="G1136" s="22" t="str">
        <f aca="false">IF(F1136=7,IF(B1136&gt;=23,"C","Sin turno"),IF(B1136&lt;7,"C",IF(B1136&lt;14,"A",IF(B1136&lt;21,"B",IF(B1136&lt;23,"Entre turnos",IF(F1136=6,"Sin turno","C"))))))</f>
        <v>C</v>
      </c>
      <c r="H1136" s="25" t="n">
        <f aca="false">IF(D1136="","",MAX(0,D1136-0.5*C1136))</f>
        <v>0</v>
      </c>
    </row>
    <row r="1137" customFormat="false" ht="15" hidden="false" customHeight="false" outlineLevel="0" collapsed="false">
      <c r="A1137" s="21" t="n">
        <v>46268</v>
      </c>
      <c r="B1137" s="22" t="n">
        <v>7</v>
      </c>
      <c r="C1137" s="25" t="n">
        <v>196.92</v>
      </c>
      <c r="D1137" s="25" t="n">
        <v>24.48</v>
      </c>
      <c r="E1137" s="25" t="n">
        <v>0</v>
      </c>
      <c r="F1137" s="22" t="n">
        <f aca="false">WEEKDAY(A1137,2)</f>
        <v>4</v>
      </c>
      <c r="G1137" s="22" t="str">
        <f aca="false">IF(F1137=7,IF(B1137&gt;=23,"C","Sin turno"),IF(B1137&lt;7,"C",IF(B1137&lt;14,"A",IF(B1137&lt;21,"B",IF(B1137&lt;23,"Entre turnos",IF(F1137=6,"Sin turno","C"))))))</f>
        <v>A</v>
      </c>
      <c r="H1137" s="25" t="n">
        <f aca="false">IF(D1137="","",MAX(0,D1137-0.5*C1137))</f>
        <v>0</v>
      </c>
    </row>
    <row r="1138" customFormat="false" ht="15" hidden="false" customHeight="false" outlineLevel="0" collapsed="false">
      <c r="A1138" s="21" t="n">
        <v>46268</v>
      </c>
      <c r="B1138" s="22" t="n">
        <v>8</v>
      </c>
      <c r="C1138" s="25" t="n">
        <v>247.68</v>
      </c>
      <c r="D1138" s="25" t="n">
        <v>21.48</v>
      </c>
      <c r="E1138" s="25" t="n">
        <v>0.12</v>
      </c>
      <c r="F1138" s="22" t="n">
        <f aca="false">WEEKDAY(A1138,2)</f>
        <v>4</v>
      </c>
      <c r="G1138" s="22" t="str">
        <f aca="false">IF(F1138=7,IF(B1138&gt;=23,"C","Sin turno"),IF(B1138&lt;7,"C",IF(B1138&lt;14,"A",IF(B1138&lt;21,"B",IF(B1138&lt;23,"Entre turnos",IF(F1138=6,"Sin turno","C"))))))</f>
        <v>A</v>
      </c>
      <c r="H1138" s="25" t="n">
        <f aca="false">IF(D1138="","",MAX(0,D1138-0.5*C1138))</f>
        <v>0</v>
      </c>
    </row>
    <row r="1139" customFormat="false" ht="15" hidden="false" customHeight="false" outlineLevel="0" collapsed="false">
      <c r="A1139" s="21" t="n">
        <v>46268</v>
      </c>
      <c r="B1139" s="22" t="n">
        <v>9</v>
      </c>
      <c r="C1139" s="25" t="n">
        <v>262.32</v>
      </c>
      <c r="D1139" s="25" t="n">
        <v>18.84</v>
      </c>
      <c r="E1139" s="25" t="n">
        <v>0.12</v>
      </c>
      <c r="F1139" s="22" t="n">
        <f aca="false">WEEKDAY(A1139,2)</f>
        <v>4</v>
      </c>
      <c r="G1139" s="22" t="str">
        <f aca="false">IF(F1139=7,IF(B1139&gt;=23,"C","Sin turno"),IF(B1139&lt;7,"C",IF(B1139&lt;14,"A",IF(B1139&lt;21,"B",IF(B1139&lt;23,"Entre turnos",IF(F1139=6,"Sin turno","C"))))))</f>
        <v>A</v>
      </c>
      <c r="H1139" s="25" t="n">
        <f aca="false">IF(D1139="","",MAX(0,D1139-0.5*C1139))</f>
        <v>0</v>
      </c>
    </row>
    <row r="1140" customFormat="false" ht="15" hidden="false" customHeight="false" outlineLevel="0" collapsed="false">
      <c r="A1140" s="21" t="n">
        <v>46268</v>
      </c>
      <c r="B1140" s="22" t="n">
        <v>10</v>
      </c>
      <c r="C1140" s="25" t="n">
        <v>259.92</v>
      </c>
      <c r="D1140" s="25" t="n">
        <v>23.4</v>
      </c>
      <c r="E1140" s="25" t="n">
        <v>0</v>
      </c>
      <c r="F1140" s="22" t="n">
        <f aca="false">WEEKDAY(A1140,2)</f>
        <v>4</v>
      </c>
      <c r="G1140" s="22" t="str">
        <f aca="false">IF(F1140=7,IF(B1140&gt;=23,"C","Sin turno"),IF(B1140&lt;7,"C",IF(B1140&lt;14,"A",IF(B1140&lt;21,"B",IF(B1140&lt;23,"Entre turnos",IF(F1140=6,"Sin turno","C"))))))</f>
        <v>A</v>
      </c>
      <c r="H1140" s="25" t="n">
        <f aca="false">IF(D1140="","",MAX(0,D1140-0.5*C1140))</f>
        <v>0</v>
      </c>
    </row>
    <row r="1141" customFormat="false" ht="15" hidden="false" customHeight="false" outlineLevel="0" collapsed="false">
      <c r="A1141" s="21" t="n">
        <v>46268</v>
      </c>
      <c r="B1141" s="22" t="n">
        <v>11</v>
      </c>
      <c r="C1141" s="25" t="n">
        <v>235.44</v>
      </c>
      <c r="D1141" s="25" t="n">
        <v>26.88</v>
      </c>
      <c r="E1141" s="25" t="n">
        <v>0</v>
      </c>
      <c r="F1141" s="22" t="n">
        <f aca="false">WEEKDAY(A1141,2)</f>
        <v>4</v>
      </c>
      <c r="G1141" s="22" t="str">
        <f aca="false">IF(F1141=7,IF(B1141&gt;=23,"C","Sin turno"),IF(B1141&lt;7,"C",IF(B1141&lt;14,"A",IF(B1141&lt;21,"B",IF(B1141&lt;23,"Entre turnos",IF(F1141=6,"Sin turno","C"))))))</f>
        <v>A</v>
      </c>
      <c r="H1141" s="25" t="n">
        <f aca="false">IF(D1141="","",MAX(0,D1141-0.5*C1141))</f>
        <v>0</v>
      </c>
    </row>
    <row r="1142" customFormat="false" ht="15" hidden="false" customHeight="false" outlineLevel="0" collapsed="false">
      <c r="A1142" s="21" t="n">
        <v>46268</v>
      </c>
      <c r="B1142" s="22" t="n">
        <v>12</v>
      </c>
      <c r="C1142" s="25" t="n">
        <v>259.2</v>
      </c>
      <c r="D1142" s="25" t="n">
        <v>25.68</v>
      </c>
      <c r="E1142" s="25" t="n">
        <v>0</v>
      </c>
      <c r="F1142" s="22" t="n">
        <f aca="false">WEEKDAY(A1142,2)</f>
        <v>4</v>
      </c>
      <c r="G1142" s="22" t="str">
        <f aca="false">IF(F1142=7,IF(B1142&gt;=23,"C","Sin turno"),IF(B1142&lt;7,"C",IF(B1142&lt;14,"A",IF(B1142&lt;21,"B",IF(B1142&lt;23,"Entre turnos",IF(F1142=6,"Sin turno","C"))))))</f>
        <v>A</v>
      </c>
      <c r="H1142" s="25" t="n">
        <f aca="false">IF(D1142="","",MAX(0,D1142-0.5*C1142))</f>
        <v>0</v>
      </c>
    </row>
    <row r="1143" customFormat="false" ht="15" hidden="false" customHeight="false" outlineLevel="0" collapsed="false">
      <c r="A1143" s="21" t="n">
        <v>46268</v>
      </c>
      <c r="B1143" s="22" t="n">
        <v>13</v>
      </c>
      <c r="C1143" s="25" t="n">
        <v>238.68</v>
      </c>
      <c r="D1143" s="25" t="n">
        <v>24.48</v>
      </c>
      <c r="E1143" s="25" t="n">
        <v>0.24</v>
      </c>
      <c r="F1143" s="22" t="n">
        <f aca="false">WEEKDAY(A1143,2)</f>
        <v>4</v>
      </c>
      <c r="G1143" s="22" t="str">
        <f aca="false">IF(F1143=7,IF(B1143&gt;=23,"C","Sin turno"),IF(B1143&lt;7,"C",IF(B1143&lt;14,"A",IF(B1143&lt;21,"B",IF(B1143&lt;23,"Entre turnos",IF(F1143=6,"Sin turno","C"))))))</f>
        <v>A</v>
      </c>
      <c r="H1143" s="25" t="n">
        <f aca="false">IF(D1143="","",MAX(0,D1143-0.5*C1143))</f>
        <v>0</v>
      </c>
    </row>
    <row r="1144" customFormat="false" ht="15" hidden="false" customHeight="false" outlineLevel="0" collapsed="false">
      <c r="A1144" s="21" t="n">
        <v>46268</v>
      </c>
      <c r="B1144" s="22" t="n">
        <v>14</v>
      </c>
      <c r="C1144" s="25" t="n">
        <v>242.16</v>
      </c>
      <c r="D1144" s="25" t="n">
        <v>22.32</v>
      </c>
      <c r="E1144" s="25" t="n">
        <v>0.36</v>
      </c>
      <c r="F1144" s="22" t="n">
        <f aca="false">WEEKDAY(A1144,2)</f>
        <v>4</v>
      </c>
      <c r="G1144" s="22" t="str">
        <f aca="false">IF(F1144=7,IF(B1144&gt;=23,"C","Sin turno"),IF(B1144&lt;7,"C",IF(B1144&lt;14,"A",IF(B1144&lt;21,"B",IF(B1144&lt;23,"Entre turnos",IF(F1144=6,"Sin turno","C"))))))</f>
        <v>B</v>
      </c>
      <c r="H1144" s="25" t="n">
        <f aca="false">IF(D1144="","",MAX(0,D1144-0.5*C1144))</f>
        <v>0</v>
      </c>
    </row>
    <row r="1145" customFormat="false" ht="15" hidden="false" customHeight="false" outlineLevel="0" collapsed="false">
      <c r="A1145" s="21" t="n">
        <v>46268</v>
      </c>
      <c r="B1145" s="22" t="n">
        <v>15</v>
      </c>
      <c r="C1145" s="25" t="n">
        <v>268.44</v>
      </c>
      <c r="D1145" s="25" t="n">
        <v>26.04</v>
      </c>
      <c r="E1145" s="25" t="n">
        <v>0</v>
      </c>
      <c r="F1145" s="22" t="n">
        <f aca="false">WEEKDAY(A1145,2)</f>
        <v>4</v>
      </c>
      <c r="G1145" s="22" t="str">
        <f aca="false">IF(F1145=7,IF(B1145&gt;=23,"C","Sin turno"),IF(B1145&lt;7,"C",IF(B1145&lt;14,"A",IF(B1145&lt;21,"B",IF(B1145&lt;23,"Entre turnos",IF(F1145=6,"Sin turno","C"))))))</f>
        <v>B</v>
      </c>
      <c r="H1145" s="25" t="n">
        <f aca="false">IF(D1145="","",MAX(0,D1145-0.5*C1145))</f>
        <v>0</v>
      </c>
    </row>
    <row r="1146" customFormat="false" ht="15" hidden="false" customHeight="false" outlineLevel="0" collapsed="false">
      <c r="A1146" s="21" t="n">
        <v>46268</v>
      </c>
      <c r="B1146" s="22" t="n">
        <v>16</v>
      </c>
      <c r="C1146" s="25" t="n">
        <v>234.6</v>
      </c>
      <c r="D1146" s="25" t="n">
        <v>28.68</v>
      </c>
      <c r="E1146" s="25" t="n">
        <v>0</v>
      </c>
      <c r="F1146" s="22" t="n">
        <f aca="false">WEEKDAY(A1146,2)</f>
        <v>4</v>
      </c>
      <c r="G1146" s="22" t="str">
        <f aca="false">IF(F1146=7,IF(B1146&gt;=23,"C","Sin turno"),IF(B1146&lt;7,"C",IF(B1146&lt;14,"A",IF(B1146&lt;21,"B",IF(B1146&lt;23,"Entre turnos",IF(F1146=6,"Sin turno","C"))))))</f>
        <v>B</v>
      </c>
      <c r="H1146" s="25" t="n">
        <f aca="false">IF(D1146="","",MAX(0,D1146-0.5*C1146))</f>
        <v>0</v>
      </c>
    </row>
    <row r="1147" customFormat="false" ht="15" hidden="false" customHeight="false" outlineLevel="0" collapsed="false">
      <c r="A1147" s="21" t="n">
        <v>46268</v>
      </c>
      <c r="B1147" s="22" t="n">
        <v>17</v>
      </c>
      <c r="C1147" s="25" t="n">
        <v>221.76</v>
      </c>
      <c r="D1147" s="25" t="n">
        <v>21.12</v>
      </c>
      <c r="E1147" s="25" t="n">
        <v>0.12</v>
      </c>
      <c r="F1147" s="22" t="n">
        <f aca="false">WEEKDAY(A1147,2)</f>
        <v>4</v>
      </c>
      <c r="G1147" s="22" t="str">
        <f aca="false">IF(F1147=7,IF(B1147&gt;=23,"C","Sin turno"),IF(B1147&lt;7,"C",IF(B1147&lt;14,"A",IF(B1147&lt;21,"B",IF(B1147&lt;23,"Entre turnos",IF(F1147=6,"Sin turno","C"))))))</f>
        <v>B</v>
      </c>
      <c r="H1147" s="25" t="n">
        <f aca="false">IF(D1147="","",MAX(0,D1147-0.5*C1147))</f>
        <v>0</v>
      </c>
    </row>
    <row r="1148" customFormat="false" ht="15" hidden="false" customHeight="false" outlineLevel="0" collapsed="false">
      <c r="A1148" s="21" t="n">
        <v>46268</v>
      </c>
      <c r="B1148" s="22" t="n">
        <v>18</v>
      </c>
      <c r="C1148" s="25" t="n">
        <v>187.92</v>
      </c>
      <c r="D1148" s="25" t="n">
        <v>14.04</v>
      </c>
      <c r="E1148" s="25" t="n">
        <v>0.36</v>
      </c>
      <c r="F1148" s="22" t="n">
        <f aca="false">WEEKDAY(A1148,2)</f>
        <v>4</v>
      </c>
      <c r="G1148" s="22" t="str">
        <f aca="false">IF(F1148=7,IF(B1148&gt;=23,"C","Sin turno"),IF(B1148&lt;7,"C",IF(B1148&lt;14,"A",IF(B1148&lt;21,"B",IF(B1148&lt;23,"Entre turnos",IF(F1148=6,"Sin turno","C"))))))</f>
        <v>B</v>
      </c>
      <c r="H1148" s="25" t="n">
        <f aca="false">IF(D1148="","",MAX(0,D1148-0.5*C1148))</f>
        <v>0</v>
      </c>
    </row>
    <row r="1149" customFormat="false" ht="15" hidden="false" customHeight="false" outlineLevel="0" collapsed="false">
      <c r="A1149" s="21" t="n">
        <v>46268</v>
      </c>
      <c r="B1149" s="22" t="n">
        <v>19</v>
      </c>
      <c r="C1149" s="25" t="n">
        <v>169.56</v>
      </c>
      <c r="D1149" s="25" t="n">
        <v>22.44</v>
      </c>
      <c r="E1149" s="25" t="n">
        <v>0.48</v>
      </c>
      <c r="F1149" s="22" t="n">
        <f aca="false">WEEKDAY(A1149,2)</f>
        <v>4</v>
      </c>
      <c r="G1149" s="22" t="str">
        <f aca="false">IF(F1149=7,IF(B1149&gt;=23,"C","Sin turno"),IF(B1149&lt;7,"C",IF(B1149&lt;14,"A",IF(B1149&lt;21,"B",IF(B1149&lt;23,"Entre turnos",IF(F1149=6,"Sin turno","C"))))))</f>
        <v>B</v>
      </c>
      <c r="H1149" s="25" t="n">
        <f aca="false">IF(D1149="","",MAX(0,D1149-0.5*C1149))</f>
        <v>0</v>
      </c>
    </row>
    <row r="1150" customFormat="false" ht="15" hidden="false" customHeight="false" outlineLevel="0" collapsed="false">
      <c r="A1150" s="21" t="n">
        <v>46268</v>
      </c>
      <c r="B1150" s="22" t="n">
        <v>20</v>
      </c>
      <c r="C1150" s="25" t="n">
        <v>184.44</v>
      </c>
      <c r="D1150" s="25" t="n">
        <v>14.76</v>
      </c>
      <c r="E1150" s="25" t="n">
        <v>0.48</v>
      </c>
      <c r="F1150" s="22" t="n">
        <f aca="false">WEEKDAY(A1150,2)</f>
        <v>4</v>
      </c>
      <c r="G1150" s="22" t="str">
        <f aca="false">IF(F1150=7,IF(B1150&gt;=23,"C","Sin turno"),IF(B1150&lt;7,"C",IF(B1150&lt;14,"A",IF(B1150&lt;21,"B",IF(B1150&lt;23,"Entre turnos",IF(F1150=6,"Sin turno","C"))))))</f>
        <v>B</v>
      </c>
      <c r="H1150" s="25" t="n">
        <f aca="false">IF(D1150="","",MAX(0,D1150-0.5*C1150))</f>
        <v>0</v>
      </c>
    </row>
    <row r="1151" customFormat="false" ht="15" hidden="false" customHeight="false" outlineLevel="0" collapsed="false">
      <c r="A1151" s="21" t="n">
        <v>46268</v>
      </c>
      <c r="B1151" s="22" t="n">
        <v>21</v>
      </c>
      <c r="C1151" s="25" t="n">
        <v>183.6</v>
      </c>
      <c r="D1151" s="25" t="n">
        <v>15.6</v>
      </c>
      <c r="E1151" s="25" t="n">
        <v>0.6</v>
      </c>
      <c r="F1151" s="22" t="n">
        <f aca="false">WEEKDAY(A1151,2)</f>
        <v>4</v>
      </c>
      <c r="G1151" s="22" t="str">
        <f aca="false">IF(F1151=7,IF(B1151&gt;=23,"C","Sin turno"),IF(B1151&lt;7,"C",IF(B1151&lt;14,"A",IF(B1151&lt;21,"B",IF(B1151&lt;23,"Entre turnos",IF(F1151=6,"Sin turno","C"))))))</f>
        <v>Entre turnos</v>
      </c>
      <c r="H1151" s="25" t="n">
        <f aca="false">IF(D1151="","",MAX(0,D1151-0.5*C1151))</f>
        <v>0</v>
      </c>
    </row>
    <row r="1152" customFormat="false" ht="15" hidden="false" customHeight="false" outlineLevel="0" collapsed="false">
      <c r="A1152" s="21" t="n">
        <v>46268</v>
      </c>
      <c r="B1152" s="22" t="n">
        <v>22</v>
      </c>
      <c r="C1152" s="25" t="n">
        <v>185.4</v>
      </c>
      <c r="D1152" s="25" t="n">
        <v>17.4</v>
      </c>
      <c r="E1152" s="25" t="n">
        <v>0.36</v>
      </c>
      <c r="F1152" s="22" t="n">
        <f aca="false">WEEKDAY(A1152,2)</f>
        <v>4</v>
      </c>
      <c r="G1152" s="22" t="str">
        <f aca="false">IF(F1152=7,IF(B1152&gt;=23,"C","Sin turno"),IF(B1152&lt;7,"C",IF(B1152&lt;14,"A",IF(B1152&lt;21,"B",IF(B1152&lt;23,"Entre turnos",IF(F1152=6,"Sin turno","C"))))))</f>
        <v>Entre turnos</v>
      </c>
      <c r="H1152" s="25" t="n">
        <f aca="false">IF(D1152="","",MAX(0,D1152-0.5*C1152))</f>
        <v>0</v>
      </c>
    </row>
    <row r="1153" customFormat="false" ht="15" hidden="false" customHeight="false" outlineLevel="0" collapsed="false">
      <c r="A1153" s="21" t="n">
        <v>46268</v>
      </c>
      <c r="B1153" s="22" t="n">
        <v>23</v>
      </c>
      <c r="C1153" s="25" t="n">
        <v>131.16</v>
      </c>
      <c r="D1153" s="25" t="n">
        <v>19.8</v>
      </c>
      <c r="E1153" s="25" t="n">
        <v>0.36</v>
      </c>
      <c r="F1153" s="22" t="n">
        <f aca="false">WEEKDAY(A1153,2)</f>
        <v>4</v>
      </c>
      <c r="G1153" s="22" t="str">
        <f aca="false">IF(F1153=7,IF(B1153&gt;=23,"C","Sin turno"),IF(B1153&lt;7,"C",IF(B1153&lt;14,"A",IF(B1153&lt;21,"B",IF(B1153&lt;23,"Entre turnos",IF(F1153=6,"Sin turno","C"))))))</f>
        <v>C</v>
      </c>
      <c r="H1153" s="25" t="n">
        <f aca="false">IF(D1153="","",MAX(0,D1153-0.5*C1153))</f>
        <v>0</v>
      </c>
    </row>
    <row r="1154" customFormat="false" ht="15" hidden="false" customHeight="false" outlineLevel="0" collapsed="false">
      <c r="A1154" s="21" t="n">
        <v>46269</v>
      </c>
      <c r="B1154" s="22" t="n">
        <v>0</v>
      </c>
      <c r="C1154" s="25" t="n">
        <v>114</v>
      </c>
      <c r="D1154" s="25" t="n">
        <v>20.04</v>
      </c>
      <c r="E1154" s="25" t="n">
        <v>0.24</v>
      </c>
      <c r="F1154" s="22" t="n">
        <f aca="false">WEEKDAY(A1154,2)</f>
        <v>5</v>
      </c>
      <c r="G1154" s="22" t="str">
        <f aca="false">IF(F1154=7,IF(B1154&gt;=23,"C","Sin turno"),IF(B1154&lt;7,"C",IF(B1154&lt;14,"A",IF(B1154&lt;21,"B",IF(B1154&lt;23,"Entre turnos",IF(F1154=6,"Sin turno","C"))))))</f>
        <v>C</v>
      </c>
      <c r="H1154" s="25" t="n">
        <f aca="false">IF(D1154="","",MAX(0,D1154-0.5*C1154))</f>
        <v>0</v>
      </c>
    </row>
    <row r="1155" customFormat="false" ht="15" hidden="false" customHeight="false" outlineLevel="0" collapsed="false">
      <c r="A1155" s="21" t="n">
        <v>46269</v>
      </c>
      <c r="B1155" s="22" t="n">
        <v>1</v>
      </c>
      <c r="C1155" s="25" t="n">
        <v>102.6</v>
      </c>
      <c r="D1155" s="25" t="n">
        <v>17.76</v>
      </c>
      <c r="E1155" s="25" t="n">
        <v>0.12</v>
      </c>
      <c r="F1155" s="22" t="n">
        <f aca="false">WEEKDAY(A1155,2)</f>
        <v>5</v>
      </c>
      <c r="G1155" s="22" t="str">
        <f aca="false">IF(F1155=7,IF(B1155&gt;=23,"C","Sin turno"),IF(B1155&lt;7,"C",IF(B1155&lt;14,"A",IF(B1155&lt;21,"B",IF(B1155&lt;23,"Entre turnos",IF(F1155=6,"Sin turno","C"))))))</f>
        <v>C</v>
      </c>
      <c r="H1155" s="25" t="n">
        <f aca="false">IF(D1155="","",MAX(0,D1155-0.5*C1155))</f>
        <v>0</v>
      </c>
    </row>
    <row r="1156" customFormat="false" ht="15" hidden="false" customHeight="false" outlineLevel="0" collapsed="false">
      <c r="A1156" s="21" t="n">
        <v>46269</v>
      </c>
      <c r="B1156" s="22" t="n">
        <v>2</v>
      </c>
      <c r="C1156" s="25" t="n">
        <v>104.52</v>
      </c>
      <c r="D1156" s="25" t="n">
        <v>18.6</v>
      </c>
      <c r="E1156" s="25" t="n">
        <v>0</v>
      </c>
      <c r="F1156" s="22" t="n">
        <f aca="false">WEEKDAY(A1156,2)</f>
        <v>5</v>
      </c>
      <c r="G1156" s="22" t="str">
        <f aca="false">IF(F1156=7,IF(B1156&gt;=23,"C","Sin turno"),IF(B1156&lt;7,"C",IF(B1156&lt;14,"A",IF(B1156&lt;21,"B",IF(B1156&lt;23,"Entre turnos",IF(F1156=6,"Sin turno","C"))))))</f>
        <v>C</v>
      </c>
      <c r="H1156" s="25" t="n">
        <f aca="false">IF(D1156="","",MAX(0,D1156-0.5*C1156))</f>
        <v>0</v>
      </c>
    </row>
    <row r="1157" customFormat="false" ht="15" hidden="false" customHeight="false" outlineLevel="0" collapsed="false">
      <c r="A1157" s="21" t="n">
        <v>46269</v>
      </c>
      <c r="B1157" s="22" t="n">
        <v>3</v>
      </c>
      <c r="C1157" s="25" t="n">
        <v>102.84</v>
      </c>
      <c r="D1157" s="25" t="n">
        <v>17.76</v>
      </c>
      <c r="E1157" s="25" t="n">
        <v>0.12</v>
      </c>
      <c r="F1157" s="22" t="n">
        <f aca="false">WEEKDAY(A1157,2)</f>
        <v>5</v>
      </c>
      <c r="G1157" s="22" t="str">
        <f aca="false">IF(F1157=7,IF(B1157&gt;=23,"C","Sin turno"),IF(B1157&lt;7,"C",IF(B1157&lt;14,"A",IF(B1157&lt;21,"B",IF(B1157&lt;23,"Entre turnos",IF(F1157=6,"Sin turno","C"))))))</f>
        <v>C</v>
      </c>
      <c r="H1157" s="25" t="n">
        <f aca="false">IF(D1157="","",MAX(0,D1157-0.5*C1157))</f>
        <v>0</v>
      </c>
    </row>
    <row r="1158" customFormat="false" ht="15" hidden="false" customHeight="false" outlineLevel="0" collapsed="false">
      <c r="A1158" s="21" t="n">
        <v>46269</v>
      </c>
      <c r="B1158" s="22" t="n">
        <v>4</v>
      </c>
      <c r="C1158" s="25" t="n">
        <v>100.56</v>
      </c>
      <c r="D1158" s="25" t="n">
        <v>17.04</v>
      </c>
      <c r="E1158" s="25" t="n">
        <v>0.12</v>
      </c>
      <c r="F1158" s="22" t="n">
        <f aca="false">WEEKDAY(A1158,2)</f>
        <v>5</v>
      </c>
      <c r="G1158" s="22" t="str">
        <f aca="false">IF(F1158=7,IF(B1158&gt;=23,"C","Sin turno"),IF(B1158&lt;7,"C",IF(B1158&lt;14,"A",IF(B1158&lt;21,"B",IF(B1158&lt;23,"Entre turnos",IF(F1158=6,"Sin turno","C"))))))</f>
        <v>C</v>
      </c>
      <c r="H1158" s="25" t="n">
        <f aca="false">IF(D1158="","",MAX(0,D1158-0.5*C1158))</f>
        <v>0</v>
      </c>
    </row>
    <row r="1159" customFormat="false" ht="15" hidden="false" customHeight="false" outlineLevel="0" collapsed="false">
      <c r="A1159" s="21" t="n">
        <v>46269</v>
      </c>
      <c r="B1159" s="22" t="n">
        <v>5</v>
      </c>
      <c r="C1159" s="25" t="n">
        <v>109.92</v>
      </c>
      <c r="D1159" s="25" t="n">
        <v>17.52</v>
      </c>
      <c r="E1159" s="25" t="n">
        <v>0.24</v>
      </c>
      <c r="F1159" s="22" t="n">
        <f aca="false">WEEKDAY(A1159,2)</f>
        <v>5</v>
      </c>
      <c r="G1159" s="22" t="str">
        <f aca="false">IF(F1159=7,IF(B1159&gt;=23,"C","Sin turno"),IF(B1159&lt;7,"C",IF(B1159&lt;14,"A",IF(B1159&lt;21,"B",IF(B1159&lt;23,"Entre turnos",IF(F1159=6,"Sin turno","C"))))))</f>
        <v>C</v>
      </c>
      <c r="H1159" s="25" t="n">
        <f aca="false">IF(D1159="","",MAX(0,D1159-0.5*C1159))</f>
        <v>0</v>
      </c>
    </row>
    <row r="1160" customFormat="false" ht="15" hidden="false" customHeight="false" outlineLevel="0" collapsed="false">
      <c r="A1160" s="21" t="n">
        <v>46269</v>
      </c>
      <c r="B1160" s="22" t="n">
        <v>6</v>
      </c>
      <c r="C1160" s="25" t="n">
        <v>117</v>
      </c>
      <c r="D1160" s="25" t="n">
        <v>19.44</v>
      </c>
      <c r="E1160" s="25" t="n">
        <v>0.24</v>
      </c>
      <c r="F1160" s="22" t="n">
        <f aca="false">WEEKDAY(A1160,2)</f>
        <v>5</v>
      </c>
      <c r="G1160" s="22" t="str">
        <f aca="false">IF(F1160=7,IF(B1160&gt;=23,"C","Sin turno"),IF(B1160&lt;7,"C",IF(B1160&lt;14,"A",IF(B1160&lt;21,"B",IF(B1160&lt;23,"Entre turnos",IF(F1160=6,"Sin turno","C"))))))</f>
        <v>C</v>
      </c>
      <c r="H1160" s="25" t="n">
        <f aca="false">IF(D1160="","",MAX(0,D1160-0.5*C1160))</f>
        <v>0</v>
      </c>
    </row>
    <row r="1161" customFormat="false" ht="15" hidden="false" customHeight="false" outlineLevel="0" collapsed="false">
      <c r="A1161" s="21" t="n">
        <v>46269</v>
      </c>
      <c r="B1161" s="22" t="n">
        <v>7</v>
      </c>
      <c r="C1161" s="25" t="n">
        <v>224.64</v>
      </c>
      <c r="D1161" s="25" t="n">
        <v>23.64</v>
      </c>
      <c r="E1161" s="25" t="n">
        <v>0.12</v>
      </c>
      <c r="F1161" s="22" t="n">
        <f aca="false">WEEKDAY(A1161,2)</f>
        <v>5</v>
      </c>
      <c r="G1161" s="22" t="str">
        <f aca="false">IF(F1161=7,IF(B1161&gt;=23,"C","Sin turno"),IF(B1161&lt;7,"C",IF(B1161&lt;14,"A",IF(B1161&lt;21,"B",IF(B1161&lt;23,"Entre turnos",IF(F1161=6,"Sin turno","C"))))))</f>
        <v>A</v>
      </c>
      <c r="H1161" s="25" t="n">
        <f aca="false">IF(D1161="","",MAX(0,D1161-0.5*C1161))</f>
        <v>0</v>
      </c>
    </row>
    <row r="1162" customFormat="false" ht="15" hidden="false" customHeight="false" outlineLevel="0" collapsed="false">
      <c r="A1162" s="21" t="n">
        <v>46269</v>
      </c>
      <c r="B1162" s="22" t="n">
        <v>8</v>
      </c>
      <c r="C1162" s="25" t="n">
        <v>265.92</v>
      </c>
      <c r="D1162" s="25" t="n">
        <v>24.48</v>
      </c>
      <c r="E1162" s="25" t="n">
        <v>0.12</v>
      </c>
      <c r="F1162" s="22" t="n">
        <f aca="false">WEEKDAY(A1162,2)</f>
        <v>5</v>
      </c>
      <c r="G1162" s="22" t="str">
        <f aca="false">IF(F1162=7,IF(B1162&gt;=23,"C","Sin turno"),IF(B1162&lt;7,"C",IF(B1162&lt;14,"A",IF(B1162&lt;21,"B",IF(B1162&lt;23,"Entre turnos",IF(F1162=6,"Sin turno","C"))))))</f>
        <v>A</v>
      </c>
      <c r="H1162" s="25" t="n">
        <f aca="false">IF(D1162="","",MAX(0,D1162-0.5*C1162))</f>
        <v>0</v>
      </c>
    </row>
    <row r="1163" customFormat="false" ht="15" hidden="false" customHeight="false" outlineLevel="0" collapsed="false">
      <c r="A1163" s="21" t="n">
        <v>46269</v>
      </c>
      <c r="B1163" s="22" t="n">
        <v>9</v>
      </c>
      <c r="C1163" s="25" t="n">
        <v>276.12</v>
      </c>
      <c r="D1163" s="25" t="n">
        <v>26.28</v>
      </c>
      <c r="E1163" s="25" t="n">
        <v>0.12</v>
      </c>
      <c r="F1163" s="22" t="n">
        <f aca="false">WEEKDAY(A1163,2)</f>
        <v>5</v>
      </c>
      <c r="G1163" s="22" t="str">
        <f aca="false">IF(F1163=7,IF(B1163&gt;=23,"C","Sin turno"),IF(B1163&lt;7,"C",IF(B1163&lt;14,"A",IF(B1163&lt;21,"B",IF(B1163&lt;23,"Entre turnos",IF(F1163=6,"Sin turno","C"))))))</f>
        <v>A</v>
      </c>
      <c r="H1163" s="25" t="n">
        <f aca="false">IF(D1163="","",MAX(0,D1163-0.5*C1163))</f>
        <v>0</v>
      </c>
    </row>
    <row r="1164" customFormat="false" ht="15" hidden="false" customHeight="false" outlineLevel="0" collapsed="false">
      <c r="A1164" s="21" t="n">
        <v>46269</v>
      </c>
      <c r="B1164" s="22" t="n">
        <v>10</v>
      </c>
      <c r="C1164" s="25" t="n">
        <v>286.56</v>
      </c>
      <c r="D1164" s="25" t="n">
        <v>27.6</v>
      </c>
      <c r="E1164" s="25" t="n">
        <v>0</v>
      </c>
      <c r="F1164" s="22" t="n">
        <f aca="false">WEEKDAY(A1164,2)</f>
        <v>5</v>
      </c>
      <c r="G1164" s="22" t="str">
        <f aca="false">IF(F1164=7,IF(B1164&gt;=23,"C","Sin turno"),IF(B1164&lt;7,"C",IF(B1164&lt;14,"A",IF(B1164&lt;21,"B",IF(B1164&lt;23,"Entre turnos",IF(F1164=6,"Sin turno","C"))))))</f>
        <v>A</v>
      </c>
      <c r="H1164" s="25" t="n">
        <f aca="false">IF(D1164="","",MAX(0,D1164-0.5*C1164))</f>
        <v>0</v>
      </c>
    </row>
    <row r="1165" customFormat="false" ht="15" hidden="false" customHeight="false" outlineLevel="0" collapsed="false">
      <c r="A1165" s="21" t="n">
        <v>46269</v>
      </c>
      <c r="B1165" s="22" t="n">
        <v>11</v>
      </c>
      <c r="C1165" s="25" t="n">
        <v>242.4</v>
      </c>
      <c r="D1165" s="25" t="n">
        <v>27.48</v>
      </c>
      <c r="E1165" s="25" t="n">
        <v>0</v>
      </c>
      <c r="F1165" s="22" t="n">
        <f aca="false">WEEKDAY(A1165,2)</f>
        <v>5</v>
      </c>
      <c r="G1165" s="22" t="str">
        <f aca="false">IF(F1165=7,IF(B1165&gt;=23,"C","Sin turno"),IF(B1165&lt;7,"C",IF(B1165&lt;14,"A",IF(B1165&lt;21,"B",IF(B1165&lt;23,"Entre turnos",IF(F1165=6,"Sin turno","C"))))))</f>
        <v>A</v>
      </c>
      <c r="H1165" s="25" t="n">
        <f aca="false">IF(D1165="","",MAX(0,D1165-0.5*C1165))</f>
        <v>0</v>
      </c>
    </row>
    <row r="1166" customFormat="false" ht="15" hidden="false" customHeight="false" outlineLevel="0" collapsed="false">
      <c r="A1166" s="21" t="n">
        <v>46269</v>
      </c>
      <c r="B1166" s="22" t="n">
        <v>12</v>
      </c>
      <c r="C1166" s="25" t="n">
        <v>271.8</v>
      </c>
      <c r="D1166" s="25" t="n">
        <v>26.16</v>
      </c>
      <c r="E1166" s="25" t="n">
        <v>0.12</v>
      </c>
      <c r="F1166" s="22" t="n">
        <f aca="false">WEEKDAY(A1166,2)</f>
        <v>5</v>
      </c>
      <c r="G1166" s="22" t="str">
        <f aca="false">IF(F1166=7,IF(B1166&gt;=23,"C","Sin turno"),IF(B1166&lt;7,"C",IF(B1166&lt;14,"A",IF(B1166&lt;21,"B",IF(B1166&lt;23,"Entre turnos",IF(F1166=6,"Sin turno","C"))))))</f>
        <v>A</v>
      </c>
      <c r="H1166" s="25" t="n">
        <f aca="false">IF(D1166="","",MAX(0,D1166-0.5*C1166))</f>
        <v>0</v>
      </c>
    </row>
    <row r="1167" customFormat="false" ht="15" hidden="false" customHeight="false" outlineLevel="0" collapsed="false">
      <c r="A1167" s="21" t="n">
        <v>46269</v>
      </c>
      <c r="B1167" s="22" t="n">
        <v>13</v>
      </c>
      <c r="C1167" s="25" t="n">
        <v>270.24</v>
      </c>
      <c r="D1167" s="25" t="n">
        <v>22.08</v>
      </c>
      <c r="E1167" s="25" t="n">
        <v>0.24</v>
      </c>
      <c r="F1167" s="22" t="n">
        <f aca="false">WEEKDAY(A1167,2)</f>
        <v>5</v>
      </c>
      <c r="G1167" s="22" t="str">
        <f aca="false">IF(F1167=7,IF(B1167&gt;=23,"C","Sin turno"),IF(B1167&lt;7,"C",IF(B1167&lt;14,"A",IF(B1167&lt;21,"B",IF(B1167&lt;23,"Entre turnos",IF(F1167=6,"Sin turno","C"))))))</f>
        <v>A</v>
      </c>
      <c r="H1167" s="25" t="n">
        <f aca="false">IF(D1167="","",MAX(0,D1167-0.5*C1167))</f>
        <v>0</v>
      </c>
    </row>
    <row r="1168" customFormat="false" ht="15" hidden="false" customHeight="false" outlineLevel="0" collapsed="false">
      <c r="A1168" s="21" t="n">
        <v>46269</v>
      </c>
      <c r="B1168" s="22" t="n">
        <v>14</v>
      </c>
      <c r="C1168" s="25" t="n">
        <v>270.6</v>
      </c>
      <c r="D1168" s="25" t="n">
        <v>26.04</v>
      </c>
      <c r="E1168" s="25" t="n">
        <v>0</v>
      </c>
      <c r="F1168" s="22" t="n">
        <f aca="false">WEEKDAY(A1168,2)</f>
        <v>5</v>
      </c>
      <c r="G1168" s="22" t="str">
        <f aca="false">IF(F1168=7,IF(B1168&gt;=23,"C","Sin turno"),IF(B1168&lt;7,"C",IF(B1168&lt;14,"A",IF(B1168&lt;21,"B",IF(B1168&lt;23,"Entre turnos",IF(F1168=6,"Sin turno","C"))))))</f>
        <v>B</v>
      </c>
      <c r="H1168" s="25" t="n">
        <f aca="false">IF(D1168="","",MAX(0,D1168-0.5*C1168))</f>
        <v>0</v>
      </c>
    </row>
    <row r="1169" customFormat="false" ht="15" hidden="false" customHeight="false" outlineLevel="0" collapsed="false">
      <c r="A1169" s="21" t="n">
        <v>46269</v>
      </c>
      <c r="B1169" s="22" t="n">
        <v>15</v>
      </c>
      <c r="C1169" s="25" t="n">
        <v>253.32</v>
      </c>
      <c r="D1169" s="25" t="n">
        <v>25.32</v>
      </c>
      <c r="E1169" s="25" t="n">
        <v>0</v>
      </c>
      <c r="F1169" s="22" t="n">
        <f aca="false">WEEKDAY(A1169,2)</f>
        <v>5</v>
      </c>
      <c r="G1169" s="22" t="str">
        <f aca="false">IF(F1169=7,IF(B1169&gt;=23,"C","Sin turno"),IF(B1169&lt;7,"C",IF(B1169&lt;14,"A",IF(B1169&lt;21,"B",IF(B1169&lt;23,"Entre turnos",IF(F1169=6,"Sin turno","C"))))))</f>
        <v>B</v>
      </c>
      <c r="H1169" s="25" t="n">
        <f aca="false">IF(D1169="","",MAX(0,D1169-0.5*C1169))</f>
        <v>0</v>
      </c>
    </row>
    <row r="1170" customFormat="false" ht="15" hidden="false" customHeight="false" outlineLevel="0" collapsed="false">
      <c r="A1170" s="21" t="n">
        <v>46269</v>
      </c>
      <c r="B1170" s="22" t="n">
        <v>16</v>
      </c>
      <c r="C1170" s="25" t="n">
        <v>267.96</v>
      </c>
      <c r="D1170" s="25" t="n">
        <v>26.4</v>
      </c>
      <c r="E1170" s="25" t="n">
        <v>0</v>
      </c>
      <c r="F1170" s="22" t="n">
        <f aca="false">WEEKDAY(A1170,2)</f>
        <v>5</v>
      </c>
      <c r="G1170" s="22" t="str">
        <f aca="false">IF(F1170=7,IF(B1170&gt;=23,"C","Sin turno"),IF(B1170&lt;7,"C",IF(B1170&lt;14,"A",IF(B1170&lt;21,"B",IF(B1170&lt;23,"Entre turnos",IF(F1170=6,"Sin turno","C"))))))</f>
        <v>B</v>
      </c>
      <c r="H1170" s="25" t="n">
        <f aca="false">IF(D1170="","",MAX(0,D1170-0.5*C1170))</f>
        <v>0</v>
      </c>
    </row>
    <row r="1171" customFormat="false" ht="15" hidden="false" customHeight="false" outlineLevel="0" collapsed="false">
      <c r="A1171" s="21" t="n">
        <v>46269</v>
      </c>
      <c r="B1171" s="22" t="n">
        <v>17</v>
      </c>
      <c r="C1171" s="25" t="n">
        <v>231.48</v>
      </c>
      <c r="D1171" s="25" t="n">
        <v>20.52</v>
      </c>
      <c r="E1171" s="25" t="n">
        <v>0.36</v>
      </c>
      <c r="F1171" s="22" t="n">
        <f aca="false">WEEKDAY(A1171,2)</f>
        <v>5</v>
      </c>
      <c r="G1171" s="22" t="str">
        <f aca="false">IF(F1171=7,IF(B1171&gt;=23,"C","Sin turno"),IF(B1171&lt;7,"C",IF(B1171&lt;14,"A",IF(B1171&lt;21,"B",IF(B1171&lt;23,"Entre turnos",IF(F1171=6,"Sin turno","C"))))))</f>
        <v>B</v>
      </c>
      <c r="H1171" s="25" t="n">
        <f aca="false">IF(D1171="","",MAX(0,D1171-0.5*C1171))</f>
        <v>0</v>
      </c>
    </row>
    <row r="1172" customFormat="false" ht="15" hidden="false" customHeight="false" outlineLevel="0" collapsed="false">
      <c r="A1172" s="21" t="n">
        <v>46269</v>
      </c>
      <c r="B1172" s="22" t="n">
        <v>18</v>
      </c>
      <c r="C1172" s="25" t="n">
        <v>224.16</v>
      </c>
      <c r="D1172" s="25" t="n">
        <v>21.36</v>
      </c>
      <c r="E1172" s="25" t="n">
        <v>0.12</v>
      </c>
      <c r="F1172" s="22" t="n">
        <f aca="false">WEEKDAY(A1172,2)</f>
        <v>5</v>
      </c>
      <c r="G1172" s="22" t="str">
        <f aca="false">IF(F1172=7,IF(B1172&gt;=23,"C","Sin turno"),IF(B1172&lt;7,"C",IF(B1172&lt;14,"A",IF(B1172&lt;21,"B",IF(B1172&lt;23,"Entre turnos",IF(F1172=6,"Sin turno","C"))))))</f>
        <v>B</v>
      </c>
      <c r="H1172" s="25" t="n">
        <f aca="false">IF(D1172="","",MAX(0,D1172-0.5*C1172))</f>
        <v>0</v>
      </c>
    </row>
    <row r="1173" customFormat="false" ht="15" hidden="false" customHeight="false" outlineLevel="0" collapsed="false">
      <c r="A1173" s="21" t="n">
        <v>46269</v>
      </c>
      <c r="B1173" s="22" t="n">
        <v>19</v>
      </c>
      <c r="C1173" s="25" t="n">
        <v>182.28</v>
      </c>
      <c r="D1173" s="25" t="n">
        <v>23.16</v>
      </c>
      <c r="E1173" s="25" t="n">
        <v>0.12</v>
      </c>
      <c r="F1173" s="22" t="n">
        <f aca="false">WEEKDAY(A1173,2)</f>
        <v>5</v>
      </c>
      <c r="G1173" s="22" t="str">
        <f aca="false">IF(F1173=7,IF(B1173&gt;=23,"C","Sin turno"),IF(B1173&lt;7,"C",IF(B1173&lt;14,"A",IF(B1173&lt;21,"B",IF(B1173&lt;23,"Entre turnos",IF(F1173=6,"Sin turno","C"))))))</f>
        <v>B</v>
      </c>
      <c r="H1173" s="25" t="n">
        <f aca="false">IF(D1173="","",MAX(0,D1173-0.5*C1173))</f>
        <v>0</v>
      </c>
    </row>
    <row r="1174" customFormat="false" ht="15" hidden="false" customHeight="false" outlineLevel="0" collapsed="false">
      <c r="A1174" s="21" t="n">
        <v>46269</v>
      </c>
      <c r="B1174" s="22" t="n">
        <v>20</v>
      </c>
      <c r="C1174" s="25" t="n">
        <v>210.24</v>
      </c>
      <c r="D1174" s="25" t="n">
        <v>20.04</v>
      </c>
      <c r="E1174" s="25" t="n">
        <v>0.36</v>
      </c>
      <c r="F1174" s="22" t="n">
        <f aca="false">WEEKDAY(A1174,2)</f>
        <v>5</v>
      </c>
      <c r="G1174" s="22" t="str">
        <f aca="false">IF(F1174=7,IF(B1174&gt;=23,"C","Sin turno"),IF(B1174&lt;7,"C",IF(B1174&lt;14,"A",IF(B1174&lt;21,"B",IF(B1174&lt;23,"Entre turnos",IF(F1174=6,"Sin turno","C"))))))</f>
        <v>B</v>
      </c>
      <c r="H1174" s="25" t="n">
        <f aca="false">IF(D1174="","",MAX(0,D1174-0.5*C1174))</f>
        <v>0</v>
      </c>
    </row>
    <row r="1175" customFormat="false" ht="15" hidden="false" customHeight="false" outlineLevel="0" collapsed="false">
      <c r="A1175" s="21" t="n">
        <v>46269</v>
      </c>
      <c r="B1175" s="22" t="n">
        <v>21</v>
      </c>
      <c r="C1175" s="25" t="n">
        <v>197.4</v>
      </c>
      <c r="D1175" s="25" t="n">
        <v>17.64</v>
      </c>
      <c r="E1175" s="25" t="n">
        <v>0.24</v>
      </c>
      <c r="F1175" s="22" t="n">
        <f aca="false">WEEKDAY(A1175,2)</f>
        <v>5</v>
      </c>
      <c r="G1175" s="22" t="str">
        <f aca="false">IF(F1175=7,IF(B1175&gt;=23,"C","Sin turno"),IF(B1175&lt;7,"C",IF(B1175&lt;14,"A",IF(B1175&lt;21,"B",IF(B1175&lt;23,"Entre turnos",IF(F1175=6,"Sin turno","C"))))))</f>
        <v>Entre turnos</v>
      </c>
      <c r="H1175" s="25" t="n">
        <f aca="false">IF(D1175="","",MAX(0,D1175-0.5*C1175))</f>
        <v>0</v>
      </c>
    </row>
    <row r="1176" customFormat="false" ht="15" hidden="false" customHeight="false" outlineLevel="0" collapsed="false">
      <c r="A1176" s="21" t="n">
        <v>46269</v>
      </c>
      <c r="B1176" s="22" t="n">
        <v>22</v>
      </c>
      <c r="C1176" s="25" t="n">
        <v>177.84</v>
      </c>
      <c r="D1176" s="25" t="n">
        <v>23.76</v>
      </c>
      <c r="E1176" s="25" t="n">
        <v>0.12</v>
      </c>
      <c r="F1176" s="22" t="n">
        <f aca="false">WEEKDAY(A1176,2)</f>
        <v>5</v>
      </c>
      <c r="G1176" s="22" t="str">
        <f aca="false">IF(F1176=7,IF(B1176&gt;=23,"C","Sin turno"),IF(B1176&lt;7,"C",IF(B1176&lt;14,"A",IF(B1176&lt;21,"B",IF(B1176&lt;23,"Entre turnos",IF(F1176=6,"Sin turno","C"))))))</f>
        <v>Entre turnos</v>
      </c>
      <c r="H1176" s="25" t="n">
        <f aca="false">IF(D1176="","",MAX(0,D1176-0.5*C1176))</f>
        <v>0</v>
      </c>
    </row>
    <row r="1177" customFormat="false" ht="15" hidden="false" customHeight="false" outlineLevel="0" collapsed="false">
      <c r="A1177" s="21" t="n">
        <v>46269</v>
      </c>
      <c r="B1177" s="22" t="n">
        <v>23</v>
      </c>
      <c r="C1177" s="25" t="n">
        <v>70.56</v>
      </c>
      <c r="D1177" s="25" t="n">
        <v>22.2</v>
      </c>
      <c r="E1177" s="25" t="n">
        <v>0</v>
      </c>
      <c r="F1177" s="22" t="n">
        <f aca="false">WEEKDAY(A1177,2)</f>
        <v>5</v>
      </c>
      <c r="G1177" s="22" t="str">
        <f aca="false">IF(F1177=7,IF(B1177&gt;=23,"C","Sin turno"),IF(B1177&lt;7,"C",IF(B1177&lt;14,"A",IF(B1177&lt;21,"B",IF(B1177&lt;23,"Entre turnos",IF(F1177=6,"Sin turno","C"))))))</f>
        <v>C</v>
      </c>
      <c r="H1177" s="25" t="n">
        <f aca="false">IF(D1177="","",MAX(0,D1177-0.5*C1177))</f>
        <v>0</v>
      </c>
    </row>
    <row r="1178" customFormat="false" ht="15" hidden="false" customHeight="false" outlineLevel="0" collapsed="false">
      <c r="A1178" s="21" t="n">
        <v>46270</v>
      </c>
      <c r="B1178" s="22" t="n">
        <v>0</v>
      </c>
      <c r="C1178" s="25" t="n">
        <v>42.48</v>
      </c>
      <c r="D1178" s="25" t="n">
        <v>22.08</v>
      </c>
      <c r="E1178" s="25" t="n">
        <v>0</v>
      </c>
      <c r="F1178" s="22" t="n">
        <f aca="false">WEEKDAY(A1178,2)</f>
        <v>6</v>
      </c>
      <c r="G1178" s="22" t="str">
        <f aca="false">IF(F1178=7,IF(B1178&gt;=23,"C","Sin turno"),IF(B1178&lt;7,"C",IF(B1178&lt;14,"A",IF(B1178&lt;21,"B",IF(B1178&lt;23,"Entre turnos",IF(F1178=6,"Sin turno","C"))))))</f>
        <v>C</v>
      </c>
      <c r="H1178" s="25" t="n">
        <f aca="false">IF(D1178="","",MAX(0,D1178-0.5*C1178))</f>
        <v>0.84</v>
      </c>
    </row>
    <row r="1179" customFormat="false" ht="15" hidden="false" customHeight="false" outlineLevel="0" collapsed="false">
      <c r="A1179" s="21" t="n">
        <v>46270</v>
      </c>
      <c r="B1179" s="22" t="n">
        <v>1</v>
      </c>
      <c r="C1179" s="25" t="n">
        <v>41.16</v>
      </c>
      <c r="D1179" s="25" t="n">
        <v>21.72</v>
      </c>
      <c r="E1179" s="25" t="n">
        <v>0</v>
      </c>
      <c r="F1179" s="22" t="n">
        <f aca="false">WEEKDAY(A1179,2)</f>
        <v>6</v>
      </c>
      <c r="G1179" s="22" t="str">
        <f aca="false">IF(F1179=7,IF(B1179&gt;=23,"C","Sin turno"),IF(B1179&lt;7,"C",IF(B1179&lt;14,"A",IF(B1179&lt;21,"B",IF(B1179&lt;23,"Entre turnos",IF(F1179=6,"Sin turno","C"))))))</f>
        <v>C</v>
      </c>
      <c r="H1179" s="25" t="n">
        <f aca="false">IF(D1179="","",MAX(0,D1179-0.5*C1179))</f>
        <v>1.14</v>
      </c>
    </row>
    <row r="1180" customFormat="false" ht="15" hidden="false" customHeight="false" outlineLevel="0" collapsed="false">
      <c r="A1180" s="21" t="n">
        <v>46270</v>
      </c>
      <c r="B1180" s="22" t="n">
        <v>2</v>
      </c>
      <c r="C1180" s="25" t="n">
        <v>41.64</v>
      </c>
      <c r="D1180" s="25" t="n">
        <v>22.2</v>
      </c>
      <c r="E1180" s="25" t="n">
        <v>0</v>
      </c>
      <c r="F1180" s="22" t="n">
        <f aca="false">WEEKDAY(A1180,2)</f>
        <v>6</v>
      </c>
      <c r="G1180" s="22" t="str">
        <f aca="false">IF(F1180=7,IF(B1180&gt;=23,"C","Sin turno"),IF(B1180&lt;7,"C",IF(B1180&lt;14,"A",IF(B1180&lt;21,"B",IF(B1180&lt;23,"Entre turnos",IF(F1180=6,"Sin turno","C"))))))</f>
        <v>C</v>
      </c>
      <c r="H1180" s="25" t="n">
        <f aca="false">IF(D1180="","",MAX(0,D1180-0.5*C1180))</f>
        <v>1.38</v>
      </c>
    </row>
    <row r="1181" customFormat="false" ht="15" hidden="false" customHeight="false" outlineLevel="0" collapsed="false">
      <c r="A1181" s="21" t="n">
        <v>46270</v>
      </c>
      <c r="B1181" s="22" t="n">
        <v>3</v>
      </c>
      <c r="C1181" s="25" t="n">
        <v>40.44</v>
      </c>
      <c r="D1181" s="25" t="n">
        <v>21.96</v>
      </c>
      <c r="E1181" s="25" t="n">
        <v>0</v>
      </c>
      <c r="F1181" s="22" t="n">
        <f aca="false">WEEKDAY(A1181,2)</f>
        <v>6</v>
      </c>
      <c r="G1181" s="22" t="str">
        <f aca="false">IF(F1181=7,IF(B1181&gt;=23,"C","Sin turno"),IF(B1181&lt;7,"C",IF(B1181&lt;14,"A",IF(B1181&lt;21,"B",IF(B1181&lt;23,"Entre turnos",IF(F1181=6,"Sin turno","C"))))))</f>
        <v>C</v>
      </c>
      <c r="H1181" s="25" t="n">
        <f aca="false">IF(D1181="","",MAX(0,D1181-0.5*C1181))</f>
        <v>1.74</v>
      </c>
    </row>
    <row r="1182" customFormat="false" ht="15" hidden="false" customHeight="false" outlineLevel="0" collapsed="false">
      <c r="A1182" s="21" t="n">
        <v>46270</v>
      </c>
      <c r="B1182" s="22" t="n">
        <v>4</v>
      </c>
      <c r="C1182" s="25" t="n">
        <v>39.84</v>
      </c>
      <c r="D1182" s="25" t="n">
        <v>21.6</v>
      </c>
      <c r="E1182" s="25" t="n">
        <v>0</v>
      </c>
      <c r="F1182" s="22" t="n">
        <f aca="false">WEEKDAY(A1182,2)</f>
        <v>6</v>
      </c>
      <c r="G1182" s="22" t="str">
        <f aca="false">IF(F1182=7,IF(B1182&gt;=23,"C","Sin turno"),IF(B1182&lt;7,"C",IF(B1182&lt;14,"A",IF(B1182&lt;21,"B",IF(B1182&lt;23,"Entre turnos",IF(F1182=6,"Sin turno","C"))))))</f>
        <v>C</v>
      </c>
      <c r="H1182" s="25" t="n">
        <f aca="false">IF(D1182="","",MAX(0,D1182-0.5*C1182))</f>
        <v>1.68</v>
      </c>
    </row>
    <row r="1183" customFormat="false" ht="15" hidden="false" customHeight="false" outlineLevel="0" collapsed="false">
      <c r="A1183" s="21" t="n">
        <v>46270</v>
      </c>
      <c r="B1183" s="22" t="n">
        <v>5</v>
      </c>
      <c r="C1183" s="25" t="n">
        <v>41.76</v>
      </c>
      <c r="D1183" s="25" t="n">
        <v>21.96</v>
      </c>
      <c r="E1183" s="25" t="n">
        <v>0</v>
      </c>
      <c r="F1183" s="22" t="n">
        <f aca="false">WEEKDAY(A1183,2)</f>
        <v>6</v>
      </c>
      <c r="G1183" s="22" t="str">
        <f aca="false">IF(F1183=7,IF(B1183&gt;=23,"C","Sin turno"),IF(B1183&lt;7,"C",IF(B1183&lt;14,"A",IF(B1183&lt;21,"B",IF(B1183&lt;23,"Entre turnos",IF(F1183=6,"Sin turno","C"))))))</f>
        <v>C</v>
      </c>
      <c r="H1183" s="25" t="n">
        <f aca="false">IF(D1183="","",MAX(0,D1183-0.5*C1183))</f>
        <v>1.08</v>
      </c>
    </row>
    <row r="1184" customFormat="false" ht="15" hidden="false" customHeight="false" outlineLevel="0" collapsed="false">
      <c r="A1184" s="21" t="n">
        <v>46270</v>
      </c>
      <c r="B1184" s="22" t="n">
        <v>6</v>
      </c>
      <c r="C1184" s="25" t="n">
        <v>45.48</v>
      </c>
      <c r="D1184" s="25" t="n">
        <v>21.48</v>
      </c>
      <c r="E1184" s="25" t="n">
        <v>0</v>
      </c>
      <c r="F1184" s="22" t="n">
        <f aca="false">WEEKDAY(A1184,2)</f>
        <v>6</v>
      </c>
      <c r="G1184" s="22" t="str">
        <f aca="false">IF(F1184=7,IF(B1184&gt;=23,"C","Sin turno"),IF(B1184&lt;7,"C",IF(B1184&lt;14,"A",IF(B1184&lt;21,"B",IF(B1184&lt;23,"Entre turnos",IF(F1184=6,"Sin turno","C"))))))</f>
        <v>C</v>
      </c>
      <c r="H1184" s="25" t="n">
        <f aca="false">IF(D1184="","",MAX(0,D1184-0.5*C1184))</f>
        <v>0</v>
      </c>
    </row>
    <row r="1185" customFormat="false" ht="15" hidden="false" customHeight="false" outlineLevel="0" collapsed="false">
      <c r="A1185" s="21" t="n">
        <v>46270</v>
      </c>
      <c r="B1185" s="22" t="n">
        <v>7</v>
      </c>
      <c r="C1185" s="25" t="n">
        <v>99.96</v>
      </c>
      <c r="D1185" s="25" t="n">
        <v>18.72</v>
      </c>
      <c r="E1185" s="25" t="n">
        <v>0.96</v>
      </c>
      <c r="F1185" s="22" t="n">
        <f aca="false">WEEKDAY(A1185,2)</f>
        <v>6</v>
      </c>
      <c r="G1185" s="22" t="str">
        <f aca="false">IF(F1185=7,IF(B1185&gt;=23,"C","Sin turno"),IF(B1185&lt;7,"C",IF(B1185&lt;14,"A",IF(B1185&lt;21,"B",IF(B1185&lt;23,"Entre turnos",IF(F1185=6,"Sin turno","C"))))))</f>
        <v>A</v>
      </c>
      <c r="H1185" s="25" t="n">
        <f aca="false">IF(D1185="","",MAX(0,D1185-0.5*C1185))</f>
        <v>0</v>
      </c>
    </row>
    <row r="1186" customFormat="false" ht="15" hidden="false" customHeight="false" outlineLevel="0" collapsed="false">
      <c r="A1186" s="21" t="n">
        <v>46270</v>
      </c>
      <c r="B1186" s="22" t="n">
        <v>8</v>
      </c>
      <c r="C1186" s="25" t="n">
        <v>96</v>
      </c>
      <c r="D1186" s="25" t="n">
        <v>9.96</v>
      </c>
      <c r="E1186" s="25" t="n">
        <v>1.56</v>
      </c>
      <c r="F1186" s="22" t="n">
        <f aca="false">WEEKDAY(A1186,2)</f>
        <v>6</v>
      </c>
      <c r="G1186" s="22" t="str">
        <f aca="false">IF(F1186=7,IF(B1186&gt;=23,"C","Sin turno"),IF(B1186&lt;7,"C",IF(B1186&lt;14,"A",IF(B1186&lt;21,"B",IF(B1186&lt;23,"Entre turnos",IF(F1186=6,"Sin turno","C"))))))</f>
        <v>A</v>
      </c>
      <c r="H1186" s="25" t="n">
        <f aca="false">IF(D1186="","",MAX(0,D1186-0.5*C1186))</f>
        <v>0</v>
      </c>
    </row>
    <row r="1187" customFormat="false" ht="15" hidden="false" customHeight="false" outlineLevel="0" collapsed="false">
      <c r="A1187" s="21" t="n">
        <v>46270</v>
      </c>
      <c r="B1187" s="22" t="n">
        <v>9</v>
      </c>
      <c r="C1187" s="25" t="n">
        <v>104.52</v>
      </c>
      <c r="D1187" s="25" t="n">
        <v>17.64</v>
      </c>
      <c r="E1187" s="25" t="n">
        <v>1.2</v>
      </c>
      <c r="F1187" s="22" t="n">
        <f aca="false">WEEKDAY(A1187,2)</f>
        <v>6</v>
      </c>
      <c r="G1187" s="22" t="str">
        <f aca="false">IF(F1187=7,IF(B1187&gt;=23,"C","Sin turno"),IF(B1187&lt;7,"C",IF(B1187&lt;14,"A",IF(B1187&lt;21,"B",IF(B1187&lt;23,"Entre turnos",IF(F1187=6,"Sin turno","C"))))))</f>
        <v>A</v>
      </c>
      <c r="H1187" s="25" t="n">
        <f aca="false">IF(D1187="","",MAX(0,D1187-0.5*C1187))</f>
        <v>0</v>
      </c>
    </row>
    <row r="1188" customFormat="false" ht="15" hidden="false" customHeight="false" outlineLevel="0" collapsed="false">
      <c r="A1188" s="21" t="n">
        <v>46270</v>
      </c>
      <c r="B1188" s="22" t="n">
        <v>10</v>
      </c>
      <c r="C1188" s="25" t="n">
        <v>101.88</v>
      </c>
      <c r="D1188" s="25" t="n">
        <v>24</v>
      </c>
      <c r="E1188" s="25" t="n">
        <v>0.72</v>
      </c>
      <c r="F1188" s="22" t="n">
        <f aca="false">WEEKDAY(A1188,2)</f>
        <v>6</v>
      </c>
      <c r="G1188" s="22" t="str">
        <f aca="false">IF(F1188=7,IF(B1188&gt;=23,"C","Sin turno"),IF(B1188&lt;7,"C",IF(B1188&lt;14,"A",IF(B1188&lt;21,"B",IF(B1188&lt;23,"Entre turnos",IF(F1188=6,"Sin turno","C"))))))</f>
        <v>A</v>
      </c>
      <c r="H1188" s="25" t="n">
        <f aca="false">IF(D1188="","",MAX(0,D1188-0.5*C1188))</f>
        <v>0</v>
      </c>
    </row>
    <row r="1189" customFormat="false" ht="15" hidden="false" customHeight="false" outlineLevel="0" collapsed="false">
      <c r="A1189" s="21" t="n">
        <v>46270</v>
      </c>
      <c r="B1189" s="22" t="n">
        <v>11</v>
      </c>
      <c r="C1189" s="25" t="n">
        <v>76.92</v>
      </c>
      <c r="D1189" s="25" t="n">
        <v>24.24</v>
      </c>
      <c r="E1189" s="25" t="n">
        <v>0</v>
      </c>
      <c r="F1189" s="22" t="n">
        <f aca="false">WEEKDAY(A1189,2)</f>
        <v>6</v>
      </c>
      <c r="G1189" s="22" t="str">
        <f aca="false">IF(F1189=7,IF(B1189&gt;=23,"C","Sin turno"),IF(B1189&lt;7,"C",IF(B1189&lt;14,"A",IF(B1189&lt;21,"B",IF(B1189&lt;23,"Entre turnos",IF(F1189=6,"Sin turno","C"))))))</f>
        <v>A</v>
      </c>
      <c r="H1189" s="25" t="n">
        <f aca="false">IF(D1189="","",MAX(0,D1189-0.5*C1189))</f>
        <v>0</v>
      </c>
    </row>
    <row r="1190" customFormat="false" ht="15" hidden="false" customHeight="false" outlineLevel="0" collapsed="false">
      <c r="A1190" s="21" t="n">
        <v>46270</v>
      </c>
      <c r="B1190" s="22" t="n">
        <v>12</v>
      </c>
      <c r="C1190" s="25" t="n">
        <v>60.24</v>
      </c>
      <c r="D1190" s="25" t="n">
        <v>17.88</v>
      </c>
      <c r="E1190" s="25" t="n">
        <v>0</v>
      </c>
      <c r="F1190" s="22" t="n">
        <f aca="false">WEEKDAY(A1190,2)</f>
        <v>6</v>
      </c>
      <c r="G1190" s="22" t="str">
        <f aca="false">IF(F1190=7,IF(B1190&gt;=23,"C","Sin turno"),IF(B1190&lt;7,"C",IF(B1190&lt;14,"A",IF(B1190&lt;21,"B",IF(B1190&lt;23,"Entre turnos",IF(F1190=6,"Sin turno","C"))))))</f>
        <v>A</v>
      </c>
      <c r="H1190" s="25" t="n">
        <f aca="false">IF(D1190="","",MAX(0,D1190-0.5*C1190))</f>
        <v>0</v>
      </c>
    </row>
    <row r="1191" customFormat="false" ht="15" hidden="false" customHeight="false" outlineLevel="0" collapsed="false">
      <c r="A1191" s="21" t="n">
        <v>46270</v>
      </c>
      <c r="B1191" s="22" t="n">
        <v>13</v>
      </c>
      <c r="C1191" s="25" t="n">
        <v>66.6</v>
      </c>
      <c r="D1191" s="25" t="n">
        <v>18.96</v>
      </c>
      <c r="E1191" s="25" t="n">
        <v>0.12</v>
      </c>
      <c r="F1191" s="22" t="n">
        <f aca="false">WEEKDAY(A1191,2)</f>
        <v>6</v>
      </c>
      <c r="G1191" s="22" t="str">
        <f aca="false">IF(F1191=7,IF(B1191&gt;=23,"C","Sin turno"),IF(B1191&lt;7,"C",IF(B1191&lt;14,"A",IF(B1191&lt;21,"B",IF(B1191&lt;23,"Entre turnos",IF(F1191=6,"Sin turno","C"))))))</f>
        <v>A</v>
      </c>
      <c r="H1191" s="25" t="n">
        <f aca="false">IF(D1191="","",MAX(0,D1191-0.5*C1191))</f>
        <v>0</v>
      </c>
    </row>
    <row r="1192" customFormat="false" ht="15" hidden="false" customHeight="false" outlineLevel="0" collapsed="false">
      <c r="A1192" s="21" t="n">
        <v>46270</v>
      </c>
      <c r="B1192" s="22" t="n">
        <v>14</v>
      </c>
      <c r="C1192" s="25" t="n">
        <v>80.16</v>
      </c>
      <c r="D1192" s="25" t="n">
        <v>24</v>
      </c>
      <c r="E1192" s="25" t="n">
        <v>0</v>
      </c>
      <c r="F1192" s="22" t="n">
        <f aca="false">WEEKDAY(A1192,2)</f>
        <v>6</v>
      </c>
      <c r="G1192" s="22" t="str">
        <f aca="false">IF(F1192=7,IF(B1192&gt;=23,"C","Sin turno"),IF(B1192&lt;7,"C",IF(B1192&lt;14,"A",IF(B1192&lt;21,"B",IF(B1192&lt;23,"Entre turnos",IF(F1192=6,"Sin turno","C"))))))</f>
        <v>B</v>
      </c>
      <c r="H1192" s="25" t="n">
        <f aca="false">IF(D1192="","",MAX(0,D1192-0.5*C1192))</f>
        <v>0</v>
      </c>
    </row>
    <row r="1193" customFormat="false" ht="15" hidden="false" customHeight="false" outlineLevel="0" collapsed="false">
      <c r="A1193" s="21" t="n">
        <v>46270</v>
      </c>
      <c r="B1193" s="22" t="n">
        <v>15</v>
      </c>
      <c r="C1193" s="25" t="n">
        <v>66.84</v>
      </c>
      <c r="D1193" s="25" t="n">
        <v>21.84</v>
      </c>
      <c r="E1193" s="25" t="n">
        <v>0</v>
      </c>
      <c r="F1193" s="22" t="n">
        <f aca="false">WEEKDAY(A1193,2)</f>
        <v>6</v>
      </c>
      <c r="G1193" s="22" t="str">
        <f aca="false">IF(F1193=7,IF(B1193&gt;=23,"C","Sin turno"),IF(B1193&lt;7,"C",IF(B1193&lt;14,"A",IF(B1193&lt;21,"B",IF(B1193&lt;23,"Entre turnos",IF(F1193=6,"Sin turno","C"))))))</f>
        <v>B</v>
      </c>
      <c r="H1193" s="25" t="n">
        <f aca="false">IF(D1193="","",MAX(0,D1193-0.5*C1193))</f>
        <v>0</v>
      </c>
    </row>
    <row r="1194" customFormat="false" ht="15" hidden="false" customHeight="false" outlineLevel="0" collapsed="false">
      <c r="A1194" s="21" t="n">
        <v>46270</v>
      </c>
      <c r="B1194" s="22" t="n">
        <v>16</v>
      </c>
      <c r="C1194" s="25" t="n">
        <v>55.08</v>
      </c>
      <c r="D1194" s="25" t="n">
        <v>18.96</v>
      </c>
      <c r="E1194" s="25" t="n">
        <v>0</v>
      </c>
      <c r="F1194" s="22" t="n">
        <f aca="false">WEEKDAY(A1194,2)</f>
        <v>6</v>
      </c>
      <c r="G1194" s="22" t="str">
        <f aca="false">IF(F1194=7,IF(B1194&gt;=23,"C","Sin turno"),IF(B1194&lt;7,"C",IF(B1194&lt;14,"A",IF(B1194&lt;21,"B",IF(B1194&lt;23,"Entre turnos",IF(F1194=6,"Sin turno","C"))))))</f>
        <v>B</v>
      </c>
      <c r="H1194" s="25" t="n">
        <f aca="false">IF(D1194="","",MAX(0,D1194-0.5*C1194))</f>
        <v>0</v>
      </c>
    </row>
    <row r="1195" customFormat="false" ht="15" hidden="false" customHeight="false" outlineLevel="0" collapsed="false">
      <c r="A1195" s="21" t="n">
        <v>46270</v>
      </c>
      <c r="B1195" s="22" t="n">
        <v>17</v>
      </c>
      <c r="C1195" s="25" t="n">
        <v>47.76</v>
      </c>
      <c r="D1195" s="25" t="n">
        <v>17.4</v>
      </c>
      <c r="E1195" s="25" t="n">
        <v>0</v>
      </c>
      <c r="F1195" s="22" t="n">
        <f aca="false">WEEKDAY(A1195,2)</f>
        <v>6</v>
      </c>
      <c r="G1195" s="22" t="str">
        <f aca="false">IF(F1195=7,IF(B1195&gt;=23,"C","Sin turno"),IF(B1195&lt;7,"C",IF(B1195&lt;14,"A",IF(B1195&lt;21,"B",IF(B1195&lt;23,"Entre turnos",IF(F1195=6,"Sin turno","C"))))))</f>
        <v>B</v>
      </c>
      <c r="H1195" s="25" t="n">
        <f aca="false">IF(D1195="","",MAX(0,D1195-0.5*C1195))</f>
        <v>0</v>
      </c>
    </row>
    <row r="1196" customFormat="false" ht="15" hidden="false" customHeight="false" outlineLevel="0" collapsed="false">
      <c r="A1196" s="21" t="n">
        <v>46270</v>
      </c>
      <c r="B1196" s="22" t="n">
        <v>18</v>
      </c>
      <c r="C1196" s="25" t="n">
        <v>44.88</v>
      </c>
      <c r="D1196" s="25" t="n">
        <v>16.68</v>
      </c>
      <c r="E1196" s="25" t="n">
        <v>0</v>
      </c>
      <c r="F1196" s="22" t="n">
        <f aca="false">WEEKDAY(A1196,2)</f>
        <v>6</v>
      </c>
      <c r="G1196" s="22" t="str">
        <f aca="false">IF(F1196=7,IF(B1196&gt;=23,"C","Sin turno"),IF(B1196&lt;7,"C",IF(B1196&lt;14,"A",IF(B1196&lt;21,"B",IF(B1196&lt;23,"Entre turnos",IF(F1196=6,"Sin turno","C"))))))</f>
        <v>B</v>
      </c>
      <c r="H1196" s="25" t="n">
        <f aca="false">IF(D1196="","",MAX(0,D1196-0.5*C1196))</f>
        <v>0</v>
      </c>
    </row>
    <row r="1197" customFormat="false" ht="15" hidden="false" customHeight="false" outlineLevel="0" collapsed="false">
      <c r="A1197" s="21" t="n">
        <v>46270</v>
      </c>
      <c r="B1197" s="22" t="n">
        <v>19</v>
      </c>
      <c r="C1197" s="25" t="n">
        <v>44.04</v>
      </c>
      <c r="D1197" s="25" t="n">
        <v>16.56</v>
      </c>
      <c r="E1197" s="25" t="n">
        <v>0</v>
      </c>
      <c r="F1197" s="22" t="n">
        <f aca="false">WEEKDAY(A1197,2)</f>
        <v>6</v>
      </c>
      <c r="G1197" s="22" t="str">
        <f aca="false">IF(F1197=7,IF(B1197&gt;=23,"C","Sin turno"),IF(B1197&lt;7,"C",IF(B1197&lt;14,"A",IF(B1197&lt;21,"B",IF(B1197&lt;23,"Entre turnos",IF(F1197=6,"Sin turno","C"))))))</f>
        <v>B</v>
      </c>
      <c r="H1197" s="25" t="n">
        <f aca="false">IF(D1197="","",MAX(0,D1197-0.5*C1197))</f>
        <v>0</v>
      </c>
    </row>
    <row r="1198" customFormat="false" ht="15" hidden="false" customHeight="false" outlineLevel="0" collapsed="false">
      <c r="A1198" s="21" t="n">
        <v>46270</v>
      </c>
      <c r="B1198" s="22" t="n">
        <v>20</v>
      </c>
      <c r="C1198" s="25" t="n">
        <v>43.44</v>
      </c>
      <c r="D1198" s="25" t="n">
        <v>16.92</v>
      </c>
      <c r="E1198" s="25" t="n">
        <v>0</v>
      </c>
      <c r="F1198" s="22" t="n">
        <f aca="false">WEEKDAY(A1198,2)</f>
        <v>6</v>
      </c>
      <c r="G1198" s="22" t="str">
        <f aca="false">IF(F1198=7,IF(B1198&gt;=23,"C","Sin turno"),IF(B1198&lt;7,"C",IF(B1198&lt;14,"A",IF(B1198&lt;21,"B",IF(B1198&lt;23,"Entre turnos",IF(F1198=6,"Sin turno","C"))))))</f>
        <v>B</v>
      </c>
      <c r="H1198" s="25" t="n">
        <f aca="false">IF(D1198="","",MAX(0,D1198-0.5*C1198))</f>
        <v>0</v>
      </c>
    </row>
    <row r="1199" customFormat="false" ht="15" hidden="false" customHeight="false" outlineLevel="0" collapsed="false">
      <c r="A1199" s="21" t="n">
        <v>46270</v>
      </c>
      <c r="B1199" s="22" t="n">
        <v>21</v>
      </c>
      <c r="C1199" s="25" t="n">
        <v>42.72</v>
      </c>
      <c r="D1199" s="25" t="n">
        <v>16.92</v>
      </c>
      <c r="E1199" s="25" t="n">
        <v>0</v>
      </c>
      <c r="F1199" s="22" t="n">
        <f aca="false">WEEKDAY(A1199,2)</f>
        <v>6</v>
      </c>
      <c r="G1199" s="22" t="str">
        <f aca="false">IF(F1199=7,IF(B1199&gt;=23,"C","Sin turno"),IF(B1199&lt;7,"C",IF(B1199&lt;14,"A",IF(B1199&lt;21,"B",IF(B1199&lt;23,"Entre turnos",IF(F1199=6,"Sin turno","C"))))))</f>
        <v>Entre turnos</v>
      </c>
      <c r="H1199" s="25" t="n">
        <f aca="false">IF(D1199="","",MAX(0,D1199-0.5*C1199))</f>
        <v>0</v>
      </c>
    </row>
    <row r="1200" customFormat="false" ht="15" hidden="false" customHeight="false" outlineLevel="0" collapsed="false">
      <c r="A1200" s="21" t="n">
        <v>46270</v>
      </c>
      <c r="B1200" s="22" t="n">
        <v>22</v>
      </c>
      <c r="C1200" s="25" t="n">
        <v>40.92</v>
      </c>
      <c r="D1200" s="25" t="n">
        <v>16.8</v>
      </c>
      <c r="E1200" s="25" t="n">
        <v>0</v>
      </c>
      <c r="F1200" s="22" t="n">
        <f aca="false">WEEKDAY(A1200,2)</f>
        <v>6</v>
      </c>
      <c r="G1200" s="22" t="str">
        <f aca="false">IF(F1200=7,IF(B1200&gt;=23,"C","Sin turno"),IF(B1200&lt;7,"C",IF(B1200&lt;14,"A",IF(B1200&lt;21,"B",IF(B1200&lt;23,"Entre turnos",IF(F1200=6,"Sin turno","C"))))))</f>
        <v>Entre turnos</v>
      </c>
      <c r="H1200" s="25" t="n">
        <f aca="false">IF(D1200="","",MAX(0,D1200-0.5*C1200))</f>
        <v>0</v>
      </c>
    </row>
    <row r="1201" customFormat="false" ht="15" hidden="false" customHeight="false" outlineLevel="0" collapsed="false">
      <c r="A1201" s="21" t="n">
        <v>46270</v>
      </c>
      <c r="B1201" s="22" t="n">
        <v>23</v>
      </c>
      <c r="C1201" s="25" t="n">
        <v>40.8</v>
      </c>
      <c r="D1201" s="25" t="n">
        <v>17.28</v>
      </c>
      <c r="E1201" s="25" t="n">
        <v>0</v>
      </c>
      <c r="F1201" s="22" t="n">
        <f aca="false">WEEKDAY(A1201,2)</f>
        <v>6</v>
      </c>
      <c r="G1201" s="22" t="str">
        <f aca="false">IF(F1201=7,IF(B1201&gt;=23,"C","Sin turno"),IF(B1201&lt;7,"C",IF(B1201&lt;14,"A",IF(B1201&lt;21,"B",IF(B1201&lt;23,"Entre turnos",IF(F1201=6,"Sin turno","C"))))))</f>
        <v>Sin turno</v>
      </c>
      <c r="H1201" s="25" t="n">
        <f aca="false">IF(D1201="","",MAX(0,D1201-0.5*C1201))</f>
        <v>0</v>
      </c>
    </row>
    <row r="1202" customFormat="false" ht="15" hidden="false" customHeight="false" outlineLevel="0" collapsed="false">
      <c r="A1202" s="21" t="n">
        <v>46271</v>
      </c>
      <c r="B1202" s="22" t="n">
        <v>0</v>
      </c>
      <c r="C1202" s="25" t="n">
        <v>39.48</v>
      </c>
      <c r="D1202" s="25" t="n">
        <v>16.44</v>
      </c>
      <c r="E1202" s="25" t="n">
        <v>0</v>
      </c>
      <c r="F1202" s="22" t="n">
        <f aca="false">WEEKDAY(A1202,2)</f>
        <v>7</v>
      </c>
      <c r="G1202" s="22" t="str">
        <f aca="false">IF(F1202=7,IF(B1202&gt;=23,"C","Sin turno"),IF(B1202&lt;7,"C",IF(B1202&lt;14,"A",IF(B1202&lt;21,"B",IF(B1202&lt;23,"Entre turnos",IF(F1202=6,"Sin turno","C"))))))</f>
        <v>Sin turno</v>
      </c>
      <c r="H1202" s="25" t="n">
        <f aca="false">IF(D1202="","",MAX(0,D1202-0.5*C1202))</f>
        <v>0</v>
      </c>
    </row>
    <row r="1203" customFormat="false" ht="15" hidden="false" customHeight="false" outlineLevel="0" collapsed="false">
      <c r="A1203" s="21" t="n">
        <v>46271</v>
      </c>
      <c r="B1203" s="22" t="n">
        <v>1</v>
      </c>
      <c r="C1203" s="25" t="n">
        <v>38.16</v>
      </c>
      <c r="D1203" s="25" t="n">
        <v>16.44</v>
      </c>
      <c r="E1203" s="25" t="n">
        <v>0</v>
      </c>
      <c r="F1203" s="22" t="n">
        <f aca="false">WEEKDAY(A1203,2)</f>
        <v>7</v>
      </c>
      <c r="G1203" s="22" t="str">
        <f aca="false">IF(F1203=7,IF(B1203&gt;=23,"C","Sin turno"),IF(B1203&lt;7,"C",IF(B1203&lt;14,"A",IF(B1203&lt;21,"B",IF(B1203&lt;23,"Entre turnos",IF(F1203=6,"Sin turno","C"))))))</f>
        <v>Sin turno</v>
      </c>
      <c r="H1203" s="25" t="n">
        <f aca="false">IF(D1203="","",MAX(0,D1203-0.5*C1203))</f>
        <v>0</v>
      </c>
    </row>
    <row r="1204" customFormat="false" ht="15" hidden="false" customHeight="false" outlineLevel="0" collapsed="false">
      <c r="A1204" s="21" t="n">
        <v>46271</v>
      </c>
      <c r="B1204" s="22" t="n">
        <v>2</v>
      </c>
      <c r="C1204" s="25" t="n">
        <v>38.64</v>
      </c>
      <c r="D1204" s="25" t="n">
        <v>16.68</v>
      </c>
      <c r="E1204" s="25" t="n">
        <v>0</v>
      </c>
      <c r="F1204" s="22" t="n">
        <f aca="false">WEEKDAY(A1204,2)</f>
        <v>7</v>
      </c>
      <c r="G1204" s="22" t="str">
        <f aca="false">IF(F1204=7,IF(B1204&gt;=23,"C","Sin turno"),IF(B1204&lt;7,"C",IF(B1204&lt;14,"A",IF(B1204&lt;21,"B",IF(B1204&lt;23,"Entre turnos",IF(F1204=6,"Sin turno","C"))))))</f>
        <v>Sin turno</v>
      </c>
      <c r="H1204" s="25" t="n">
        <f aca="false">IF(D1204="","",MAX(0,D1204-0.5*C1204))</f>
        <v>0</v>
      </c>
    </row>
    <row r="1205" customFormat="false" ht="15" hidden="false" customHeight="false" outlineLevel="0" collapsed="false">
      <c r="A1205" s="21" t="n">
        <v>46271</v>
      </c>
      <c r="B1205" s="22" t="n">
        <v>3</v>
      </c>
      <c r="C1205" s="25" t="n">
        <v>37.92</v>
      </c>
      <c r="D1205" s="25" t="n">
        <v>16.32</v>
      </c>
      <c r="E1205" s="25" t="n">
        <v>0</v>
      </c>
      <c r="F1205" s="22" t="n">
        <f aca="false">WEEKDAY(A1205,2)</f>
        <v>7</v>
      </c>
      <c r="G1205" s="22" t="str">
        <f aca="false">IF(F1205=7,IF(B1205&gt;=23,"C","Sin turno"),IF(B1205&lt;7,"C",IF(B1205&lt;14,"A",IF(B1205&lt;21,"B",IF(B1205&lt;23,"Entre turnos",IF(F1205=6,"Sin turno","C"))))))</f>
        <v>Sin turno</v>
      </c>
      <c r="H1205" s="25" t="n">
        <f aca="false">IF(D1205="","",MAX(0,D1205-0.5*C1205))</f>
        <v>0</v>
      </c>
    </row>
    <row r="1206" customFormat="false" ht="15" hidden="false" customHeight="false" outlineLevel="0" collapsed="false">
      <c r="A1206" s="21" t="n">
        <v>46271</v>
      </c>
      <c r="B1206" s="22" t="n">
        <v>4</v>
      </c>
      <c r="C1206" s="25" t="n">
        <v>38.04</v>
      </c>
      <c r="D1206" s="25" t="n">
        <v>16.56</v>
      </c>
      <c r="E1206" s="25" t="n">
        <v>0</v>
      </c>
      <c r="F1206" s="22" t="n">
        <f aca="false">WEEKDAY(A1206,2)</f>
        <v>7</v>
      </c>
      <c r="G1206" s="22" t="str">
        <f aca="false">IF(F1206=7,IF(B1206&gt;=23,"C","Sin turno"),IF(B1206&lt;7,"C",IF(B1206&lt;14,"A",IF(B1206&lt;21,"B",IF(B1206&lt;23,"Entre turnos",IF(F1206=6,"Sin turno","C"))))))</f>
        <v>Sin turno</v>
      </c>
      <c r="H1206" s="25" t="n">
        <f aca="false">IF(D1206="","",MAX(0,D1206-0.5*C1206))</f>
        <v>0</v>
      </c>
    </row>
    <row r="1207" customFormat="false" ht="15" hidden="false" customHeight="false" outlineLevel="0" collapsed="false">
      <c r="A1207" s="21" t="n">
        <v>46271</v>
      </c>
      <c r="B1207" s="22" t="n">
        <v>5</v>
      </c>
      <c r="C1207" s="25" t="n">
        <v>38.64</v>
      </c>
      <c r="D1207" s="25" t="n">
        <v>16.92</v>
      </c>
      <c r="E1207" s="25" t="n">
        <v>0</v>
      </c>
      <c r="F1207" s="22" t="n">
        <f aca="false">WEEKDAY(A1207,2)</f>
        <v>7</v>
      </c>
      <c r="G1207" s="22" t="str">
        <f aca="false">IF(F1207=7,IF(B1207&gt;=23,"C","Sin turno"),IF(B1207&lt;7,"C",IF(B1207&lt;14,"A",IF(B1207&lt;21,"B",IF(B1207&lt;23,"Entre turnos",IF(F1207=6,"Sin turno","C"))))))</f>
        <v>Sin turno</v>
      </c>
      <c r="H1207" s="25" t="n">
        <f aca="false">IF(D1207="","",MAX(0,D1207-0.5*C1207))</f>
        <v>0</v>
      </c>
    </row>
    <row r="1208" customFormat="false" ht="15" hidden="false" customHeight="false" outlineLevel="0" collapsed="false">
      <c r="A1208" s="21" t="n">
        <v>46271</v>
      </c>
      <c r="B1208" s="22" t="n">
        <v>6</v>
      </c>
      <c r="C1208" s="25" t="n">
        <v>37.08</v>
      </c>
      <c r="D1208" s="25" t="n">
        <v>17.04</v>
      </c>
      <c r="E1208" s="25" t="n">
        <v>0</v>
      </c>
      <c r="F1208" s="22" t="n">
        <f aca="false">WEEKDAY(A1208,2)</f>
        <v>7</v>
      </c>
      <c r="G1208" s="22" t="str">
        <f aca="false">IF(F1208=7,IF(B1208&gt;=23,"C","Sin turno"),IF(B1208&lt;7,"C",IF(B1208&lt;14,"A",IF(B1208&lt;21,"B",IF(B1208&lt;23,"Entre turnos",IF(F1208=6,"Sin turno","C"))))))</f>
        <v>Sin turno</v>
      </c>
      <c r="H1208" s="25" t="n">
        <f aca="false">IF(D1208="","",MAX(0,D1208-0.5*C1208))</f>
        <v>0</v>
      </c>
    </row>
    <row r="1209" customFormat="false" ht="15" hidden="false" customHeight="false" outlineLevel="0" collapsed="false">
      <c r="A1209" s="21" t="n">
        <v>46271</v>
      </c>
      <c r="B1209" s="22" t="n">
        <v>7</v>
      </c>
      <c r="C1209" s="25" t="n">
        <v>38.76</v>
      </c>
      <c r="D1209" s="25" t="n">
        <v>16.92</v>
      </c>
      <c r="E1209" s="25" t="n">
        <v>0</v>
      </c>
      <c r="F1209" s="22" t="n">
        <f aca="false">WEEKDAY(A1209,2)</f>
        <v>7</v>
      </c>
      <c r="G1209" s="22" t="str">
        <f aca="false">IF(F1209=7,IF(B1209&gt;=23,"C","Sin turno"),IF(B1209&lt;7,"C",IF(B1209&lt;14,"A",IF(B1209&lt;21,"B",IF(B1209&lt;23,"Entre turnos",IF(F1209=6,"Sin turno","C"))))))</f>
        <v>Sin turno</v>
      </c>
      <c r="H1209" s="25" t="n">
        <f aca="false">IF(D1209="","",MAX(0,D1209-0.5*C1209))</f>
        <v>0</v>
      </c>
    </row>
    <row r="1210" customFormat="false" ht="15" hidden="false" customHeight="false" outlineLevel="0" collapsed="false">
      <c r="A1210" s="21" t="n">
        <v>46271</v>
      </c>
      <c r="B1210" s="22" t="n">
        <v>8</v>
      </c>
      <c r="C1210" s="25" t="n">
        <v>43.44</v>
      </c>
      <c r="D1210" s="25" t="n">
        <v>17.16</v>
      </c>
      <c r="E1210" s="25" t="n">
        <v>0</v>
      </c>
      <c r="F1210" s="22" t="n">
        <f aca="false">WEEKDAY(A1210,2)</f>
        <v>7</v>
      </c>
      <c r="G1210" s="22" t="str">
        <f aca="false">IF(F1210=7,IF(B1210&gt;=23,"C","Sin turno"),IF(B1210&lt;7,"C",IF(B1210&lt;14,"A",IF(B1210&lt;21,"B",IF(B1210&lt;23,"Entre turnos",IF(F1210=6,"Sin turno","C"))))))</f>
        <v>Sin turno</v>
      </c>
      <c r="H1210" s="25" t="n">
        <f aca="false">IF(D1210="","",MAX(0,D1210-0.5*C1210))</f>
        <v>0</v>
      </c>
    </row>
    <row r="1211" customFormat="false" ht="15" hidden="false" customHeight="false" outlineLevel="0" collapsed="false">
      <c r="A1211" s="21" t="n">
        <v>46271</v>
      </c>
      <c r="B1211" s="22" t="n">
        <v>9</v>
      </c>
      <c r="C1211" s="25" t="n">
        <v>51.24</v>
      </c>
      <c r="D1211" s="25" t="n">
        <v>17.52</v>
      </c>
      <c r="E1211" s="25" t="n">
        <v>0</v>
      </c>
      <c r="F1211" s="22" t="n">
        <f aca="false">WEEKDAY(A1211,2)</f>
        <v>7</v>
      </c>
      <c r="G1211" s="22" t="str">
        <f aca="false">IF(F1211=7,IF(B1211&gt;=23,"C","Sin turno"),IF(B1211&lt;7,"C",IF(B1211&lt;14,"A",IF(B1211&lt;21,"B",IF(B1211&lt;23,"Entre turnos",IF(F1211=6,"Sin turno","C"))))))</f>
        <v>Sin turno</v>
      </c>
      <c r="H1211" s="25" t="n">
        <f aca="false">IF(D1211="","",MAX(0,D1211-0.5*C1211))</f>
        <v>0</v>
      </c>
    </row>
    <row r="1212" customFormat="false" ht="15" hidden="false" customHeight="false" outlineLevel="0" collapsed="false">
      <c r="A1212" s="21" t="n">
        <v>46271</v>
      </c>
      <c r="B1212" s="22" t="n">
        <v>10</v>
      </c>
      <c r="C1212" s="25" t="n">
        <v>54</v>
      </c>
      <c r="D1212" s="25" t="n">
        <v>17.4</v>
      </c>
      <c r="E1212" s="25" t="n">
        <v>0</v>
      </c>
      <c r="F1212" s="22" t="n">
        <f aca="false">WEEKDAY(A1212,2)</f>
        <v>7</v>
      </c>
      <c r="G1212" s="22" t="str">
        <f aca="false">IF(F1212=7,IF(B1212&gt;=23,"C","Sin turno"),IF(B1212&lt;7,"C",IF(B1212&lt;14,"A",IF(B1212&lt;21,"B",IF(B1212&lt;23,"Entre turnos",IF(F1212=6,"Sin turno","C"))))))</f>
        <v>Sin turno</v>
      </c>
      <c r="H1212" s="25" t="n">
        <f aca="false">IF(D1212="","",MAX(0,D1212-0.5*C1212))</f>
        <v>0</v>
      </c>
    </row>
    <row r="1213" customFormat="false" ht="15" hidden="false" customHeight="false" outlineLevel="0" collapsed="false">
      <c r="A1213" s="21" t="n">
        <v>46271</v>
      </c>
      <c r="B1213" s="22" t="n">
        <v>11</v>
      </c>
      <c r="C1213" s="25" t="n">
        <v>55.92</v>
      </c>
      <c r="D1213" s="25" t="n">
        <v>18.24</v>
      </c>
      <c r="E1213" s="25" t="n">
        <v>0</v>
      </c>
      <c r="F1213" s="22" t="n">
        <f aca="false">WEEKDAY(A1213,2)</f>
        <v>7</v>
      </c>
      <c r="G1213" s="22" t="str">
        <f aca="false">IF(F1213=7,IF(B1213&gt;=23,"C","Sin turno"),IF(B1213&lt;7,"C",IF(B1213&lt;14,"A",IF(B1213&lt;21,"B",IF(B1213&lt;23,"Entre turnos",IF(F1213=6,"Sin turno","C"))))))</f>
        <v>Sin turno</v>
      </c>
      <c r="H1213" s="25" t="n">
        <f aca="false">IF(D1213="","",MAX(0,D1213-0.5*C1213))</f>
        <v>0</v>
      </c>
    </row>
    <row r="1214" customFormat="false" ht="15" hidden="false" customHeight="false" outlineLevel="0" collapsed="false">
      <c r="A1214" s="21" t="n">
        <v>46271</v>
      </c>
      <c r="B1214" s="22" t="n">
        <v>12</v>
      </c>
      <c r="C1214" s="25" t="n">
        <v>51.84</v>
      </c>
      <c r="D1214" s="25" t="n">
        <v>17.64</v>
      </c>
      <c r="E1214" s="25" t="n">
        <v>0</v>
      </c>
      <c r="F1214" s="22" t="n">
        <f aca="false">WEEKDAY(A1214,2)</f>
        <v>7</v>
      </c>
      <c r="G1214" s="22" t="str">
        <f aca="false">IF(F1214=7,IF(B1214&gt;=23,"C","Sin turno"),IF(B1214&lt;7,"C",IF(B1214&lt;14,"A",IF(B1214&lt;21,"B",IF(B1214&lt;23,"Entre turnos",IF(F1214=6,"Sin turno","C"))))))</f>
        <v>Sin turno</v>
      </c>
      <c r="H1214" s="25" t="n">
        <f aca="false">IF(D1214="","",MAX(0,D1214-0.5*C1214))</f>
        <v>0</v>
      </c>
    </row>
    <row r="1215" customFormat="false" ht="15" hidden="false" customHeight="false" outlineLevel="0" collapsed="false">
      <c r="A1215" s="21" t="n">
        <v>46271</v>
      </c>
      <c r="B1215" s="22" t="n">
        <v>13</v>
      </c>
      <c r="C1215" s="25" t="n">
        <v>53.4</v>
      </c>
      <c r="D1215" s="25" t="n">
        <v>18.36</v>
      </c>
      <c r="E1215" s="25" t="n">
        <v>0</v>
      </c>
      <c r="F1215" s="22" t="n">
        <f aca="false">WEEKDAY(A1215,2)</f>
        <v>7</v>
      </c>
      <c r="G1215" s="22" t="str">
        <f aca="false">IF(F1215=7,IF(B1215&gt;=23,"C","Sin turno"),IF(B1215&lt;7,"C",IF(B1215&lt;14,"A",IF(B1215&lt;21,"B",IF(B1215&lt;23,"Entre turnos",IF(F1215=6,"Sin turno","C"))))))</f>
        <v>Sin turno</v>
      </c>
      <c r="H1215" s="25" t="n">
        <f aca="false">IF(D1215="","",MAX(0,D1215-0.5*C1215))</f>
        <v>0</v>
      </c>
    </row>
    <row r="1216" customFormat="false" ht="15" hidden="false" customHeight="false" outlineLevel="0" collapsed="false">
      <c r="A1216" s="21" t="n">
        <v>46271</v>
      </c>
      <c r="B1216" s="22" t="n">
        <v>14</v>
      </c>
      <c r="C1216" s="25" t="n">
        <v>51.72</v>
      </c>
      <c r="D1216" s="25" t="n">
        <v>18.36</v>
      </c>
      <c r="E1216" s="25" t="n">
        <v>0</v>
      </c>
      <c r="F1216" s="22" t="n">
        <f aca="false">WEEKDAY(A1216,2)</f>
        <v>7</v>
      </c>
      <c r="G1216" s="22" t="str">
        <f aca="false">IF(F1216=7,IF(B1216&gt;=23,"C","Sin turno"),IF(B1216&lt;7,"C",IF(B1216&lt;14,"A",IF(B1216&lt;21,"B",IF(B1216&lt;23,"Entre turnos",IF(F1216=6,"Sin turno","C"))))))</f>
        <v>Sin turno</v>
      </c>
      <c r="H1216" s="25" t="n">
        <f aca="false">IF(D1216="","",MAX(0,D1216-0.5*C1216))</f>
        <v>0</v>
      </c>
    </row>
    <row r="1217" customFormat="false" ht="15" hidden="false" customHeight="false" outlineLevel="0" collapsed="false">
      <c r="A1217" s="21" t="n">
        <v>46271</v>
      </c>
      <c r="B1217" s="22" t="n">
        <v>15</v>
      </c>
      <c r="C1217" s="25" t="n">
        <v>47.88</v>
      </c>
      <c r="D1217" s="25" t="n">
        <v>17.28</v>
      </c>
      <c r="E1217" s="25" t="n">
        <v>0</v>
      </c>
      <c r="F1217" s="22" t="n">
        <f aca="false">WEEKDAY(A1217,2)</f>
        <v>7</v>
      </c>
      <c r="G1217" s="22" t="str">
        <f aca="false">IF(F1217=7,IF(B1217&gt;=23,"C","Sin turno"),IF(B1217&lt;7,"C",IF(B1217&lt;14,"A",IF(B1217&lt;21,"B",IF(B1217&lt;23,"Entre turnos",IF(F1217=6,"Sin turno","C"))))))</f>
        <v>Sin turno</v>
      </c>
      <c r="H1217" s="25" t="n">
        <f aca="false">IF(D1217="","",MAX(0,D1217-0.5*C1217))</f>
        <v>0</v>
      </c>
    </row>
    <row r="1218" customFormat="false" ht="15" hidden="false" customHeight="false" outlineLevel="0" collapsed="false">
      <c r="A1218" s="21" t="n">
        <v>46271</v>
      </c>
      <c r="B1218" s="22" t="n">
        <v>16</v>
      </c>
      <c r="C1218" s="25" t="n">
        <v>46.44</v>
      </c>
      <c r="D1218" s="25" t="n">
        <v>16.44</v>
      </c>
      <c r="E1218" s="25" t="n">
        <v>0</v>
      </c>
      <c r="F1218" s="22" t="n">
        <f aca="false">WEEKDAY(A1218,2)</f>
        <v>7</v>
      </c>
      <c r="G1218" s="22" t="str">
        <f aca="false">IF(F1218=7,IF(B1218&gt;=23,"C","Sin turno"),IF(B1218&lt;7,"C",IF(B1218&lt;14,"A",IF(B1218&lt;21,"B",IF(B1218&lt;23,"Entre turnos",IF(F1218=6,"Sin turno","C"))))))</f>
        <v>Sin turno</v>
      </c>
      <c r="H1218" s="25" t="n">
        <f aca="false">IF(D1218="","",MAX(0,D1218-0.5*C1218))</f>
        <v>0</v>
      </c>
    </row>
    <row r="1219" customFormat="false" ht="15" hidden="false" customHeight="false" outlineLevel="0" collapsed="false">
      <c r="A1219" s="21" t="n">
        <v>46271</v>
      </c>
      <c r="B1219" s="22" t="n">
        <v>17</v>
      </c>
      <c r="C1219" s="25" t="n">
        <v>45.12</v>
      </c>
      <c r="D1219" s="25" t="n">
        <v>16.44</v>
      </c>
      <c r="E1219" s="25" t="n">
        <v>0</v>
      </c>
      <c r="F1219" s="22" t="n">
        <f aca="false">WEEKDAY(A1219,2)</f>
        <v>7</v>
      </c>
      <c r="G1219" s="22" t="str">
        <f aca="false">IF(F1219=7,IF(B1219&gt;=23,"C","Sin turno"),IF(B1219&lt;7,"C",IF(B1219&lt;14,"A",IF(B1219&lt;21,"B",IF(B1219&lt;23,"Entre turnos",IF(F1219=6,"Sin turno","C"))))))</f>
        <v>Sin turno</v>
      </c>
      <c r="H1219" s="25" t="n">
        <f aca="false">IF(D1219="","",MAX(0,D1219-0.5*C1219))</f>
        <v>0</v>
      </c>
    </row>
    <row r="1220" customFormat="false" ht="15" hidden="false" customHeight="false" outlineLevel="0" collapsed="false">
      <c r="A1220" s="21" t="n">
        <v>46271</v>
      </c>
      <c r="B1220" s="22" t="n">
        <v>18</v>
      </c>
      <c r="C1220" s="25" t="n">
        <v>44.28</v>
      </c>
      <c r="D1220" s="25" t="n">
        <v>16.44</v>
      </c>
      <c r="E1220" s="25" t="n">
        <v>0</v>
      </c>
      <c r="F1220" s="22" t="n">
        <f aca="false">WEEKDAY(A1220,2)</f>
        <v>7</v>
      </c>
      <c r="G1220" s="22" t="str">
        <f aca="false">IF(F1220=7,IF(B1220&gt;=23,"C","Sin turno"),IF(B1220&lt;7,"C",IF(B1220&lt;14,"A",IF(B1220&lt;21,"B",IF(B1220&lt;23,"Entre turnos",IF(F1220=6,"Sin turno","C"))))))</f>
        <v>Sin turno</v>
      </c>
      <c r="H1220" s="25" t="n">
        <f aca="false">IF(D1220="","",MAX(0,D1220-0.5*C1220))</f>
        <v>0</v>
      </c>
    </row>
    <row r="1221" customFormat="false" ht="15" hidden="false" customHeight="false" outlineLevel="0" collapsed="false">
      <c r="A1221" s="21" t="n">
        <v>46271</v>
      </c>
      <c r="B1221" s="22" t="n">
        <v>19</v>
      </c>
      <c r="C1221" s="25" t="n">
        <v>43.68</v>
      </c>
      <c r="D1221" s="25" t="n">
        <v>16.56</v>
      </c>
      <c r="E1221" s="25" t="n">
        <v>0</v>
      </c>
      <c r="F1221" s="22" t="n">
        <f aca="false">WEEKDAY(A1221,2)</f>
        <v>7</v>
      </c>
      <c r="G1221" s="22" t="str">
        <f aca="false">IF(F1221=7,IF(B1221&gt;=23,"C","Sin turno"),IF(B1221&lt;7,"C",IF(B1221&lt;14,"A",IF(B1221&lt;21,"B",IF(B1221&lt;23,"Entre turnos",IF(F1221=6,"Sin turno","C"))))))</f>
        <v>Sin turno</v>
      </c>
      <c r="H1221" s="25" t="n">
        <f aca="false">IF(D1221="","",MAX(0,D1221-0.5*C1221))</f>
        <v>0</v>
      </c>
    </row>
    <row r="1222" customFormat="false" ht="15" hidden="false" customHeight="false" outlineLevel="0" collapsed="false">
      <c r="A1222" s="21" t="n">
        <v>46271</v>
      </c>
      <c r="B1222" s="22" t="n">
        <v>20</v>
      </c>
      <c r="C1222" s="25" t="n">
        <v>43.32</v>
      </c>
      <c r="D1222" s="25" t="n">
        <v>16.56</v>
      </c>
      <c r="E1222" s="25" t="n">
        <v>0</v>
      </c>
      <c r="F1222" s="22" t="n">
        <f aca="false">WEEKDAY(A1222,2)</f>
        <v>7</v>
      </c>
      <c r="G1222" s="22" t="str">
        <f aca="false">IF(F1222=7,IF(B1222&gt;=23,"C","Sin turno"),IF(B1222&lt;7,"C",IF(B1222&lt;14,"A",IF(B1222&lt;21,"B",IF(B1222&lt;23,"Entre turnos",IF(F1222=6,"Sin turno","C"))))))</f>
        <v>Sin turno</v>
      </c>
      <c r="H1222" s="25" t="n">
        <f aca="false">IF(D1222="","",MAX(0,D1222-0.5*C1222))</f>
        <v>0</v>
      </c>
    </row>
    <row r="1223" customFormat="false" ht="15" hidden="false" customHeight="false" outlineLevel="0" collapsed="false">
      <c r="A1223" s="21" t="n">
        <v>46271</v>
      </c>
      <c r="B1223" s="22" t="n">
        <v>21</v>
      </c>
      <c r="C1223" s="25" t="n">
        <v>42.72</v>
      </c>
      <c r="D1223" s="25" t="n">
        <v>17.04</v>
      </c>
      <c r="E1223" s="25" t="n">
        <v>0</v>
      </c>
      <c r="F1223" s="22" t="n">
        <f aca="false">WEEKDAY(A1223,2)</f>
        <v>7</v>
      </c>
      <c r="G1223" s="22" t="str">
        <f aca="false">IF(F1223=7,IF(B1223&gt;=23,"C","Sin turno"),IF(B1223&lt;7,"C",IF(B1223&lt;14,"A",IF(B1223&lt;21,"B",IF(B1223&lt;23,"Entre turnos",IF(F1223=6,"Sin turno","C"))))))</f>
        <v>Sin turno</v>
      </c>
      <c r="H1223" s="25" t="n">
        <f aca="false">IF(D1223="","",MAX(0,D1223-0.5*C1223))</f>
        <v>0</v>
      </c>
    </row>
    <row r="1224" customFormat="false" ht="15" hidden="false" customHeight="false" outlineLevel="0" collapsed="false">
      <c r="A1224" s="21" t="n">
        <v>46271</v>
      </c>
      <c r="B1224" s="22" t="n">
        <v>22</v>
      </c>
      <c r="C1224" s="25" t="n">
        <v>41.76</v>
      </c>
      <c r="D1224" s="25" t="n">
        <v>16.92</v>
      </c>
      <c r="E1224" s="25" t="n">
        <v>0</v>
      </c>
      <c r="F1224" s="22" t="n">
        <f aca="false">WEEKDAY(A1224,2)</f>
        <v>7</v>
      </c>
      <c r="G1224" s="22" t="str">
        <f aca="false">IF(F1224=7,IF(B1224&gt;=23,"C","Sin turno"),IF(B1224&lt;7,"C",IF(B1224&lt;14,"A",IF(B1224&lt;21,"B",IF(B1224&lt;23,"Entre turnos",IF(F1224=6,"Sin turno","C"))))))</f>
        <v>Sin turno</v>
      </c>
      <c r="H1224" s="25" t="n">
        <f aca="false">IF(D1224="","",MAX(0,D1224-0.5*C1224))</f>
        <v>0</v>
      </c>
    </row>
    <row r="1225" customFormat="false" ht="15" hidden="false" customHeight="false" outlineLevel="0" collapsed="false">
      <c r="A1225" s="21" t="n">
        <v>46271</v>
      </c>
      <c r="B1225" s="22" t="n">
        <v>23</v>
      </c>
      <c r="C1225" s="25" t="n">
        <v>96.36</v>
      </c>
      <c r="D1225" s="25" t="n">
        <v>19.8</v>
      </c>
      <c r="E1225" s="25" t="n">
        <v>0.84</v>
      </c>
      <c r="F1225" s="22" t="n">
        <f aca="false">WEEKDAY(A1225,2)</f>
        <v>7</v>
      </c>
      <c r="G1225" s="22" t="str">
        <f aca="false">IF(F1225=7,IF(B1225&gt;=23,"C","Sin turno"),IF(B1225&lt;7,"C",IF(B1225&lt;14,"A",IF(B1225&lt;21,"B",IF(B1225&lt;23,"Entre turnos",IF(F1225=6,"Sin turno","C"))))))</f>
        <v>C</v>
      </c>
      <c r="H1225" s="25" t="n">
        <f aca="false">IF(D1225="","",MAX(0,D1225-0.5*C1225))</f>
        <v>0</v>
      </c>
    </row>
    <row r="1226" customFormat="false" ht="15" hidden="false" customHeight="false" outlineLevel="0" collapsed="false">
      <c r="A1226" s="21" t="n">
        <v>46272</v>
      </c>
      <c r="B1226" s="22" t="n">
        <v>0</v>
      </c>
      <c r="C1226" s="25" t="n">
        <v>90</v>
      </c>
      <c r="D1226" s="25" t="n">
        <v>10.08</v>
      </c>
      <c r="E1226" s="25" t="n">
        <v>1.2</v>
      </c>
      <c r="F1226" s="22" t="n">
        <f aca="false">WEEKDAY(A1226,2)</f>
        <v>1</v>
      </c>
      <c r="G1226" s="22" t="str">
        <f aca="false">IF(F1226=7,IF(B1226&gt;=23,"C","Sin turno"),IF(B1226&lt;7,"C",IF(B1226&lt;14,"A",IF(B1226&lt;21,"B",IF(B1226&lt;23,"Entre turnos",IF(F1226=6,"Sin turno","C"))))))</f>
        <v>C</v>
      </c>
      <c r="H1226" s="25" t="n">
        <f aca="false">IF(D1226="","",MAX(0,D1226-0.5*C1226))</f>
        <v>0</v>
      </c>
    </row>
    <row r="1227" customFormat="false" ht="15" hidden="false" customHeight="false" outlineLevel="0" collapsed="false">
      <c r="A1227" s="21" t="n">
        <v>46272</v>
      </c>
      <c r="B1227" s="22" t="n">
        <v>1</v>
      </c>
      <c r="C1227" s="25" t="n">
        <v>83.28</v>
      </c>
      <c r="D1227" s="25" t="n">
        <v>10.08</v>
      </c>
      <c r="E1227" s="25" t="n">
        <v>1.08</v>
      </c>
      <c r="F1227" s="22" t="n">
        <f aca="false">WEEKDAY(A1227,2)</f>
        <v>1</v>
      </c>
      <c r="G1227" s="22" t="str">
        <f aca="false">IF(F1227=7,IF(B1227&gt;=23,"C","Sin turno"),IF(B1227&lt;7,"C",IF(B1227&lt;14,"A",IF(B1227&lt;21,"B",IF(B1227&lt;23,"Entre turnos",IF(F1227=6,"Sin turno","C"))))))</f>
        <v>C</v>
      </c>
      <c r="H1227" s="25" t="n">
        <f aca="false">IF(D1227="","",MAX(0,D1227-0.5*C1227))</f>
        <v>0</v>
      </c>
    </row>
    <row r="1228" customFormat="false" ht="15" hidden="false" customHeight="false" outlineLevel="0" collapsed="false">
      <c r="A1228" s="21" t="n">
        <v>46272</v>
      </c>
      <c r="B1228" s="22" t="n">
        <v>2</v>
      </c>
      <c r="C1228" s="25" t="n">
        <v>90.72</v>
      </c>
      <c r="D1228" s="25" t="n">
        <v>10.8</v>
      </c>
      <c r="E1228" s="25" t="n">
        <v>0.84</v>
      </c>
      <c r="F1228" s="22" t="n">
        <f aca="false">WEEKDAY(A1228,2)</f>
        <v>1</v>
      </c>
      <c r="G1228" s="22" t="str">
        <f aca="false">IF(F1228=7,IF(B1228&gt;=23,"C","Sin turno"),IF(B1228&lt;7,"C",IF(B1228&lt;14,"A",IF(B1228&lt;21,"B",IF(B1228&lt;23,"Entre turnos",IF(F1228=6,"Sin turno","C"))))))</f>
        <v>C</v>
      </c>
      <c r="H1228" s="25" t="n">
        <f aca="false">IF(D1228="","",MAX(0,D1228-0.5*C1228))</f>
        <v>0</v>
      </c>
    </row>
    <row r="1229" customFormat="false" ht="15" hidden="false" customHeight="false" outlineLevel="0" collapsed="false">
      <c r="A1229" s="21" t="n">
        <v>46272</v>
      </c>
      <c r="B1229" s="22" t="n">
        <v>3</v>
      </c>
      <c r="C1229" s="25" t="n">
        <v>86.04</v>
      </c>
      <c r="D1229" s="25" t="n">
        <v>9.48</v>
      </c>
      <c r="E1229" s="25" t="n">
        <v>1.32</v>
      </c>
      <c r="F1229" s="22" t="n">
        <f aca="false">WEEKDAY(A1229,2)</f>
        <v>1</v>
      </c>
      <c r="G1229" s="22" t="str">
        <f aca="false">IF(F1229=7,IF(B1229&gt;=23,"C","Sin turno"),IF(B1229&lt;7,"C",IF(B1229&lt;14,"A",IF(B1229&lt;21,"B",IF(B1229&lt;23,"Entre turnos",IF(F1229=6,"Sin turno","C"))))))</f>
        <v>C</v>
      </c>
      <c r="H1229" s="25" t="n">
        <f aca="false">IF(D1229="","",MAX(0,D1229-0.5*C1229))</f>
        <v>0</v>
      </c>
    </row>
    <row r="1230" customFormat="false" ht="15" hidden="false" customHeight="false" outlineLevel="0" collapsed="false">
      <c r="A1230" s="21" t="n">
        <v>46272</v>
      </c>
      <c r="B1230" s="22" t="n">
        <v>4</v>
      </c>
      <c r="C1230" s="25" t="n">
        <v>94.2</v>
      </c>
      <c r="D1230" s="25" t="n">
        <v>10.44</v>
      </c>
      <c r="E1230" s="25" t="n">
        <v>1.56</v>
      </c>
      <c r="F1230" s="22" t="n">
        <f aca="false">WEEKDAY(A1230,2)</f>
        <v>1</v>
      </c>
      <c r="G1230" s="22" t="str">
        <f aca="false">IF(F1230=7,IF(B1230&gt;=23,"C","Sin turno"),IF(B1230&lt;7,"C",IF(B1230&lt;14,"A",IF(B1230&lt;21,"B",IF(B1230&lt;23,"Entre turnos",IF(F1230=6,"Sin turno","C"))))))</f>
        <v>C</v>
      </c>
      <c r="H1230" s="25" t="n">
        <f aca="false">IF(D1230="","",MAX(0,D1230-0.5*C1230))</f>
        <v>0</v>
      </c>
    </row>
    <row r="1231" customFormat="false" ht="15" hidden="false" customHeight="false" outlineLevel="0" collapsed="false">
      <c r="A1231" s="21" t="n">
        <v>46272</v>
      </c>
      <c r="B1231" s="22" t="n">
        <v>5</v>
      </c>
      <c r="C1231" s="25" t="n">
        <v>102.24</v>
      </c>
      <c r="D1231" s="25" t="n">
        <v>10.44</v>
      </c>
      <c r="E1231" s="25" t="n">
        <v>1.68</v>
      </c>
      <c r="F1231" s="22" t="n">
        <f aca="false">WEEKDAY(A1231,2)</f>
        <v>1</v>
      </c>
      <c r="G1231" s="22" t="str">
        <f aca="false">IF(F1231=7,IF(B1231&gt;=23,"C","Sin turno"),IF(B1231&lt;7,"C",IF(B1231&lt;14,"A",IF(B1231&lt;21,"B",IF(B1231&lt;23,"Entre turnos",IF(F1231=6,"Sin turno","C"))))))</f>
        <v>C</v>
      </c>
      <c r="H1231" s="25" t="n">
        <f aca="false">IF(D1231="","",MAX(0,D1231-0.5*C1231))</f>
        <v>0</v>
      </c>
    </row>
    <row r="1232" customFormat="false" ht="15" hidden="false" customHeight="false" outlineLevel="0" collapsed="false">
      <c r="A1232" s="21" t="n">
        <v>46272</v>
      </c>
      <c r="B1232" s="22" t="n">
        <v>6</v>
      </c>
      <c r="C1232" s="25" t="n">
        <v>119.04</v>
      </c>
      <c r="D1232" s="25" t="n">
        <v>14.04</v>
      </c>
      <c r="E1232" s="25" t="n">
        <v>0.96</v>
      </c>
      <c r="F1232" s="22" t="n">
        <f aca="false">WEEKDAY(A1232,2)</f>
        <v>1</v>
      </c>
      <c r="G1232" s="22" t="str">
        <f aca="false">IF(F1232=7,IF(B1232&gt;=23,"C","Sin turno"),IF(B1232&lt;7,"C",IF(B1232&lt;14,"A",IF(B1232&lt;21,"B",IF(B1232&lt;23,"Entre turnos",IF(F1232=6,"Sin turno","C"))))))</f>
        <v>C</v>
      </c>
      <c r="H1232" s="25" t="n">
        <f aca="false">IF(D1232="","",MAX(0,D1232-0.5*C1232))</f>
        <v>0</v>
      </c>
    </row>
    <row r="1233" customFormat="false" ht="15" hidden="false" customHeight="false" outlineLevel="0" collapsed="false">
      <c r="A1233" s="21" t="n">
        <v>46272</v>
      </c>
      <c r="B1233" s="22" t="n">
        <v>7</v>
      </c>
      <c r="C1233" s="25" t="n">
        <v>226.56</v>
      </c>
      <c r="D1233" s="25" t="n">
        <v>23.64</v>
      </c>
      <c r="E1233" s="25" t="n">
        <v>0.12</v>
      </c>
      <c r="F1233" s="22" t="n">
        <f aca="false">WEEKDAY(A1233,2)</f>
        <v>1</v>
      </c>
      <c r="G1233" s="22" t="str">
        <f aca="false">IF(F1233=7,IF(B1233&gt;=23,"C","Sin turno"),IF(B1233&lt;7,"C",IF(B1233&lt;14,"A",IF(B1233&lt;21,"B",IF(B1233&lt;23,"Entre turnos",IF(F1233=6,"Sin turno","C"))))))</f>
        <v>A</v>
      </c>
      <c r="H1233" s="25" t="n">
        <f aca="false">IF(D1233="","",MAX(0,D1233-0.5*C1233))</f>
        <v>0</v>
      </c>
    </row>
    <row r="1234" customFormat="false" ht="15" hidden="false" customHeight="false" outlineLevel="0" collapsed="false">
      <c r="A1234" s="21" t="n">
        <v>46272</v>
      </c>
      <c r="B1234" s="22" t="n">
        <v>8</v>
      </c>
      <c r="C1234" s="25" t="n">
        <v>255.48</v>
      </c>
      <c r="D1234" s="25" t="n">
        <v>27</v>
      </c>
      <c r="E1234" s="25" t="n">
        <v>0</v>
      </c>
      <c r="F1234" s="22" t="n">
        <f aca="false">WEEKDAY(A1234,2)</f>
        <v>1</v>
      </c>
      <c r="G1234" s="22" t="str">
        <f aca="false">IF(F1234=7,IF(B1234&gt;=23,"C","Sin turno"),IF(B1234&lt;7,"C",IF(B1234&lt;14,"A",IF(B1234&lt;21,"B",IF(B1234&lt;23,"Entre turnos",IF(F1234=6,"Sin turno","C"))))))</f>
        <v>A</v>
      </c>
      <c r="H1234" s="25" t="n">
        <f aca="false">IF(D1234="","",MAX(0,D1234-0.5*C1234))</f>
        <v>0</v>
      </c>
    </row>
    <row r="1235" customFormat="false" ht="15" hidden="false" customHeight="false" outlineLevel="0" collapsed="false">
      <c r="A1235" s="21" t="n">
        <v>46272</v>
      </c>
      <c r="B1235" s="22" t="n">
        <v>9</v>
      </c>
      <c r="C1235" s="25" t="n">
        <v>259.8</v>
      </c>
      <c r="D1235" s="25" t="n">
        <v>27.6</v>
      </c>
      <c r="E1235" s="25" t="n">
        <v>0</v>
      </c>
      <c r="F1235" s="22" t="n">
        <f aca="false">WEEKDAY(A1235,2)</f>
        <v>1</v>
      </c>
      <c r="G1235" s="22" t="str">
        <f aca="false">IF(F1235=7,IF(B1235&gt;=23,"C","Sin turno"),IF(B1235&lt;7,"C",IF(B1235&lt;14,"A",IF(B1235&lt;21,"B",IF(B1235&lt;23,"Entre turnos",IF(F1235=6,"Sin turno","C"))))))</f>
        <v>A</v>
      </c>
      <c r="H1235" s="25" t="n">
        <f aca="false">IF(D1235="","",MAX(0,D1235-0.5*C1235))</f>
        <v>0</v>
      </c>
    </row>
    <row r="1236" customFormat="false" ht="15" hidden="false" customHeight="false" outlineLevel="0" collapsed="false">
      <c r="A1236" s="21" t="n">
        <v>46272</v>
      </c>
      <c r="B1236" s="22" t="n">
        <v>10</v>
      </c>
      <c r="C1236" s="25" t="n">
        <v>181.2</v>
      </c>
      <c r="D1236" s="25" t="n">
        <v>25.68</v>
      </c>
      <c r="E1236" s="25" t="n">
        <v>0</v>
      </c>
      <c r="F1236" s="22" t="n">
        <f aca="false">WEEKDAY(A1236,2)</f>
        <v>1</v>
      </c>
      <c r="G1236" s="22" t="str">
        <f aca="false">IF(F1236=7,IF(B1236&gt;=23,"C","Sin turno"),IF(B1236&lt;7,"C",IF(B1236&lt;14,"A",IF(B1236&lt;21,"B",IF(B1236&lt;23,"Entre turnos",IF(F1236=6,"Sin turno","C"))))))</f>
        <v>A</v>
      </c>
      <c r="H1236" s="25" t="n">
        <f aca="false">IF(D1236="","",MAX(0,D1236-0.5*C1236))</f>
        <v>0</v>
      </c>
    </row>
    <row r="1237" customFormat="false" ht="15" hidden="false" customHeight="false" outlineLevel="0" collapsed="false">
      <c r="A1237" s="21" t="n">
        <v>46272</v>
      </c>
      <c r="B1237" s="22" t="n">
        <v>11</v>
      </c>
      <c r="C1237" s="25" t="n">
        <v>233.52</v>
      </c>
      <c r="D1237" s="25" t="n">
        <v>24.12</v>
      </c>
      <c r="E1237" s="25" t="n">
        <v>0</v>
      </c>
      <c r="F1237" s="22" t="n">
        <f aca="false">WEEKDAY(A1237,2)</f>
        <v>1</v>
      </c>
      <c r="G1237" s="22" t="str">
        <f aca="false">IF(F1237=7,IF(B1237&gt;=23,"C","Sin turno"),IF(B1237&lt;7,"C",IF(B1237&lt;14,"A",IF(B1237&lt;21,"B",IF(B1237&lt;23,"Entre turnos",IF(F1237=6,"Sin turno","C"))))))</f>
        <v>A</v>
      </c>
      <c r="H1237" s="25" t="n">
        <f aca="false">IF(D1237="","",MAX(0,D1237-0.5*C1237))</f>
        <v>0</v>
      </c>
    </row>
    <row r="1238" customFormat="false" ht="15" hidden="false" customHeight="false" outlineLevel="0" collapsed="false">
      <c r="A1238" s="21" t="n">
        <v>46272</v>
      </c>
      <c r="B1238" s="22" t="n">
        <v>12</v>
      </c>
      <c r="C1238" s="25" t="n">
        <v>251.52</v>
      </c>
      <c r="D1238" s="25" t="n">
        <v>30</v>
      </c>
      <c r="E1238" s="25" t="n">
        <v>0.12</v>
      </c>
      <c r="F1238" s="22" t="n">
        <f aca="false">WEEKDAY(A1238,2)</f>
        <v>1</v>
      </c>
      <c r="G1238" s="22" t="str">
        <f aca="false">IF(F1238=7,IF(B1238&gt;=23,"C","Sin turno"),IF(B1238&lt;7,"C",IF(B1238&lt;14,"A",IF(B1238&lt;21,"B",IF(B1238&lt;23,"Entre turnos",IF(F1238=6,"Sin turno","C"))))))</f>
        <v>A</v>
      </c>
      <c r="H1238" s="25" t="n">
        <f aca="false">IF(D1238="","",MAX(0,D1238-0.5*C1238))</f>
        <v>0</v>
      </c>
    </row>
    <row r="1239" customFormat="false" ht="15" hidden="false" customHeight="false" outlineLevel="0" collapsed="false">
      <c r="A1239" s="21" t="n">
        <v>46272</v>
      </c>
      <c r="B1239" s="22" t="n">
        <v>13</v>
      </c>
      <c r="C1239" s="25" t="n">
        <v>259.92</v>
      </c>
      <c r="D1239" s="25" t="n">
        <v>27</v>
      </c>
      <c r="E1239" s="25" t="n">
        <v>0</v>
      </c>
      <c r="F1239" s="22" t="n">
        <f aca="false">WEEKDAY(A1239,2)</f>
        <v>1</v>
      </c>
      <c r="G1239" s="22" t="str">
        <f aca="false">IF(F1239=7,IF(B1239&gt;=23,"C","Sin turno"),IF(B1239&lt;7,"C",IF(B1239&lt;14,"A",IF(B1239&lt;21,"B",IF(B1239&lt;23,"Entre turnos",IF(F1239=6,"Sin turno","C"))))))</f>
        <v>A</v>
      </c>
      <c r="H1239" s="25" t="n">
        <f aca="false">IF(D1239="","",MAX(0,D1239-0.5*C1239))</f>
        <v>0</v>
      </c>
    </row>
    <row r="1240" customFormat="false" ht="15" hidden="false" customHeight="false" outlineLevel="0" collapsed="false">
      <c r="A1240" s="21" t="n">
        <v>46272</v>
      </c>
      <c r="B1240" s="22" t="n">
        <v>14</v>
      </c>
      <c r="C1240" s="25" t="n">
        <v>260.76</v>
      </c>
      <c r="D1240" s="25" t="n">
        <v>28.68</v>
      </c>
      <c r="E1240" s="25" t="n">
        <v>0</v>
      </c>
      <c r="F1240" s="22" t="n">
        <f aca="false">WEEKDAY(A1240,2)</f>
        <v>1</v>
      </c>
      <c r="G1240" s="22" t="str">
        <f aca="false">IF(F1240=7,IF(B1240&gt;=23,"C","Sin turno"),IF(B1240&lt;7,"C",IF(B1240&lt;14,"A",IF(B1240&lt;21,"B",IF(B1240&lt;23,"Entre turnos",IF(F1240=6,"Sin turno","C"))))))</f>
        <v>B</v>
      </c>
      <c r="H1240" s="25" t="n">
        <f aca="false">IF(D1240="","",MAX(0,D1240-0.5*C1240))</f>
        <v>0</v>
      </c>
    </row>
    <row r="1241" customFormat="false" ht="15" hidden="false" customHeight="false" outlineLevel="0" collapsed="false">
      <c r="A1241" s="21" t="n">
        <v>46272</v>
      </c>
      <c r="B1241" s="22" t="n">
        <v>15</v>
      </c>
      <c r="C1241" s="25" t="n">
        <v>254.04</v>
      </c>
      <c r="D1241" s="25" t="n">
        <v>31.08</v>
      </c>
      <c r="E1241" s="25" t="n">
        <v>0</v>
      </c>
      <c r="F1241" s="22" t="n">
        <f aca="false">WEEKDAY(A1241,2)</f>
        <v>1</v>
      </c>
      <c r="G1241" s="22" t="str">
        <f aca="false">IF(F1241=7,IF(B1241&gt;=23,"C","Sin turno"),IF(B1241&lt;7,"C",IF(B1241&lt;14,"A",IF(B1241&lt;21,"B",IF(B1241&lt;23,"Entre turnos",IF(F1241=6,"Sin turno","C"))))))</f>
        <v>B</v>
      </c>
      <c r="H1241" s="25" t="n">
        <f aca="false">IF(D1241="","",MAX(0,D1241-0.5*C1241))</f>
        <v>0</v>
      </c>
    </row>
    <row r="1242" customFormat="false" ht="15" hidden="false" customHeight="false" outlineLevel="0" collapsed="false">
      <c r="A1242" s="21" t="n">
        <v>46272</v>
      </c>
      <c r="B1242" s="22" t="n">
        <v>16</v>
      </c>
      <c r="C1242" s="25" t="n">
        <v>258.84</v>
      </c>
      <c r="D1242" s="25" t="n">
        <v>31.56</v>
      </c>
      <c r="E1242" s="25" t="n">
        <v>0</v>
      </c>
      <c r="F1242" s="22" t="n">
        <f aca="false">WEEKDAY(A1242,2)</f>
        <v>1</v>
      </c>
      <c r="G1242" s="22" t="str">
        <f aca="false">IF(F1242=7,IF(B1242&gt;=23,"C","Sin turno"),IF(B1242&lt;7,"C",IF(B1242&lt;14,"A",IF(B1242&lt;21,"B",IF(B1242&lt;23,"Entre turnos",IF(F1242=6,"Sin turno","C"))))))</f>
        <v>B</v>
      </c>
      <c r="H1242" s="25" t="n">
        <f aca="false">IF(D1242="","",MAX(0,D1242-0.5*C1242))</f>
        <v>0</v>
      </c>
    </row>
    <row r="1243" customFormat="false" ht="15" hidden="false" customHeight="false" outlineLevel="0" collapsed="false">
      <c r="A1243" s="21" t="n">
        <v>46272</v>
      </c>
      <c r="B1243" s="22" t="n">
        <v>17</v>
      </c>
      <c r="C1243" s="25" t="n">
        <v>262.08</v>
      </c>
      <c r="D1243" s="25" t="n">
        <v>23.76</v>
      </c>
      <c r="E1243" s="25" t="n">
        <v>0</v>
      </c>
      <c r="F1243" s="22" t="n">
        <f aca="false">WEEKDAY(A1243,2)</f>
        <v>1</v>
      </c>
      <c r="G1243" s="22" t="str">
        <f aca="false">IF(F1243=7,IF(B1243&gt;=23,"C","Sin turno"),IF(B1243&lt;7,"C",IF(B1243&lt;14,"A",IF(B1243&lt;21,"B",IF(B1243&lt;23,"Entre turnos",IF(F1243=6,"Sin turno","C"))))))</f>
        <v>B</v>
      </c>
      <c r="H1243" s="25" t="n">
        <f aca="false">IF(D1243="","",MAX(0,D1243-0.5*C1243))</f>
        <v>0</v>
      </c>
    </row>
    <row r="1244" customFormat="false" ht="15" hidden="false" customHeight="false" outlineLevel="0" collapsed="false">
      <c r="A1244" s="21" t="n">
        <v>46272</v>
      </c>
      <c r="B1244" s="22" t="n">
        <v>18</v>
      </c>
      <c r="C1244" s="25" t="n">
        <v>216.24</v>
      </c>
      <c r="D1244" s="25" t="n">
        <v>18.6</v>
      </c>
      <c r="E1244" s="25" t="n">
        <v>0</v>
      </c>
      <c r="F1244" s="22" t="n">
        <f aca="false">WEEKDAY(A1244,2)</f>
        <v>1</v>
      </c>
      <c r="G1244" s="22" t="str">
        <f aca="false">IF(F1244=7,IF(B1244&gt;=23,"C","Sin turno"),IF(B1244&lt;7,"C",IF(B1244&lt;14,"A",IF(B1244&lt;21,"B",IF(B1244&lt;23,"Entre turnos",IF(F1244=6,"Sin turno","C"))))))</f>
        <v>B</v>
      </c>
      <c r="H1244" s="25" t="n">
        <f aca="false">IF(D1244="","",MAX(0,D1244-0.5*C1244))</f>
        <v>0</v>
      </c>
    </row>
    <row r="1245" customFormat="false" ht="15" hidden="false" customHeight="false" outlineLevel="0" collapsed="false">
      <c r="A1245" s="21" t="n">
        <v>46272</v>
      </c>
      <c r="B1245" s="22" t="n">
        <v>19</v>
      </c>
      <c r="C1245" s="25" t="n">
        <v>184.44</v>
      </c>
      <c r="D1245" s="25" t="n">
        <v>26.16</v>
      </c>
      <c r="E1245" s="25" t="n">
        <v>0.12</v>
      </c>
      <c r="F1245" s="22" t="n">
        <f aca="false">WEEKDAY(A1245,2)</f>
        <v>1</v>
      </c>
      <c r="G1245" s="22" t="str">
        <f aca="false">IF(F1245=7,IF(B1245&gt;=23,"C","Sin turno"),IF(B1245&lt;7,"C",IF(B1245&lt;14,"A",IF(B1245&lt;21,"B",IF(B1245&lt;23,"Entre turnos",IF(F1245=6,"Sin turno","C"))))))</f>
        <v>B</v>
      </c>
      <c r="H1245" s="25" t="n">
        <f aca="false">IF(D1245="","",MAX(0,D1245-0.5*C1245))</f>
        <v>0</v>
      </c>
    </row>
    <row r="1246" customFormat="false" ht="15" hidden="false" customHeight="false" outlineLevel="0" collapsed="false">
      <c r="A1246" s="21" t="n">
        <v>46272</v>
      </c>
      <c r="B1246" s="22" t="n">
        <v>20</v>
      </c>
      <c r="C1246" s="25" t="n">
        <v>212.4</v>
      </c>
      <c r="D1246" s="25" t="n">
        <v>22.32</v>
      </c>
      <c r="E1246" s="25" t="n">
        <v>0</v>
      </c>
      <c r="F1246" s="22" t="n">
        <f aca="false">WEEKDAY(A1246,2)</f>
        <v>1</v>
      </c>
      <c r="G1246" s="22" t="str">
        <f aca="false">IF(F1246=7,IF(B1246&gt;=23,"C","Sin turno"),IF(B1246&lt;7,"C",IF(B1246&lt;14,"A",IF(B1246&lt;21,"B",IF(B1246&lt;23,"Entre turnos",IF(F1246=6,"Sin turno","C"))))))</f>
        <v>B</v>
      </c>
      <c r="H1246" s="25" t="n">
        <f aca="false">IF(D1246="","",MAX(0,D1246-0.5*C1246))</f>
        <v>0</v>
      </c>
    </row>
    <row r="1247" customFormat="false" ht="15" hidden="false" customHeight="false" outlineLevel="0" collapsed="false">
      <c r="A1247" s="21" t="n">
        <v>46272</v>
      </c>
      <c r="B1247" s="22" t="n">
        <v>21</v>
      </c>
      <c r="C1247" s="25" t="n">
        <v>191.64</v>
      </c>
      <c r="D1247" s="25" t="n">
        <v>25.2</v>
      </c>
      <c r="E1247" s="25" t="n">
        <v>0.12</v>
      </c>
      <c r="F1247" s="22" t="n">
        <f aca="false">WEEKDAY(A1247,2)</f>
        <v>1</v>
      </c>
      <c r="G1247" s="22" t="str">
        <f aca="false">IF(F1247=7,IF(B1247&gt;=23,"C","Sin turno"),IF(B1247&lt;7,"C",IF(B1247&lt;14,"A",IF(B1247&lt;21,"B",IF(B1247&lt;23,"Entre turnos",IF(F1247=6,"Sin turno","C"))))))</f>
        <v>Entre turnos</v>
      </c>
      <c r="H1247" s="25" t="n">
        <f aca="false">IF(D1247="","",MAX(0,D1247-0.5*C1247))</f>
        <v>0</v>
      </c>
    </row>
    <row r="1248" customFormat="false" ht="15" hidden="false" customHeight="false" outlineLevel="0" collapsed="false">
      <c r="A1248" s="21" t="n">
        <v>46272</v>
      </c>
      <c r="B1248" s="22" t="n">
        <v>22</v>
      </c>
      <c r="C1248" s="25" t="n">
        <v>186.24</v>
      </c>
      <c r="D1248" s="25" t="n">
        <v>24.96</v>
      </c>
      <c r="E1248" s="25" t="n">
        <v>0.12</v>
      </c>
      <c r="F1248" s="22" t="n">
        <f aca="false">WEEKDAY(A1248,2)</f>
        <v>1</v>
      </c>
      <c r="G1248" s="22" t="str">
        <f aca="false">IF(F1248=7,IF(B1248&gt;=23,"C","Sin turno"),IF(B1248&lt;7,"C",IF(B1248&lt;14,"A",IF(B1248&lt;21,"B",IF(B1248&lt;23,"Entre turnos",IF(F1248=6,"Sin turno","C"))))))</f>
        <v>Entre turnos</v>
      </c>
      <c r="H1248" s="25" t="n">
        <f aca="false">IF(D1248="","",MAX(0,D1248-0.5*C1248))</f>
        <v>0</v>
      </c>
    </row>
    <row r="1249" customFormat="false" ht="15" hidden="false" customHeight="false" outlineLevel="0" collapsed="false">
      <c r="A1249" s="21" t="n">
        <v>46272</v>
      </c>
      <c r="B1249" s="22" t="n">
        <v>23</v>
      </c>
      <c r="C1249" s="25" t="n">
        <v>131.16</v>
      </c>
      <c r="D1249" s="25" t="n">
        <v>19.56</v>
      </c>
      <c r="E1249" s="25" t="n">
        <v>0</v>
      </c>
      <c r="F1249" s="22" t="n">
        <f aca="false">WEEKDAY(A1249,2)</f>
        <v>1</v>
      </c>
      <c r="G1249" s="22" t="str">
        <f aca="false">IF(F1249=7,IF(B1249&gt;=23,"C","Sin turno"),IF(B1249&lt;7,"C",IF(B1249&lt;14,"A",IF(B1249&lt;21,"B",IF(B1249&lt;23,"Entre turnos",IF(F1249=6,"Sin turno","C"))))))</f>
        <v>C</v>
      </c>
      <c r="H1249" s="25" t="n">
        <f aca="false">IF(D1249="","",MAX(0,D1249-0.5*C1249))</f>
        <v>0</v>
      </c>
    </row>
    <row r="1250" customFormat="false" ht="15" hidden="false" customHeight="false" outlineLevel="0" collapsed="false">
      <c r="A1250" s="21" t="n">
        <v>46273</v>
      </c>
      <c r="B1250" s="22" t="n">
        <v>0</v>
      </c>
      <c r="C1250" s="25" t="n">
        <v>114</v>
      </c>
      <c r="D1250" s="25" t="n">
        <v>17.52</v>
      </c>
      <c r="E1250" s="25" t="n">
        <v>0</v>
      </c>
      <c r="F1250" s="22" t="n">
        <f aca="false">WEEKDAY(A1250,2)</f>
        <v>2</v>
      </c>
      <c r="G1250" s="22" t="str">
        <f aca="false">IF(F1250=7,IF(B1250&gt;=23,"C","Sin turno"),IF(B1250&lt;7,"C",IF(B1250&lt;14,"A",IF(B1250&lt;21,"B",IF(B1250&lt;23,"Entre turnos",IF(F1250=6,"Sin turno","C"))))))</f>
        <v>C</v>
      </c>
      <c r="H1250" s="25" t="n">
        <f aca="false">IF(D1250="","",MAX(0,D1250-0.5*C1250))</f>
        <v>0</v>
      </c>
    </row>
    <row r="1251" customFormat="false" ht="15" hidden="false" customHeight="false" outlineLevel="0" collapsed="false">
      <c r="A1251" s="21" t="n">
        <v>46273</v>
      </c>
      <c r="B1251" s="22" t="n">
        <v>1</v>
      </c>
      <c r="C1251" s="25" t="n">
        <v>115.2</v>
      </c>
      <c r="D1251" s="25" t="n">
        <v>19.32</v>
      </c>
      <c r="E1251" s="25" t="n">
        <v>0.24</v>
      </c>
      <c r="F1251" s="22" t="n">
        <f aca="false">WEEKDAY(A1251,2)</f>
        <v>2</v>
      </c>
      <c r="G1251" s="22" t="str">
        <f aca="false">IF(F1251=7,IF(B1251&gt;=23,"C","Sin turno"),IF(B1251&lt;7,"C",IF(B1251&lt;14,"A",IF(B1251&lt;21,"B",IF(B1251&lt;23,"Entre turnos",IF(F1251=6,"Sin turno","C"))))))</f>
        <v>C</v>
      </c>
      <c r="H1251" s="25" t="n">
        <f aca="false">IF(D1251="","",MAX(0,D1251-0.5*C1251))</f>
        <v>0</v>
      </c>
    </row>
    <row r="1252" customFormat="false" ht="15" hidden="false" customHeight="false" outlineLevel="0" collapsed="false">
      <c r="A1252" s="21" t="n">
        <v>46273</v>
      </c>
      <c r="B1252" s="22" t="n">
        <v>2</v>
      </c>
      <c r="C1252" s="25" t="n">
        <v>114.6</v>
      </c>
      <c r="D1252" s="25" t="n">
        <v>19.2</v>
      </c>
      <c r="E1252" s="25" t="n">
        <v>0.24</v>
      </c>
      <c r="F1252" s="22" t="n">
        <f aca="false">WEEKDAY(A1252,2)</f>
        <v>2</v>
      </c>
      <c r="G1252" s="22" t="str">
        <f aca="false">IF(F1252=7,IF(B1252&gt;=23,"C","Sin turno"),IF(B1252&lt;7,"C",IF(B1252&lt;14,"A",IF(B1252&lt;21,"B",IF(B1252&lt;23,"Entre turnos",IF(F1252=6,"Sin turno","C"))))))</f>
        <v>C</v>
      </c>
      <c r="H1252" s="25" t="n">
        <f aca="false">IF(D1252="","",MAX(0,D1252-0.5*C1252))</f>
        <v>0</v>
      </c>
    </row>
    <row r="1253" customFormat="false" ht="15" hidden="false" customHeight="false" outlineLevel="0" collapsed="false">
      <c r="A1253" s="21" t="n">
        <v>46273</v>
      </c>
      <c r="B1253" s="22" t="n">
        <v>3</v>
      </c>
      <c r="C1253" s="25" t="n">
        <v>114.84</v>
      </c>
      <c r="D1253" s="25" t="n">
        <v>20.04</v>
      </c>
      <c r="E1253" s="25" t="n">
        <v>0</v>
      </c>
      <c r="F1253" s="22" t="n">
        <f aca="false">WEEKDAY(A1253,2)</f>
        <v>2</v>
      </c>
      <c r="G1253" s="22" t="str">
        <f aca="false">IF(F1253=7,IF(B1253&gt;=23,"C","Sin turno"),IF(B1253&lt;7,"C",IF(B1253&lt;14,"A",IF(B1253&lt;21,"B",IF(B1253&lt;23,"Entre turnos",IF(F1253=6,"Sin turno","C"))))))</f>
        <v>C</v>
      </c>
      <c r="H1253" s="25" t="n">
        <f aca="false">IF(D1253="","",MAX(0,D1253-0.5*C1253))</f>
        <v>0</v>
      </c>
    </row>
    <row r="1254" customFormat="false" ht="15" hidden="false" customHeight="false" outlineLevel="0" collapsed="false">
      <c r="A1254" s="21" t="n">
        <v>46273</v>
      </c>
      <c r="B1254" s="22" t="n">
        <v>4</v>
      </c>
      <c r="C1254" s="25" t="n">
        <v>114.24</v>
      </c>
      <c r="D1254" s="25" t="n">
        <v>19.08</v>
      </c>
      <c r="E1254" s="25" t="n">
        <v>0.24</v>
      </c>
      <c r="F1254" s="22" t="n">
        <f aca="false">WEEKDAY(A1254,2)</f>
        <v>2</v>
      </c>
      <c r="G1254" s="22" t="str">
        <f aca="false">IF(F1254=7,IF(B1254&gt;=23,"C","Sin turno"),IF(B1254&lt;7,"C",IF(B1254&lt;14,"A",IF(B1254&lt;21,"B",IF(B1254&lt;23,"Entre turnos",IF(F1254=6,"Sin turno","C"))))))</f>
        <v>C</v>
      </c>
      <c r="H1254" s="25" t="n">
        <f aca="false">IF(D1254="","",MAX(0,D1254-0.5*C1254))</f>
        <v>0</v>
      </c>
    </row>
    <row r="1255" customFormat="false" ht="15" hidden="false" customHeight="false" outlineLevel="0" collapsed="false">
      <c r="A1255" s="21" t="n">
        <v>46273</v>
      </c>
      <c r="B1255" s="22" t="n">
        <v>5</v>
      </c>
      <c r="C1255" s="25" t="n">
        <v>112.08</v>
      </c>
      <c r="D1255" s="25" t="n">
        <v>18.72</v>
      </c>
      <c r="E1255" s="25" t="n">
        <v>0.12</v>
      </c>
      <c r="F1255" s="22" t="n">
        <f aca="false">WEEKDAY(A1255,2)</f>
        <v>2</v>
      </c>
      <c r="G1255" s="22" t="str">
        <f aca="false">IF(F1255=7,IF(B1255&gt;=23,"C","Sin turno"),IF(B1255&lt;7,"C",IF(B1255&lt;14,"A",IF(B1255&lt;21,"B",IF(B1255&lt;23,"Entre turnos",IF(F1255=6,"Sin turno","C"))))))</f>
        <v>C</v>
      </c>
      <c r="H1255" s="25" t="n">
        <f aca="false">IF(D1255="","",MAX(0,D1255-0.5*C1255))</f>
        <v>0</v>
      </c>
    </row>
    <row r="1256" customFormat="false" ht="15" hidden="false" customHeight="false" outlineLevel="0" collapsed="false">
      <c r="A1256" s="21" t="n">
        <v>46273</v>
      </c>
      <c r="B1256" s="22" t="n">
        <v>6</v>
      </c>
      <c r="C1256" s="25" t="n">
        <v>130.44</v>
      </c>
      <c r="D1256" s="25" t="n">
        <v>21.12</v>
      </c>
      <c r="E1256" s="25" t="n">
        <v>0</v>
      </c>
      <c r="F1256" s="22" t="n">
        <f aca="false">WEEKDAY(A1256,2)</f>
        <v>2</v>
      </c>
      <c r="G1256" s="22" t="str">
        <f aca="false">IF(F1256=7,IF(B1256&gt;=23,"C","Sin turno"),IF(B1256&lt;7,"C",IF(B1256&lt;14,"A",IF(B1256&lt;21,"B",IF(B1256&lt;23,"Entre turnos",IF(F1256=6,"Sin turno","C"))))))</f>
        <v>C</v>
      </c>
      <c r="H1256" s="25" t="n">
        <f aca="false">IF(D1256="","",MAX(0,D1256-0.5*C1256))</f>
        <v>0</v>
      </c>
    </row>
    <row r="1257" customFormat="false" ht="15" hidden="false" customHeight="false" outlineLevel="0" collapsed="false">
      <c r="A1257" s="21" t="n">
        <v>46273</v>
      </c>
      <c r="B1257" s="22" t="n">
        <v>7</v>
      </c>
      <c r="C1257" s="25" t="n">
        <v>213.6</v>
      </c>
      <c r="D1257" s="25" t="n">
        <v>25.2</v>
      </c>
      <c r="E1257" s="25" t="n">
        <v>0.12</v>
      </c>
      <c r="F1257" s="22" t="n">
        <f aca="false">WEEKDAY(A1257,2)</f>
        <v>2</v>
      </c>
      <c r="G1257" s="22" t="str">
        <f aca="false">IF(F1257=7,IF(B1257&gt;=23,"C","Sin turno"),IF(B1257&lt;7,"C",IF(B1257&lt;14,"A",IF(B1257&lt;21,"B",IF(B1257&lt;23,"Entre turnos",IF(F1257=6,"Sin turno","C"))))))</f>
        <v>A</v>
      </c>
      <c r="H1257" s="25" t="n">
        <f aca="false">IF(D1257="","",MAX(0,D1257-0.5*C1257))</f>
        <v>0</v>
      </c>
    </row>
    <row r="1258" customFormat="false" ht="15" hidden="false" customHeight="false" outlineLevel="0" collapsed="false">
      <c r="A1258" s="21" t="n">
        <v>46273</v>
      </c>
      <c r="B1258" s="22" t="n">
        <v>8</v>
      </c>
      <c r="C1258" s="25" t="n">
        <v>274.8</v>
      </c>
      <c r="D1258" s="25" t="n">
        <v>25.8</v>
      </c>
      <c r="E1258" s="25" t="n">
        <v>0</v>
      </c>
      <c r="F1258" s="22" t="n">
        <f aca="false">WEEKDAY(A1258,2)</f>
        <v>2</v>
      </c>
      <c r="G1258" s="22" t="str">
        <f aca="false">IF(F1258=7,IF(B1258&gt;=23,"C","Sin turno"),IF(B1258&lt;7,"C",IF(B1258&lt;14,"A",IF(B1258&lt;21,"B",IF(B1258&lt;23,"Entre turnos",IF(F1258=6,"Sin turno","C"))))))</f>
        <v>A</v>
      </c>
      <c r="H1258" s="25" t="n">
        <f aca="false">IF(D1258="","",MAX(0,D1258-0.5*C1258))</f>
        <v>0</v>
      </c>
    </row>
    <row r="1259" customFormat="false" ht="15" hidden="false" customHeight="false" outlineLevel="0" collapsed="false">
      <c r="A1259" s="21" t="n">
        <v>46273</v>
      </c>
      <c r="B1259" s="22" t="n">
        <v>9</v>
      </c>
      <c r="C1259" s="25" t="n">
        <v>264</v>
      </c>
      <c r="D1259" s="25" t="n">
        <v>21.12</v>
      </c>
      <c r="E1259" s="25" t="n">
        <v>0</v>
      </c>
      <c r="F1259" s="22" t="n">
        <f aca="false">WEEKDAY(A1259,2)</f>
        <v>2</v>
      </c>
      <c r="G1259" s="22" t="str">
        <f aca="false">IF(F1259=7,IF(B1259&gt;=23,"C","Sin turno"),IF(B1259&lt;7,"C",IF(B1259&lt;14,"A",IF(B1259&lt;21,"B",IF(B1259&lt;23,"Entre turnos",IF(F1259=6,"Sin turno","C"))))))</f>
        <v>A</v>
      </c>
      <c r="H1259" s="25" t="n">
        <f aca="false">IF(D1259="","",MAX(0,D1259-0.5*C1259))</f>
        <v>0</v>
      </c>
    </row>
    <row r="1260" customFormat="false" ht="15" hidden="false" customHeight="false" outlineLevel="0" collapsed="false">
      <c r="A1260" s="21" t="n">
        <v>46273</v>
      </c>
      <c r="B1260" s="22" t="n">
        <v>10</v>
      </c>
      <c r="C1260" s="25" t="n">
        <v>274.32</v>
      </c>
      <c r="D1260" s="25" t="n">
        <v>20.4</v>
      </c>
      <c r="E1260" s="25" t="n">
        <v>0</v>
      </c>
      <c r="F1260" s="22" t="n">
        <f aca="false">WEEKDAY(A1260,2)</f>
        <v>2</v>
      </c>
      <c r="G1260" s="22" t="str">
        <f aca="false">IF(F1260=7,IF(B1260&gt;=23,"C","Sin turno"),IF(B1260&lt;7,"C",IF(B1260&lt;14,"A",IF(B1260&lt;21,"B",IF(B1260&lt;23,"Entre turnos",IF(F1260=6,"Sin turno","C"))))))</f>
        <v>A</v>
      </c>
      <c r="H1260" s="25" t="n">
        <f aca="false">IF(D1260="","",MAX(0,D1260-0.5*C1260))</f>
        <v>0</v>
      </c>
    </row>
    <row r="1261" customFormat="false" ht="15" hidden="false" customHeight="false" outlineLevel="0" collapsed="false">
      <c r="A1261" s="21" t="n">
        <v>46273</v>
      </c>
      <c r="B1261" s="22" t="n">
        <v>11</v>
      </c>
      <c r="C1261" s="25" t="n">
        <v>233.64</v>
      </c>
      <c r="D1261" s="25" t="n">
        <v>25.8</v>
      </c>
      <c r="E1261" s="25" t="n">
        <v>0</v>
      </c>
      <c r="F1261" s="22" t="n">
        <f aca="false">WEEKDAY(A1261,2)</f>
        <v>2</v>
      </c>
      <c r="G1261" s="22" t="str">
        <f aca="false">IF(F1261=7,IF(B1261&gt;=23,"C","Sin turno"),IF(B1261&lt;7,"C",IF(B1261&lt;14,"A",IF(B1261&lt;21,"B",IF(B1261&lt;23,"Entre turnos",IF(F1261=6,"Sin turno","C"))))))</f>
        <v>A</v>
      </c>
      <c r="H1261" s="25" t="n">
        <f aca="false">IF(D1261="","",MAX(0,D1261-0.5*C1261))</f>
        <v>0</v>
      </c>
    </row>
    <row r="1262" customFormat="false" ht="15" hidden="false" customHeight="false" outlineLevel="0" collapsed="false">
      <c r="A1262" s="21" t="n">
        <v>46273</v>
      </c>
      <c r="B1262" s="22" t="n">
        <v>12</v>
      </c>
      <c r="C1262" s="25" t="n">
        <v>263.88</v>
      </c>
      <c r="D1262" s="25" t="n">
        <v>23.88</v>
      </c>
      <c r="E1262" s="25" t="n">
        <v>0</v>
      </c>
      <c r="F1262" s="22" t="n">
        <f aca="false">WEEKDAY(A1262,2)</f>
        <v>2</v>
      </c>
      <c r="G1262" s="22" t="str">
        <f aca="false">IF(F1262=7,IF(B1262&gt;=23,"C","Sin turno"),IF(B1262&lt;7,"C",IF(B1262&lt;14,"A",IF(B1262&lt;21,"B",IF(B1262&lt;23,"Entre turnos",IF(F1262=6,"Sin turno","C"))))))</f>
        <v>A</v>
      </c>
      <c r="H1262" s="25" t="n">
        <f aca="false">IF(D1262="","",MAX(0,D1262-0.5*C1262))</f>
        <v>0</v>
      </c>
    </row>
    <row r="1263" customFormat="false" ht="15" hidden="false" customHeight="false" outlineLevel="0" collapsed="false">
      <c r="A1263" s="21" t="n">
        <v>46273</v>
      </c>
      <c r="B1263" s="22" t="n">
        <v>13</v>
      </c>
      <c r="C1263" s="25" t="n">
        <v>289.08</v>
      </c>
      <c r="D1263" s="25" t="n">
        <v>21.6</v>
      </c>
      <c r="E1263" s="25" t="n">
        <v>0</v>
      </c>
      <c r="F1263" s="22" t="n">
        <f aca="false">WEEKDAY(A1263,2)</f>
        <v>2</v>
      </c>
      <c r="G1263" s="22" t="str">
        <f aca="false">IF(F1263=7,IF(B1263&gt;=23,"C","Sin turno"),IF(B1263&lt;7,"C",IF(B1263&lt;14,"A",IF(B1263&lt;21,"B",IF(B1263&lt;23,"Entre turnos",IF(F1263=6,"Sin turno","C"))))))</f>
        <v>A</v>
      </c>
      <c r="H1263" s="25" t="n">
        <f aca="false">IF(D1263="","",MAX(0,D1263-0.5*C1263))</f>
        <v>0</v>
      </c>
    </row>
    <row r="1264" customFormat="false" ht="15" hidden="false" customHeight="false" outlineLevel="0" collapsed="false">
      <c r="A1264" s="21" t="n">
        <v>46273</v>
      </c>
      <c r="B1264" s="22" t="n">
        <v>14</v>
      </c>
      <c r="C1264" s="25" t="n">
        <v>297.48</v>
      </c>
      <c r="D1264" s="25" t="n">
        <v>26.64</v>
      </c>
      <c r="E1264" s="25" t="n">
        <v>0</v>
      </c>
      <c r="F1264" s="22" t="n">
        <f aca="false">WEEKDAY(A1264,2)</f>
        <v>2</v>
      </c>
      <c r="G1264" s="22" t="str">
        <f aca="false">IF(F1264=7,IF(B1264&gt;=23,"C","Sin turno"),IF(B1264&lt;7,"C",IF(B1264&lt;14,"A",IF(B1264&lt;21,"B",IF(B1264&lt;23,"Entre turnos",IF(F1264=6,"Sin turno","C"))))))</f>
        <v>B</v>
      </c>
      <c r="H1264" s="25" t="n">
        <f aca="false">IF(D1264="","",MAX(0,D1264-0.5*C1264))</f>
        <v>0</v>
      </c>
    </row>
    <row r="1265" customFormat="false" ht="15" hidden="false" customHeight="false" outlineLevel="0" collapsed="false">
      <c r="A1265" s="21" t="n">
        <v>46273</v>
      </c>
      <c r="B1265" s="22" t="n">
        <v>15</v>
      </c>
      <c r="C1265" s="25" t="n">
        <v>266.88</v>
      </c>
      <c r="D1265" s="25" t="n">
        <v>22.56</v>
      </c>
      <c r="E1265" s="25" t="n">
        <v>0.12</v>
      </c>
      <c r="F1265" s="22" t="n">
        <f aca="false">WEEKDAY(A1265,2)</f>
        <v>2</v>
      </c>
      <c r="G1265" s="22" t="str">
        <f aca="false">IF(F1265=7,IF(B1265&gt;=23,"C","Sin turno"),IF(B1265&lt;7,"C",IF(B1265&lt;14,"A",IF(B1265&lt;21,"B",IF(B1265&lt;23,"Entre turnos",IF(F1265=6,"Sin turno","C"))))))</f>
        <v>B</v>
      </c>
      <c r="H1265" s="25" t="n">
        <f aca="false">IF(D1265="","",MAX(0,D1265-0.5*C1265))</f>
        <v>0</v>
      </c>
    </row>
    <row r="1266" customFormat="false" ht="15" hidden="false" customHeight="false" outlineLevel="0" collapsed="false">
      <c r="A1266" s="21" t="n">
        <v>46273</v>
      </c>
      <c r="B1266" s="22" t="n">
        <v>16</v>
      </c>
      <c r="C1266" s="25" t="n">
        <v>281.4</v>
      </c>
      <c r="D1266" s="25" t="n">
        <v>21</v>
      </c>
      <c r="E1266" s="25" t="n">
        <v>0.12</v>
      </c>
      <c r="F1266" s="22" t="n">
        <f aca="false">WEEKDAY(A1266,2)</f>
        <v>2</v>
      </c>
      <c r="G1266" s="22" t="str">
        <f aca="false">IF(F1266=7,IF(B1266&gt;=23,"C","Sin turno"),IF(B1266&lt;7,"C",IF(B1266&lt;14,"A",IF(B1266&lt;21,"B",IF(B1266&lt;23,"Entre turnos",IF(F1266=6,"Sin turno","C"))))))</f>
        <v>B</v>
      </c>
      <c r="H1266" s="25" t="n">
        <f aca="false">IF(D1266="","",MAX(0,D1266-0.5*C1266))</f>
        <v>0</v>
      </c>
    </row>
    <row r="1267" customFormat="false" ht="15" hidden="false" customHeight="false" outlineLevel="0" collapsed="false">
      <c r="A1267" s="21" t="n">
        <v>46273</v>
      </c>
      <c r="B1267" s="22" t="n">
        <v>17</v>
      </c>
      <c r="C1267" s="25" t="n">
        <v>242.04</v>
      </c>
      <c r="D1267" s="25" t="n">
        <v>24.96</v>
      </c>
      <c r="E1267" s="25" t="n">
        <v>0</v>
      </c>
      <c r="F1267" s="22" t="n">
        <f aca="false">WEEKDAY(A1267,2)</f>
        <v>2</v>
      </c>
      <c r="G1267" s="22" t="str">
        <f aca="false">IF(F1267=7,IF(B1267&gt;=23,"C","Sin turno"),IF(B1267&lt;7,"C",IF(B1267&lt;14,"A",IF(B1267&lt;21,"B",IF(B1267&lt;23,"Entre turnos",IF(F1267=6,"Sin turno","C"))))))</f>
        <v>B</v>
      </c>
      <c r="H1267" s="25" t="n">
        <f aca="false">IF(D1267="","",MAX(0,D1267-0.5*C1267))</f>
        <v>0</v>
      </c>
    </row>
    <row r="1268" customFormat="false" ht="15" hidden="false" customHeight="false" outlineLevel="0" collapsed="false">
      <c r="A1268" s="21" t="n">
        <v>46273</v>
      </c>
      <c r="B1268" s="22" t="n">
        <v>18</v>
      </c>
      <c r="C1268" s="25" t="n">
        <v>204.6</v>
      </c>
      <c r="D1268" s="25" t="n">
        <v>20.04</v>
      </c>
      <c r="E1268" s="25" t="n">
        <v>0</v>
      </c>
      <c r="F1268" s="22" t="n">
        <f aca="false">WEEKDAY(A1268,2)</f>
        <v>2</v>
      </c>
      <c r="G1268" s="22" t="str">
        <f aca="false">IF(F1268=7,IF(B1268&gt;=23,"C","Sin turno"),IF(B1268&lt;7,"C",IF(B1268&lt;14,"A",IF(B1268&lt;21,"B",IF(B1268&lt;23,"Entre turnos",IF(F1268=6,"Sin turno","C"))))))</f>
        <v>B</v>
      </c>
      <c r="H1268" s="25" t="n">
        <f aca="false">IF(D1268="","",MAX(0,D1268-0.5*C1268))</f>
        <v>0</v>
      </c>
    </row>
    <row r="1269" customFormat="false" ht="15" hidden="false" customHeight="false" outlineLevel="0" collapsed="false">
      <c r="A1269" s="21" t="n">
        <v>46273</v>
      </c>
      <c r="B1269" s="22" t="n">
        <v>19</v>
      </c>
      <c r="C1269" s="25" t="n">
        <v>175.8</v>
      </c>
      <c r="D1269" s="25" t="n">
        <v>24.12</v>
      </c>
      <c r="E1269" s="25" t="n">
        <v>0.12</v>
      </c>
      <c r="F1269" s="22" t="n">
        <f aca="false">WEEKDAY(A1269,2)</f>
        <v>2</v>
      </c>
      <c r="G1269" s="22" t="str">
        <f aca="false">IF(F1269=7,IF(B1269&gt;=23,"C","Sin turno"),IF(B1269&lt;7,"C",IF(B1269&lt;14,"A",IF(B1269&lt;21,"B",IF(B1269&lt;23,"Entre turnos",IF(F1269=6,"Sin turno","C"))))))</f>
        <v>B</v>
      </c>
      <c r="H1269" s="25" t="n">
        <f aca="false">IF(D1269="","",MAX(0,D1269-0.5*C1269))</f>
        <v>0</v>
      </c>
    </row>
    <row r="1270" customFormat="false" ht="15" hidden="false" customHeight="false" outlineLevel="0" collapsed="false">
      <c r="A1270" s="21" t="n">
        <v>46273</v>
      </c>
      <c r="B1270" s="22" t="n">
        <v>20</v>
      </c>
      <c r="C1270" s="25" t="n">
        <v>228.12</v>
      </c>
      <c r="D1270" s="25" t="n">
        <v>20.88</v>
      </c>
      <c r="E1270" s="25" t="n">
        <v>0.12</v>
      </c>
      <c r="F1270" s="22" t="n">
        <f aca="false">WEEKDAY(A1270,2)</f>
        <v>2</v>
      </c>
      <c r="G1270" s="22" t="str">
        <f aca="false">IF(F1270=7,IF(B1270&gt;=23,"C","Sin turno"),IF(B1270&lt;7,"C",IF(B1270&lt;14,"A",IF(B1270&lt;21,"B",IF(B1270&lt;23,"Entre turnos",IF(F1270=6,"Sin turno","C"))))))</f>
        <v>B</v>
      </c>
      <c r="H1270" s="25" t="n">
        <f aca="false">IF(D1270="","",MAX(0,D1270-0.5*C1270))</f>
        <v>0</v>
      </c>
    </row>
    <row r="1271" customFormat="false" ht="15" hidden="false" customHeight="false" outlineLevel="0" collapsed="false">
      <c r="A1271" s="21" t="n">
        <v>46273</v>
      </c>
      <c r="B1271" s="22" t="n">
        <v>21</v>
      </c>
      <c r="C1271" s="25" t="n">
        <v>224.28</v>
      </c>
      <c r="D1271" s="25" t="n">
        <v>21.24</v>
      </c>
      <c r="E1271" s="25" t="n">
        <v>0.12</v>
      </c>
      <c r="F1271" s="22" t="n">
        <f aca="false">WEEKDAY(A1271,2)</f>
        <v>2</v>
      </c>
      <c r="G1271" s="22" t="str">
        <f aca="false">IF(F1271=7,IF(B1271&gt;=23,"C","Sin turno"),IF(B1271&lt;7,"C",IF(B1271&lt;14,"A",IF(B1271&lt;21,"B",IF(B1271&lt;23,"Entre turnos",IF(F1271=6,"Sin turno","C"))))))</f>
        <v>Entre turnos</v>
      </c>
      <c r="H1271" s="25" t="n">
        <f aca="false">IF(D1271="","",MAX(0,D1271-0.5*C1271))</f>
        <v>0</v>
      </c>
    </row>
    <row r="1272" customFormat="false" ht="15" hidden="false" customHeight="false" outlineLevel="0" collapsed="false">
      <c r="A1272" s="21" t="n">
        <v>46273</v>
      </c>
      <c r="B1272" s="22" t="n">
        <v>22</v>
      </c>
      <c r="C1272" s="25" t="n">
        <v>195.36</v>
      </c>
      <c r="D1272" s="25" t="n">
        <v>16.44</v>
      </c>
      <c r="E1272" s="25" t="n">
        <v>0.12</v>
      </c>
      <c r="F1272" s="22" t="n">
        <f aca="false">WEEKDAY(A1272,2)</f>
        <v>2</v>
      </c>
      <c r="G1272" s="22" t="str">
        <f aca="false">IF(F1272=7,IF(B1272&gt;=23,"C","Sin turno"),IF(B1272&lt;7,"C",IF(B1272&lt;14,"A",IF(B1272&lt;21,"B",IF(B1272&lt;23,"Entre turnos",IF(F1272=6,"Sin turno","C"))))))</f>
        <v>Entre turnos</v>
      </c>
      <c r="H1272" s="25" t="n">
        <f aca="false">IF(D1272="","",MAX(0,D1272-0.5*C1272))</f>
        <v>0</v>
      </c>
    </row>
    <row r="1273" customFormat="false" ht="15" hidden="false" customHeight="false" outlineLevel="0" collapsed="false">
      <c r="A1273" s="21" t="n">
        <v>46273</v>
      </c>
      <c r="B1273" s="22" t="n">
        <v>23</v>
      </c>
      <c r="C1273" s="25" t="n">
        <v>130.2</v>
      </c>
      <c r="D1273" s="25" t="n">
        <v>21.12</v>
      </c>
      <c r="E1273" s="25" t="n">
        <v>0.24</v>
      </c>
      <c r="F1273" s="22" t="n">
        <f aca="false">WEEKDAY(A1273,2)</f>
        <v>2</v>
      </c>
      <c r="G1273" s="22" t="str">
        <f aca="false">IF(F1273=7,IF(B1273&gt;=23,"C","Sin turno"),IF(B1273&lt;7,"C",IF(B1273&lt;14,"A",IF(B1273&lt;21,"B",IF(B1273&lt;23,"Entre turnos",IF(F1273=6,"Sin turno","C"))))))</f>
        <v>C</v>
      </c>
      <c r="H1273" s="25" t="n">
        <f aca="false">IF(D1273="","",MAX(0,D1273-0.5*C1273))</f>
        <v>0</v>
      </c>
    </row>
    <row r="1274" customFormat="false" ht="15" hidden="false" customHeight="false" outlineLevel="0" collapsed="false">
      <c r="A1274" s="21" t="n">
        <v>46274</v>
      </c>
      <c r="B1274" s="22" t="n">
        <v>0</v>
      </c>
      <c r="C1274" s="25" t="n">
        <v>114.12</v>
      </c>
      <c r="D1274" s="25" t="n">
        <v>19.08</v>
      </c>
      <c r="E1274" s="25" t="n">
        <v>0.24</v>
      </c>
      <c r="F1274" s="22" t="n">
        <f aca="false">WEEKDAY(A1274,2)</f>
        <v>3</v>
      </c>
      <c r="G1274" s="22" t="str">
        <f aca="false">IF(F1274=7,IF(B1274&gt;=23,"C","Sin turno"),IF(B1274&lt;7,"C",IF(B1274&lt;14,"A",IF(B1274&lt;21,"B",IF(B1274&lt;23,"Entre turnos",IF(F1274=6,"Sin turno","C"))))))</f>
        <v>C</v>
      </c>
      <c r="H1274" s="25" t="n">
        <f aca="false">IF(D1274="","",MAX(0,D1274-0.5*C1274))</f>
        <v>0</v>
      </c>
    </row>
    <row r="1275" customFormat="false" ht="15" hidden="false" customHeight="false" outlineLevel="0" collapsed="false">
      <c r="A1275" s="21" t="n">
        <v>46274</v>
      </c>
      <c r="B1275" s="22" t="n">
        <v>1</v>
      </c>
      <c r="C1275" s="25" t="n">
        <v>110.04</v>
      </c>
      <c r="D1275" s="25" t="n">
        <v>20.28</v>
      </c>
      <c r="E1275" s="25" t="n">
        <v>0.12</v>
      </c>
      <c r="F1275" s="22" t="n">
        <f aca="false">WEEKDAY(A1275,2)</f>
        <v>3</v>
      </c>
      <c r="G1275" s="22" t="str">
        <f aca="false">IF(F1275=7,IF(B1275&gt;=23,"C","Sin turno"),IF(B1275&lt;7,"C",IF(B1275&lt;14,"A",IF(B1275&lt;21,"B",IF(B1275&lt;23,"Entre turnos",IF(F1275=6,"Sin turno","C"))))))</f>
        <v>C</v>
      </c>
      <c r="H1275" s="25" t="n">
        <f aca="false">IF(D1275="","",MAX(0,D1275-0.5*C1275))</f>
        <v>0</v>
      </c>
    </row>
    <row r="1276" customFormat="false" ht="15" hidden="false" customHeight="false" outlineLevel="0" collapsed="false">
      <c r="A1276" s="21" t="n">
        <v>46274</v>
      </c>
      <c r="B1276" s="22" t="n">
        <v>2</v>
      </c>
      <c r="C1276" s="25" t="n">
        <v>106.8</v>
      </c>
      <c r="D1276" s="25" t="n">
        <v>20.4</v>
      </c>
      <c r="E1276" s="25" t="n">
        <v>0.12</v>
      </c>
      <c r="F1276" s="22" t="n">
        <f aca="false">WEEKDAY(A1276,2)</f>
        <v>3</v>
      </c>
      <c r="G1276" s="22" t="str">
        <f aca="false">IF(F1276=7,IF(B1276&gt;=23,"C","Sin turno"),IF(B1276&lt;7,"C",IF(B1276&lt;14,"A",IF(B1276&lt;21,"B",IF(B1276&lt;23,"Entre turnos",IF(F1276=6,"Sin turno","C"))))))</f>
        <v>C</v>
      </c>
      <c r="H1276" s="25" t="n">
        <f aca="false">IF(D1276="","",MAX(0,D1276-0.5*C1276))</f>
        <v>0</v>
      </c>
    </row>
    <row r="1277" customFormat="false" ht="15" hidden="false" customHeight="false" outlineLevel="0" collapsed="false">
      <c r="A1277" s="21" t="n">
        <v>46274</v>
      </c>
      <c r="B1277" s="22" t="n">
        <v>3</v>
      </c>
      <c r="C1277" s="25" t="n">
        <v>111.96</v>
      </c>
      <c r="D1277" s="25" t="n">
        <v>19.68</v>
      </c>
      <c r="E1277" s="25" t="n">
        <v>0.24</v>
      </c>
      <c r="F1277" s="22" t="n">
        <f aca="false">WEEKDAY(A1277,2)</f>
        <v>3</v>
      </c>
      <c r="G1277" s="22" t="str">
        <f aca="false">IF(F1277=7,IF(B1277&gt;=23,"C","Sin turno"),IF(B1277&lt;7,"C",IF(B1277&lt;14,"A",IF(B1277&lt;21,"B",IF(B1277&lt;23,"Entre turnos",IF(F1277=6,"Sin turno","C"))))))</f>
        <v>C</v>
      </c>
      <c r="H1277" s="25" t="n">
        <f aca="false">IF(D1277="","",MAX(0,D1277-0.5*C1277))</f>
        <v>0</v>
      </c>
    </row>
    <row r="1278" customFormat="false" ht="15" hidden="false" customHeight="false" outlineLevel="0" collapsed="false">
      <c r="A1278" s="21" t="n">
        <v>46274</v>
      </c>
      <c r="B1278" s="22" t="n">
        <v>4</v>
      </c>
      <c r="C1278" s="25" t="n">
        <v>104.76</v>
      </c>
      <c r="D1278" s="25" t="n">
        <v>20.28</v>
      </c>
      <c r="E1278" s="25" t="n">
        <v>0.12</v>
      </c>
      <c r="F1278" s="22" t="n">
        <f aca="false">WEEKDAY(A1278,2)</f>
        <v>3</v>
      </c>
      <c r="G1278" s="22" t="str">
        <f aca="false">IF(F1278=7,IF(B1278&gt;=23,"C","Sin turno"),IF(B1278&lt;7,"C",IF(B1278&lt;14,"A",IF(B1278&lt;21,"B",IF(B1278&lt;23,"Entre turnos",IF(F1278=6,"Sin turno","C"))))))</f>
        <v>C</v>
      </c>
      <c r="H1278" s="25" t="n">
        <f aca="false">IF(D1278="","",MAX(0,D1278-0.5*C1278))</f>
        <v>0</v>
      </c>
    </row>
    <row r="1279" customFormat="false" ht="15" hidden="false" customHeight="false" outlineLevel="0" collapsed="false">
      <c r="A1279" s="21" t="n">
        <v>46274</v>
      </c>
      <c r="B1279" s="22" t="n">
        <v>5</v>
      </c>
      <c r="C1279" s="25" t="n">
        <v>105.48</v>
      </c>
      <c r="D1279" s="25" t="n">
        <v>21.72</v>
      </c>
      <c r="E1279" s="25" t="n">
        <v>0.12</v>
      </c>
      <c r="F1279" s="22" t="n">
        <f aca="false">WEEKDAY(A1279,2)</f>
        <v>3</v>
      </c>
      <c r="G1279" s="22" t="str">
        <f aca="false">IF(F1279=7,IF(B1279&gt;=23,"C","Sin turno"),IF(B1279&lt;7,"C",IF(B1279&lt;14,"A",IF(B1279&lt;21,"B",IF(B1279&lt;23,"Entre turnos",IF(F1279=6,"Sin turno","C"))))))</f>
        <v>C</v>
      </c>
      <c r="H1279" s="25" t="n">
        <f aca="false">IF(D1279="","",MAX(0,D1279-0.5*C1279))</f>
        <v>0</v>
      </c>
    </row>
    <row r="1280" customFormat="false" ht="15" hidden="false" customHeight="false" outlineLevel="0" collapsed="false">
      <c r="A1280" s="21" t="n">
        <v>46274</v>
      </c>
      <c r="B1280" s="22" t="n">
        <v>6</v>
      </c>
      <c r="C1280" s="25" t="n">
        <v>138.12</v>
      </c>
      <c r="D1280" s="25" t="n">
        <v>21</v>
      </c>
      <c r="E1280" s="25" t="n">
        <v>0.12</v>
      </c>
      <c r="F1280" s="22" t="n">
        <f aca="false">WEEKDAY(A1280,2)</f>
        <v>3</v>
      </c>
      <c r="G1280" s="22" t="str">
        <f aca="false">IF(F1280=7,IF(B1280&gt;=23,"C","Sin turno"),IF(B1280&lt;7,"C",IF(B1280&lt;14,"A",IF(B1280&lt;21,"B",IF(B1280&lt;23,"Entre turnos",IF(F1280=6,"Sin turno","C"))))))</f>
        <v>C</v>
      </c>
      <c r="H1280" s="25" t="n">
        <f aca="false">IF(D1280="","",MAX(0,D1280-0.5*C1280))</f>
        <v>0</v>
      </c>
    </row>
    <row r="1281" customFormat="false" ht="15" hidden="false" customHeight="false" outlineLevel="0" collapsed="false">
      <c r="A1281" s="21" t="n">
        <v>46274</v>
      </c>
      <c r="B1281" s="22" t="n">
        <v>7</v>
      </c>
      <c r="C1281" s="25" t="n">
        <v>209.04</v>
      </c>
      <c r="D1281" s="25" t="n">
        <v>23.04</v>
      </c>
      <c r="E1281" s="25" t="n">
        <v>0.24</v>
      </c>
      <c r="F1281" s="22" t="n">
        <f aca="false">WEEKDAY(A1281,2)</f>
        <v>3</v>
      </c>
      <c r="G1281" s="22" t="str">
        <f aca="false">IF(F1281=7,IF(B1281&gt;=23,"C","Sin turno"),IF(B1281&lt;7,"C",IF(B1281&lt;14,"A",IF(B1281&lt;21,"B",IF(B1281&lt;23,"Entre turnos",IF(F1281=6,"Sin turno","C"))))))</f>
        <v>A</v>
      </c>
      <c r="H1281" s="25" t="n">
        <f aca="false">IF(D1281="","",MAX(0,D1281-0.5*C1281))</f>
        <v>0</v>
      </c>
    </row>
    <row r="1282" customFormat="false" ht="15" hidden="false" customHeight="false" outlineLevel="0" collapsed="false">
      <c r="A1282" s="21" t="n">
        <v>46274</v>
      </c>
      <c r="B1282" s="22" t="n">
        <v>8</v>
      </c>
      <c r="C1282" s="25" t="n">
        <v>248.4</v>
      </c>
      <c r="D1282" s="25" t="n">
        <v>26.76</v>
      </c>
      <c r="E1282" s="25" t="n">
        <v>0</v>
      </c>
      <c r="F1282" s="22" t="n">
        <f aca="false">WEEKDAY(A1282,2)</f>
        <v>3</v>
      </c>
      <c r="G1282" s="22" t="str">
        <f aca="false">IF(F1282=7,IF(B1282&gt;=23,"C","Sin turno"),IF(B1282&lt;7,"C",IF(B1282&lt;14,"A",IF(B1282&lt;21,"B",IF(B1282&lt;23,"Entre turnos",IF(F1282=6,"Sin turno","C"))))))</f>
        <v>A</v>
      </c>
      <c r="H1282" s="25" t="n">
        <f aca="false">IF(D1282="","",MAX(0,D1282-0.5*C1282))</f>
        <v>0</v>
      </c>
    </row>
    <row r="1283" customFormat="false" ht="15" hidden="false" customHeight="false" outlineLevel="0" collapsed="false">
      <c r="A1283" s="21" t="n">
        <v>46274</v>
      </c>
      <c r="B1283" s="22" t="n">
        <v>9</v>
      </c>
      <c r="C1283" s="25" t="n">
        <v>247.08</v>
      </c>
      <c r="D1283" s="25" t="n">
        <v>27.72</v>
      </c>
      <c r="E1283" s="25" t="n">
        <v>0</v>
      </c>
      <c r="F1283" s="22" t="n">
        <f aca="false">WEEKDAY(A1283,2)</f>
        <v>3</v>
      </c>
      <c r="G1283" s="22" t="str">
        <f aca="false">IF(F1283=7,IF(B1283&gt;=23,"C","Sin turno"),IF(B1283&lt;7,"C",IF(B1283&lt;14,"A",IF(B1283&lt;21,"B",IF(B1283&lt;23,"Entre turnos",IF(F1283=6,"Sin turno","C"))))))</f>
        <v>A</v>
      </c>
      <c r="H1283" s="25" t="n">
        <f aca="false">IF(D1283="","",MAX(0,D1283-0.5*C1283))</f>
        <v>0</v>
      </c>
    </row>
    <row r="1284" customFormat="false" ht="15" hidden="false" customHeight="false" outlineLevel="0" collapsed="false">
      <c r="A1284" s="21" t="n">
        <v>46274</v>
      </c>
      <c r="B1284" s="22" t="n">
        <v>10</v>
      </c>
      <c r="C1284" s="25" t="n">
        <v>255.24</v>
      </c>
      <c r="D1284" s="25" t="n">
        <v>28.08</v>
      </c>
      <c r="E1284" s="25" t="n">
        <v>0</v>
      </c>
      <c r="F1284" s="22" t="n">
        <f aca="false">WEEKDAY(A1284,2)</f>
        <v>3</v>
      </c>
      <c r="G1284" s="22" t="str">
        <f aca="false">IF(F1284=7,IF(B1284&gt;=23,"C","Sin turno"),IF(B1284&lt;7,"C",IF(B1284&lt;14,"A",IF(B1284&lt;21,"B",IF(B1284&lt;23,"Entre turnos",IF(F1284=6,"Sin turno","C"))))))</f>
        <v>A</v>
      </c>
      <c r="H1284" s="25" t="n">
        <f aca="false">IF(D1284="","",MAX(0,D1284-0.5*C1284))</f>
        <v>0</v>
      </c>
    </row>
    <row r="1285" customFormat="false" ht="15" hidden="false" customHeight="false" outlineLevel="0" collapsed="false">
      <c r="A1285" s="21" t="n">
        <v>46274</v>
      </c>
      <c r="B1285" s="22" t="n">
        <v>11</v>
      </c>
      <c r="C1285" s="25" t="n">
        <v>237.84</v>
      </c>
      <c r="D1285" s="25" t="n">
        <v>26.52</v>
      </c>
      <c r="E1285" s="25" t="n">
        <v>0.12</v>
      </c>
      <c r="F1285" s="22" t="n">
        <f aca="false">WEEKDAY(A1285,2)</f>
        <v>3</v>
      </c>
      <c r="G1285" s="22" t="str">
        <f aca="false">IF(F1285=7,IF(B1285&gt;=23,"C","Sin turno"),IF(B1285&lt;7,"C",IF(B1285&lt;14,"A",IF(B1285&lt;21,"B",IF(B1285&lt;23,"Entre turnos",IF(F1285=6,"Sin turno","C"))))))</f>
        <v>A</v>
      </c>
      <c r="H1285" s="25" t="n">
        <f aca="false">IF(D1285="","",MAX(0,D1285-0.5*C1285))</f>
        <v>0</v>
      </c>
    </row>
    <row r="1286" customFormat="false" ht="15" hidden="false" customHeight="false" outlineLevel="0" collapsed="false">
      <c r="A1286" s="21" t="n">
        <v>46274</v>
      </c>
      <c r="B1286" s="22" t="n">
        <v>12</v>
      </c>
      <c r="C1286" s="25" t="n">
        <v>256.8</v>
      </c>
      <c r="D1286" s="25" t="n">
        <v>19.8</v>
      </c>
      <c r="E1286" s="25" t="n">
        <v>0</v>
      </c>
      <c r="F1286" s="22" t="n">
        <f aca="false">WEEKDAY(A1286,2)</f>
        <v>3</v>
      </c>
      <c r="G1286" s="22" t="str">
        <f aca="false">IF(F1286=7,IF(B1286&gt;=23,"C","Sin turno"),IF(B1286&lt;7,"C",IF(B1286&lt;14,"A",IF(B1286&lt;21,"B",IF(B1286&lt;23,"Entre turnos",IF(F1286=6,"Sin turno","C"))))))</f>
        <v>A</v>
      </c>
      <c r="H1286" s="25" t="n">
        <f aca="false">IF(D1286="","",MAX(0,D1286-0.5*C1286))</f>
        <v>0</v>
      </c>
    </row>
    <row r="1287" customFormat="false" ht="15" hidden="false" customHeight="false" outlineLevel="0" collapsed="false">
      <c r="A1287" s="21" t="n">
        <v>46274</v>
      </c>
      <c r="B1287" s="22" t="n">
        <v>13</v>
      </c>
      <c r="C1287" s="25" t="n">
        <v>266.16</v>
      </c>
      <c r="D1287" s="25" t="n">
        <v>21.36</v>
      </c>
      <c r="E1287" s="25" t="n">
        <v>0.12</v>
      </c>
      <c r="F1287" s="22" t="n">
        <f aca="false">WEEKDAY(A1287,2)</f>
        <v>3</v>
      </c>
      <c r="G1287" s="22" t="str">
        <f aca="false">IF(F1287=7,IF(B1287&gt;=23,"C","Sin turno"),IF(B1287&lt;7,"C",IF(B1287&lt;14,"A",IF(B1287&lt;21,"B",IF(B1287&lt;23,"Entre turnos",IF(F1287=6,"Sin turno","C"))))))</f>
        <v>A</v>
      </c>
      <c r="H1287" s="25" t="n">
        <f aca="false">IF(D1287="","",MAX(0,D1287-0.5*C1287))</f>
        <v>0</v>
      </c>
    </row>
    <row r="1288" customFormat="false" ht="15" hidden="false" customHeight="false" outlineLevel="0" collapsed="false">
      <c r="A1288" s="21" t="n">
        <v>46274</v>
      </c>
      <c r="B1288" s="22" t="n">
        <v>14</v>
      </c>
      <c r="C1288" s="25" t="n">
        <v>270.84</v>
      </c>
      <c r="D1288" s="25" t="n">
        <v>19.2</v>
      </c>
      <c r="E1288" s="25" t="n">
        <v>0</v>
      </c>
      <c r="F1288" s="22" t="n">
        <f aca="false">WEEKDAY(A1288,2)</f>
        <v>3</v>
      </c>
      <c r="G1288" s="22" t="str">
        <f aca="false">IF(F1288=7,IF(B1288&gt;=23,"C","Sin turno"),IF(B1288&lt;7,"C",IF(B1288&lt;14,"A",IF(B1288&lt;21,"B",IF(B1288&lt;23,"Entre turnos",IF(F1288=6,"Sin turno","C"))))))</f>
        <v>B</v>
      </c>
      <c r="H1288" s="25" t="n">
        <f aca="false">IF(D1288="","",MAX(0,D1288-0.5*C1288))</f>
        <v>0</v>
      </c>
    </row>
    <row r="1289" customFormat="false" ht="15" hidden="false" customHeight="false" outlineLevel="0" collapsed="false">
      <c r="A1289" s="21" t="n">
        <v>46274</v>
      </c>
      <c r="B1289" s="22" t="n">
        <v>15</v>
      </c>
      <c r="C1289" s="25" t="n">
        <v>262.32</v>
      </c>
      <c r="D1289" s="25" t="n">
        <v>16.8</v>
      </c>
      <c r="E1289" s="25" t="n">
        <v>0</v>
      </c>
      <c r="F1289" s="22" t="n">
        <f aca="false">WEEKDAY(A1289,2)</f>
        <v>3</v>
      </c>
      <c r="G1289" s="22" t="str">
        <f aca="false">IF(F1289=7,IF(B1289&gt;=23,"C","Sin turno"),IF(B1289&lt;7,"C",IF(B1289&lt;14,"A",IF(B1289&lt;21,"B",IF(B1289&lt;23,"Entre turnos",IF(F1289=6,"Sin turno","C"))))))</f>
        <v>B</v>
      </c>
      <c r="H1289" s="25" t="n">
        <f aca="false">IF(D1289="","",MAX(0,D1289-0.5*C1289))</f>
        <v>0</v>
      </c>
    </row>
    <row r="1290" customFormat="false" ht="15" hidden="false" customHeight="false" outlineLevel="0" collapsed="false">
      <c r="A1290" s="21" t="n">
        <v>46274</v>
      </c>
      <c r="B1290" s="22" t="n">
        <v>16</v>
      </c>
      <c r="C1290" s="25" t="n">
        <v>280.92</v>
      </c>
      <c r="D1290" s="25" t="n">
        <v>21.48</v>
      </c>
      <c r="E1290" s="25" t="n">
        <v>0.12</v>
      </c>
      <c r="F1290" s="22" t="n">
        <f aca="false">WEEKDAY(A1290,2)</f>
        <v>3</v>
      </c>
      <c r="G1290" s="22" t="str">
        <f aca="false">IF(F1290=7,IF(B1290&gt;=23,"C","Sin turno"),IF(B1290&lt;7,"C",IF(B1290&lt;14,"A",IF(B1290&lt;21,"B",IF(B1290&lt;23,"Entre turnos",IF(F1290=6,"Sin turno","C"))))))</f>
        <v>B</v>
      </c>
      <c r="H1290" s="25" t="n">
        <f aca="false">IF(D1290="","",MAX(0,D1290-0.5*C1290))</f>
        <v>0</v>
      </c>
    </row>
    <row r="1291" customFormat="false" ht="15" hidden="false" customHeight="false" outlineLevel="0" collapsed="false">
      <c r="A1291" s="21" t="n">
        <v>46274</v>
      </c>
      <c r="B1291" s="22" t="n">
        <v>17</v>
      </c>
      <c r="C1291" s="25" t="n">
        <v>248.88</v>
      </c>
      <c r="D1291" s="25" t="n">
        <v>25.68</v>
      </c>
      <c r="E1291" s="25" t="n">
        <v>0</v>
      </c>
      <c r="F1291" s="22" t="n">
        <f aca="false">WEEKDAY(A1291,2)</f>
        <v>3</v>
      </c>
      <c r="G1291" s="22" t="str">
        <f aca="false">IF(F1291=7,IF(B1291&gt;=23,"C","Sin turno"),IF(B1291&lt;7,"C",IF(B1291&lt;14,"A",IF(B1291&lt;21,"B",IF(B1291&lt;23,"Entre turnos",IF(F1291=6,"Sin turno","C"))))))</f>
        <v>B</v>
      </c>
      <c r="H1291" s="25" t="n">
        <f aca="false">IF(D1291="","",MAX(0,D1291-0.5*C1291))</f>
        <v>0</v>
      </c>
    </row>
    <row r="1292" customFormat="false" ht="15" hidden="false" customHeight="false" outlineLevel="0" collapsed="false">
      <c r="A1292" s="21" t="n">
        <v>46274</v>
      </c>
      <c r="B1292" s="22" t="n">
        <v>18</v>
      </c>
      <c r="C1292" s="25" t="n">
        <v>219.84</v>
      </c>
      <c r="D1292" s="25" t="n">
        <v>24.24</v>
      </c>
      <c r="E1292" s="25" t="n">
        <v>0</v>
      </c>
      <c r="F1292" s="22" t="n">
        <f aca="false">WEEKDAY(A1292,2)</f>
        <v>3</v>
      </c>
      <c r="G1292" s="22" t="str">
        <f aca="false">IF(F1292=7,IF(B1292&gt;=23,"C","Sin turno"),IF(B1292&lt;7,"C",IF(B1292&lt;14,"A",IF(B1292&lt;21,"B",IF(B1292&lt;23,"Entre turnos",IF(F1292=6,"Sin turno","C"))))))</f>
        <v>B</v>
      </c>
      <c r="H1292" s="25" t="n">
        <f aca="false">IF(D1292="","",MAX(0,D1292-0.5*C1292))</f>
        <v>0</v>
      </c>
    </row>
    <row r="1293" customFormat="false" ht="15" hidden="false" customHeight="false" outlineLevel="0" collapsed="false">
      <c r="A1293" s="21" t="n">
        <v>46274</v>
      </c>
      <c r="B1293" s="22" t="n">
        <v>19</v>
      </c>
      <c r="C1293" s="25" t="n">
        <v>192.72</v>
      </c>
      <c r="D1293" s="25" t="n">
        <v>16.92</v>
      </c>
      <c r="E1293" s="25" t="n">
        <v>0.12</v>
      </c>
      <c r="F1293" s="22" t="n">
        <f aca="false">WEEKDAY(A1293,2)</f>
        <v>3</v>
      </c>
      <c r="G1293" s="22" t="str">
        <f aca="false">IF(F1293=7,IF(B1293&gt;=23,"C","Sin turno"),IF(B1293&lt;7,"C",IF(B1293&lt;14,"A",IF(B1293&lt;21,"B",IF(B1293&lt;23,"Entre turnos",IF(F1293=6,"Sin turno","C"))))))</f>
        <v>B</v>
      </c>
      <c r="H1293" s="25" t="n">
        <f aca="false">IF(D1293="","",MAX(0,D1293-0.5*C1293))</f>
        <v>0</v>
      </c>
    </row>
    <row r="1294" customFormat="false" ht="15" hidden="false" customHeight="false" outlineLevel="0" collapsed="false">
      <c r="A1294" s="21" t="n">
        <v>46274</v>
      </c>
      <c r="B1294" s="22" t="n">
        <v>20</v>
      </c>
      <c r="C1294" s="25" t="n">
        <v>208.68</v>
      </c>
      <c r="D1294" s="25" t="n">
        <v>18.6</v>
      </c>
      <c r="E1294" s="25" t="n">
        <v>0.12</v>
      </c>
      <c r="F1294" s="22" t="n">
        <f aca="false">WEEKDAY(A1294,2)</f>
        <v>3</v>
      </c>
      <c r="G1294" s="22" t="str">
        <f aca="false">IF(F1294=7,IF(B1294&gt;=23,"C","Sin turno"),IF(B1294&lt;7,"C",IF(B1294&lt;14,"A",IF(B1294&lt;21,"B",IF(B1294&lt;23,"Entre turnos",IF(F1294=6,"Sin turno","C"))))))</f>
        <v>B</v>
      </c>
      <c r="H1294" s="25" t="n">
        <f aca="false">IF(D1294="","",MAX(0,D1294-0.5*C1294))</f>
        <v>0</v>
      </c>
    </row>
    <row r="1295" customFormat="false" ht="15" hidden="false" customHeight="false" outlineLevel="0" collapsed="false">
      <c r="A1295" s="21" t="n">
        <v>46274</v>
      </c>
      <c r="B1295" s="22" t="n">
        <v>21</v>
      </c>
      <c r="C1295" s="25" t="n">
        <v>216.72</v>
      </c>
      <c r="D1295" s="25" t="n">
        <v>18</v>
      </c>
      <c r="E1295" s="25" t="n">
        <v>0.24</v>
      </c>
      <c r="F1295" s="22" t="n">
        <f aca="false">WEEKDAY(A1295,2)</f>
        <v>3</v>
      </c>
      <c r="G1295" s="22" t="str">
        <f aca="false">IF(F1295=7,IF(B1295&gt;=23,"C","Sin turno"),IF(B1295&lt;7,"C",IF(B1295&lt;14,"A",IF(B1295&lt;21,"B",IF(B1295&lt;23,"Entre turnos",IF(F1295=6,"Sin turno","C"))))))</f>
        <v>Entre turnos</v>
      </c>
      <c r="H1295" s="25" t="n">
        <f aca="false">IF(D1295="","",MAX(0,D1295-0.5*C1295))</f>
        <v>0</v>
      </c>
    </row>
    <row r="1296" customFormat="false" ht="15" hidden="false" customHeight="false" outlineLevel="0" collapsed="false">
      <c r="A1296" s="21" t="n">
        <v>46274</v>
      </c>
      <c r="B1296" s="22" t="n">
        <v>22</v>
      </c>
      <c r="C1296" s="25" t="n">
        <v>197.28</v>
      </c>
      <c r="D1296" s="25" t="n">
        <v>17.52</v>
      </c>
      <c r="E1296" s="25" t="n">
        <v>0.24</v>
      </c>
      <c r="F1296" s="22" t="n">
        <f aca="false">WEEKDAY(A1296,2)</f>
        <v>3</v>
      </c>
      <c r="G1296" s="22" t="str">
        <f aca="false">IF(F1296=7,IF(B1296&gt;=23,"C","Sin turno"),IF(B1296&lt;7,"C",IF(B1296&lt;14,"A",IF(B1296&lt;21,"B",IF(B1296&lt;23,"Entre turnos",IF(F1296=6,"Sin turno","C"))))))</f>
        <v>Entre turnos</v>
      </c>
      <c r="H1296" s="25" t="n">
        <f aca="false">IF(D1296="","",MAX(0,D1296-0.5*C1296))</f>
        <v>0</v>
      </c>
    </row>
    <row r="1297" customFormat="false" ht="15" hidden="false" customHeight="false" outlineLevel="0" collapsed="false">
      <c r="A1297" s="21" t="n">
        <v>46274</v>
      </c>
      <c r="B1297" s="22" t="n">
        <v>23</v>
      </c>
      <c r="C1297" s="25" t="n">
        <v>130.68</v>
      </c>
      <c r="D1297" s="25" t="n">
        <v>21</v>
      </c>
      <c r="E1297" s="25" t="n">
        <v>0.36</v>
      </c>
      <c r="F1297" s="22" t="n">
        <f aca="false">WEEKDAY(A1297,2)</f>
        <v>3</v>
      </c>
      <c r="G1297" s="22" t="str">
        <f aca="false">IF(F1297=7,IF(B1297&gt;=23,"C","Sin turno"),IF(B1297&lt;7,"C",IF(B1297&lt;14,"A",IF(B1297&lt;21,"B",IF(B1297&lt;23,"Entre turnos",IF(F1297=6,"Sin turno","C"))))))</f>
        <v>C</v>
      </c>
      <c r="H1297" s="25" t="n">
        <f aca="false">IF(D1297="","",MAX(0,D1297-0.5*C1297))</f>
        <v>0</v>
      </c>
    </row>
    <row r="1298" customFormat="false" ht="15" hidden="false" customHeight="false" outlineLevel="0" collapsed="false">
      <c r="A1298" s="21" t="n">
        <v>46275</v>
      </c>
      <c r="B1298" s="22" t="n">
        <v>0</v>
      </c>
      <c r="C1298" s="25" t="n">
        <v>111</v>
      </c>
      <c r="D1298" s="25" t="n">
        <v>21.72</v>
      </c>
      <c r="E1298" s="25" t="n">
        <v>0</v>
      </c>
      <c r="F1298" s="22" t="n">
        <f aca="false">WEEKDAY(A1298,2)</f>
        <v>4</v>
      </c>
      <c r="G1298" s="22" t="str">
        <f aca="false">IF(F1298=7,IF(B1298&gt;=23,"C","Sin turno"),IF(B1298&lt;7,"C",IF(B1298&lt;14,"A",IF(B1298&lt;21,"B",IF(B1298&lt;23,"Entre turnos",IF(F1298=6,"Sin turno","C"))))))</f>
        <v>C</v>
      </c>
      <c r="H1298" s="25" t="n">
        <f aca="false">IF(D1298="","",MAX(0,D1298-0.5*C1298))</f>
        <v>0</v>
      </c>
    </row>
    <row r="1299" customFormat="false" ht="15" hidden="false" customHeight="false" outlineLevel="0" collapsed="false">
      <c r="A1299" s="21" t="n">
        <v>46275</v>
      </c>
      <c r="B1299" s="22" t="n">
        <v>1</v>
      </c>
      <c r="C1299" s="25" t="n">
        <v>113.88</v>
      </c>
      <c r="D1299" s="25" t="n">
        <v>19.56</v>
      </c>
      <c r="E1299" s="25" t="n">
        <v>0.48</v>
      </c>
      <c r="F1299" s="22" t="n">
        <f aca="false">WEEKDAY(A1299,2)</f>
        <v>4</v>
      </c>
      <c r="G1299" s="22" t="str">
        <f aca="false">IF(F1299=7,IF(B1299&gt;=23,"C","Sin turno"),IF(B1299&lt;7,"C",IF(B1299&lt;14,"A",IF(B1299&lt;21,"B",IF(B1299&lt;23,"Entre turnos",IF(F1299=6,"Sin turno","C"))))))</f>
        <v>C</v>
      </c>
      <c r="H1299" s="25" t="n">
        <f aca="false">IF(D1299="","",MAX(0,D1299-0.5*C1299))</f>
        <v>0</v>
      </c>
    </row>
    <row r="1300" customFormat="false" ht="15" hidden="false" customHeight="false" outlineLevel="0" collapsed="false">
      <c r="A1300" s="21" t="n">
        <v>46275</v>
      </c>
      <c r="B1300" s="22" t="n">
        <v>2</v>
      </c>
      <c r="C1300" s="25" t="n">
        <v>104.4</v>
      </c>
      <c r="D1300" s="25" t="n">
        <v>21.36</v>
      </c>
      <c r="E1300" s="25" t="n">
        <v>0</v>
      </c>
      <c r="F1300" s="22" t="n">
        <f aca="false">WEEKDAY(A1300,2)</f>
        <v>4</v>
      </c>
      <c r="G1300" s="22" t="str">
        <f aca="false">IF(F1300=7,IF(B1300&gt;=23,"C","Sin turno"),IF(B1300&lt;7,"C",IF(B1300&lt;14,"A",IF(B1300&lt;21,"B",IF(B1300&lt;23,"Entre turnos",IF(F1300=6,"Sin turno","C"))))))</f>
        <v>C</v>
      </c>
      <c r="H1300" s="25" t="n">
        <f aca="false">IF(D1300="","",MAX(0,D1300-0.5*C1300))</f>
        <v>0</v>
      </c>
    </row>
    <row r="1301" customFormat="false" ht="15" hidden="false" customHeight="false" outlineLevel="0" collapsed="false">
      <c r="A1301" s="21" t="n">
        <v>46275</v>
      </c>
      <c r="B1301" s="22" t="n">
        <v>3</v>
      </c>
      <c r="C1301" s="25" t="n">
        <v>100.56</v>
      </c>
      <c r="D1301" s="25" t="n">
        <v>18.84</v>
      </c>
      <c r="E1301" s="25" t="n">
        <v>0</v>
      </c>
      <c r="F1301" s="22" t="n">
        <f aca="false">WEEKDAY(A1301,2)</f>
        <v>4</v>
      </c>
      <c r="G1301" s="22" t="str">
        <f aca="false">IF(F1301=7,IF(B1301&gt;=23,"C","Sin turno"),IF(B1301&lt;7,"C",IF(B1301&lt;14,"A",IF(B1301&lt;21,"B",IF(B1301&lt;23,"Entre turnos",IF(F1301=6,"Sin turno","C"))))))</f>
        <v>C</v>
      </c>
      <c r="H1301" s="25" t="n">
        <f aca="false">IF(D1301="","",MAX(0,D1301-0.5*C1301))</f>
        <v>0</v>
      </c>
    </row>
    <row r="1302" customFormat="false" ht="15" hidden="false" customHeight="false" outlineLevel="0" collapsed="false">
      <c r="A1302" s="21" t="n">
        <v>46275</v>
      </c>
      <c r="B1302" s="22" t="n">
        <v>4</v>
      </c>
      <c r="C1302" s="25" t="n">
        <v>102.72</v>
      </c>
      <c r="D1302" s="25" t="n">
        <v>18.84</v>
      </c>
      <c r="E1302" s="25" t="n">
        <v>0</v>
      </c>
      <c r="F1302" s="22" t="n">
        <f aca="false">WEEKDAY(A1302,2)</f>
        <v>4</v>
      </c>
      <c r="G1302" s="22" t="str">
        <f aca="false">IF(F1302=7,IF(B1302&gt;=23,"C","Sin turno"),IF(B1302&lt;7,"C",IF(B1302&lt;14,"A",IF(B1302&lt;21,"B",IF(B1302&lt;23,"Entre turnos",IF(F1302=6,"Sin turno","C"))))))</f>
        <v>C</v>
      </c>
      <c r="H1302" s="25" t="n">
        <f aca="false">IF(D1302="","",MAX(0,D1302-0.5*C1302))</f>
        <v>0</v>
      </c>
    </row>
    <row r="1303" customFormat="false" ht="15" hidden="false" customHeight="false" outlineLevel="0" collapsed="false">
      <c r="A1303" s="21" t="n">
        <v>46275</v>
      </c>
      <c r="B1303" s="22" t="n">
        <v>5</v>
      </c>
      <c r="C1303" s="25" t="n">
        <v>114.24</v>
      </c>
      <c r="D1303" s="25" t="n">
        <v>19.32</v>
      </c>
      <c r="E1303" s="25" t="n">
        <v>0.12</v>
      </c>
      <c r="F1303" s="22" t="n">
        <f aca="false">WEEKDAY(A1303,2)</f>
        <v>4</v>
      </c>
      <c r="G1303" s="22" t="str">
        <f aca="false">IF(F1303=7,IF(B1303&gt;=23,"C","Sin turno"),IF(B1303&lt;7,"C",IF(B1303&lt;14,"A",IF(B1303&lt;21,"B",IF(B1303&lt;23,"Entre turnos",IF(F1303=6,"Sin turno","C"))))))</f>
        <v>C</v>
      </c>
      <c r="H1303" s="25" t="n">
        <f aca="false">IF(D1303="","",MAX(0,D1303-0.5*C1303))</f>
        <v>0</v>
      </c>
    </row>
    <row r="1304" customFormat="false" ht="15" hidden="false" customHeight="false" outlineLevel="0" collapsed="false">
      <c r="A1304" s="21" t="n">
        <v>46275</v>
      </c>
      <c r="B1304" s="22" t="n">
        <v>6</v>
      </c>
      <c r="C1304" s="25" t="n">
        <v>131.28</v>
      </c>
      <c r="D1304" s="25" t="n">
        <v>20.88</v>
      </c>
      <c r="E1304" s="25" t="n">
        <v>0.24</v>
      </c>
      <c r="F1304" s="22" t="n">
        <f aca="false">WEEKDAY(A1304,2)</f>
        <v>4</v>
      </c>
      <c r="G1304" s="22" t="str">
        <f aca="false">IF(F1304=7,IF(B1304&gt;=23,"C","Sin turno"),IF(B1304&lt;7,"C",IF(B1304&lt;14,"A",IF(B1304&lt;21,"B",IF(B1304&lt;23,"Entre turnos",IF(F1304=6,"Sin turno","C"))))))</f>
        <v>C</v>
      </c>
      <c r="H1304" s="25" t="n">
        <f aca="false">IF(D1304="","",MAX(0,D1304-0.5*C1304))</f>
        <v>0</v>
      </c>
    </row>
    <row r="1305" customFormat="false" ht="15" hidden="false" customHeight="false" outlineLevel="0" collapsed="false">
      <c r="A1305" s="21" t="n">
        <v>46275</v>
      </c>
      <c r="B1305" s="22" t="n">
        <v>7</v>
      </c>
      <c r="C1305" s="25" t="n">
        <v>203.28</v>
      </c>
      <c r="D1305" s="25" t="n">
        <v>24.6</v>
      </c>
      <c r="E1305" s="25" t="n">
        <v>0</v>
      </c>
      <c r="F1305" s="22" t="n">
        <f aca="false">WEEKDAY(A1305,2)</f>
        <v>4</v>
      </c>
      <c r="G1305" s="22" t="str">
        <f aca="false">IF(F1305=7,IF(B1305&gt;=23,"C","Sin turno"),IF(B1305&lt;7,"C",IF(B1305&lt;14,"A",IF(B1305&lt;21,"B",IF(B1305&lt;23,"Entre turnos",IF(F1305=6,"Sin turno","C"))))))</f>
        <v>A</v>
      </c>
      <c r="H1305" s="25" t="n">
        <f aca="false">IF(D1305="","",MAX(0,D1305-0.5*C1305))</f>
        <v>0</v>
      </c>
    </row>
    <row r="1306" customFormat="false" ht="15" hidden="false" customHeight="false" outlineLevel="0" collapsed="false">
      <c r="A1306" s="21" t="n">
        <v>46275</v>
      </c>
      <c r="B1306" s="22" t="n">
        <v>8</v>
      </c>
      <c r="C1306" s="25" t="n">
        <v>229.32</v>
      </c>
      <c r="D1306" s="25" t="n">
        <v>24.96</v>
      </c>
      <c r="E1306" s="25" t="n">
        <v>0</v>
      </c>
      <c r="F1306" s="22" t="n">
        <f aca="false">WEEKDAY(A1306,2)</f>
        <v>4</v>
      </c>
      <c r="G1306" s="22" t="str">
        <f aca="false">IF(F1306=7,IF(B1306&gt;=23,"C","Sin turno"),IF(B1306&lt;7,"C",IF(B1306&lt;14,"A",IF(B1306&lt;21,"B",IF(B1306&lt;23,"Entre turnos",IF(F1306=6,"Sin turno","C"))))))</f>
        <v>A</v>
      </c>
      <c r="H1306" s="25" t="n">
        <f aca="false">IF(D1306="","",MAX(0,D1306-0.5*C1306))</f>
        <v>0</v>
      </c>
    </row>
    <row r="1307" customFormat="false" ht="15" hidden="false" customHeight="false" outlineLevel="0" collapsed="false">
      <c r="A1307" s="21" t="n">
        <v>46275</v>
      </c>
      <c r="B1307" s="22" t="n">
        <v>9</v>
      </c>
      <c r="C1307" s="25" t="n">
        <v>252.84</v>
      </c>
      <c r="D1307" s="25" t="n">
        <v>24.36</v>
      </c>
      <c r="E1307" s="25" t="n">
        <v>0</v>
      </c>
      <c r="F1307" s="22" t="n">
        <f aca="false">WEEKDAY(A1307,2)</f>
        <v>4</v>
      </c>
      <c r="G1307" s="22" t="str">
        <f aca="false">IF(F1307=7,IF(B1307&gt;=23,"C","Sin turno"),IF(B1307&lt;7,"C",IF(B1307&lt;14,"A",IF(B1307&lt;21,"B",IF(B1307&lt;23,"Entre turnos",IF(F1307=6,"Sin turno","C"))))))</f>
        <v>A</v>
      </c>
      <c r="H1307" s="25" t="n">
        <f aca="false">IF(D1307="","",MAX(0,D1307-0.5*C1307))</f>
        <v>0</v>
      </c>
    </row>
    <row r="1308" customFormat="false" ht="15" hidden="false" customHeight="false" outlineLevel="0" collapsed="false">
      <c r="A1308" s="21" t="n">
        <v>46275</v>
      </c>
      <c r="B1308" s="22" t="n">
        <v>10</v>
      </c>
      <c r="C1308" s="25" t="n">
        <v>242.04</v>
      </c>
      <c r="D1308" s="25" t="n">
        <v>27.84</v>
      </c>
      <c r="E1308" s="25" t="n">
        <v>0</v>
      </c>
      <c r="F1308" s="22" t="n">
        <f aca="false">WEEKDAY(A1308,2)</f>
        <v>4</v>
      </c>
      <c r="G1308" s="22" t="str">
        <f aca="false">IF(F1308=7,IF(B1308&gt;=23,"C","Sin turno"),IF(B1308&lt;7,"C",IF(B1308&lt;14,"A",IF(B1308&lt;21,"B",IF(B1308&lt;23,"Entre turnos",IF(F1308=6,"Sin turno","C"))))))</f>
        <v>A</v>
      </c>
      <c r="H1308" s="25" t="n">
        <f aca="false">IF(D1308="","",MAX(0,D1308-0.5*C1308))</f>
        <v>0</v>
      </c>
    </row>
    <row r="1309" customFormat="false" ht="15" hidden="false" customHeight="false" outlineLevel="0" collapsed="false">
      <c r="A1309" s="21" t="n">
        <v>46275</v>
      </c>
      <c r="B1309" s="22" t="n">
        <v>11</v>
      </c>
      <c r="C1309" s="25" t="n">
        <v>231.48</v>
      </c>
      <c r="D1309" s="25" t="n">
        <v>23.64</v>
      </c>
      <c r="E1309" s="25" t="n">
        <v>0</v>
      </c>
      <c r="F1309" s="22" t="n">
        <f aca="false">WEEKDAY(A1309,2)</f>
        <v>4</v>
      </c>
      <c r="G1309" s="22" t="str">
        <f aca="false">IF(F1309=7,IF(B1309&gt;=23,"C","Sin turno"),IF(B1309&lt;7,"C",IF(B1309&lt;14,"A",IF(B1309&lt;21,"B",IF(B1309&lt;23,"Entre turnos",IF(F1309=6,"Sin turno","C"))))))</f>
        <v>A</v>
      </c>
      <c r="H1309" s="25" t="n">
        <f aca="false">IF(D1309="","",MAX(0,D1309-0.5*C1309))</f>
        <v>0</v>
      </c>
    </row>
    <row r="1310" customFormat="false" ht="15" hidden="false" customHeight="false" outlineLevel="0" collapsed="false">
      <c r="A1310" s="21" t="n">
        <v>46275</v>
      </c>
      <c r="B1310" s="22" t="n">
        <v>12</v>
      </c>
      <c r="C1310" s="25" t="n">
        <v>254.88</v>
      </c>
      <c r="D1310" s="25" t="n">
        <v>25.08</v>
      </c>
      <c r="E1310" s="25" t="n">
        <v>0.12</v>
      </c>
      <c r="F1310" s="22" t="n">
        <f aca="false">WEEKDAY(A1310,2)</f>
        <v>4</v>
      </c>
      <c r="G1310" s="22" t="str">
        <f aca="false">IF(F1310=7,IF(B1310&gt;=23,"C","Sin turno"),IF(B1310&lt;7,"C",IF(B1310&lt;14,"A",IF(B1310&lt;21,"B",IF(B1310&lt;23,"Entre turnos",IF(F1310=6,"Sin turno","C"))))))</f>
        <v>A</v>
      </c>
      <c r="H1310" s="25" t="n">
        <f aca="false">IF(D1310="","",MAX(0,D1310-0.5*C1310))</f>
        <v>0</v>
      </c>
    </row>
    <row r="1311" customFormat="false" ht="15" hidden="false" customHeight="false" outlineLevel="0" collapsed="false">
      <c r="A1311" s="21" t="n">
        <v>46275</v>
      </c>
      <c r="B1311" s="22" t="n">
        <v>13</v>
      </c>
      <c r="C1311" s="25" t="n">
        <v>253.8</v>
      </c>
      <c r="D1311" s="25" t="n">
        <v>20.76</v>
      </c>
      <c r="E1311" s="25" t="n">
        <v>0.12</v>
      </c>
      <c r="F1311" s="22" t="n">
        <f aca="false">WEEKDAY(A1311,2)</f>
        <v>4</v>
      </c>
      <c r="G1311" s="22" t="str">
        <f aca="false">IF(F1311=7,IF(B1311&gt;=23,"C","Sin turno"),IF(B1311&lt;7,"C",IF(B1311&lt;14,"A",IF(B1311&lt;21,"B",IF(B1311&lt;23,"Entre turnos",IF(F1311=6,"Sin turno","C"))))))</f>
        <v>A</v>
      </c>
      <c r="H1311" s="25" t="n">
        <f aca="false">IF(D1311="","",MAX(0,D1311-0.5*C1311))</f>
        <v>0</v>
      </c>
    </row>
    <row r="1312" customFormat="false" ht="15" hidden="false" customHeight="false" outlineLevel="0" collapsed="false">
      <c r="A1312" s="21" t="n">
        <v>46275</v>
      </c>
      <c r="B1312" s="22" t="n">
        <v>14</v>
      </c>
      <c r="C1312" s="25" t="n">
        <v>246.72</v>
      </c>
      <c r="D1312" s="25" t="n">
        <v>26.4</v>
      </c>
      <c r="E1312" s="25" t="n">
        <v>0</v>
      </c>
      <c r="F1312" s="22" t="n">
        <f aca="false">WEEKDAY(A1312,2)</f>
        <v>4</v>
      </c>
      <c r="G1312" s="22" t="str">
        <f aca="false">IF(F1312=7,IF(B1312&gt;=23,"C","Sin turno"),IF(B1312&lt;7,"C",IF(B1312&lt;14,"A",IF(B1312&lt;21,"B",IF(B1312&lt;23,"Entre turnos",IF(F1312=6,"Sin turno","C"))))))</f>
        <v>B</v>
      </c>
      <c r="H1312" s="25" t="n">
        <f aca="false">IF(D1312="","",MAX(0,D1312-0.5*C1312))</f>
        <v>0</v>
      </c>
    </row>
    <row r="1313" customFormat="false" ht="15" hidden="false" customHeight="false" outlineLevel="0" collapsed="false">
      <c r="A1313" s="21" t="n">
        <v>46275</v>
      </c>
      <c r="B1313" s="22" t="n">
        <v>15</v>
      </c>
      <c r="C1313" s="25" t="n">
        <v>255.12</v>
      </c>
      <c r="D1313" s="25" t="n">
        <v>23.76</v>
      </c>
      <c r="E1313" s="25" t="n">
        <v>0.12</v>
      </c>
      <c r="F1313" s="22" t="n">
        <f aca="false">WEEKDAY(A1313,2)</f>
        <v>4</v>
      </c>
      <c r="G1313" s="22" t="str">
        <f aca="false">IF(F1313=7,IF(B1313&gt;=23,"C","Sin turno"),IF(B1313&lt;7,"C",IF(B1313&lt;14,"A",IF(B1313&lt;21,"B",IF(B1313&lt;23,"Entre turnos",IF(F1313=6,"Sin turno","C"))))))</f>
        <v>B</v>
      </c>
      <c r="H1313" s="25" t="n">
        <f aca="false">IF(D1313="","",MAX(0,D1313-0.5*C1313))</f>
        <v>0</v>
      </c>
    </row>
    <row r="1314" customFormat="false" ht="15" hidden="false" customHeight="false" outlineLevel="0" collapsed="false">
      <c r="A1314" s="21" t="n">
        <v>46275</v>
      </c>
      <c r="B1314" s="22" t="n">
        <v>16</v>
      </c>
      <c r="C1314" s="25" t="n">
        <v>240.36</v>
      </c>
      <c r="D1314" s="25" t="n">
        <v>28.8</v>
      </c>
      <c r="E1314" s="25" t="n">
        <v>0</v>
      </c>
      <c r="F1314" s="22" t="n">
        <f aca="false">WEEKDAY(A1314,2)</f>
        <v>4</v>
      </c>
      <c r="G1314" s="22" t="str">
        <f aca="false">IF(F1314=7,IF(B1314&gt;=23,"C","Sin turno"),IF(B1314&lt;7,"C",IF(B1314&lt;14,"A",IF(B1314&lt;21,"B",IF(B1314&lt;23,"Entre turnos",IF(F1314=6,"Sin turno","C"))))))</f>
        <v>B</v>
      </c>
      <c r="H1314" s="25" t="n">
        <f aca="false">IF(D1314="","",MAX(0,D1314-0.5*C1314))</f>
        <v>0</v>
      </c>
    </row>
    <row r="1315" customFormat="false" ht="15" hidden="false" customHeight="false" outlineLevel="0" collapsed="false">
      <c r="A1315" s="21" t="n">
        <v>46275</v>
      </c>
      <c r="B1315" s="22" t="n">
        <v>17</v>
      </c>
      <c r="C1315" s="25" t="n">
        <v>194.88</v>
      </c>
      <c r="D1315" s="25" t="n">
        <v>16.2</v>
      </c>
      <c r="E1315" s="25" t="n">
        <v>0.24</v>
      </c>
      <c r="F1315" s="22" t="n">
        <f aca="false">WEEKDAY(A1315,2)</f>
        <v>4</v>
      </c>
      <c r="G1315" s="22" t="str">
        <f aca="false">IF(F1315=7,IF(B1315&gt;=23,"C","Sin turno"),IF(B1315&lt;7,"C",IF(B1315&lt;14,"A",IF(B1315&lt;21,"B",IF(B1315&lt;23,"Entre turnos",IF(F1315=6,"Sin turno","C"))))))</f>
        <v>B</v>
      </c>
      <c r="H1315" s="25" t="n">
        <f aca="false">IF(D1315="","",MAX(0,D1315-0.5*C1315))</f>
        <v>0</v>
      </c>
    </row>
    <row r="1316" customFormat="false" ht="15" hidden="false" customHeight="false" outlineLevel="0" collapsed="false">
      <c r="A1316" s="21" t="n">
        <v>46275</v>
      </c>
      <c r="B1316" s="22" t="n">
        <v>18</v>
      </c>
      <c r="C1316" s="25" t="n">
        <v>198.72</v>
      </c>
      <c r="D1316" s="25" t="n">
        <v>18.96</v>
      </c>
      <c r="E1316" s="25" t="n">
        <v>0.36</v>
      </c>
      <c r="F1316" s="22" t="n">
        <f aca="false">WEEKDAY(A1316,2)</f>
        <v>4</v>
      </c>
      <c r="G1316" s="22" t="str">
        <f aca="false">IF(F1316=7,IF(B1316&gt;=23,"C","Sin turno"),IF(B1316&lt;7,"C",IF(B1316&lt;14,"A",IF(B1316&lt;21,"B",IF(B1316&lt;23,"Entre turnos",IF(F1316=6,"Sin turno","C"))))))</f>
        <v>B</v>
      </c>
      <c r="H1316" s="25" t="n">
        <f aca="false">IF(D1316="","",MAX(0,D1316-0.5*C1316))</f>
        <v>0</v>
      </c>
    </row>
    <row r="1317" customFormat="false" ht="15" hidden="false" customHeight="false" outlineLevel="0" collapsed="false">
      <c r="A1317" s="21" t="n">
        <v>46275</v>
      </c>
      <c r="B1317" s="22" t="n">
        <v>19</v>
      </c>
      <c r="C1317" s="25" t="n">
        <v>184.56</v>
      </c>
      <c r="D1317" s="25" t="n">
        <v>23.76</v>
      </c>
      <c r="E1317" s="25" t="n">
        <v>0.12</v>
      </c>
      <c r="F1317" s="22" t="n">
        <f aca="false">WEEKDAY(A1317,2)</f>
        <v>4</v>
      </c>
      <c r="G1317" s="22" t="str">
        <f aca="false">IF(F1317=7,IF(B1317&gt;=23,"C","Sin turno"),IF(B1317&lt;7,"C",IF(B1317&lt;14,"A",IF(B1317&lt;21,"B",IF(B1317&lt;23,"Entre turnos",IF(F1317=6,"Sin turno","C"))))))</f>
        <v>B</v>
      </c>
      <c r="H1317" s="25" t="n">
        <f aca="false">IF(D1317="","",MAX(0,D1317-0.5*C1317))</f>
        <v>0</v>
      </c>
    </row>
    <row r="1318" customFormat="false" ht="15" hidden="false" customHeight="false" outlineLevel="0" collapsed="false">
      <c r="A1318" s="21" t="n">
        <v>46275</v>
      </c>
      <c r="B1318" s="22" t="n">
        <v>20</v>
      </c>
      <c r="C1318" s="25" t="n">
        <v>188.4</v>
      </c>
      <c r="D1318" s="25" t="n">
        <v>12.72</v>
      </c>
      <c r="E1318" s="25" t="n">
        <v>0.36</v>
      </c>
      <c r="F1318" s="22" t="n">
        <f aca="false">WEEKDAY(A1318,2)</f>
        <v>4</v>
      </c>
      <c r="G1318" s="22" t="str">
        <f aca="false">IF(F1318=7,IF(B1318&gt;=23,"C","Sin turno"),IF(B1318&lt;7,"C",IF(B1318&lt;14,"A",IF(B1318&lt;21,"B",IF(B1318&lt;23,"Entre turnos",IF(F1318=6,"Sin turno","C"))))))</f>
        <v>B</v>
      </c>
      <c r="H1318" s="25" t="n">
        <f aca="false">IF(D1318="","",MAX(0,D1318-0.5*C1318))</f>
        <v>0</v>
      </c>
    </row>
    <row r="1319" customFormat="false" ht="15" hidden="false" customHeight="false" outlineLevel="0" collapsed="false">
      <c r="A1319" s="21" t="n">
        <v>46275</v>
      </c>
      <c r="B1319" s="22" t="n">
        <v>21</v>
      </c>
      <c r="C1319" s="25" t="n">
        <v>191.88</v>
      </c>
      <c r="D1319" s="25" t="n">
        <v>17.04</v>
      </c>
      <c r="E1319" s="25" t="n">
        <v>0.12</v>
      </c>
      <c r="F1319" s="22" t="n">
        <f aca="false">WEEKDAY(A1319,2)</f>
        <v>4</v>
      </c>
      <c r="G1319" s="22" t="str">
        <f aca="false">IF(F1319=7,IF(B1319&gt;=23,"C","Sin turno"),IF(B1319&lt;7,"C",IF(B1319&lt;14,"A",IF(B1319&lt;21,"B",IF(B1319&lt;23,"Entre turnos",IF(F1319=6,"Sin turno","C"))))))</f>
        <v>Entre turnos</v>
      </c>
      <c r="H1319" s="25" t="n">
        <f aca="false">IF(D1319="","",MAX(0,D1319-0.5*C1319))</f>
        <v>0</v>
      </c>
    </row>
    <row r="1320" customFormat="false" ht="15" hidden="false" customHeight="false" outlineLevel="0" collapsed="false">
      <c r="A1320" s="21" t="n">
        <v>46275</v>
      </c>
      <c r="B1320" s="22" t="n">
        <v>22</v>
      </c>
      <c r="C1320" s="25" t="n">
        <v>180.84</v>
      </c>
      <c r="D1320" s="25" t="n">
        <v>20.52</v>
      </c>
      <c r="E1320" s="25" t="n">
        <v>0.36</v>
      </c>
      <c r="F1320" s="22" t="n">
        <f aca="false">WEEKDAY(A1320,2)</f>
        <v>4</v>
      </c>
      <c r="G1320" s="22" t="str">
        <f aca="false">IF(F1320=7,IF(B1320&gt;=23,"C","Sin turno"),IF(B1320&lt;7,"C",IF(B1320&lt;14,"A",IF(B1320&lt;21,"B",IF(B1320&lt;23,"Entre turnos",IF(F1320=6,"Sin turno","C"))))))</f>
        <v>Entre turnos</v>
      </c>
      <c r="H1320" s="25" t="n">
        <f aca="false">IF(D1320="","",MAX(0,D1320-0.5*C1320))</f>
        <v>0</v>
      </c>
    </row>
    <row r="1321" customFormat="false" ht="15" hidden="false" customHeight="false" outlineLevel="0" collapsed="false">
      <c r="A1321" s="21" t="n">
        <v>46275</v>
      </c>
      <c r="B1321" s="22" t="n">
        <v>23</v>
      </c>
      <c r="C1321" s="25" t="n">
        <v>134.04</v>
      </c>
      <c r="D1321" s="25" t="n">
        <v>21.72</v>
      </c>
      <c r="E1321" s="25" t="n">
        <v>0.12</v>
      </c>
      <c r="F1321" s="22" t="n">
        <f aca="false">WEEKDAY(A1321,2)</f>
        <v>4</v>
      </c>
      <c r="G1321" s="22" t="str">
        <f aca="false">IF(F1321=7,IF(B1321&gt;=23,"C","Sin turno"),IF(B1321&lt;7,"C",IF(B1321&lt;14,"A",IF(B1321&lt;21,"B",IF(B1321&lt;23,"Entre turnos",IF(F1321=6,"Sin turno","C"))))))</f>
        <v>C</v>
      </c>
      <c r="H1321" s="25" t="n">
        <f aca="false">IF(D1321="","",MAX(0,D1321-0.5*C1321))</f>
        <v>0</v>
      </c>
    </row>
    <row r="1322" customFormat="false" ht="15" hidden="false" customHeight="false" outlineLevel="0" collapsed="false">
      <c r="A1322" s="21" t="n">
        <v>46276</v>
      </c>
      <c r="B1322" s="22" t="n">
        <v>0</v>
      </c>
      <c r="C1322" s="25" t="n">
        <v>109.32</v>
      </c>
      <c r="D1322" s="25" t="n">
        <v>19.8</v>
      </c>
      <c r="E1322" s="25" t="n">
        <v>0</v>
      </c>
      <c r="F1322" s="22" t="n">
        <f aca="false">WEEKDAY(A1322,2)</f>
        <v>5</v>
      </c>
      <c r="G1322" s="22" t="str">
        <f aca="false">IF(F1322=7,IF(B1322&gt;=23,"C","Sin turno"),IF(B1322&lt;7,"C",IF(B1322&lt;14,"A",IF(B1322&lt;21,"B",IF(B1322&lt;23,"Entre turnos",IF(F1322=6,"Sin turno","C"))))))</f>
        <v>C</v>
      </c>
      <c r="H1322" s="25" t="n">
        <f aca="false">IF(D1322="","",MAX(0,D1322-0.5*C1322))</f>
        <v>0</v>
      </c>
    </row>
    <row r="1323" customFormat="false" ht="15" hidden="false" customHeight="false" outlineLevel="0" collapsed="false">
      <c r="A1323" s="21" t="n">
        <v>46276</v>
      </c>
      <c r="B1323" s="22" t="n">
        <v>1</v>
      </c>
      <c r="C1323" s="25" t="n">
        <v>104.04</v>
      </c>
      <c r="D1323" s="25" t="n">
        <v>17.4</v>
      </c>
      <c r="E1323" s="25" t="n">
        <v>0</v>
      </c>
      <c r="F1323" s="22" t="n">
        <f aca="false">WEEKDAY(A1323,2)</f>
        <v>5</v>
      </c>
      <c r="G1323" s="22" t="str">
        <f aca="false">IF(F1323=7,IF(B1323&gt;=23,"C","Sin turno"),IF(B1323&lt;7,"C",IF(B1323&lt;14,"A",IF(B1323&lt;21,"B",IF(B1323&lt;23,"Entre turnos",IF(F1323=6,"Sin turno","C"))))))</f>
        <v>C</v>
      </c>
      <c r="H1323" s="25" t="n">
        <f aca="false">IF(D1323="","",MAX(0,D1323-0.5*C1323))</f>
        <v>0</v>
      </c>
    </row>
    <row r="1324" customFormat="false" ht="15" hidden="false" customHeight="false" outlineLevel="0" collapsed="false">
      <c r="A1324" s="21" t="n">
        <v>46276</v>
      </c>
      <c r="B1324" s="22" t="n">
        <v>2</v>
      </c>
      <c r="C1324" s="25" t="n">
        <v>104.88</v>
      </c>
      <c r="D1324" s="25" t="n">
        <v>19.68</v>
      </c>
      <c r="E1324" s="25" t="n">
        <v>0.12</v>
      </c>
      <c r="F1324" s="22" t="n">
        <f aca="false">WEEKDAY(A1324,2)</f>
        <v>5</v>
      </c>
      <c r="G1324" s="22" t="str">
        <f aca="false">IF(F1324=7,IF(B1324&gt;=23,"C","Sin turno"),IF(B1324&lt;7,"C",IF(B1324&lt;14,"A",IF(B1324&lt;21,"B",IF(B1324&lt;23,"Entre turnos",IF(F1324=6,"Sin turno","C"))))))</f>
        <v>C</v>
      </c>
      <c r="H1324" s="25" t="n">
        <f aca="false">IF(D1324="","",MAX(0,D1324-0.5*C1324))</f>
        <v>0</v>
      </c>
    </row>
    <row r="1325" customFormat="false" ht="15" hidden="false" customHeight="false" outlineLevel="0" collapsed="false">
      <c r="A1325" s="21" t="n">
        <v>46276</v>
      </c>
      <c r="B1325" s="22" t="n">
        <v>3</v>
      </c>
      <c r="C1325" s="25" t="n">
        <v>103.08</v>
      </c>
      <c r="D1325" s="25" t="n">
        <v>18.36</v>
      </c>
      <c r="E1325" s="25" t="n">
        <v>0</v>
      </c>
      <c r="F1325" s="22" t="n">
        <f aca="false">WEEKDAY(A1325,2)</f>
        <v>5</v>
      </c>
      <c r="G1325" s="22" t="str">
        <f aca="false">IF(F1325=7,IF(B1325&gt;=23,"C","Sin turno"),IF(B1325&lt;7,"C",IF(B1325&lt;14,"A",IF(B1325&lt;21,"B",IF(B1325&lt;23,"Entre turnos",IF(F1325=6,"Sin turno","C"))))))</f>
        <v>C</v>
      </c>
      <c r="H1325" s="25" t="n">
        <f aca="false">IF(D1325="","",MAX(0,D1325-0.5*C1325))</f>
        <v>0</v>
      </c>
    </row>
    <row r="1326" customFormat="false" ht="15" hidden="false" customHeight="false" outlineLevel="0" collapsed="false">
      <c r="A1326" s="21" t="n">
        <v>46276</v>
      </c>
      <c r="B1326" s="22" t="n">
        <v>4</v>
      </c>
      <c r="C1326" s="25" t="n">
        <v>106.08</v>
      </c>
      <c r="D1326" s="25" t="n">
        <v>18.96</v>
      </c>
      <c r="E1326" s="25" t="n">
        <v>0.12</v>
      </c>
      <c r="F1326" s="22" t="n">
        <f aca="false">WEEKDAY(A1326,2)</f>
        <v>5</v>
      </c>
      <c r="G1326" s="22" t="str">
        <f aca="false">IF(F1326=7,IF(B1326&gt;=23,"C","Sin turno"),IF(B1326&lt;7,"C",IF(B1326&lt;14,"A",IF(B1326&lt;21,"B",IF(B1326&lt;23,"Entre turnos",IF(F1326=6,"Sin turno","C"))))))</f>
        <v>C</v>
      </c>
      <c r="H1326" s="25" t="n">
        <f aca="false">IF(D1326="","",MAX(0,D1326-0.5*C1326))</f>
        <v>0</v>
      </c>
    </row>
    <row r="1327" customFormat="false" ht="15" hidden="false" customHeight="false" outlineLevel="0" collapsed="false">
      <c r="A1327" s="21" t="n">
        <v>46276</v>
      </c>
      <c r="B1327" s="22" t="n">
        <v>5</v>
      </c>
      <c r="C1327" s="25" t="n">
        <v>114.48</v>
      </c>
      <c r="D1327" s="25" t="n">
        <v>19.2</v>
      </c>
      <c r="E1327" s="25" t="n">
        <v>0.24</v>
      </c>
      <c r="F1327" s="22" t="n">
        <f aca="false">WEEKDAY(A1327,2)</f>
        <v>5</v>
      </c>
      <c r="G1327" s="22" t="str">
        <f aca="false">IF(F1327=7,IF(B1327&gt;=23,"C","Sin turno"),IF(B1327&lt;7,"C",IF(B1327&lt;14,"A",IF(B1327&lt;21,"B",IF(B1327&lt;23,"Entre turnos",IF(F1327=6,"Sin turno","C"))))))</f>
        <v>C</v>
      </c>
      <c r="H1327" s="25" t="n">
        <f aca="false">IF(D1327="","",MAX(0,D1327-0.5*C1327))</f>
        <v>0</v>
      </c>
    </row>
    <row r="1328" customFormat="false" ht="15" hidden="false" customHeight="false" outlineLevel="0" collapsed="false">
      <c r="A1328" s="21" t="n">
        <v>46276</v>
      </c>
      <c r="B1328" s="22" t="n">
        <v>6</v>
      </c>
      <c r="C1328" s="25" t="n">
        <v>132</v>
      </c>
      <c r="D1328" s="25" t="n">
        <v>19.92</v>
      </c>
      <c r="E1328" s="25" t="n">
        <v>0.24</v>
      </c>
      <c r="F1328" s="22" t="n">
        <f aca="false">WEEKDAY(A1328,2)</f>
        <v>5</v>
      </c>
      <c r="G1328" s="22" t="str">
        <f aca="false">IF(F1328=7,IF(B1328&gt;=23,"C","Sin turno"),IF(B1328&lt;7,"C",IF(B1328&lt;14,"A",IF(B1328&lt;21,"B",IF(B1328&lt;23,"Entre turnos",IF(F1328=6,"Sin turno","C"))))))</f>
        <v>C</v>
      </c>
      <c r="H1328" s="25" t="n">
        <f aca="false">IF(D1328="","",MAX(0,D1328-0.5*C1328))</f>
        <v>0</v>
      </c>
    </row>
    <row r="1329" customFormat="false" ht="15" hidden="false" customHeight="false" outlineLevel="0" collapsed="false">
      <c r="A1329" s="21" t="n">
        <v>46276</v>
      </c>
      <c r="B1329" s="22" t="n">
        <v>7</v>
      </c>
      <c r="C1329" s="25" t="n">
        <v>205.68</v>
      </c>
      <c r="D1329" s="25" t="n">
        <v>24.6</v>
      </c>
      <c r="E1329" s="25" t="n">
        <v>0.24</v>
      </c>
      <c r="F1329" s="22" t="n">
        <f aca="false">WEEKDAY(A1329,2)</f>
        <v>5</v>
      </c>
      <c r="G1329" s="22" t="str">
        <f aca="false">IF(F1329=7,IF(B1329&gt;=23,"C","Sin turno"),IF(B1329&lt;7,"C",IF(B1329&lt;14,"A",IF(B1329&lt;21,"B",IF(B1329&lt;23,"Entre turnos",IF(F1329=6,"Sin turno","C"))))))</f>
        <v>A</v>
      </c>
      <c r="H1329" s="25" t="n">
        <f aca="false">IF(D1329="","",MAX(0,D1329-0.5*C1329))</f>
        <v>0</v>
      </c>
    </row>
    <row r="1330" customFormat="false" ht="15" hidden="false" customHeight="false" outlineLevel="0" collapsed="false">
      <c r="A1330" s="21" t="n">
        <v>46276</v>
      </c>
      <c r="B1330" s="22" t="n">
        <v>8</v>
      </c>
      <c r="C1330" s="25" t="n">
        <v>234</v>
      </c>
      <c r="D1330" s="25" t="n">
        <v>25.2</v>
      </c>
      <c r="E1330" s="25" t="n">
        <v>0</v>
      </c>
      <c r="F1330" s="22" t="n">
        <f aca="false">WEEKDAY(A1330,2)</f>
        <v>5</v>
      </c>
      <c r="G1330" s="22" t="str">
        <f aca="false">IF(F1330=7,IF(B1330&gt;=23,"C","Sin turno"),IF(B1330&lt;7,"C",IF(B1330&lt;14,"A",IF(B1330&lt;21,"B",IF(B1330&lt;23,"Entre turnos",IF(F1330=6,"Sin turno","C"))))))</f>
        <v>A</v>
      </c>
      <c r="H1330" s="25" t="n">
        <f aca="false">IF(D1330="","",MAX(0,D1330-0.5*C1330))</f>
        <v>0</v>
      </c>
    </row>
    <row r="1331" customFormat="false" ht="15" hidden="false" customHeight="false" outlineLevel="0" collapsed="false">
      <c r="A1331" s="21" t="n">
        <v>46276</v>
      </c>
      <c r="B1331" s="22" t="n">
        <v>9</v>
      </c>
      <c r="C1331" s="25" t="n">
        <v>247.44</v>
      </c>
      <c r="D1331" s="25" t="n">
        <v>23.76</v>
      </c>
      <c r="E1331" s="25" t="n">
        <v>0</v>
      </c>
      <c r="F1331" s="22" t="n">
        <f aca="false">WEEKDAY(A1331,2)</f>
        <v>5</v>
      </c>
      <c r="G1331" s="22" t="str">
        <f aca="false">IF(F1331=7,IF(B1331&gt;=23,"C","Sin turno"),IF(B1331&lt;7,"C",IF(B1331&lt;14,"A",IF(B1331&lt;21,"B",IF(B1331&lt;23,"Entre turnos",IF(F1331=6,"Sin turno","C"))))))</f>
        <v>A</v>
      </c>
      <c r="H1331" s="25" t="n">
        <f aca="false">IF(D1331="","",MAX(0,D1331-0.5*C1331))</f>
        <v>0</v>
      </c>
    </row>
    <row r="1332" customFormat="false" ht="15" hidden="false" customHeight="false" outlineLevel="0" collapsed="false">
      <c r="A1332" s="21" t="n">
        <v>46276</v>
      </c>
      <c r="B1332" s="22" t="n">
        <v>10</v>
      </c>
      <c r="C1332" s="25" t="n">
        <v>271.92</v>
      </c>
      <c r="D1332" s="25" t="n">
        <v>18.96</v>
      </c>
      <c r="E1332" s="25" t="n">
        <v>0</v>
      </c>
      <c r="F1332" s="22" t="n">
        <f aca="false">WEEKDAY(A1332,2)</f>
        <v>5</v>
      </c>
      <c r="G1332" s="22" t="str">
        <f aca="false">IF(F1332=7,IF(B1332&gt;=23,"C","Sin turno"),IF(B1332&lt;7,"C",IF(B1332&lt;14,"A",IF(B1332&lt;21,"B",IF(B1332&lt;23,"Entre turnos",IF(F1332=6,"Sin turno","C"))))))</f>
        <v>A</v>
      </c>
      <c r="H1332" s="25" t="n">
        <f aca="false">IF(D1332="","",MAX(0,D1332-0.5*C1332))</f>
        <v>0</v>
      </c>
    </row>
    <row r="1333" customFormat="false" ht="15" hidden="false" customHeight="false" outlineLevel="0" collapsed="false">
      <c r="A1333" s="21" t="n">
        <v>46276</v>
      </c>
      <c r="B1333" s="22" t="n">
        <v>11</v>
      </c>
      <c r="C1333" s="25" t="n">
        <v>247.8</v>
      </c>
      <c r="D1333" s="25" t="n">
        <v>15.96</v>
      </c>
      <c r="E1333" s="25" t="n">
        <v>0</v>
      </c>
      <c r="F1333" s="22" t="n">
        <f aca="false">WEEKDAY(A1333,2)</f>
        <v>5</v>
      </c>
      <c r="G1333" s="22" t="str">
        <f aca="false">IF(F1333=7,IF(B1333&gt;=23,"C","Sin turno"),IF(B1333&lt;7,"C",IF(B1333&lt;14,"A",IF(B1333&lt;21,"B",IF(B1333&lt;23,"Entre turnos",IF(F1333=6,"Sin turno","C"))))))</f>
        <v>A</v>
      </c>
      <c r="H1333" s="25" t="n">
        <f aca="false">IF(D1333="","",MAX(0,D1333-0.5*C1333))</f>
        <v>0</v>
      </c>
    </row>
    <row r="1334" customFormat="false" ht="15" hidden="false" customHeight="false" outlineLevel="0" collapsed="false">
      <c r="A1334" s="21" t="n">
        <v>46276</v>
      </c>
      <c r="B1334" s="22" t="n">
        <v>12</v>
      </c>
      <c r="C1334" s="25" t="n">
        <v>244.32</v>
      </c>
      <c r="D1334" s="25" t="n">
        <v>20.76</v>
      </c>
      <c r="E1334" s="25" t="n">
        <v>0.12</v>
      </c>
      <c r="F1334" s="22" t="n">
        <f aca="false">WEEKDAY(A1334,2)</f>
        <v>5</v>
      </c>
      <c r="G1334" s="22" t="str">
        <f aca="false">IF(F1334=7,IF(B1334&gt;=23,"C","Sin turno"),IF(B1334&lt;7,"C",IF(B1334&lt;14,"A",IF(B1334&lt;21,"B",IF(B1334&lt;23,"Entre turnos",IF(F1334=6,"Sin turno","C"))))))</f>
        <v>A</v>
      </c>
      <c r="H1334" s="25" t="n">
        <f aca="false">IF(D1334="","",MAX(0,D1334-0.5*C1334))</f>
        <v>0</v>
      </c>
    </row>
    <row r="1335" customFormat="false" ht="15" hidden="false" customHeight="false" outlineLevel="0" collapsed="false">
      <c r="A1335" s="21" t="n">
        <v>46276</v>
      </c>
      <c r="B1335" s="22" t="n">
        <v>13</v>
      </c>
      <c r="C1335" s="25" t="n">
        <v>253.56</v>
      </c>
      <c r="D1335" s="25" t="n">
        <v>24.36</v>
      </c>
      <c r="E1335" s="25" t="n">
        <v>0.36</v>
      </c>
      <c r="F1335" s="22" t="n">
        <f aca="false">WEEKDAY(A1335,2)</f>
        <v>5</v>
      </c>
      <c r="G1335" s="22" t="str">
        <f aca="false">IF(F1335=7,IF(B1335&gt;=23,"C","Sin turno"),IF(B1335&lt;7,"C",IF(B1335&lt;14,"A",IF(B1335&lt;21,"B",IF(B1335&lt;23,"Entre turnos",IF(F1335=6,"Sin turno","C"))))))</f>
        <v>A</v>
      </c>
      <c r="H1335" s="25" t="n">
        <f aca="false">IF(D1335="","",MAX(0,D1335-0.5*C1335))</f>
        <v>0</v>
      </c>
    </row>
    <row r="1336" customFormat="false" ht="15" hidden="false" customHeight="false" outlineLevel="0" collapsed="false">
      <c r="A1336" s="21" t="n">
        <v>46276</v>
      </c>
      <c r="B1336" s="22" t="n">
        <v>14</v>
      </c>
      <c r="C1336" s="25" t="n">
        <v>241.32</v>
      </c>
      <c r="D1336" s="25" t="n">
        <v>26.88</v>
      </c>
      <c r="E1336" s="25" t="n">
        <v>0.12</v>
      </c>
      <c r="F1336" s="22" t="n">
        <f aca="false">WEEKDAY(A1336,2)</f>
        <v>5</v>
      </c>
      <c r="G1336" s="22" t="str">
        <f aca="false">IF(F1336=7,IF(B1336&gt;=23,"C","Sin turno"),IF(B1336&lt;7,"C",IF(B1336&lt;14,"A",IF(B1336&lt;21,"B",IF(B1336&lt;23,"Entre turnos",IF(F1336=6,"Sin turno","C"))))))</f>
        <v>B</v>
      </c>
      <c r="H1336" s="25" t="n">
        <f aca="false">IF(D1336="","",MAX(0,D1336-0.5*C1336))</f>
        <v>0</v>
      </c>
    </row>
    <row r="1337" customFormat="false" ht="15" hidden="false" customHeight="false" outlineLevel="0" collapsed="false">
      <c r="A1337" s="21" t="n">
        <v>46276</v>
      </c>
      <c r="B1337" s="22" t="n">
        <v>15</v>
      </c>
      <c r="C1337" s="25" t="n">
        <v>252.84</v>
      </c>
      <c r="D1337" s="25" t="n">
        <v>28.32</v>
      </c>
      <c r="E1337" s="25" t="n">
        <v>0</v>
      </c>
      <c r="F1337" s="22" t="n">
        <f aca="false">WEEKDAY(A1337,2)</f>
        <v>5</v>
      </c>
      <c r="G1337" s="22" t="str">
        <f aca="false">IF(F1337=7,IF(B1337&gt;=23,"C","Sin turno"),IF(B1337&lt;7,"C",IF(B1337&lt;14,"A",IF(B1337&lt;21,"B",IF(B1337&lt;23,"Entre turnos",IF(F1337=6,"Sin turno","C"))))))</f>
        <v>B</v>
      </c>
      <c r="H1337" s="25" t="n">
        <f aca="false">IF(D1337="","",MAX(0,D1337-0.5*C1337))</f>
        <v>0</v>
      </c>
    </row>
    <row r="1338" customFormat="false" ht="15" hidden="false" customHeight="false" outlineLevel="0" collapsed="false">
      <c r="A1338" s="21" t="n">
        <v>46276</v>
      </c>
      <c r="B1338" s="22" t="n">
        <v>16</v>
      </c>
      <c r="C1338" s="25" t="n">
        <v>272.76</v>
      </c>
      <c r="D1338" s="25" t="n">
        <v>25.8</v>
      </c>
      <c r="E1338" s="25" t="n">
        <v>0</v>
      </c>
      <c r="F1338" s="22" t="n">
        <f aca="false">WEEKDAY(A1338,2)</f>
        <v>5</v>
      </c>
      <c r="G1338" s="22" t="str">
        <f aca="false">IF(F1338=7,IF(B1338&gt;=23,"C","Sin turno"),IF(B1338&lt;7,"C",IF(B1338&lt;14,"A",IF(B1338&lt;21,"B",IF(B1338&lt;23,"Entre turnos",IF(F1338=6,"Sin turno","C"))))))</f>
        <v>B</v>
      </c>
      <c r="H1338" s="25" t="n">
        <f aca="false">IF(D1338="","",MAX(0,D1338-0.5*C1338))</f>
        <v>0</v>
      </c>
    </row>
    <row r="1339" customFormat="false" ht="15" hidden="false" customHeight="false" outlineLevel="0" collapsed="false">
      <c r="A1339" s="21" t="n">
        <v>46276</v>
      </c>
      <c r="B1339" s="22" t="n">
        <v>17</v>
      </c>
      <c r="C1339" s="25" t="n">
        <v>217.44</v>
      </c>
      <c r="D1339" s="25" t="n">
        <v>19.2</v>
      </c>
      <c r="E1339" s="25" t="n">
        <v>0</v>
      </c>
      <c r="F1339" s="22" t="n">
        <f aca="false">WEEKDAY(A1339,2)</f>
        <v>5</v>
      </c>
      <c r="G1339" s="22" t="str">
        <f aca="false">IF(F1339=7,IF(B1339&gt;=23,"C","Sin turno"),IF(B1339&lt;7,"C",IF(B1339&lt;14,"A",IF(B1339&lt;21,"B",IF(B1339&lt;23,"Entre turnos",IF(F1339=6,"Sin turno","C"))))))</f>
        <v>B</v>
      </c>
      <c r="H1339" s="25" t="n">
        <f aca="false">IF(D1339="","",MAX(0,D1339-0.5*C1339))</f>
        <v>0</v>
      </c>
    </row>
    <row r="1340" customFormat="false" ht="15" hidden="false" customHeight="false" outlineLevel="0" collapsed="false">
      <c r="A1340" s="21" t="n">
        <v>46276</v>
      </c>
      <c r="B1340" s="22" t="n">
        <v>18</v>
      </c>
      <c r="C1340" s="25" t="n">
        <v>203.64</v>
      </c>
      <c r="D1340" s="25" t="n">
        <v>20.76</v>
      </c>
      <c r="E1340" s="25" t="n">
        <v>0.24</v>
      </c>
      <c r="F1340" s="22" t="n">
        <f aca="false">WEEKDAY(A1340,2)</f>
        <v>5</v>
      </c>
      <c r="G1340" s="22" t="str">
        <f aca="false">IF(F1340=7,IF(B1340&gt;=23,"C","Sin turno"),IF(B1340&lt;7,"C",IF(B1340&lt;14,"A",IF(B1340&lt;21,"B",IF(B1340&lt;23,"Entre turnos",IF(F1340=6,"Sin turno","C"))))))</f>
        <v>B</v>
      </c>
      <c r="H1340" s="25" t="n">
        <f aca="false">IF(D1340="","",MAX(0,D1340-0.5*C1340))</f>
        <v>0</v>
      </c>
    </row>
    <row r="1341" customFormat="false" ht="15" hidden="false" customHeight="false" outlineLevel="0" collapsed="false">
      <c r="A1341" s="21" t="n">
        <v>46276</v>
      </c>
      <c r="B1341" s="22" t="n">
        <v>19</v>
      </c>
      <c r="C1341" s="25" t="n">
        <v>168.6</v>
      </c>
      <c r="D1341" s="25" t="n">
        <v>23.88</v>
      </c>
      <c r="E1341" s="25" t="n">
        <v>0.36</v>
      </c>
      <c r="F1341" s="22" t="n">
        <f aca="false">WEEKDAY(A1341,2)</f>
        <v>5</v>
      </c>
      <c r="G1341" s="22" t="str">
        <f aca="false">IF(F1341=7,IF(B1341&gt;=23,"C","Sin turno"),IF(B1341&lt;7,"C",IF(B1341&lt;14,"A",IF(B1341&lt;21,"B",IF(B1341&lt;23,"Entre turnos",IF(F1341=6,"Sin turno","C"))))))</f>
        <v>B</v>
      </c>
      <c r="H1341" s="25" t="n">
        <f aca="false">IF(D1341="","",MAX(0,D1341-0.5*C1341))</f>
        <v>0</v>
      </c>
    </row>
    <row r="1342" customFormat="false" ht="15" hidden="false" customHeight="false" outlineLevel="0" collapsed="false">
      <c r="A1342" s="21" t="n">
        <v>46276</v>
      </c>
      <c r="B1342" s="22" t="n">
        <v>20</v>
      </c>
      <c r="C1342" s="25" t="n">
        <v>198.12</v>
      </c>
      <c r="D1342" s="25" t="n">
        <v>23.88</v>
      </c>
      <c r="E1342" s="25" t="n">
        <v>0.36</v>
      </c>
      <c r="F1342" s="22" t="n">
        <f aca="false">WEEKDAY(A1342,2)</f>
        <v>5</v>
      </c>
      <c r="G1342" s="22" t="str">
        <f aca="false">IF(F1342=7,IF(B1342&gt;=23,"C","Sin turno"),IF(B1342&lt;7,"C",IF(B1342&lt;14,"A",IF(B1342&lt;21,"B",IF(B1342&lt;23,"Entre turnos",IF(F1342=6,"Sin turno","C"))))))</f>
        <v>B</v>
      </c>
      <c r="H1342" s="25" t="n">
        <f aca="false">IF(D1342="","",MAX(0,D1342-0.5*C1342))</f>
        <v>0</v>
      </c>
    </row>
    <row r="1343" customFormat="false" ht="15" hidden="false" customHeight="false" outlineLevel="0" collapsed="false">
      <c r="A1343" s="21" t="n">
        <v>46276</v>
      </c>
      <c r="B1343" s="22" t="n">
        <v>21</v>
      </c>
      <c r="C1343" s="25" t="n">
        <v>173.4</v>
      </c>
      <c r="D1343" s="25" t="n">
        <v>29.16</v>
      </c>
      <c r="E1343" s="25" t="n">
        <v>0</v>
      </c>
      <c r="F1343" s="22" t="n">
        <f aca="false">WEEKDAY(A1343,2)</f>
        <v>5</v>
      </c>
      <c r="G1343" s="22" t="str">
        <f aca="false">IF(F1343=7,IF(B1343&gt;=23,"C","Sin turno"),IF(B1343&lt;7,"C",IF(B1343&lt;14,"A",IF(B1343&lt;21,"B",IF(B1343&lt;23,"Entre turnos",IF(F1343=6,"Sin turno","C"))))))</f>
        <v>Entre turnos</v>
      </c>
      <c r="H1343" s="25" t="n">
        <f aca="false">IF(D1343="","",MAX(0,D1343-0.5*C1343))</f>
        <v>0</v>
      </c>
    </row>
    <row r="1344" customFormat="false" ht="15" hidden="false" customHeight="false" outlineLevel="0" collapsed="false">
      <c r="A1344" s="21" t="n">
        <v>46276</v>
      </c>
      <c r="B1344" s="22" t="n">
        <v>22</v>
      </c>
      <c r="C1344" s="25" t="n">
        <v>167.28</v>
      </c>
      <c r="D1344" s="25" t="n">
        <v>23.52</v>
      </c>
      <c r="E1344" s="25" t="n">
        <v>0.12</v>
      </c>
      <c r="F1344" s="22" t="n">
        <f aca="false">WEEKDAY(A1344,2)</f>
        <v>5</v>
      </c>
      <c r="G1344" s="22" t="str">
        <f aca="false">IF(F1344=7,IF(B1344&gt;=23,"C","Sin turno"),IF(B1344&lt;7,"C",IF(B1344&lt;14,"A",IF(B1344&lt;21,"B",IF(B1344&lt;23,"Entre turnos",IF(F1344=6,"Sin turno","C"))))))</f>
        <v>Entre turnos</v>
      </c>
      <c r="H1344" s="25" t="n">
        <f aca="false">IF(D1344="","",MAX(0,D1344-0.5*C1344))</f>
        <v>0</v>
      </c>
    </row>
    <row r="1345" customFormat="false" ht="15" hidden="false" customHeight="false" outlineLevel="0" collapsed="false">
      <c r="A1345" s="21" t="n">
        <v>46276</v>
      </c>
      <c r="B1345" s="22" t="n">
        <v>23</v>
      </c>
      <c r="C1345" s="25" t="n">
        <v>76.2</v>
      </c>
      <c r="D1345" s="25" t="n">
        <v>19.92</v>
      </c>
      <c r="E1345" s="25" t="n">
        <v>0.12</v>
      </c>
      <c r="F1345" s="22" t="n">
        <f aca="false">WEEKDAY(A1345,2)</f>
        <v>5</v>
      </c>
      <c r="G1345" s="22" t="str">
        <f aca="false">IF(F1345=7,IF(B1345&gt;=23,"C","Sin turno"),IF(B1345&lt;7,"C",IF(B1345&lt;14,"A",IF(B1345&lt;21,"B",IF(B1345&lt;23,"Entre turnos",IF(F1345=6,"Sin turno","C"))))))</f>
        <v>C</v>
      </c>
      <c r="H1345" s="25" t="n">
        <f aca="false">IF(D1345="","",MAX(0,D1345-0.5*C1345))</f>
        <v>0</v>
      </c>
    </row>
    <row r="1346" customFormat="false" ht="15" hidden="false" customHeight="false" outlineLevel="0" collapsed="false">
      <c r="A1346" s="21" t="n">
        <v>46277</v>
      </c>
      <c r="B1346" s="22" t="n">
        <v>0</v>
      </c>
      <c r="C1346" s="25" t="n">
        <v>42.72</v>
      </c>
      <c r="D1346" s="25" t="n">
        <v>19.44</v>
      </c>
      <c r="E1346" s="25" t="n">
        <v>0</v>
      </c>
      <c r="F1346" s="22" t="n">
        <f aca="false">WEEKDAY(A1346,2)</f>
        <v>6</v>
      </c>
      <c r="G1346" s="22" t="str">
        <f aca="false">IF(F1346=7,IF(B1346&gt;=23,"C","Sin turno"),IF(B1346&lt;7,"C",IF(B1346&lt;14,"A",IF(B1346&lt;21,"B",IF(B1346&lt;23,"Entre turnos",IF(F1346=6,"Sin turno","C"))))))</f>
        <v>C</v>
      </c>
      <c r="H1346" s="25" t="n">
        <f aca="false">IF(D1346="","",MAX(0,D1346-0.5*C1346))</f>
        <v>0</v>
      </c>
    </row>
    <row r="1347" customFormat="false" ht="15" hidden="false" customHeight="false" outlineLevel="0" collapsed="false">
      <c r="A1347" s="21" t="n">
        <v>46277</v>
      </c>
      <c r="B1347" s="22" t="n">
        <v>1</v>
      </c>
      <c r="C1347" s="25" t="n">
        <v>42.36</v>
      </c>
      <c r="D1347" s="25" t="n">
        <v>19.32</v>
      </c>
      <c r="E1347" s="25" t="n">
        <v>0</v>
      </c>
      <c r="F1347" s="22" t="n">
        <f aca="false">WEEKDAY(A1347,2)</f>
        <v>6</v>
      </c>
      <c r="G1347" s="22" t="str">
        <f aca="false">IF(F1347=7,IF(B1347&gt;=23,"C","Sin turno"),IF(B1347&lt;7,"C",IF(B1347&lt;14,"A",IF(B1347&lt;21,"B",IF(B1347&lt;23,"Entre turnos",IF(F1347=6,"Sin turno","C"))))))</f>
        <v>C</v>
      </c>
      <c r="H1347" s="25" t="n">
        <f aca="false">IF(D1347="","",MAX(0,D1347-0.5*C1347))</f>
        <v>0</v>
      </c>
    </row>
    <row r="1348" customFormat="false" ht="15" hidden="false" customHeight="false" outlineLevel="0" collapsed="false">
      <c r="A1348" s="21" t="n">
        <v>46277</v>
      </c>
      <c r="B1348" s="22" t="n">
        <v>2</v>
      </c>
      <c r="C1348" s="25" t="n">
        <v>42</v>
      </c>
      <c r="D1348" s="25" t="n">
        <v>19.2</v>
      </c>
      <c r="E1348" s="25" t="n">
        <v>0</v>
      </c>
      <c r="F1348" s="22" t="n">
        <f aca="false">WEEKDAY(A1348,2)</f>
        <v>6</v>
      </c>
      <c r="G1348" s="22" t="str">
        <f aca="false">IF(F1348=7,IF(B1348&gt;=23,"C","Sin turno"),IF(B1348&lt;7,"C",IF(B1348&lt;14,"A",IF(B1348&lt;21,"B",IF(B1348&lt;23,"Entre turnos",IF(F1348=6,"Sin turno","C"))))))</f>
        <v>C</v>
      </c>
      <c r="H1348" s="25" t="n">
        <f aca="false">IF(D1348="","",MAX(0,D1348-0.5*C1348))</f>
        <v>0</v>
      </c>
    </row>
    <row r="1349" customFormat="false" ht="15" hidden="false" customHeight="false" outlineLevel="0" collapsed="false">
      <c r="A1349" s="21" t="n">
        <v>46277</v>
      </c>
      <c r="B1349" s="22" t="n">
        <v>3</v>
      </c>
      <c r="C1349" s="25" t="n">
        <v>41.76</v>
      </c>
      <c r="D1349" s="25" t="n">
        <v>18.96</v>
      </c>
      <c r="E1349" s="25" t="n">
        <v>0</v>
      </c>
      <c r="F1349" s="22" t="n">
        <f aca="false">WEEKDAY(A1349,2)</f>
        <v>6</v>
      </c>
      <c r="G1349" s="22" t="str">
        <f aca="false">IF(F1349=7,IF(B1349&gt;=23,"C","Sin turno"),IF(B1349&lt;7,"C",IF(B1349&lt;14,"A",IF(B1349&lt;21,"B",IF(B1349&lt;23,"Entre turnos",IF(F1349=6,"Sin turno","C"))))))</f>
        <v>C</v>
      </c>
      <c r="H1349" s="25" t="n">
        <f aca="false">IF(D1349="","",MAX(0,D1349-0.5*C1349))</f>
        <v>0</v>
      </c>
    </row>
    <row r="1350" customFormat="false" ht="15" hidden="false" customHeight="false" outlineLevel="0" collapsed="false">
      <c r="A1350" s="21" t="n">
        <v>46277</v>
      </c>
      <c r="B1350" s="22" t="n">
        <v>4</v>
      </c>
      <c r="C1350" s="25" t="n">
        <v>42</v>
      </c>
      <c r="D1350" s="25" t="n">
        <v>18.84</v>
      </c>
      <c r="E1350" s="25" t="n">
        <v>0</v>
      </c>
      <c r="F1350" s="22" t="n">
        <f aca="false">WEEKDAY(A1350,2)</f>
        <v>6</v>
      </c>
      <c r="G1350" s="22" t="str">
        <f aca="false">IF(F1350=7,IF(B1350&gt;=23,"C","Sin turno"),IF(B1350&lt;7,"C",IF(B1350&lt;14,"A",IF(B1350&lt;21,"B",IF(B1350&lt;23,"Entre turnos",IF(F1350=6,"Sin turno","C"))))))</f>
        <v>C</v>
      </c>
      <c r="H1350" s="25" t="n">
        <f aca="false">IF(D1350="","",MAX(0,D1350-0.5*C1350))</f>
        <v>0</v>
      </c>
    </row>
    <row r="1351" customFormat="false" ht="15" hidden="false" customHeight="false" outlineLevel="0" collapsed="false">
      <c r="A1351" s="21" t="n">
        <v>46277</v>
      </c>
      <c r="B1351" s="22" t="n">
        <v>5</v>
      </c>
      <c r="C1351" s="25" t="n">
        <v>41.04</v>
      </c>
      <c r="D1351" s="25" t="n">
        <v>19.08</v>
      </c>
      <c r="E1351" s="25" t="n">
        <v>0</v>
      </c>
      <c r="F1351" s="22" t="n">
        <f aca="false">WEEKDAY(A1351,2)</f>
        <v>6</v>
      </c>
      <c r="G1351" s="22" t="str">
        <f aca="false">IF(F1351=7,IF(B1351&gt;=23,"C","Sin turno"),IF(B1351&lt;7,"C",IF(B1351&lt;14,"A",IF(B1351&lt;21,"B",IF(B1351&lt;23,"Entre turnos",IF(F1351=6,"Sin turno","C"))))))</f>
        <v>C</v>
      </c>
      <c r="H1351" s="25" t="n">
        <f aca="false">IF(D1351="","",MAX(0,D1351-0.5*C1351))</f>
        <v>0</v>
      </c>
    </row>
    <row r="1352" customFormat="false" ht="15" hidden="false" customHeight="false" outlineLevel="0" collapsed="false">
      <c r="A1352" s="21" t="n">
        <v>46277</v>
      </c>
      <c r="B1352" s="22" t="n">
        <v>6</v>
      </c>
      <c r="C1352" s="25" t="n">
        <v>42.12</v>
      </c>
      <c r="D1352" s="25" t="n">
        <v>19.08</v>
      </c>
      <c r="E1352" s="25" t="n">
        <v>0</v>
      </c>
      <c r="F1352" s="22" t="n">
        <f aca="false">WEEKDAY(A1352,2)</f>
        <v>6</v>
      </c>
      <c r="G1352" s="22" t="str">
        <f aca="false">IF(F1352=7,IF(B1352&gt;=23,"C","Sin turno"),IF(B1352&lt;7,"C",IF(B1352&lt;14,"A",IF(B1352&lt;21,"B",IF(B1352&lt;23,"Entre turnos",IF(F1352=6,"Sin turno","C"))))))</f>
        <v>C</v>
      </c>
      <c r="H1352" s="25" t="n">
        <f aca="false">IF(D1352="","",MAX(0,D1352-0.5*C1352))</f>
        <v>0</v>
      </c>
    </row>
    <row r="1353" customFormat="false" ht="15" hidden="false" customHeight="false" outlineLevel="0" collapsed="false">
      <c r="A1353" s="21" t="n">
        <v>46277</v>
      </c>
      <c r="B1353" s="22" t="n">
        <v>7</v>
      </c>
      <c r="C1353" s="25" t="n">
        <v>63.12</v>
      </c>
      <c r="D1353" s="25" t="n">
        <v>21.12</v>
      </c>
      <c r="E1353" s="25" t="n">
        <v>0</v>
      </c>
      <c r="F1353" s="22" t="n">
        <f aca="false">WEEKDAY(A1353,2)</f>
        <v>6</v>
      </c>
      <c r="G1353" s="22" t="str">
        <f aca="false">IF(F1353=7,IF(B1353&gt;=23,"C","Sin turno"),IF(B1353&lt;7,"C",IF(B1353&lt;14,"A",IF(B1353&lt;21,"B",IF(B1353&lt;23,"Entre turnos",IF(F1353=6,"Sin turno","C"))))))</f>
        <v>A</v>
      </c>
      <c r="H1353" s="25" t="n">
        <f aca="false">IF(D1353="","",MAX(0,D1353-0.5*C1353))</f>
        <v>0</v>
      </c>
    </row>
    <row r="1354" customFormat="false" ht="15" hidden="false" customHeight="false" outlineLevel="0" collapsed="false">
      <c r="A1354" s="21" t="n">
        <v>46277</v>
      </c>
      <c r="B1354" s="22" t="n">
        <v>8</v>
      </c>
      <c r="C1354" s="25" t="n">
        <v>79.2</v>
      </c>
      <c r="D1354" s="25" t="n">
        <v>23.88</v>
      </c>
      <c r="E1354" s="25" t="n">
        <v>0</v>
      </c>
      <c r="F1354" s="22" t="n">
        <f aca="false">WEEKDAY(A1354,2)</f>
        <v>6</v>
      </c>
      <c r="G1354" s="22" t="str">
        <f aca="false">IF(F1354=7,IF(B1354&gt;=23,"C","Sin turno"),IF(B1354&lt;7,"C",IF(B1354&lt;14,"A",IF(B1354&lt;21,"B",IF(B1354&lt;23,"Entre turnos",IF(F1354=6,"Sin turno","C"))))))</f>
        <v>A</v>
      </c>
      <c r="H1354" s="25" t="n">
        <f aca="false">IF(D1354="","",MAX(0,D1354-0.5*C1354))</f>
        <v>0</v>
      </c>
    </row>
    <row r="1355" customFormat="false" ht="15" hidden="false" customHeight="false" outlineLevel="0" collapsed="false">
      <c r="A1355" s="21" t="n">
        <v>46277</v>
      </c>
      <c r="B1355" s="22" t="n">
        <v>9</v>
      </c>
      <c r="C1355" s="25" t="n">
        <v>82.68</v>
      </c>
      <c r="D1355" s="25" t="n">
        <v>23.52</v>
      </c>
      <c r="E1355" s="25" t="n">
        <v>0</v>
      </c>
      <c r="F1355" s="22" t="n">
        <f aca="false">WEEKDAY(A1355,2)</f>
        <v>6</v>
      </c>
      <c r="G1355" s="22" t="str">
        <f aca="false">IF(F1355=7,IF(B1355&gt;=23,"C","Sin turno"),IF(B1355&lt;7,"C",IF(B1355&lt;14,"A",IF(B1355&lt;21,"B",IF(B1355&lt;23,"Entre turnos",IF(F1355=6,"Sin turno","C"))))))</f>
        <v>A</v>
      </c>
      <c r="H1355" s="25" t="n">
        <f aca="false">IF(D1355="","",MAX(0,D1355-0.5*C1355))</f>
        <v>0</v>
      </c>
    </row>
    <row r="1356" customFormat="false" ht="15" hidden="false" customHeight="false" outlineLevel="0" collapsed="false">
      <c r="A1356" s="21" t="n">
        <v>46277</v>
      </c>
      <c r="B1356" s="22" t="n">
        <v>10</v>
      </c>
      <c r="C1356" s="25" t="n">
        <v>84.72</v>
      </c>
      <c r="D1356" s="25" t="n">
        <v>25.56</v>
      </c>
      <c r="E1356" s="25" t="n">
        <v>0</v>
      </c>
      <c r="F1356" s="22" t="n">
        <f aca="false">WEEKDAY(A1356,2)</f>
        <v>6</v>
      </c>
      <c r="G1356" s="22" t="str">
        <f aca="false">IF(F1356=7,IF(B1356&gt;=23,"C","Sin turno"),IF(B1356&lt;7,"C",IF(B1356&lt;14,"A",IF(B1356&lt;21,"B",IF(B1356&lt;23,"Entre turnos",IF(F1356=6,"Sin turno","C"))))))</f>
        <v>A</v>
      </c>
      <c r="H1356" s="25" t="n">
        <f aca="false">IF(D1356="","",MAX(0,D1356-0.5*C1356))</f>
        <v>0</v>
      </c>
    </row>
    <row r="1357" customFormat="false" ht="15" hidden="false" customHeight="false" outlineLevel="0" collapsed="false">
      <c r="A1357" s="21" t="n">
        <v>46277</v>
      </c>
      <c r="B1357" s="22" t="n">
        <v>11</v>
      </c>
      <c r="C1357" s="25" t="n">
        <v>83.76</v>
      </c>
      <c r="D1357" s="25" t="n">
        <v>24.84</v>
      </c>
      <c r="E1357" s="25" t="n">
        <v>0</v>
      </c>
      <c r="F1357" s="22" t="n">
        <f aca="false">WEEKDAY(A1357,2)</f>
        <v>6</v>
      </c>
      <c r="G1357" s="22" t="str">
        <f aca="false">IF(F1357=7,IF(B1357&gt;=23,"C","Sin turno"),IF(B1357&lt;7,"C",IF(B1357&lt;14,"A",IF(B1357&lt;21,"B",IF(B1357&lt;23,"Entre turnos",IF(F1357=6,"Sin turno","C"))))))</f>
        <v>A</v>
      </c>
      <c r="H1357" s="25" t="n">
        <f aca="false">IF(D1357="","",MAX(0,D1357-0.5*C1357))</f>
        <v>0</v>
      </c>
    </row>
    <row r="1358" customFormat="false" ht="15" hidden="false" customHeight="false" outlineLevel="0" collapsed="false">
      <c r="A1358" s="21" t="n">
        <v>46277</v>
      </c>
      <c r="B1358" s="22" t="n">
        <v>12</v>
      </c>
      <c r="C1358" s="25" t="n">
        <v>76.2</v>
      </c>
      <c r="D1358" s="25" t="n">
        <v>23.52</v>
      </c>
      <c r="E1358" s="25" t="n">
        <v>0</v>
      </c>
      <c r="F1358" s="22" t="n">
        <f aca="false">WEEKDAY(A1358,2)</f>
        <v>6</v>
      </c>
      <c r="G1358" s="22" t="str">
        <f aca="false">IF(F1358=7,IF(B1358&gt;=23,"C","Sin turno"),IF(B1358&lt;7,"C",IF(B1358&lt;14,"A",IF(B1358&lt;21,"B",IF(B1358&lt;23,"Entre turnos",IF(F1358=6,"Sin turno","C"))))))</f>
        <v>A</v>
      </c>
      <c r="H1358" s="25" t="n">
        <f aca="false">IF(D1358="","",MAX(0,D1358-0.5*C1358))</f>
        <v>0</v>
      </c>
    </row>
    <row r="1359" customFormat="false" ht="15" hidden="false" customHeight="false" outlineLevel="0" collapsed="false">
      <c r="A1359" s="21" t="n">
        <v>46277</v>
      </c>
      <c r="B1359" s="22" t="n">
        <v>13</v>
      </c>
      <c r="C1359" s="25" t="n">
        <v>77.88</v>
      </c>
      <c r="D1359" s="25" t="n">
        <v>23.88</v>
      </c>
      <c r="E1359" s="25" t="n">
        <v>0</v>
      </c>
      <c r="F1359" s="22" t="n">
        <f aca="false">WEEKDAY(A1359,2)</f>
        <v>6</v>
      </c>
      <c r="G1359" s="22" t="str">
        <f aca="false">IF(F1359=7,IF(B1359&gt;=23,"C","Sin turno"),IF(B1359&lt;7,"C",IF(B1359&lt;14,"A",IF(B1359&lt;21,"B",IF(B1359&lt;23,"Entre turnos",IF(F1359=6,"Sin turno","C"))))))</f>
        <v>A</v>
      </c>
      <c r="H1359" s="25" t="n">
        <f aca="false">IF(D1359="","",MAX(0,D1359-0.5*C1359))</f>
        <v>0</v>
      </c>
    </row>
    <row r="1360" customFormat="false" ht="15" hidden="false" customHeight="false" outlineLevel="0" collapsed="false">
      <c r="A1360" s="21" t="n">
        <v>46277</v>
      </c>
      <c r="B1360" s="22" t="n">
        <v>14</v>
      </c>
      <c r="C1360" s="25" t="n">
        <v>77.88</v>
      </c>
      <c r="D1360" s="25" t="n">
        <v>21.84</v>
      </c>
      <c r="E1360" s="25" t="n">
        <v>0</v>
      </c>
      <c r="F1360" s="22" t="n">
        <f aca="false">WEEKDAY(A1360,2)</f>
        <v>6</v>
      </c>
      <c r="G1360" s="22" t="str">
        <f aca="false">IF(F1360=7,IF(B1360&gt;=23,"C","Sin turno"),IF(B1360&lt;7,"C",IF(B1360&lt;14,"A",IF(B1360&lt;21,"B",IF(B1360&lt;23,"Entre turnos",IF(F1360=6,"Sin turno","C"))))))</f>
        <v>B</v>
      </c>
      <c r="H1360" s="25" t="n">
        <f aca="false">IF(D1360="","",MAX(0,D1360-0.5*C1360))</f>
        <v>0</v>
      </c>
    </row>
    <row r="1361" customFormat="false" ht="15" hidden="false" customHeight="false" outlineLevel="0" collapsed="false">
      <c r="A1361" s="21" t="n">
        <v>46277</v>
      </c>
      <c r="B1361" s="22" t="n">
        <v>15</v>
      </c>
      <c r="C1361" s="25" t="n">
        <v>75</v>
      </c>
      <c r="D1361" s="25" t="n">
        <v>21.96</v>
      </c>
      <c r="E1361" s="25" t="n">
        <v>0</v>
      </c>
      <c r="F1361" s="22" t="n">
        <f aca="false">WEEKDAY(A1361,2)</f>
        <v>6</v>
      </c>
      <c r="G1361" s="22" t="str">
        <f aca="false">IF(F1361=7,IF(B1361&gt;=23,"C","Sin turno"),IF(B1361&lt;7,"C",IF(B1361&lt;14,"A",IF(B1361&lt;21,"B",IF(B1361&lt;23,"Entre turnos",IF(F1361=6,"Sin turno","C"))))))</f>
        <v>B</v>
      </c>
      <c r="H1361" s="25" t="n">
        <f aca="false">IF(D1361="","",MAX(0,D1361-0.5*C1361))</f>
        <v>0</v>
      </c>
    </row>
    <row r="1362" customFormat="false" ht="15" hidden="false" customHeight="false" outlineLevel="0" collapsed="false">
      <c r="A1362" s="21" t="n">
        <v>46277</v>
      </c>
      <c r="B1362" s="22" t="n">
        <v>16</v>
      </c>
      <c r="C1362" s="25" t="n">
        <v>71.64</v>
      </c>
      <c r="D1362" s="25" t="n">
        <v>20.76</v>
      </c>
      <c r="E1362" s="25" t="n">
        <v>0</v>
      </c>
      <c r="F1362" s="22" t="n">
        <f aca="false">WEEKDAY(A1362,2)</f>
        <v>6</v>
      </c>
      <c r="G1362" s="22" t="str">
        <f aca="false">IF(F1362=7,IF(B1362&gt;=23,"C","Sin turno"),IF(B1362&lt;7,"C",IF(B1362&lt;14,"A",IF(B1362&lt;21,"B",IF(B1362&lt;23,"Entre turnos",IF(F1362=6,"Sin turno","C"))))))</f>
        <v>B</v>
      </c>
      <c r="H1362" s="25" t="n">
        <f aca="false">IF(D1362="","",MAX(0,D1362-0.5*C1362))</f>
        <v>0</v>
      </c>
    </row>
    <row r="1363" customFormat="false" ht="15" hidden="false" customHeight="false" outlineLevel="0" collapsed="false">
      <c r="A1363" s="21" t="n">
        <v>46277</v>
      </c>
      <c r="B1363" s="22" t="n">
        <v>17</v>
      </c>
      <c r="C1363" s="25" t="n">
        <v>72.84</v>
      </c>
      <c r="D1363" s="25" t="n">
        <v>20.64</v>
      </c>
      <c r="E1363" s="25" t="n">
        <v>0</v>
      </c>
      <c r="F1363" s="22" t="n">
        <f aca="false">WEEKDAY(A1363,2)</f>
        <v>6</v>
      </c>
      <c r="G1363" s="22" t="str">
        <f aca="false">IF(F1363=7,IF(B1363&gt;=23,"C","Sin turno"),IF(B1363&lt;7,"C",IF(B1363&lt;14,"A",IF(B1363&lt;21,"B",IF(B1363&lt;23,"Entre turnos",IF(F1363=6,"Sin turno","C"))))))</f>
        <v>B</v>
      </c>
      <c r="H1363" s="25" t="n">
        <f aca="false">IF(D1363="","",MAX(0,D1363-0.5*C1363))</f>
        <v>0</v>
      </c>
    </row>
    <row r="1364" customFormat="false" ht="15" hidden="false" customHeight="false" outlineLevel="0" collapsed="false">
      <c r="A1364" s="21" t="n">
        <v>46277</v>
      </c>
      <c r="B1364" s="22" t="n">
        <v>18</v>
      </c>
      <c r="C1364" s="25" t="n">
        <v>69.12</v>
      </c>
      <c r="D1364" s="25" t="n">
        <v>20.64</v>
      </c>
      <c r="E1364" s="25" t="n">
        <v>0</v>
      </c>
      <c r="F1364" s="22" t="n">
        <f aca="false">WEEKDAY(A1364,2)</f>
        <v>6</v>
      </c>
      <c r="G1364" s="22" t="str">
        <f aca="false">IF(F1364=7,IF(B1364&gt;=23,"C","Sin turno"),IF(B1364&lt;7,"C",IF(B1364&lt;14,"A",IF(B1364&lt;21,"B",IF(B1364&lt;23,"Entre turnos",IF(F1364=6,"Sin turno","C"))))))</f>
        <v>B</v>
      </c>
      <c r="H1364" s="25" t="n">
        <f aca="false">IF(D1364="","",MAX(0,D1364-0.5*C1364))</f>
        <v>0</v>
      </c>
    </row>
    <row r="1365" customFormat="false" ht="15" hidden="false" customHeight="false" outlineLevel="0" collapsed="false">
      <c r="A1365" s="21" t="n">
        <v>46277</v>
      </c>
      <c r="B1365" s="22" t="n">
        <v>19</v>
      </c>
      <c r="C1365" s="25" t="n">
        <v>68.76</v>
      </c>
      <c r="D1365" s="25" t="n">
        <v>20.88</v>
      </c>
      <c r="E1365" s="25" t="n">
        <v>0</v>
      </c>
      <c r="F1365" s="22" t="n">
        <f aca="false">WEEKDAY(A1365,2)</f>
        <v>6</v>
      </c>
      <c r="G1365" s="22" t="str">
        <f aca="false">IF(F1365=7,IF(B1365&gt;=23,"C","Sin turno"),IF(B1365&lt;7,"C",IF(B1365&lt;14,"A",IF(B1365&lt;21,"B",IF(B1365&lt;23,"Entre turnos",IF(F1365=6,"Sin turno","C"))))))</f>
        <v>B</v>
      </c>
      <c r="H1365" s="25" t="n">
        <f aca="false">IF(D1365="","",MAX(0,D1365-0.5*C1365))</f>
        <v>0</v>
      </c>
    </row>
    <row r="1366" customFormat="false" ht="15" hidden="false" customHeight="false" outlineLevel="0" collapsed="false">
      <c r="A1366" s="21" t="n">
        <v>46277</v>
      </c>
      <c r="B1366" s="22" t="n">
        <v>20</v>
      </c>
      <c r="C1366" s="25" t="n">
        <v>67.44</v>
      </c>
      <c r="D1366" s="25" t="n">
        <v>20.4</v>
      </c>
      <c r="E1366" s="25" t="n">
        <v>0</v>
      </c>
      <c r="F1366" s="22" t="n">
        <f aca="false">WEEKDAY(A1366,2)</f>
        <v>6</v>
      </c>
      <c r="G1366" s="22" t="str">
        <f aca="false">IF(F1366=7,IF(B1366&gt;=23,"C","Sin turno"),IF(B1366&lt;7,"C",IF(B1366&lt;14,"A",IF(B1366&lt;21,"B",IF(B1366&lt;23,"Entre turnos",IF(F1366=6,"Sin turno","C"))))))</f>
        <v>B</v>
      </c>
      <c r="H1366" s="25" t="n">
        <f aca="false">IF(D1366="","",MAX(0,D1366-0.5*C1366))</f>
        <v>0</v>
      </c>
    </row>
    <row r="1367" customFormat="false" ht="15" hidden="false" customHeight="false" outlineLevel="0" collapsed="false">
      <c r="A1367" s="21" t="n">
        <v>46277</v>
      </c>
      <c r="B1367" s="22" t="n">
        <v>21</v>
      </c>
      <c r="C1367" s="25" t="n">
        <v>64.68</v>
      </c>
      <c r="D1367" s="25" t="n">
        <v>20.28</v>
      </c>
      <c r="E1367" s="25" t="n">
        <v>0</v>
      </c>
      <c r="F1367" s="22" t="n">
        <f aca="false">WEEKDAY(A1367,2)</f>
        <v>6</v>
      </c>
      <c r="G1367" s="22" t="str">
        <f aca="false">IF(F1367=7,IF(B1367&gt;=23,"C","Sin turno"),IF(B1367&lt;7,"C",IF(B1367&lt;14,"A",IF(B1367&lt;21,"B",IF(B1367&lt;23,"Entre turnos",IF(F1367=6,"Sin turno","C"))))))</f>
        <v>Entre turnos</v>
      </c>
      <c r="H1367" s="25" t="n">
        <f aca="false">IF(D1367="","",MAX(0,D1367-0.5*C1367))</f>
        <v>0</v>
      </c>
    </row>
    <row r="1368" customFormat="false" ht="15" hidden="false" customHeight="false" outlineLevel="0" collapsed="false">
      <c r="A1368" s="21" t="n">
        <v>46277</v>
      </c>
      <c r="B1368" s="22" t="n">
        <v>22</v>
      </c>
      <c r="C1368" s="25" t="n">
        <v>53.4</v>
      </c>
      <c r="D1368" s="25" t="n">
        <v>21</v>
      </c>
      <c r="E1368" s="25" t="n">
        <v>0</v>
      </c>
      <c r="F1368" s="22" t="n">
        <f aca="false">WEEKDAY(A1368,2)</f>
        <v>6</v>
      </c>
      <c r="G1368" s="22" t="str">
        <f aca="false">IF(F1368=7,IF(B1368&gt;=23,"C","Sin turno"),IF(B1368&lt;7,"C",IF(B1368&lt;14,"A",IF(B1368&lt;21,"B",IF(B1368&lt;23,"Entre turnos",IF(F1368=6,"Sin turno","C"))))))</f>
        <v>Entre turnos</v>
      </c>
      <c r="H1368" s="25" t="n">
        <f aca="false">IF(D1368="","",MAX(0,D1368-0.5*C1368))</f>
        <v>0</v>
      </c>
    </row>
    <row r="1369" customFormat="false" ht="15" hidden="false" customHeight="false" outlineLevel="0" collapsed="false">
      <c r="A1369" s="21" t="n">
        <v>46277</v>
      </c>
      <c r="B1369" s="22" t="n">
        <v>23</v>
      </c>
      <c r="C1369" s="25" t="n">
        <v>51.48</v>
      </c>
      <c r="D1369" s="25" t="n">
        <v>20.88</v>
      </c>
      <c r="E1369" s="25" t="n">
        <v>0</v>
      </c>
      <c r="F1369" s="22" t="n">
        <f aca="false">WEEKDAY(A1369,2)</f>
        <v>6</v>
      </c>
      <c r="G1369" s="22" t="str">
        <f aca="false">IF(F1369=7,IF(B1369&gt;=23,"C","Sin turno"),IF(B1369&lt;7,"C",IF(B1369&lt;14,"A",IF(B1369&lt;21,"B",IF(B1369&lt;23,"Entre turnos",IF(F1369=6,"Sin turno","C"))))))</f>
        <v>Sin turno</v>
      </c>
      <c r="H1369" s="25" t="n">
        <f aca="false">IF(D1369="","",MAX(0,D1369-0.5*C1369))</f>
        <v>0</v>
      </c>
    </row>
    <row r="1370" customFormat="false" ht="15" hidden="false" customHeight="false" outlineLevel="0" collapsed="false">
      <c r="A1370" s="21" t="n">
        <v>46278</v>
      </c>
      <c r="B1370" s="22" t="n">
        <v>0</v>
      </c>
      <c r="C1370" s="25" t="n">
        <v>50.04</v>
      </c>
      <c r="D1370" s="25" t="n">
        <v>21.12</v>
      </c>
      <c r="E1370" s="25" t="n">
        <v>0</v>
      </c>
      <c r="F1370" s="22" t="n">
        <f aca="false">WEEKDAY(A1370,2)</f>
        <v>7</v>
      </c>
      <c r="G1370" s="22" t="str">
        <f aca="false">IF(F1370=7,IF(B1370&gt;=23,"C","Sin turno"),IF(B1370&lt;7,"C",IF(B1370&lt;14,"A",IF(B1370&lt;21,"B",IF(B1370&lt;23,"Entre turnos",IF(F1370=6,"Sin turno","C"))))))</f>
        <v>Sin turno</v>
      </c>
      <c r="H1370" s="25" t="n">
        <f aca="false">IF(D1370="","",MAX(0,D1370-0.5*C1370))</f>
        <v>0</v>
      </c>
    </row>
    <row r="1371" customFormat="false" ht="15" hidden="false" customHeight="false" outlineLevel="0" collapsed="false">
      <c r="A1371" s="21" t="n">
        <v>46278</v>
      </c>
      <c r="B1371" s="22" t="n">
        <v>1</v>
      </c>
      <c r="C1371" s="25" t="n">
        <v>48</v>
      </c>
      <c r="D1371" s="25" t="n">
        <v>20.76</v>
      </c>
      <c r="E1371" s="25" t="n">
        <v>0</v>
      </c>
      <c r="F1371" s="22" t="n">
        <f aca="false">WEEKDAY(A1371,2)</f>
        <v>7</v>
      </c>
      <c r="G1371" s="22" t="str">
        <f aca="false">IF(F1371=7,IF(B1371&gt;=23,"C","Sin turno"),IF(B1371&lt;7,"C",IF(B1371&lt;14,"A",IF(B1371&lt;21,"B",IF(B1371&lt;23,"Entre turnos",IF(F1371=6,"Sin turno","C"))))))</f>
        <v>Sin turno</v>
      </c>
      <c r="H1371" s="25" t="n">
        <f aca="false">IF(D1371="","",MAX(0,D1371-0.5*C1371))</f>
        <v>0</v>
      </c>
    </row>
    <row r="1372" customFormat="false" ht="15" hidden="false" customHeight="false" outlineLevel="0" collapsed="false">
      <c r="A1372" s="21" t="n">
        <v>46278</v>
      </c>
      <c r="B1372" s="22" t="n">
        <v>2</v>
      </c>
      <c r="C1372" s="25" t="n">
        <v>48.24</v>
      </c>
      <c r="D1372" s="25" t="n">
        <v>21.24</v>
      </c>
      <c r="E1372" s="25" t="n">
        <v>0</v>
      </c>
      <c r="F1372" s="22" t="n">
        <f aca="false">WEEKDAY(A1372,2)</f>
        <v>7</v>
      </c>
      <c r="G1372" s="22" t="str">
        <f aca="false">IF(F1372=7,IF(B1372&gt;=23,"C","Sin turno"),IF(B1372&lt;7,"C",IF(B1372&lt;14,"A",IF(B1372&lt;21,"B",IF(B1372&lt;23,"Entre turnos",IF(F1372=6,"Sin turno","C"))))))</f>
        <v>Sin turno</v>
      </c>
      <c r="H1372" s="25" t="n">
        <f aca="false">IF(D1372="","",MAX(0,D1372-0.5*C1372))</f>
        <v>0</v>
      </c>
    </row>
    <row r="1373" customFormat="false" ht="15" hidden="false" customHeight="false" outlineLevel="0" collapsed="false">
      <c r="A1373" s="21" t="n">
        <v>46278</v>
      </c>
      <c r="B1373" s="22" t="n">
        <v>3</v>
      </c>
      <c r="C1373" s="25" t="n">
        <v>49.56</v>
      </c>
      <c r="D1373" s="25" t="n">
        <v>21.24</v>
      </c>
      <c r="E1373" s="25" t="n">
        <v>0</v>
      </c>
      <c r="F1373" s="22" t="n">
        <f aca="false">WEEKDAY(A1373,2)</f>
        <v>7</v>
      </c>
      <c r="G1373" s="22" t="str">
        <f aca="false">IF(F1373=7,IF(B1373&gt;=23,"C","Sin turno"),IF(B1373&lt;7,"C",IF(B1373&lt;14,"A",IF(B1373&lt;21,"B",IF(B1373&lt;23,"Entre turnos",IF(F1373=6,"Sin turno","C"))))))</f>
        <v>Sin turno</v>
      </c>
      <c r="H1373" s="25" t="n">
        <f aca="false">IF(D1373="","",MAX(0,D1373-0.5*C1373))</f>
        <v>0</v>
      </c>
    </row>
    <row r="1374" customFormat="false" ht="15" hidden="false" customHeight="false" outlineLevel="0" collapsed="false">
      <c r="A1374" s="21" t="n">
        <v>46278</v>
      </c>
      <c r="B1374" s="22" t="n">
        <v>4</v>
      </c>
      <c r="C1374" s="25" t="n">
        <v>49.08</v>
      </c>
      <c r="D1374" s="25" t="n">
        <v>20.4</v>
      </c>
      <c r="E1374" s="25" t="n">
        <v>0</v>
      </c>
      <c r="F1374" s="22" t="n">
        <f aca="false">WEEKDAY(A1374,2)</f>
        <v>7</v>
      </c>
      <c r="G1374" s="22" t="str">
        <f aca="false">IF(F1374=7,IF(B1374&gt;=23,"C","Sin turno"),IF(B1374&lt;7,"C",IF(B1374&lt;14,"A",IF(B1374&lt;21,"B",IF(B1374&lt;23,"Entre turnos",IF(F1374=6,"Sin turno","C"))))))</f>
        <v>Sin turno</v>
      </c>
      <c r="H1374" s="25" t="n">
        <f aca="false">IF(D1374="","",MAX(0,D1374-0.5*C1374))</f>
        <v>0</v>
      </c>
    </row>
    <row r="1375" customFormat="false" ht="15" hidden="false" customHeight="false" outlineLevel="0" collapsed="false">
      <c r="A1375" s="21" t="n">
        <v>46278</v>
      </c>
      <c r="B1375" s="22" t="n">
        <v>5</v>
      </c>
      <c r="C1375" s="25" t="n">
        <v>48.12</v>
      </c>
      <c r="D1375" s="25" t="n">
        <v>20.76</v>
      </c>
      <c r="E1375" s="25" t="n">
        <v>0</v>
      </c>
      <c r="F1375" s="22" t="n">
        <f aca="false">WEEKDAY(A1375,2)</f>
        <v>7</v>
      </c>
      <c r="G1375" s="22" t="str">
        <f aca="false">IF(F1375=7,IF(B1375&gt;=23,"C","Sin turno"),IF(B1375&lt;7,"C",IF(B1375&lt;14,"A",IF(B1375&lt;21,"B",IF(B1375&lt;23,"Entre turnos",IF(F1375=6,"Sin turno","C"))))))</f>
        <v>Sin turno</v>
      </c>
      <c r="H1375" s="25" t="n">
        <f aca="false">IF(D1375="","",MAX(0,D1375-0.5*C1375))</f>
        <v>0</v>
      </c>
    </row>
    <row r="1376" customFormat="false" ht="15" hidden="false" customHeight="false" outlineLevel="0" collapsed="false">
      <c r="A1376" s="21" t="n">
        <v>46278</v>
      </c>
      <c r="B1376" s="22" t="n">
        <v>6</v>
      </c>
      <c r="C1376" s="25" t="n">
        <v>47.28</v>
      </c>
      <c r="D1376" s="25" t="n">
        <v>21.12</v>
      </c>
      <c r="E1376" s="25" t="n">
        <v>0</v>
      </c>
      <c r="F1376" s="22" t="n">
        <f aca="false">WEEKDAY(A1376,2)</f>
        <v>7</v>
      </c>
      <c r="G1376" s="22" t="str">
        <f aca="false">IF(F1376=7,IF(B1376&gt;=23,"C","Sin turno"),IF(B1376&lt;7,"C",IF(B1376&lt;14,"A",IF(B1376&lt;21,"B",IF(B1376&lt;23,"Entre turnos",IF(F1376=6,"Sin turno","C"))))))</f>
        <v>Sin turno</v>
      </c>
      <c r="H1376" s="25" t="n">
        <f aca="false">IF(D1376="","",MAX(0,D1376-0.5*C1376))</f>
        <v>0</v>
      </c>
    </row>
    <row r="1377" customFormat="false" ht="15" hidden="false" customHeight="false" outlineLevel="0" collapsed="false">
      <c r="A1377" s="21" t="n">
        <v>46278</v>
      </c>
      <c r="B1377" s="22" t="n">
        <v>7</v>
      </c>
      <c r="C1377" s="25" t="n">
        <v>58.56</v>
      </c>
      <c r="D1377" s="25" t="n">
        <v>23.4</v>
      </c>
      <c r="E1377" s="25" t="n">
        <v>0</v>
      </c>
      <c r="F1377" s="22" t="n">
        <f aca="false">WEEKDAY(A1377,2)</f>
        <v>7</v>
      </c>
      <c r="G1377" s="22" t="str">
        <f aca="false">IF(F1377=7,IF(B1377&gt;=23,"C","Sin turno"),IF(B1377&lt;7,"C",IF(B1377&lt;14,"A",IF(B1377&lt;21,"B",IF(B1377&lt;23,"Entre turnos",IF(F1377=6,"Sin turno","C"))))))</f>
        <v>Sin turno</v>
      </c>
      <c r="H1377" s="25" t="n">
        <f aca="false">IF(D1377="","",MAX(0,D1377-0.5*C1377))</f>
        <v>0</v>
      </c>
    </row>
    <row r="1378" customFormat="false" ht="15" hidden="false" customHeight="false" outlineLevel="0" collapsed="false">
      <c r="A1378" s="21" t="n">
        <v>46278</v>
      </c>
      <c r="B1378" s="22" t="n">
        <v>8</v>
      </c>
      <c r="C1378" s="25" t="n">
        <v>75.72</v>
      </c>
      <c r="D1378" s="25" t="n">
        <v>25.92</v>
      </c>
      <c r="E1378" s="25" t="n">
        <v>0</v>
      </c>
      <c r="F1378" s="22" t="n">
        <f aca="false">WEEKDAY(A1378,2)</f>
        <v>7</v>
      </c>
      <c r="G1378" s="22" t="str">
        <f aca="false">IF(F1378=7,IF(B1378&gt;=23,"C","Sin turno"),IF(B1378&lt;7,"C",IF(B1378&lt;14,"A",IF(B1378&lt;21,"B",IF(B1378&lt;23,"Entre turnos",IF(F1378=6,"Sin turno","C"))))))</f>
        <v>Sin turno</v>
      </c>
      <c r="H1378" s="25" t="n">
        <f aca="false">IF(D1378="","",MAX(0,D1378-0.5*C1378))</f>
        <v>0</v>
      </c>
    </row>
    <row r="1379" customFormat="false" ht="15" hidden="false" customHeight="false" outlineLevel="0" collapsed="false">
      <c r="A1379" s="21" t="n">
        <v>46278</v>
      </c>
      <c r="B1379" s="22" t="n">
        <v>9</v>
      </c>
      <c r="C1379" s="25" t="n">
        <v>79.2</v>
      </c>
      <c r="D1379" s="25" t="n">
        <v>25.8</v>
      </c>
      <c r="E1379" s="25" t="n">
        <v>0</v>
      </c>
      <c r="F1379" s="22" t="n">
        <f aca="false">WEEKDAY(A1379,2)</f>
        <v>7</v>
      </c>
      <c r="G1379" s="22" t="str">
        <f aca="false">IF(F1379=7,IF(B1379&gt;=23,"C","Sin turno"),IF(B1379&lt;7,"C",IF(B1379&lt;14,"A",IF(B1379&lt;21,"B",IF(B1379&lt;23,"Entre turnos",IF(F1379=6,"Sin turno","C"))))))</f>
        <v>Sin turno</v>
      </c>
      <c r="H1379" s="25" t="n">
        <f aca="false">IF(D1379="","",MAX(0,D1379-0.5*C1379))</f>
        <v>0</v>
      </c>
    </row>
    <row r="1380" customFormat="false" ht="15" hidden="false" customHeight="false" outlineLevel="0" collapsed="false">
      <c r="A1380" s="21" t="n">
        <v>46278</v>
      </c>
      <c r="B1380" s="22" t="n">
        <v>10</v>
      </c>
      <c r="C1380" s="25" t="n">
        <v>81.24</v>
      </c>
      <c r="D1380" s="25" t="n">
        <v>26.52</v>
      </c>
      <c r="E1380" s="25" t="n">
        <v>0</v>
      </c>
      <c r="F1380" s="22" t="n">
        <f aca="false">WEEKDAY(A1380,2)</f>
        <v>7</v>
      </c>
      <c r="G1380" s="22" t="str">
        <f aca="false">IF(F1380=7,IF(B1380&gt;=23,"C","Sin turno"),IF(B1380&lt;7,"C",IF(B1380&lt;14,"A",IF(B1380&lt;21,"B",IF(B1380&lt;23,"Entre turnos",IF(F1380=6,"Sin turno","C"))))))</f>
        <v>Sin turno</v>
      </c>
      <c r="H1380" s="25" t="n">
        <f aca="false">IF(D1380="","",MAX(0,D1380-0.5*C1380))</f>
        <v>0</v>
      </c>
    </row>
    <row r="1381" customFormat="false" ht="15" hidden="false" customHeight="false" outlineLevel="0" collapsed="false">
      <c r="A1381" s="21" t="n">
        <v>46278</v>
      </c>
      <c r="B1381" s="22" t="n">
        <v>11</v>
      </c>
      <c r="C1381" s="25" t="n">
        <v>77.28</v>
      </c>
      <c r="D1381" s="25" t="n">
        <v>24.6</v>
      </c>
      <c r="E1381" s="25" t="n">
        <v>0</v>
      </c>
      <c r="F1381" s="22" t="n">
        <f aca="false">WEEKDAY(A1381,2)</f>
        <v>7</v>
      </c>
      <c r="G1381" s="22" t="str">
        <f aca="false">IF(F1381=7,IF(B1381&gt;=23,"C","Sin turno"),IF(B1381&lt;7,"C",IF(B1381&lt;14,"A",IF(B1381&lt;21,"B",IF(B1381&lt;23,"Entre turnos",IF(F1381=6,"Sin turno","C"))))))</f>
        <v>Sin turno</v>
      </c>
      <c r="H1381" s="25" t="n">
        <f aca="false">IF(D1381="","",MAX(0,D1381-0.5*C1381))</f>
        <v>0</v>
      </c>
    </row>
    <row r="1382" customFormat="false" ht="15" hidden="false" customHeight="false" outlineLevel="0" collapsed="false">
      <c r="A1382" s="21" t="n">
        <v>46278</v>
      </c>
      <c r="B1382" s="22" t="n">
        <v>12</v>
      </c>
      <c r="C1382" s="25" t="n">
        <v>73.08</v>
      </c>
      <c r="D1382" s="25" t="n">
        <v>21.36</v>
      </c>
      <c r="E1382" s="25" t="n">
        <v>0</v>
      </c>
      <c r="F1382" s="22" t="n">
        <f aca="false">WEEKDAY(A1382,2)</f>
        <v>7</v>
      </c>
      <c r="G1382" s="22" t="str">
        <f aca="false">IF(F1382=7,IF(B1382&gt;=23,"C","Sin turno"),IF(B1382&lt;7,"C",IF(B1382&lt;14,"A",IF(B1382&lt;21,"B",IF(B1382&lt;23,"Entre turnos",IF(F1382=6,"Sin turno","C"))))))</f>
        <v>Sin turno</v>
      </c>
      <c r="H1382" s="25" t="n">
        <f aca="false">IF(D1382="","",MAX(0,D1382-0.5*C1382))</f>
        <v>0</v>
      </c>
    </row>
    <row r="1383" customFormat="false" ht="15" hidden="false" customHeight="false" outlineLevel="0" collapsed="false">
      <c r="A1383" s="21" t="n">
        <v>46278</v>
      </c>
      <c r="B1383" s="22" t="n">
        <v>13</v>
      </c>
      <c r="C1383" s="25" t="n">
        <v>74.64</v>
      </c>
      <c r="D1383" s="25" t="n">
        <v>22.68</v>
      </c>
      <c r="E1383" s="25" t="n">
        <v>0</v>
      </c>
      <c r="F1383" s="22" t="n">
        <f aca="false">WEEKDAY(A1383,2)</f>
        <v>7</v>
      </c>
      <c r="G1383" s="22" t="str">
        <f aca="false">IF(F1383=7,IF(B1383&gt;=23,"C","Sin turno"),IF(B1383&lt;7,"C",IF(B1383&lt;14,"A",IF(B1383&lt;21,"B",IF(B1383&lt;23,"Entre turnos",IF(F1383=6,"Sin turno","C"))))))</f>
        <v>Sin turno</v>
      </c>
      <c r="H1383" s="25" t="n">
        <f aca="false">IF(D1383="","",MAX(0,D1383-0.5*C1383))</f>
        <v>0</v>
      </c>
    </row>
    <row r="1384" customFormat="false" ht="15" hidden="false" customHeight="false" outlineLevel="0" collapsed="false">
      <c r="A1384" s="21" t="n">
        <v>46278</v>
      </c>
      <c r="B1384" s="22" t="n">
        <v>14</v>
      </c>
      <c r="C1384" s="25" t="n">
        <v>73.08</v>
      </c>
      <c r="D1384" s="25" t="n">
        <v>21.72</v>
      </c>
      <c r="E1384" s="25" t="n">
        <v>0</v>
      </c>
      <c r="F1384" s="22" t="n">
        <f aca="false">WEEKDAY(A1384,2)</f>
        <v>7</v>
      </c>
      <c r="G1384" s="22" t="str">
        <f aca="false">IF(F1384=7,IF(B1384&gt;=23,"C","Sin turno"),IF(B1384&lt;7,"C",IF(B1384&lt;14,"A",IF(B1384&lt;21,"B",IF(B1384&lt;23,"Entre turnos",IF(F1384=6,"Sin turno","C"))))))</f>
        <v>Sin turno</v>
      </c>
      <c r="H1384" s="25" t="n">
        <f aca="false">IF(D1384="","",MAX(0,D1384-0.5*C1384))</f>
        <v>0</v>
      </c>
    </row>
    <row r="1385" customFormat="false" ht="15" hidden="false" customHeight="false" outlineLevel="0" collapsed="false">
      <c r="A1385" s="21" t="n">
        <v>46278</v>
      </c>
      <c r="B1385" s="22" t="n">
        <v>15</v>
      </c>
      <c r="C1385" s="25" t="n">
        <v>67.8</v>
      </c>
      <c r="D1385" s="25" t="n">
        <v>21.24</v>
      </c>
      <c r="E1385" s="25" t="n">
        <v>0</v>
      </c>
      <c r="F1385" s="22" t="n">
        <f aca="false">WEEKDAY(A1385,2)</f>
        <v>7</v>
      </c>
      <c r="G1385" s="22" t="str">
        <f aca="false">IF(F1385=7,IF(B1385&gt;=23,"C","Sin turno"),IF(B1385&lt;7,"C",IF(B1385&lt;14,"A",IF(B1385&lt;21,"B",IF(B1385&lt;23,"Entre turnos",IF(F1385=6,"Sin turno","C"))))))</f>
        <v>Sin turno</v>
      </c>
      <c r="H1385" s="25" t="n">
        <f aca="false">IF(D1385="","",MAX(0,D1385-0.5*C1385))</f>
        <v>0</v>
      </c>
    </row>
    <row r="1386" customFormat="false" ht="15" hidden="false" customHeight="false" outlineLevel="0" collapsed="false">
      <c r="A1386" s="21" t="n">
        <v>46278</v>
      </c>
      <c r="B1386" s="22" t="n">
        <v>16</v>
      </c>
      <c r="C1386" s="25" t="n">
        <v>66.24</v>
      </c>
      <c r="D1386" s="25" t="n">
        <v>19.08</v>
      </c>
      <c r="E1386" s="25" t="n">
        <v>0.6</v>
      </c>
      <c r="F1386" s="22" t="n">
        <f aca="false">WEEKDAY(A1386,2)</f>
        <v>7</v>
      </c>
      <c r="G1386" s="22" t="str">
        <f aca="false">IF(F1386=7,IF(B1386&gt;=23,"C","Sin turno"),IF(B1386&lt;7,"C",IF(B1386&lt;14,"A",IF(B1386&lt;21,"B",IF(B1386&lt;23,"Entre turnos",IF(F1386=6,"Sin turno","C"))))))</f>
        <v>Sin turno</v>
      </c>
      <c r="H1386" s="25" t="n">
        <f aca="false">IF(D1386="","",MAX(0,D1386-0.5*C1386))</f>
        <v>0</v>
      </c>
    </row>
    <row r="1387" customFormat="false" ht="15" hidden="false" customHeight="false" outlineLevel="0" collapsed="false">
      <c r="A1387" s="21" t="n">
        <v>46278</v>
      </c>
      <c r="B1387" s="22" t="n">
        <v>17</v>
      </c>
      <c r="C1387" s="25" t="n">
        <v>64.68</v>
      </c>
      <c r="D1387" s="25" t="n">
        <v>20.28</v>
      </c>
      <c r="E1387" s="25" t="n">
        <v>0</v>
      </c>
      <c r="F1387" s="22" t="n">
        <f aca="false">WEEKDAY(A1387,2)</f>
        <v>7</v>
      </c>
      <c r="G1387" s="22" t="str">
        <f aca="false">IF(F1387=7,IF(B1387&gt;=23,"C","Sin turno"),IF(B1387&lt;7,"C",IF(B1387&lt;14,"A",IF(B1387&lt;21,"B",IF(B1387&lt;23,"Entre turnos",IF(F1387=6,"Sin turno","C"))))))</f>
        <v>Sin turno</v>
      </c>
      <c r="H1387" s="25" t="n">
        <f aca="false">IF(D1387="","",MAX(0,D1387-0.5*C1387))</f>
        <v>0</v>
      </c>
    </row>
    <row r="1388" customFormat="false" ht="15" hidden="false" customHeight="false" outlineLevel="0" collapsed="false">
      <c r="A1388" s="21" t="n">
        <v>46278</v>
      </c>
      <c r="B1388" s="22" t="n">
        <v>18</v>
      </c>
      <c r="C1388" s="25" t="n">
        <v>63.96</v>
      </c>
      <c r="D1388" s="25" t="n">
        <v>19.32</v>
      </c>
      <c r="E1388" s="25" t="n">
        <v>0</v>
      </c>
      <c r="F1388" s="22" t="n">
        <f aca="false">WEEKDAY(A1388,2)</f>
        <v>7</v>
      </c>
      <c r="G1388" s="22" t="str">
        <f aca="false">IF(F1388=7,IF(B1388&gt;=23,"C","Sin turno"),IF(B1388&lt;7,"C",IF(B1388&lt;14,"A",IF(B1388&lt;21,"B",IF(B1388&lt;23,"Entre turnos",IF(F1388=6,"Sin turno","C"))))))</f>
        <v>Sin turno</v>
      </c>
      <c r="H1388" s="25" t="n">
        <f aca="false">IF(D1388="","",MAX(0,D1388-0.5*C1388))</f>
        <v>0</v>
      </c>
    </row>
    <row r="1389" customFormat="false" ht="15" hidden="false" customHeight="false" outlineLevel="0" collapsed="false">
      <c r="A1389" s="21" t="n">
        <v>46278</v>
      </c>
      <c r="B1389" s="22" t="n">
        <v>19</v>
      </c>
      <c r="C1389" s="25" t="n">
        <v>62.88</v>
      </c>
      <c r="D1389" s="25" t="n">
        <v>19.44</v>
      </c>
      <c r="E1389" s="25" t="n">
        <v>0</v>
      </c>
      <c r="F1389" s="22" t="n">
        <f aca="false">WEEKDAY(A1389,2)</f>
        <v>7</v>
      </c>
      <c r="G1389" s="22" t="str">
        <f aca="false">IF(F1389=7,IF(B1389&gt;=23,"C","Sin turno"),IF(B1389&lt;7,"C",IF(B1389&lt;14,"A",IF(B1389&lt;21,"B",IF(B1389&lt;23,"Entre turnos",IF(F1389=6,"Sin turno","C"))))))</f>
        <v>Sin turno</v>
      </c>
      <c r="H1389" s="25" t="n">
        <f aca="false">IF(D1389="","",MAX(0,D1389-0.5*C1389))</f>
        <v>0</v>
      </c>
    </row>
    <row r="1390" customFormat="false" ht="15" hidden="false" customHeight="false" outlineLevel="0" collapsed="false">
      <c r="A1390" s="21" t="n">
        <v>46278</v>
      </c>
      <c r="B1390" s="22" t="n">
        <v>20</v>
      </c>
      <c r="C1390" s="25" t="n">
        <v>61.2</v>
      </c>
      <c r="D1390" s="25" t="n">
        <v>19.68</v>
      </c>
      <c r="E1390" s="25" t="n">
        <v>0</v>
      </c>
      <c r="F1390" s="22" t="n">
        <f aca="false">WEEKDAY(A1390,2)</f>
        <v>7</v>
      </c>
      <c r="G1390" s="22" t="str">
        <f aca="false">IF(F1390=7,IF(B1390&gt;=23,"C","Sin turno"),IF(B1390&lt;7,"C",IF(B1390&lt;14,"A",IF(B1390&lt;21,"B",IF(B1390&lt;23,"Entre turnos",IF(F1390=6,"Sin turno","C"))))))</f>
        <v>Sin turno</v>
      </c>
      <c r="H1390" s="25" t="n">
        <f aca="false">IF(D1390="","",MAX(0,D1390-0.5*C1390))</f>
        <v>0</v>
      </c>
    </row>
    <row r="1391" customFormat="false" ht="15" hidden="false" customHeight="false" outlineLevel="0" collapsed="false">
      <c r="A1391" s="21" t="n">
        <v>46278</v>
      </c>
      <c r="B1391" s="22" t="n">
        <v>21</v>
      </c>
      <c r="C1391" s="25" t="n">
        <v>61.8</v>
      </c>
      <c r="D1391" s="25" t="n">
        <v>19.92</v>
      </c>
      <c r="E1391" s="25" t="n">
        <v>0</v>
      </c>
      <c r="F1391" s="22" t="n">
        <f aca="false">WEEKDAY(A1391,2)</f>
        <v>7</v>
      </c>
      <c r="G1391" s="22" t="str">
        <f aca="false">IF(F1391=7,IF(B1391&gt;=23,"C","Sin turno"),IF(B1391&lt;7,"C",IF(B1391&lt;14,"A",IF(B1391&lt;21,"B",IF(B1391&lt;23,"Entre turnos",IF(F1391=6,"Sin turno","C"))))))</f>
        <v>Sin turno</v>
      </c>
      <c r="H1391" s="25" t="n">
        <f aca="false">IF(D1391="","",MAX(0,D1391-0.5*C1391))</f>
        <v>0</v>
      </c>
    </row>
    <row r="1392" customFormat="false" ht="15" hidden="false" customHeight="false" outlineLevel="0" collapsed="false">
      <c r="A1392" s="21" t="n">
        <v>46278</v>
      </c>
      <c r="B1392" s="22" t="n">
        <v>22</v>
      </c>
      <c r="C1392" s="25" t="n">
        <v>62.04</v>
      </c>
      <c r="D1392" s="25" t="n">
        <v>19.92</v>
      </c>
      <c r="E1392" s="25" t="n">
        <v>0</v>
      </c>
      <c r="F1392" s="22" t="n">
        <f aca="false">WEEKDAY(A1392,2)</f>
        <v>7</v>
      </c>
      <c r="G1392" s="22" t="str">
        <f aca="false">IF(F1392=7,IF(B1392&gt;=23,"C","Sin turno"),IF(B1392&lt;7,"C",IF(B1392&lt;14,"A",IF(B1392&lt;21,"B",IF(B1392&lt;23,"Entre turnos",IF(F1392=6,"Sin turno","C"))))))</f>
        <v>Sin turno</v>
      </c>
      <c r="H1392" s="25" t="n">
        <f aca="false">IF(D1392="","",MAX(0,D1392-0.5*C1392))</f>
        <v>0</v>
      </c>
    </row>
    <row r="1393" customFormat="false" ht="15" hidden="false" customHeight="false" outlineLevel="0" collapsed="false">
      <c r="A1393" s="21" t="n">
        <v>46278</v>
      </c>
      <c r="B1393" s="22" t="n">
        <v>23</v>
      </c>
      <c r="C1393" s="25" t="n">
        <v>64.8</v>
      </c>
      <c r="D1393" s="25" t="n">
        <v>20.28</v>
      </c>
      <c r="E1393" s="25" t="n">
        <v>0</v>
      </c>
      <c r="F1393" s="22" t="n">
        <f aca="false">WEEKDAY(A1393,2)</f>
        <v>7</v>
      </c>
      <c r="G1393" s="22" t="str">
        <f aca="false">IF(F1393=7,IF(B1393&gt;=23,"C","Sin turno"),IF(B1393&lt;7,"C",IF(B1393&lt;14,"A",IF(B1393&lt;21,"B",IF(B1393&lt;23,"Entre turnos",IF(F1393=6,"Sin turno","C"))))))</f>
        <v>C</v>
      </c>
      <c r="H1393" s="25" t="n">
        <f aca="false">IF(D1393="","",MAX(0,D1393-0.5*C1393))</f>
        <v>0</v>
      </c>
    </row>
    <row r="1394" customFormat="false" ht="15" hidden="false" customHeight="false" outlineLevel="0" collapsed="false">
      <c r="A1394" s="21" t="n">
        <v>46279</v>
      </c>
      <c r="B1394" s="22" t="n">
        <v>0</v>
      </c>
      <c r="C1394" s="25" t="n">
        <v>89.64</v>
      </c>
      <c r="D1394" s="25" t="n">
        <v>23.88</v>
      </c>
      <c r="E1394" s="25" t="n">
        <v>0.12</v>
      </c>
      <c r="F1394" s="22" t="n">
        <f aca="false">WEEKDAY(A1394,2)</f>
        <v>1</v>
      </c>
      <c r="G1394" s="22" t="str">
        <f aca="false">IF(F1394=7,IF(B1394&gt;=23,"C","Sin turno"),IF(B1394&lt;7,"C",IF(B1394&lt;14,"A",IF(B1394&lt;21,"B",IF(B1394&lt;23,"Entre turnos",IF(F1394=6,"Sin turno","C"))))))</f>
        <v>C</v>
      </c>
      <c r="H1394" s="25" t="n">
        <f aca="false">IF(D1394="","",MAX(0,D1394-0.5*C1394))</f>
        <v>0</v>
      </c>
    </row>
    <row r="1395" customFormat="false" ht="15" hidden="false" customHeight="false" outlineLevel="0" collapsed="false">
      <c r="A1395" s="21" t="n">
        <v>46279</v>
      </c>
      <c r="B1395" s="22" t="n">
        <v>1</v>
      </c>
      <c r="C1395" s="25" t="n">
        <v>77.28</v>
      </c>
      <c r="D1395" s="25" t="n">
        <v>23.64</v>
      </c>
      <c r="E1395" s="25" t="n">
        <v>0</v>
      </c>
      <c r="F1395" s="22" t="n">
        <f aca="false">WEEKDAY(A1395,2)</f>
        <v>1</v>
      </c>
      <c r="G1395" s="22" t="str">
        <f aca="false">IF(F1395=7,IF(B1395&gt;=23,"C","Sin turno"),IF(B1395&lt;7,"C",IF(B1395&lt;14,"A",IF(B1395&lt;21,"B",IF(B1395&lt;23,"Entre turnos",IF(F1395=6,"Sin turno","C"))))))</f>
        <v>C</v>
      </c>
      <c r="H1395" s="25" t="n">
        <f aca="false">IF(D1395="","",MAX(0,D1395-0.5*C1395))</f>
        <v>0</v>
      </c>
    </row>
    <row r="1396" customFormat="false" ht="15" hidden="false" customHeight="false" outlineLevel="0" collapsed="false">
      <c r="A1396" s="21" t="n">
        <v>46279</v>
      </c>
      <c r="B1396" s="22" t="n">
        <v>2</v>
      </c>
      <c r="C1396" s="25" t="n">
        <v>78.96</v>
      </c>
      <c r="D1396" s="25" t="n">
        <v>23.76</v>
      </c>
      <c r="E1396" s="25" t="n">
        <v>0</v>
      </c>
      <c r="F1396" s="22" t="n">
        <f aca="false">WEEKDAY(A1396,2)</f>
        <v>1</v>
      </c>
      <c r="G1396" s="22" t="str">
        <f aca="false">IF(F1396=7,IF(B1396&gt;=23,"C","Sin turno"),IF(B1396&lt;7,"C",IF(B1396&lt;14,"A",IF(B1396&lt;21,"B",IF(B1396&lt;23,"Entre turnos",IF(F1396=6,"Sin turno","C"))))))</f>
        <v>C</v>
      </c>
      <c r="H1396" s="25" t="n">
        <f aca="false">IF(D1396="","",MAX(0,D1396-0.5*C1396))</f>
        <v>0</v>
      </c>
    </row>
    <row r="1397" customFormat="false" ht="15" hidden="false" customHeight="false" outlineLevel="0" collapsed="false">
      <c r="A1397" s="21" t="n">
        <v>46279</v>
      </c>
      <c r="B1397" s="22" t="n">
        <v>3</v>
      </c>
      <c r="C1397" s="25" t="n">
        <v>90.24</v>
      </c>
      <c r="D1397" s="25" t="n">
        <v>26.88</v>
      </c>
      <c r="E1397" s="25" t="n">
        <v>0.12</v>
      </c>
      <c r="F1397" s="22" t="n">
        <f aca="false">WEEKDAY(A1397,2)</f>
        <v>1</v>
      </c>
      <c r="G1397" s="22" t="str">
        <f aca="false">IF(F1397=7,IF(B1397&gt;=23,"C","Sin turno"),IF(B1397&lt;7,"C",IF(B1397&lt;14,"A",IF(B1397&lt;21,"B",IF(B1397&lt;23,"Entre turnos",IF(F1397=6,"Sin turno","C"))))))</f>
        <v>C</v>
      </c>
      <c r="H1397" s="25" t="n">
        <f aca="false">IF(D1397="","",MAX(0,D1397-0.5*C1397))</f>
        <v>0</v>
      </c>
    </row>
    <row r="1398" customFormat="false" ht="15" hidden="false" customHeight="false" outlineLevel="0" collapsed="false">
      <c r="A1398" s="21" t="n">
        <v>46279</v>
      </c>
      <c r="B1398" s="22" t="n">
        <v>4</v>
      </c>
      <c r="C1398" s="25" t="n">
        <v>83.16</v>
      </c>
      <c r="D1398" s="25" t="n">
        <v>26.16</v>
      </c>
      <c r="E1398" s="25" t="n">
        <v>0</v>
      </c>
      <c r="F1398" s="22" t="n">
        <f aca="false">WEEKDAY(A1398,2)</f>
        <v>1</v>
      </c>
      <c r="G1398" s="22" t="str">
        <f aca="false">IF(F1398=7,IF(B1398&gt;=23,"C","Sin turno"),IF(B1398&lt;7,"C",IF(B1398&lt;14,"A",IF(B1398&lt;21,"B",IF(B1398&lt;23,"Entre turnos",IF(F1398=6,"Sin turno","C"))))))</f>
        <v>C</v>
      </c>
      <c r="H1398" s="25" t="n">
        <f aca="false">IF(D1398="","",MAX(0,D1398-0.5*C1398))</f>
        <v>0</v>
      </c>
    </row>
    <row r="1399" customFormat="false" ht="15" hidden="false" customHeight="false" outlineLevel="0" collapsed="false">
      <c r="A1399" s="21" t="n">
        <v>46279</v>
      </c>
      <c r="B1399" s="22" t="n">
        <v>5</v>
      </c>
      <c r="C1399" s="25" t="n">
        <v>89.52</v>
      </c>
      <c r="D1399" s="25" t="n">
        <v>26.28</v>
      </c>
      <c r="E1399" s="25" t="n">
        <v>0.12</v>
      </c>
      <c r="F1399" s="22" t="n">
        <f aca="false">WEEKDAY(A1399,2)</f>
        <v>1</v>
      </c>
      <c r="G1399" s="22" t="str">
        <f aca="false">IF(F1399=7,IF(B1399&gt;=23,"C","Sin turno"),IF(B1399&lt;7,"C",IF(B1399&lt;14,"A",IF(B1399&lt;21,"B",IF(B1399&lt;23,"Entre turnos",IF(F1399=6,"Sin turno","C"))))))</f>
        <v>C</v>
      </c>
      <c r="H1399" s="25" t="n">
        <f aca="false">IF(D1399="","",MAX(0,D1399-0.5*C1399))</f>
        <v>0</v>
      </c>
    </row>
    <row r="1400" customFormat="false" ht="15" hidden="false" customHeight="false" outlineLevel="0" collapsed="false">
      <c r="A1400" s="21" t="n">
        <v>46279</v>
      </c>
      <c r="B1400" s="22" t="n">
        <v>6</v>
      </c>
      <c r="C1400" s="25" t="n">
        <v>101.52</v>
      </c>
      <c r="D1400" s="25" t="n">
        <v>13.08</v>
      </c>
      <c r="E1400" s="25" t="n">
        <v>0.6</v>
      </c>
      <c r="F1400" s="22" t="n">
        <f aca="false">WEEKDAY(A1400,2)</f>
        <v>1</v>
      </c>
      <c r="G1400" s="22" t="str">
        <f aca="false">IF(F1400=7,IF(B1400&gt;=23,"C","Sin turno"),IF(B1400&lt;7,"C",IF(B1400&lt;14,"A",IF(B1400&lt;21,"B",IF(B1400&lt;23,"Entre turnos",IF(F1400=6,"Sin turno","C"))))))</f>
        <v>C</v>
      </c>
      <c r="H1400" s="25" t="n">
        <f aca="false">IF(D1400="","",MAX(0,D1400-0.5*C1400))</f>
        <v>0</v>
      </c>
    </row>
    <row r="1401" customFormat="false" ht="15" hidden="false" customHeight="false" outlineLevel="0" collapsed="false">
      <c r="A1401" s="21" t="n">
        <v>46279</v>
      </c>
      <c r="B1401" s="22" t="n">
        <v>7</v>
      </c>
      <c r="C1401" s="25" t="n">
        <v>226.56</v>
      </c>
      <c r="D1401" s="25" t="n">
        <v>25.44</v>
      </c>
      <c r="E1401" s="25" t="n">
        <v>0.24</v>
      </c>
      <c r="F1401" s="22" t="n">
        <f aca="false">WEEKDAY(A1401,2)</f>
        <v>1</v>
      </c>
      <c r="G1401" s="22" t="str">
        <f aca="false">IF(F1401=7,IF(B1401&gt;=23,"C","Sin turno"),IF(B1401&lt;7,"C",IF(B1401&lt;14,"A",IF(B1401&lt;21,"B",IF(B1401&lt;23,"Entre turnos",IF(F1401=6,"Sin turno","C"))))))</f>
        <v>A</v>
      </c>
      <c r="H1401" s="25" t="n">
        <f aca="false">IF(D1401="","",MAX(0,D1401-0.5*C1401))</f>
        <v>0</v>
      </c>
    </row>
    <row r="1402" customFormat="false" ht="15" hidden="false" customHeight="false" outlineLevel="0" collapsed="false">
      <c r="A1402" s="21" t="n">
        <v>46279</v>
      </c>
      <c r="B1402" s="22" t="n">
        <v>8</v>
      </c>
      <c r="C1402" s="25" t="n">
        <v>260.76</v>
      </c>
      <c r="D1402" s="25" t="n">
        <v>27.6</v>
      </c>
      <c r="E1402" s="25" t="n">
        <v>0</v>
      </c>
      <c r="F1402" s="22" t="n">
        <f aca="false">WEEKDAY(A1402,2)</f>
        <v>1</v>
      </c>
      <c r="G1402" s="22" t="str">
        <f aca="false">IF(F1402=7,IF(B1402&gt;=23,"C","Sin turno"),IF(B1402&lt;7,"C",IF(B1402&lt;14,"A",IF(B1402&lt;21,"B",IF(B1402&lt;23,"Entre turnos",IF(F1402=6,"Sin turno","C"))))))</f>
        <v>A</v>
      </c>
      <c r="H1402" s="25" t="n">
        <f aca="false">IF(D1402="","",MAX(0,D1402-0.5*C1402))</f>
        <v>0</v>
      </c>
    </row>
    <row r="1403" customFormat="false" ht="15" hidden="false" customHeight="false" outlineLevel="0" collapsed="false">
      <c r="A1403" s="21" t="n">
        <v>46279</v>
      </c>
      <c r="B1403" s="22" t="n">
        <v>9</v>
      </c>
      <c r="C1403" s="25" t="n">
        <v>258.84</v>
      </c>
      <c r="D1403" s="25" t="n">
        <v>27.96</v>
      </c>
      <c r="E1403" s="25" t="n">
        <v>0</v>
      </c>
      <c r="F1403" s="22" t="n">
        <f aca="false">WEEKDAY(A1403,2)</f>
        <v>1</v>
      </c>
      <c r="G1403" s="22" t="str">
        <f aca="false">IF(F1403=7,IF(B1403&gt;=23,"C","Sin turno"),IF(B1403&lt;7,"C",IF(B1403&lt;14,"A",IF(B1403&lt;21,"B",IF(B1403&lt;23,"Entre turnos",IF(F1403=6,"Sin turno","C"))))))</f>
        <v>A</v>
      </c>
      <c r="H1403" s="25" t="n">
        <f aca="false">IF(D1403="","",MAX(0,D1403-0.5*C1403))</f>
        <v>0</v>
      </c>
    </row>
    <row r="1404" customFormat="false" ht="15" hidden="false" customHeight="false" outlineLevel="0" collapsed="false">
      <c r="A1404" s="21" t="n">
        <v>46279</v>
      </c>
      <c r="B1404" s="22" t="n">
        <v>10</v>
      </c>
      <c r="C1404" s="25" t="n">
        <v>288.12</v>
      </c>
      <c r="D1404" s="25" t="n">
        <v>26.52</v>
      </c>
      <c r="E1404" s="25" t="n">
        <v>0</v>
      </c>
      <c r="F1404" s="22" t="n">
        <f aca="false">WEEKDAY(A1404,2)</f>
        <v>1</v>
      </c>
      <c r="G1404" s="22" t="str">
        <f aca="false">IF(F1404=7,IF(B1404&gt;=23,"C","Sin turno"),IF(B1404&lt;7,"C",IF(B1404&lt;14,"A",IF(B1404&lt;21,"B",IF(B1404&lt;23,"Entre turnos",IF(F1404=6,"Sin turno","C"))))))</f>
        <v>A</v>
      </c>
      <c r="H1404" s="25" t="n">
        <f aca="false">IF(D1404="","",MAX(0,D1404-0.5*C1404))</f>
        <v>0</v>
      </c>
    </row>
    <row r="1405" customFormat="false" ht="15" hidden="false" customHeight="false" outlineLevel="0" collapsed="false">
      <c r="A1405" s="21" t="n">
        <v>46279</v>
      </c>
      <c r="B1405" s="22" t="n">
        <v>11</v>
      </c>
      <c r="C1405" s="25" t="n">
        <v>284.52</v>
      </c>
      <c r="D1405" s="25" t="n">
        <v>21.12</v>
      </c>
      <c r="E1405" s="25" t="n">
        <v>0.12</v>
      </c>
      <c r="F1405" s="22" t="n">
        <f aca="false">WEEKDAY(A1405,2)</f>
        <v>1</v>
      </c>
      <c r="G1405" s="22" t="str">
        <f aca="false">IF(F1405=7,IF(B1405&gt;=23,"C","Sin turno"),IF(B1405&lt;7,"C",IF(B1405&lt;14,"A",IF(B1405&lt;21,"B",IF(B1405&lt;23,"Entre turnos",IF(F1405=6,"Sin turno","C"))))))</f>
        <v>A</v>
      </c>
      <c r="H1405" s="25" t="n">
        <f aca="false">IF(D1405="","",MAX(0,D1405-0.5*C1405))</f>
        <v>0</v>
      </c>
    </row>
    <row r="1406" customFormat="false" ht="15" hidden="false" customHeight="false" outlineLevel="0" collapsed="false">
      <c r="A1406" s="21" t="n">
        <v>46279</v>
      </c>
      <c r="B1406" s="22" t="n">
        <v>12</v>
      </c>
      <c r="C1406" s="25" t="n">
        <v>324.72</v>
      </c>
      <c r="D1406" s="25" t="n">
        <v>24</v>
      </c>
      <c r="E1406" s="25" t="n">
        <v>0</v>
      </c>
      <c r="F1406" s="22" t="n">
        <f aca="false">WEEKDAY(A1406,2)</f>
        <v>1</v>
      </c>
      <c r="G1406" s="22" t="str">
        <f aca="false">IF(F1406=7,IF(B1406&gt;=23,"C","Sin turno"),IF(B1406&lt;7,"C",IF(B1406&lt;14,"A",IF(B1406&lt;21,"B",IF(B1406&lt;23,"Entre turnos",IF(F1406=6,"Sin turno","C"))))))</f>
        <v>A</v>
      </c>
      <c r="H1406" s="25" t="n">
        <f aca="false">IF(D1406="","",MAX(0,D1406-0.5*C1406))</f>
        <v>0</v>
      </c>
    </row>
    <row r="1407" customFormat="false" ht="15" hidden="false" customHeight="false" outlineLevel="0" collapsed="false">
      <c r="A1407" s="21" t="n">
        <v>46279</v>
      </c>
      <c r="B1407" s="22" t="n">
        <v>13</v>
      </c>
      <c r="C1407" s="25" t="n">
        <v>304.44</v>
      </c>
      <c r="D1407" s="25" t="n">
        <v>23.4</v>
      </c>
      <c r="E1407" s="25" t="n">
        <v>0</v>
      </c>
      <c r="F1407" s="22" t="n">
        <f aca="false">WEEKDAY(A1407,2)</f>
        <v>1</v>
      </c>
      <c r="G1407" s="22" t="str">
        <f aca="false">IF(F1407=7,IF(B1407&gt;=23,"C","Sin turno"),IF(B1407&lt;7,"C",IF(B1407&lt;14,"A",IF(B1407&lt;21,"B",IF(B1407&lt;23,"Entre turnos",IF(F1407=6,"Sin turno","C"))))))</f>
        <v>A</v>
      </c>
      <c r="H1407" s="25" t="n">
        <f aca="false">IF(D1407="","",MAX(0,D1407-0.5*C1407))</f>
        <v>0</v>
      </c>
    </row>
    <row r="1408" customFormat="false" ht="15" hidden="false" customHeight="false" outlineLevel="0" collapsed="false">
      <c r="A1408" s="21" t="n">
        <v>46279</v>
      </c>
      <c r="B1408" s="22" t="n">
        <v>14</v>
      </c>
      <c r="C1408" s="25" t="n">
        <v>280.44</v>
      </c>
      <c r="D1408" s="25" t="n">
        <v>24.72</v>
      </c>
      <c r="E1408" s="25" t="n">
        <v>0</v>
      </c>
      <c r="F1408" s="22" t="n">
        <f aca="false">WEEKDAY(A1408,2)</f>
        <v>1</v>
      </c>
      <c r="G1408" s="22" t="str">
        <f aca="false">IF(F1408=7,IF(B1408&gt;=23,"C","Sin turno"),IF(B1408&lt;7,"C",IF(B1408&lt;14,"A",IF(B1408&lt;21,"B",IF(B1408&lt;23,"Entre turnos",IF(F1408=6,"Sin turno","C"))))))</f>
        <v>B</v>
      </c>
      <c r="H1408" s="25" t="n">
        <f aca="false">IF(D1408="","",MAX(0,D1408-0.5*C1408))</f>
        <v>0</v>
      </c>
    </row>
    <row r="1409" customFormat="false" ht="15" hidden="false" customHeight="false" outlineLevel="0" collapsed="false">
      <c r="A1409" s="21" t="n">
        <v>46279</v>
      </c>
      <c r="B1409" s="22" t="n">
        <v>15</v>
      </c>
      <c r="C1409" s="25" t="n">
        <v>258.72</v>
      </c>
      <c r="D1409" s="25" t="n">
        <v>21.6</v>
      </c>
      <c r="E1409" s="25" t="n">
        <v>0.36</v>
      </c>
      <c r="F1409" s="22" t="n">
        <f aca="false">WEEKDAY(A1409,2)</f>
        <v>1</v>
      </c>
      <c r="G1409" s="22" t="str">
        <f aca="false">IF(F1409=7,IF(B1409&gt;=23,"C","Sin turno"),IF(B1409&lt;7,"C",IF(B1409&lt;14,"A",IF(B1409&lt;21,"B",IF(B1409&lt;23,"Entre turnos",IF(F1409=6,"Sin turno","C"))))))</f>
        <v>B</v>
      </c>
      <c r="H1409" s="25" t="n">
        <f aca="false">IF(D1409="","",MAX(0,D1409-0.5*C1409))</f>
        <v>0</v>
      </c>
    </row>
    <row r="1410" customFormat="false" ht="15" hidden="false" customHeight="false" outlineLevel="0" collapsed="false">
      <c r="A1410" s="21" t="n">
        <v>46279</v>
      </c>
      <c r="B1410" s="22" t="n">
        <v>16</v>
      </c>
      <c r="C1410" s="25" t="n">
        <v>247.44</v>
      </c>
      <c r="D1410" s="25" t="n">
        <v>26.4</v>
      </c>
      <c r="E1410" s="25" t="n">
        <v>0</v>
      </c>
      <c r="F1410" s="22" t="n">
        <f aca="false">WEEKDAY(A1410,2)</f>
        <v>1</v>
      </c>
      <c r="G1410" s="22" t="str">
        <f aca="false">IF(F1410=7,IF(B1410&gt;=23,"C","Sin turno"),IF(B1410&lt;7,"C",IF(B1410&lt;14,"A",IF(B1410&lt;21,"B",IF(B1410&lt;23,"Entre turnos",IF(F1410=6,"Sin turno","C"))))))</f>
        <v>B</v>
      </c>
      <c r="H1410" s="25" t="n">
        <f aca="false">IF(D1410="","",MAX(0,D1410-0.5*C1410))</f>
        <v>0</v>
      </c>
    </row>
    <row r="1411" customFormat="false" ht="15" hidden="false" customHeight="false" outlineLevel="0" collapsed="false">
      <c r="A1411" s="21" t="n">
        <v>46279</v>
      </c>
      <c r="B1411" s="22" t="n">
        <v>17</v>
      </c>
      <c r="C1411" s="25" t="n">
        <v>204.24</v>
      </c>
      <c r="D1411" s="25" t="n">
        <v>18.48</v>
      </c>
      <c r="E1411" s="25" t="n">
        <v>0</v>
      </c>
      <c r="F1411" s="22" t="n">
        <f aca="false">WEEKDAY(A1411,2)</f>
        <v>1</v>
      </c>
      <c r="G1411" s="22" t="str">
        <f aca="false">IF(F1411=7,IF(B1411&gt;=23,"C","Sin turno"),IF(B1411&lt;7,"C",IF(B1411&lt;14,"A",IF(B1411&lt;21,"B",IF(B1411&lt;23,"Entre turnos",IF(F1411=6,"Sin turno","C"))))))</f>
        <v>B</v>
      </c>
      <c r="H1411" s="25" t="n">
        <f aca="false">IF(D1411="","",MAX(0,D1411-0.5*C1411))</f>
        <v>0</v>
      </c>
    </row>
    <row r="1412" customFormat="false" ht="15" hidden="false" customHeight="false" outlineLevel="0" collapsed="false">
      <c r="A1412" s="21" t="n">
        <v>46279</v>
      </c>
      <c r="B1412" s="22" t="n">
        <v>18</v>
      </c>
      <c r="C1412" s="25" t="n">
        <v>184.44</v>
      </c>
      <c r="D1412" s="25" t="n">
        <v>15.6</v>
      </c>
      <c r="E1412" s="25" t="n">
        <v>0.24</v>
      </c>
      <c r="F1412" s="22" t="n">
        <f aca="false">WEEKDAY(A1412,2)</f>
        <v>1</v>
      </c>
      <c r="G1412" s="22" t="str">
        <f aca="false">IF(F1412=7,IF(B1412&gt;=23,"C","Sin turno"),IF(B1412&lt;7,"C",IF(B1412&lt;14,"A",IF(B1412&lt;21,"B",IF(B1412&lt;23,"Entre turnos",IF(F1412=6,"Sin turno","C"))))))</f>
        <v>B</v>
      </c>
      <c r="H1412" s="25" t="n">
        <f aca="false">IF(D1412="","",MAX(0,D1412-0.5*C1412))</f>
        <v>0</v>
      </c>
    </row>
    <row r="1413" customFormat="false" ht="15" hidden="false" customHeight="false" outlineLevel="0" collapsed="false">
      <c r="A1413" s="21" t="n">
        <v>46279</v>
      </c>
      <c r="B1413" s="22" t="n">
        <v>19</v>
      </c>
      <c r="C1413" s="25" t="n">
        <v>177.36</v>
      </c>
      <c r="D1413" s="25" t="n">
        <v>26.16</v>
      </c>
      <c r="E1413" s="25" t="n">
        <v>0.36</v>
      </c>
      <c r="F1413" s="22" t="n">
        <f aca="false">WEEKDAY(A1413,2)</f>
        <v>1</v>
      </c>
      <c r="G1413" s="22" t="str">
        <f aca="false">IF(F1413=7,IF(B1413&gt;=23,"C","Sin turno"),IF(B1413&lt;7,"C",IF(B1413&lt;14,"A",IF(B1413&lt;21,"B",IF(B1413&lt;23,"Entre turnos",IF(F1413=6,"Sin turno","C"))))))</f>
        <v>B</v>
      </c>
      <c r="H1413" s="25" t="n">
        <f aca="false">IF(D1413="","",MAX(0,D1413-0.5*C1413))</f>
        <v>0</v>
      </c>
    </row>
    <row r="1414" customFormat="false" ht="15" hidden="false" customHeight="false" outlineLevel="0" collapsed="false">
      <c r="A1414" s="21" t="n">
        <v>46279</v>
      </c>
      <c r="B1414" s="22" t="n">
        <v>20</v>
      </c>
      <c r="C1414" s="25" t="n">
        <v>192</v>
      </c>
      <c r="D1414" s="25" t="n">
        <v>26.28</v>
      </c>
      <c r="E1414" s="25" t="n">
        <v>0.12</v>
      </c>
      <c r="F1414" s="22" t="n">
        <f aca="false">WEEKDAY(A1414,2)</f>
        <v>1</v>
      </c>
      <c r="G1414" s="22" t="str">
        <f aca="false">IF(F1414=7,IF(B1414&gt;=23,"C","Sin turno"),IF(B1414&lt;7,"C",IF(B1414&lt;14,"A",IF(B1414&lt;21,"B",IF(B1414&lt;23,"Entre turnos",IF(F1414=6,"Sin turno","C"))))))</f>
        <v>B</v>
      </c>
      <c r="H1414" s="25" t="n">
        <f aca="false">IF(D1414="","",MAX(0,D1414-0.5*C1414))</f>
        <v>0</v>
      </c>
    </row>
    <row r="1415" customFormat="false" ht="15" hidden="false" customHeight="false" outlineLevel="0" collapsed="false">
      <c r="A1415" s="21" t="n">
        <v>46279</v>
      </c>
      <c r="B1415" s="22" t="n">
        <v>21</v>
      </c>
      <c r="C1415" s="25" t="n">
        <v>120.96</v>
      </c>
      <c r="D1415" s="25" t="n">
        <v>21.6</v>
      </c>
      <c r="E1415" s="25" t="n">
        <v>0.24</v>
      </c>
      <c r="F1415" s="22" t="n">
        <f aca="false">WEEKDAY(A1415,2)</f>
        <v>1</v>
      </c>
      <c r="G1415" s="22" t="str">
        <f aca="false">IF(F1415=7,IF(B1415&gt;=23,"C","Sin turno"),IF(B1415&lt;7,"C",IF(B1415&lt;14,"A",IF(B1415&lt;21,"B",IF(B1415&lt;23,"Entre turnos",IF(F1415=6,"Sin turno","C"))))))</f>
        <v>Entre turnos</v>
      </c>
      <c r="H1415" s="25" t="n">
        <f aca="false">IF(D1415="","",MAX(0,D1415-0.5*C1415))</f>
        <v>0</v>
      </c>
    </row>
    <row r="1416" customFormat="false" ht="15" hidden="false" customHeight="false" outlineLevel="0" collapsed="false">
      <c r="A1416" s="21" t="n">
        <v>46279</v>
      </c>
      <c r="B1416" s="22" t="n">
        <v>22</v>
      </c>
      <c r="C1416" s="25" t="n">
        <v>85.2</v>
      </c>
      <c r="D1416" s="25" t="n">
        <v>19.92</v>
      </c>
      <c r="E1416" s="25" t="n">
        <v>0.84</v>
      </c>
      <c r="F1416" s="22" t="n">
        <f aca="false">WEEKDAY(A1416,2)</f>
        <v>1</v>
      </c>
      <c r="G1416" s="22" t="str">
        <f aca="false">IF(F1416=7,IF(B1416&gt;=23,"C","Sin turno"),IF(B1416&lt;7,"C",IF(B1416&lt;14,"A",IF(B1416&lt;21,"B",IF(B1416&lt;23,"Entre turnos",IF(F1416=6,"Sin turno","C"))))))</f>
        <v>Entre turnos</v>
      </c>
      <c r="H1416" s="25" t="n">
        <f aca="false">IF(D1416="","",MAX(0,D1416-0.5*C1416))</f>
        <v>0</v>
      </c>
    </row>
    <row r="1417" customFormat="false" ht="15" hidden="false" customHeight="false" outlineLevel="0" collapsed="false">
      <c r="A1417" s="21" t="n">
        <v>46279</v>
      </c>
      <c r="B1417" s="22" t="n">
        <v>23</v>
      </c>
      <c r="C1417" s="25" t="n">
        <v>91.32</v>
      </c>
      <c r="D1417" s="25" t="n">
        <v>17.88</v>
      </c>
      <c r="E1417" s="25" t="n">
        <v>0.84</v>
      </c>
      <c r="F1417" s="22" t="n">
        <f aca="false">WEEKDAY(A1417,2)</f>
        <v>1</v>
      </c>
      <c r="G1417" s="22" t="str">
        <f aca="false">IF(F1417=7,IF(B1417&gt;=23,"C","Sin turno"),IF(B1417&lt;7,"C",IF(B1417&lt;14,"A",IF(B1417&lt;21,"B",IF(B1417&lt;23,"Entre turnos",IF(F1417=6,"Sin turno","C"))))))</f>
        <v>C</v>
      </c>
      <c r="H1417" s="25" t="n">
        <f aca="false">IF(D1417="","",MAX(0,D1417-0.5*C1417))</f>
        <v>0</v>
      </c>
    </row>
    <row r="1418" customFormat="false" ht="15" hidden="false" customHeight="false" outlineLevel="0" collapsed="false">
      <c r="A1418" s="21" t="n">
        <v>46280</v>
      </c>
      <c r="B1418" s="22" t="n">
        <v>0</v>
      </c>
      <c r="C1418" s="25" t="n">
        <v>95.16</v>
      </c>
      <c r="D1418" s="25" t="n">
        <v>18.84</v>
      </c>
      <c r="E1418" s="25" t="n">
        <v>0.72</v>
      </c>
      <c r="F1418" s="22" t="n">
        <f aca="false">WEEKDAY(A1418,2)</f>
        <v>2</v>
      </c>
      <c r="G1418" s="22" t="str">
        <f aca="false">IF(F1418=7,IF(B1418&gt;=23,"C","Sin turno"),IF(B1418&lt;7,"C",IF(B1418&lt;14,"A",IF(B1418&lt;21,"B",IF(B1418&lt;23,"Entre turnos",IF(F1418=6,"Sin turno","C"))))))</f>
        <v>C</v>
      </c>
      <c r="H1418" s="25" t="n">
        <f aca="false">IF(D1418="","",MAX(0,D1418-0.5*C1418))</f>
        <v>0</v>
      </c>
    </row>
    <row r="1419" customFormat="false" ht="15" hidden="false" customHeight="false" outlineLevel="0" collapsed="false">
      <c r="A1419" s="21" t="n">
        <v>46280</v>
      </c>
      <c r="B1419" s="22" t="n">
        <v>1</v>
      </c>
      <c r="C1419" s="25" t="n">
        <v>94.92</v>
      </c>
      <c r="D1419" s="25" t="n">
        <v>17.28</v>
      </c>
      <c r="E1419" s="25" t="n">
        <v>0.84</v>
      </c>
      <c r="F1419" s="22" t="n">
        <f aca="false">WEEKDAY(A1419,2)</f>
        <v>2</v>
      </c>
      <c r="G1419" s="22" t="str">
        <f aca="false">IF(F1419=7,IF(B1419&gt;=23,"C","Sin turno"),IF(B1419&lt;7,"C",IF(B1419&lt;14,"A",IF(B1419&lt;21,"B",IF(B1419&lt;23,"Entre turnos",IF(F1419=6,"Sin turno","C"))))))</f>
        <v>C</v>
      </c>
      <c r="H1419" s="25" t="n">
        <f aca="false">IF(D1419="","",MAX(0,D1419-0.5*C1419))</f>
        <v>0</v>
      </c>
    </row>
    <row r="1420" customFormat="false" ht="15" hidden="false" customHeight="false" outlineLevel="0" collapsed="false">
      <c r="A1420" s="21" t="n">
        <v>46280</v>
      </c>
      <c r="B1420" s="22" t="n">
        <v>2</v>
      </c>
      <c r="C1420" s="25" t="n">
        <v>91.08</v>
      </c>
      <c r="D1420" s="25" t="n">
        <v>17.4</v>
      </c>
      <c r="E1420" s="25" t="n">
        <v>0.96</v>
      </c>
      <c r="F1420" s="22" t="n">
        <f aca="false">WEEKDAY(A1420,2)</f>
        <v>2</v>
      </c>
      <c r="G1420" s="22" t="str">
        <f aca="false">IF(F1420=7,IF(B1420&gt;=23,"C","Sin turno"),IF(B1420&lt;7,"C",IF(B1420&lt;14,"A",IF(B1420&lt;21,"B",IF(B1420&lt;23,"Entre turnos",IF(F1420=6,"Sin turno","C"))))))</f>
        <v>C</v>
      </c>
      <c r="H1420" s="25" t="n">
        <f aca="false">IF(D1420="","",MAX(0,D1420-0.5*C1420))</f>
        <v>0</v>
      </c>
    </row>
    <row r="1421" customFormat="false" ht="15" hidden="false" customHeight="false" outlineLevel="0" collapsed="false">
      <c r="A1421" s="21" t="n">
        <v>46280</v>
      </c>
      <c r="B1421" s="22" t="n">
        <v>3</v>
      </c>
      <c r="C1421" s="25" t="n">
        <v>89.88</v>
      </c>
      <c r="D1421" s="25" t="n">
        <v>17.16</v>
      </c>
      <c r="E1421" s="25" t="n">
        <v>0.84</v>
      </c>
      <c r="F1421" s="22" t="n">
        <f aca="false">WEEKDAY(A1421,2)</f>
        <v>2</v>
      </c>
      <c r="G1421" s="22" t="str">
        <f aca="false">IF(F1421=7,IF(B1421&gt;=23,"C","Sin turno"),IF(B1421&lt;7,"C",IF(B1421&lt;14,"A",IF(B1421&lt;21,"B",IF(B1421&lt;23,"Entre turnos",IF(F1421=6,"Sin turno","C"))))))</f>
        <v>C</v>
      </c>
      <c r="H1421" s="25" t="n">
        <f aca="false">IF(D1421="","",MAX(0,D1421-0.5*C1421))</f>
        <v>0</v>
      </c>
    </row>
    <row r="1422" customFormat="false" ht="15" hidden="false" customHeight="false" outlineLevel="0" collapsed="false">
      <c r="A1422" s="21" t="n">
        <v>46280</v>
      </c>
      <c r="B1422" s="22" t="n">
        <v>4</v>
      </c>
      <c r="C1422" s="25" t="n">
        <v>90</v>
      </c>
      <c r="D1422" s="25" t="n">
        <v>20.16</v>
      </c>
      <c r="E1422" s="25" t="n">
        <v>0.84</v>
      </c>
      <c r="F1422" s="22" t="n">
        <f aca="false">WEEKDAY(A1422,2)</f>
        <v>2</v>
      </c>
      <c r="G1422" s="22" t="str">
        <f aca="false">IF(F1422=7,IF(B1422&gt;=23,"C","Sin turno"),IF(B1422&lt;7,"C",IF(B1422&lt;14,"A",IF(B1422&lt;21,"B",IF(B1422&lt;23,"Entre turnos",IF(F1422=6,"Sin turno","C"))))))</f>
        <v>C</v>
      </c>
      <c r="H1422" s="25" t="n">
        <f aca="false">IF(D1422="","",MAX(0,D1422-0.5*C1422))</f>
        <v>0</v>
      </c>
    </row>
    <row r="1423" customFormat="false" ht="15" hidden="false" customHeight="false" outlineLevel="0" collapsed="false">
      <c r="A1423" s="21" t="n">
        <v>46280</v>
      </c>
      <c r="B1423" s="22" t="n">
        <v>5</v>
      </c>
      <c r="C1423" s="25" t="n">
        <v>92.28</v>
      </c>
      <c r="D1423" s="25" t="n">
        <v>19.08</v>
      </c>
      <c r="E1423" s="25" t="n">
        <v>0.72</v>
      </c>
      <c r="F1423" s="22" t="n">
        <f aca="false">WEEKDAY(A1423,2)</f>
        <v>2</v>
      </c>
      <c r="G1423" s="22" t="str">
        <f aca="false">IF(F1423=7,IF(B1423&gt;=23,"C","Sin turno"),IF(B1423&lt;7,"C",IF(B1423&lt;14,"A",IF(B1423&lt;21,"B",IF(B1423&lt;23,"Entre turnos",IF(F1423=6,"Sin turno","C"))))))</f>
        <v>C</v>
      </c>
      <c r="H1423" s="25" t="n">
        <f aca="false">IF(D1423="","",MAX(0,D1423-0.5*C1423))</f>
        <v>0</v>
      </c>
    </row>
    <row r="1424" customFormat="false" ht="15" hidden="false" customHeight="false" outlineLevel="0" collapsed="false">
      <c r="A1424" s="21" t="n">
        <v>46280</v>
      </c>
      <c r="B1424" s="22" t="n">
        <v>6</v>
      </c>
      <c r="C1424" s="25" t="n">
        <v>109.8</v>
      </c>
      <c r="D1424" s="25" t="n">
        <v>14.52</v>
      </c>
      <c r="E1424" s="25" t="n">
        <v>0.36</v>
      </c>
      <c r="F1424" s="22" t="n">
        <f aca="false">WEEKDAY(A1424,2)</f>
        <v>2</v>
      </c>
      <c r="G1424" s="22" t="str">
        <f aca="false">IF(F1424=7,IF(B1424&gt;=23,"C","Sin turno"),IF(B1424&lt;7,"C",IF(B1424&lt;14,"A",IF(B1424&lt;21,"B",IF(B1424&lt;23,"Entre turnos",IF(F1424=6,"Sin turno","C"))))))</f>
        <v>C</v>
      </c>
      <c r="H1424" s="25" t="n">
        <f aca="false">IF(D1424="","",MAX(0,D1424-0.5*C1424))</f>
        <v>0</v>
      </c>
    </row>
    <row r="1425" customFormat="false" ht="15" hidden="false" customHeight="false" outlineLevel="0" collapsed="false">
      <c r="A1425" s="21" t="n">
        <v>46280</v>
      </c>
      <c r="B1425" s="22" t="n">
        <v>7</v>
      </c>
      <c r="C1425" s="25" t="n">
        <v>253.56</v>
      </c>
      <c r="D1425" s="25" t="n">
        <v>21.96</v>
      </c>
      <c r="E1425" s="25" t="n">
        <v>0.12</v>
      </c>
      <c r="F1425" s="22" t="n">
        <f aca="false">WEEKDAY(A1425,2)</f>
        <v>2</v>
      </c>
      <c r="G1425" s="22" t="str">
        <f aca="false">IF(F1425=7,IF(B1425&gt;=23,"C","Sin turno"),IF(B1425&lt;7,"C",IF(B1425&lt;14,"A",IF(B1425&lt;21,"B",IF(B1425&lt;23,"Entre turnos",IF(F1425=6,"Sin turno","C"))))))</f>
        <v>A</v>
      </c>
      <c r="H1425" s="25" t="n">
        <f aca="false">IF(D1425="","",MAX(0,D1425-0.5*C1425))</f>
        <v>0</v>
      </c>
    </row>
    <row r="1426" customFormat="false" ht="15" hidden="false" customHeight="false" outlineLevel="0" collapsed="false">
      <c r="A1426" s="21" t="n">
        <v>46280</v>
      </c>
      <c r="B1426" s="22" t="n">
        <v>8</v>
      </c>
      <c r="C1426" s="25" t="n">
        <v>308.88</v>
      </c>
      <c r="D1426" s="25" t="n">
        <v>23.04</v>
      </c>
      <c r="E1426" s="25" t="n">
        <v>0.12</v>
      </c>
      <c r="F1426" s="22" t="n">
        <f aca="false">WEEKDAY(A1426,2)</f>
        <v>2</v>
      </c>
      <c r="G1426" s="22" t="str">
        <f aca="false">IF(F1426=7,IF(B1426&gt;=23,"C","Sin turno"),IF(B1426&lt;7,"C",IF(B1426&lt;14,"A",IF(B1426&lt;21,"B",IF(B1426&lt;23,"Entre turnos",IF(F1426=6,"Sin turno","C"))))))</f>
        <v>A</v>
      </c>
      <c r="H1426" s="25" t="n">
        <f aca="false">IF(D1426="","",MAX(0,D1426-0.5*C1426))</f>
        <v>0</v>
      </c>
    </row>
    <row r="1427" customFormat="false" ht="15" hidden="false" customHeight="false" outlineLevel="0" collapsed="false">
      <c r="A1427" s="21" t="n">
        <v>46280</v>
      </c>
      <c r="B1427" s="22" t="n">
        <v>9</v>
      </c>
      <c r="C1427" s="25" t="n">
        <v>330.12</v>
      </c>
      <c r="D1427" s="25" t="n">
        <v>30</v>
      </c>
      <c r="E1427" s="25" t="n">
        <v>0</v>
      </c>
      <c r="F1427" s="22" t="n">
        <f aca="false">WEEKDAY(A1427,2)</f>
        <v>2</v>
      </c>
      <c r="G1427" s="22" t="str">
        <f aca="false">IF(F1427=7,IF(B1427&gt;=23,"C","Sin turno"),IF(B1427&lt;7,"C",IF(B1427&lt;14,"A",IF(B1427&lt;21,"B",IF(B1427&lt;23,"Entre turnos",IF(F1427=6,"Sin turno","C"))))))</f>
        <v>A</v>
      </c>
      <c r="H1427" s="25" t="n">
        <f aca="false">IF(D1427="","",MAX(0,D1427-0.5*C1427))</f>
        <v>0</v>
      </c>
    </row>
    <row r="1428" customFormat="false" ht="15" hidden="false" customHeight="false" outlineLevel="0" collapsed="false">
      <c r="A1428" s="21" t="n">
        <v>46280</v>
      </c>
      <c r="B1428" s="22" t="n">
        <v>10</v>
      </c>
      <c r="C1428" s="25" t="n">
        <v>300.48</v>
      </c>
      <c r="D1428" s="25" t="n">
        <v>23.88</v>
      </c>
      <c r="E1428" s="25" t="n">
        <v>0</v>
      </c>
      <c r="F1428" s="22" t="n">
        <f aca="false">WEEKDAY(A1428,2)</f>
        <v>2</v>
      </c>
      <c r="G1428" s="22" t="str">
        <f aca="false">IF(F1428=7,IF(B1428&gt;=23,"C","Sin turno"),IF(B1428&lt;7,"C",IF(B1428&lt;14,"A",IF(B1428&lt;21,"B",IF(B1428&lt;23,"Entre turnos",IF(F1428=6,"Sin turno","C"))))))</f>
        <v>A</v>
      </c>
      <c r="H1428" s="25" t="n">
        <f aca="false">IF(D1428="","",MAX(0,D1428-0.5*C1428))</f>
        <v>0</v>
      </c>
    </row>
    <row r="1429" customFormat="false" ht="15" hidden="false" customHeight="false" outlineLevel="0" collapsed="false">
      <c r="A1429" s="21" t="n">
        <v>46280</v>
      </c>
      <c r="B1429" s="22" t="n">
        <v>11</v>
      </c>
      <c r="C1429" s="25" t="n">
        <v>287.64</v>
      </c>
      <c r="D1429" s="25" t="n">
        <v>27.84</v>
      </c>
      <c r="E1429" s="25" t="n">
        <v>0.12</v>
      </c>
      <c r="F1429" s="22" t="n">
        <f aca="false">WEEKDAY(A1429,2)</f>
        <v>2</v>
      </c>
      <c r="G1429" s="22" t="str">
        <f aca="false">IF(F1429=7,IF(B1429&gt;=23,"C","Sin turno"),IF(B1429&lt;7,"C",IF(B1429&lt;14,"A",IF(B1429&lt;21,"B",IF(B1429&lt;23,"Entre turnos",IF(F1429=6,"Sin turno","C"))))))</f>
        <v>A</v>
      </c>
      <c r="H1429" s="25" t="n">
        <f aca="false">IF(D1429="","",MAX(0,D1429-0.5*C1429))</f>
        <v>0</v>
      </c>
    </row>
    <row r="1430" customFormat="false" ht="15" hidden="false" customHeight="false" outlineLevel="0" collapsed="false">
      <c r="A1430" s="21" t="n">
        <v>46280</v>
      </c>
      <c r="B1430" s="22" t="n">
        <v>12</v>
      </c>
      <c r="C1430" s="25" t="n">
        <v>301.08</v>
      </c>
      <c r="D1430" s="25" t="n">
        <v>24.12</v>
      </c>
      <c r="E1430" s="25" t="n">
        <v>0.12</v>
      </c>
      <c r="F1430" s="22" t="n">
        <f aca="false">WEEKDAY(A1430,2)</f>
        <v>2</v>
      </c>
      <c r="G1430" s="22" t="str">
        <f aca="false">IF(F1430=7,IF(B1430&gt;=23,"C","Sin turno"),IF(B1430&lt;7,"C",IF(B1430&lt;14,"A",IF(B1430&lt;21,"B",IF(B1430&lt;23,"Entre turnos",IF(F1430=6,"Sin turno","C"))))))</f>
        <v>A</v>
      </c>
      <c r="H1430" s="25" t="n">
        <f aca="false">IF(D1430="","",MAX(0,D1430-0.5*C1430))</f>
        <v>0</v>
      </c>
    </row>
    <row r="1431" customFormat="false" ht="15" hidden="false" customHeight="false" outlineLevel="0" collapsed="false">
      <c r="A1431" s="21" t="n">
        <v>46280</v>
      </c>
      <c r="B1431" s="22" t="n">
        <v>13</v>
      </c>
      <c r="C1431" s="25" t="n">
        <v>293.4</v>
      </c>
      <c r="D1431" s="25" t="n">
        <v>23.28</v>
      </c>
      <c r="E1431" s="25" t="n">
        <v>0</v>
      </c>
      <c r="F1431" s="22" t="n">
        <f aca="false">WEEKDAY(A1431,2)</f>
        <v>2</v>
      </c>
      <c r="G1431" s="22" t="str">
        <f aca="false">IF(F1431=7,IF(B1431&gt;=23,"C","Sin turno"),IF(B1431&lt;7,"C",IF(B1431&lt;14,"A",IF(B1431&lt;21,"B",IF(B1431&lt;23,"Entre turnos",IF(F1431=6,"Sin turno","C"))))))</f>
        <v>A</v>
      </c>
      <c r="H1431" s="25" t="n">
        <f aca="false">IF(D1431="","",MAX(0,D1431-0.5*C1431))</f>
        <v>0</v>
      </c>
    </row>
    <row r="1432" customFormat="false" ht="15" hidden="false" customHeight="false" outlineLevel="0" collapsed="false">
      <c r="A1432" s="21" t="n">
        <v>46280</v>
      </c>
      <c r="B1432" s="22" t="n">
        <v>14</v>
      </c>
      <c r="C1432" s="25" t="n">
        <v>255.72</v>
      </c>
      <c r="D1432" s="25" t="n">
        <v>27.12</v>
      </c>
      <c r="E1432" s="25" t="n">
        <v>0</v>
      </c>
      <c r="F1432" s="22" t="n">
        <f aca="false">WEEKDAY(A1432,2)</f>
        <v>2</v>
      </c>
      <c r="G1432" s="22" t="str">
        <f aca="false">IF(F1432=7,IF(B1432&gt;=23,"C","Sin turno"),IF(B1432&lt;7,"C",IF(B1432&lt;14,"A",IF(B1432&lt;21,"B",IF(B1432&lt;23,"Entre turnos",IF(F1432=6,"Sin turno","C"))))))</f>
        <v>B</v>
      </c>
      <c r="H1432" s="25" t="n">
        <f aca="false">IF(D1432="","",MAX(0,D1432-0.5*C1432))</f>
        <v>0</v>
      </c>
    </row>
    <row r="1433" customFormat="false" ht="15" hidden="false" customHeight="false" outlineLevel="0" collapsed="false">
      <c r="A1433" s="21" t="n">
        <v>46280</v>
      </c>
      <c r="B1433" s="22" t="n">
        <v>15</v>
      </c>
      <c r="C1433" s="25" t="n">
        <v>272.76</v>
      </c>
      <c r="D1433" s="25" t="n">
        <v>27.12</v>
      </c>
      <c r="E1433" s="25" t="n">
        <v>0.12</v>
      </c>
      <c r="F1433" s="22" t="n">
        <f aca="false">WEEKDAY(A1433,2)</f>
        <v>2</v>
      </c>
      <c r="G1433" s="22" t="str">
        <f aca="false">IF(F1433=7,IF(B1433&gt;=23,"C","Sin turno"),IF(B1433&lt;7,"C",IF(B1433&lt;14,"A",IF(B1433&lt;21,"B",IF(B1433&lt;23,"Entre turnos",IF(F1433=6,"Sin turno","C"))))))</f>
        <v>B</v>
      </c>
      <c r="H1433" s="25" t="n">
        <f aca="false">IF(D1433="","",MAX(0,D1433-0.5*C1433))</f>
        <v>0</v>
      </c>
    </row>
    <row r="1434" customFormat="false" ht="15" hidden="false" customHeight="false" outlineLevel="0" collapsed="false">
      <c r="A1434" s="21" t="n">
        <v>46280</v>
      </c>
      <c r="B1434" s="22" t="n">
        <v>16</v>
      </c>
      <c r="C1434" s="25" t="n">
        <v>263.28</v>
      </c>
      <c r="D1434" s="25" t="n">
        <v>16.92</v>
      </c>
      <c r="E1434" s="25" t="n">
        <v>0</v>
      </c>
      <c r="F1434" s="22" t="n">
        <f aca="false">WEEKDAY(A1434,2)</f>
        <v>2</v>
      </c>
      <c r="G1434" s="22" t="str">
        <f aca="false">IF(F1434=7,IF(B1434&gt;=23,"C","Sin turno"),IF(B1434&lt;7,"C",IF(B1434&lt;14,"A",IF(B1434&lt;21,"B",IF(B1434&lt;23,"Entre turnos",IF(F1434=6,"Sin turno","C"))))))</f>
        <v>B</v>
      </c>
      <c r="H1434" s="25" t="n">
        <f aca="false">IF(D1434="","",MAX(0,D1434-0.5*C1434))</f>
        <v>0</v>
      </c>
    </row>
    <row r="1435" customFormat="false" ht="15" hidden="false" customHeight="false" outlineLevel="0" collapsed="false">
      <c r="A1435" s="21" t="n">
        <v>46280</v>
      </c>
      <c r="B1435" s="22" t="n">
        <v>17</v>
      </c>
      <c r="C1435" s="25" t="n">
        <v>226.56</v>
      </c>
      <c r="D1435" s="25" t="n">
        <v>23.76</v>
      </c>
      <c r="E1435" s="25" t="n">
        <v>0</v>
      </c>
      <c r="F1435" s="22" t="n">
        <f aca="false">WEEKDAY(A1435,2)</f>
        <v>2</v>
      </c>
      <c r="G1435" s="22" t="str">
        <f aca="false">IF(F1435=7,IF(B1435&gt;=23,"C","Sin turno"),IF(B1435&lt;7,"C",IF(B1435&lt;14,"A",IF(B1435&lt;21,"B",IF(B1435&lt;23,"Entre turnos",IF(F1435=6,"Sin turno","C"))))))</f>
        <v>B</v>
      </c>
      <c r="H1435" s="25" t="n">
        <f aca="false">IF(D1435="","",MAX(0,D1435-0.5*C1435))</f>
        <v>0</v>
      </c>
    </row>
    <row r="1436" customFormat="false" ht="15" hidden="false" customHeight="false" outlineLevel="0" collapsed="false">
      <c r="A1436" s="21" t="n">
        <v>46280</v>
      </c>
      <c r="B1436" s="22" t="n">
        <v>18</v>
      </c>
      <c r="C1436" s="25" t="n">
        <v>177.12</v>
      </c>
      <c r="D1436" s="25" t="n">
        <v>18.36</v>
      </c>
      <c r="E1436" s="25" t="n">
        <v>0.48</v>
      </c>
      <c r="F1436" s="22" t="n">
        <f aca="false">WEEKDAY(A1436,2)</f>
        <v>2</v>
      </c>
      <c r="G1436" s="22" t="str">
        <f aca="false">IF(F1436=7,IF(B1436&gt;=23,"C","Sin turno"),IF(B1436&lt;7,"C",IF(B1436&lt;14,"A",IF(B1436&lt;21,"B",IF(B1436&lt;23,"Entre turnos",IF(F1436=6,"Sin turno","C"))))))</f>
        <v>B</v>
      </c>
      <c r="H1436" s="25" t="n">
        <f aca="false">IF(D1436="","",MAX(0,D1436-0.5*C1436))</f>
        <v>0</v>
      </c>
    </row>
    <row r="1437" customFormat="false" ht="15" hidden="false" customHeight="false" outlineLevel="0" collapsed="false">
      <c r="A1437" s="21" t="n">
        <v>46280</v>
      </c>
      <c r="B1437" s="22" t="n">
        <v>19</v>
      </c>
      <c r="C1437" s="25" t="n">
        <v>186.24</v>
      </c>
      <c r="D1437" s="25" t="n">
        <v>26.76</v>
      </c>
      <c r="E1437" s="25" t="n">
        <v>0</v>
      </c>
      <c r="F1437" s="22" t="n">
        <f aca="false">WEEKDAY(A1437,2)</f>
        <v>2</v>
      </c>
      <c r="G1437" s="22" t="str">
        <f aca="false">IF(F1437=7,IF(B1437&gt;=23,"C","Sin turno"),IF(B1437&lt;7,"C",IF(B1437&lt;14,"A",IF(B1437&lt;21,"B",IF(B1437&lt;23,"Entre turnos",IF(F1437=6,"Sin turno","C"))))))</f>
        <v>B</v>
      </c>
      <c r="H1437" s="25" t="n">
        <f aca="false">IF(D1437="","",MAX(0,D1437-0.5*C1437))</f>
        <v>0</v>
      </c>
    </row>
    <row r="1438" customFormat="false" ht="15" hidden="false" customHeight="false" outlineLevel="0" collapsed="false">
      <c r="A1438" s="21" t="n">
        <v>46280</v>
      </c>
      <c r="B1438" s="22" t="n">
        <v>20</v>
      </c>
      <c r="C1438" s="25" t="n">
        <v>180.84</v>
      </c>
      <c r="D1438" s="25" t="n">
        <v>28.68</v>
      </c>
      <c r="E1438" s="25" t="n">
        <v>0</v>
      </c>
      <c r="F1438" s="22" t="n">
        <f aca="false">WEEKDAY(A1438,2)</f>
        <v>2</v>
      </c>
      <c r="G1438" s="22" t="str">
        <f aca="false">IF(F1438=7,IF(B1438&gt;=23,"C","Sin turno"),IF(B1438&lt;7,"C",IF(B1438&lt;14,"A",IF(B1438&lt;21,"B",IF(B1438&lt;23,"Entre turnos",IF(F1438=6,"Sin turno","C"))))))</f>
        <v>B</v>
      </c>
      <c r="H1438" s="25" t="n">
        <f aca="false">IF(D1438="","",MAX(0,D1438-0.5*C1438))</f>
        <v>0</v>
      </c>
    </row>
    <row r="1439" customFormat="false" ht="15" hidden="false" customHeight="false" outlineLevel="0" collapsed="false">
      <c r="A1439" s="21" t="n">
        <v>46280</v>
      </c>
      <c r="B1439" s="22" t="n">
        <v>21</v>
      </c>
      <c r="C1439" s="25" t="n">
        <v>128.16</v>
      </c>
      <c r="D1439" s="25" t="n">
        <v>20.88</v>
      </c>
      <c r="E1439" s="25" t="n">
        <v>0.36</v>
      </c>
      <c r="F1439" s="22" t="n">
        <f aca="false">WEEKDAY(A1439,2)</f>
        <v>2</v>
      </c>
      <c r="G1439" s="22" t="str">
        <f aca="false">IF(F1439=7,IF(B1439&gt;=23,"C","Sin turno"),IF(B1439&lt;7,"C",IF(B1439&lt;14,"A",IF(B1439&lt;21,"B",IF(B1439&lt;23,"Entre turnos",IF(F1439=6,"Sin turno","C"))))))</f>
        <v>Entre turnos</v>
      </c>
      <c r="H1439" s="25" t="n">
        <f aca="false">IF(D1439="","",MAX(0,D1439-0.5*C1439))</f>
        <v>0</v>
      </c>
    </row>
    <row r="1440" customFormat="false" ht="15" hidden="false" customHeight="false" outlineLevel="0" collapsed="false">
      <c r="A1440" s="21" t="n">
        <v>46280</v>
      </c>
      <c r="B1440" s="22" t="n">
        <v>22</v>
      </c>
      <c r="C1440" s="25" t="n">
        <v>90.6</v>
      </c>
      <c r="D1440" s="25" t="n">
        <v>27</v>
      </c>
      <c r="E1440" s="25" t="n">
        <v>0.12</v>
      </c>
      <c r="F1440" s="22" t="n">
        <f aca="false">WEEKDAY(A1440,2)</f>
        <v>2</v>
      </c>
      <c r="G1440" s="22" t="str">
        <f aca="false">IF(F1440=7,IF(B1440&gt;=23,"C","Sin turno"),IF(B1440&lt;7,"C",IF(B1440&lt;14,"A",IF(B1440&lt;21,"B",IF(B1440&lt;23,"Entre turnos",IF(F1440=6,"Sin turno","C"))))))</f>
        <v>Entre turnos</v>
      </c>
      <c r="H1440" s="25" t="n">
        <f aca="false">IF(D1440="","",MAX(0,D1440-0.5*C1440))</f>
        <v>0</v>
      </c>
    </row>
    <row r="1441" customFormat="false" ht="15" hidden="false" customHeight="false" outlineLevel="0" collapsed="false">
      <c r="A1441" s="21" t="n">
        <v>46280</v>
      </c>
      <c r="B1441" s="22" t="n">
        <v>23</v>
      </c>
      <c r="C1441" s="25" t="n">
        <v>94.8</v>
      </c>
      <c r="D1441" s="25" t="n">
        <v>27.48</v>
      </c>
      <c r="E1441" s="25" t="n">
        <v>0.24</v>
      </c>
      <c r="F1441" s="22" t="n">
        <f aca="false">WEEKDAY(A1441,2)</f>
        <v>2</v>
      </c>
      <c r="G1441" s="22" t="str">
        <f aca="false">IF(F1441=7,IF(B1441&gt;=23,"C","Sin turno"),IF(B1441&lt;7,"C",IF(B1441&lt;14,"A",IF(B1441&lt;21,"B",IF(B1441&lt;23,"Entre turnos",IF(F1441=6,"Sin turno","C"))))))</f>
        <v>C</v>
      </c>
      <c r="H1441" s="25" t="n">
        <f aca="false">IF(D1441="","",MAX(0,D1441-0.5*C1441))</f>
        <v>0</v>
      </c>
    </row>
    <row r="1442" customFormat="false" ht="15" hidden="false" customHeight="false" outlineLevel="0" collapsed="false">
      <c r="A1442" s="21" t="n">
        <v>46281</v>
      </c>
      <c r="B1442" s="22" t="n">
        <v>0</v>
      </c>
      <c r="C1442" s="25" t="n">
        <v>94.44</v>
      </c>
      <c r="D1442" s="25" t="n">
        <v>26.16</v>
      </c>
      <c r="E1442" s="25" t="n">
        <v>0</v>
      </c>
      <c r="F1442" s="22" t="n">
        <f aca="false">WEEKDAY(A1442,2)</f>
        <v>3</v>
      </c>
      <c r="G1442" s="22" t="str">
        <f aca="false">IF(F1442=7,IF(B1442&gt;=23,"C","Sin turno"),IF(B1442&lt;7,"C",IF(B1442&lt;14,"A",IF(B1442&lt;21,"B",IF(B1442&lt;23,"Entre turnos",IF(F1442=6,"Sin turno","C"))))))</f>
        <v>C</v>
      </c>
      <c r="H1442" s="25" t="n">
        <f aca="false">IF(D1442="","",MAX(0,D1442-0.5*C1442))</f>
        <v>0</v>
      </c>
    </row>
    <row r="1443" customFormat="false" ht="15" hidden="false" customHeight="false" outlineLevel="0" collapsed="false">
      <c r="A1443" s="21" t="n">
        <v>46281</v>
      </c>
      <c r="B1443" s="22" t="n">
        <v>1</v>
      </c>
      <c r="C1443" s="25" t="n">
        <v>93.72</v>
      </c>
      <c r="D1443" s="25" t="n">
        <v>25.44</v>
      </c>
      <c r="E1443" s="25" t="n">
        <v>0.12</v>
      </c>
      <c r="F1443" s="22" t="n">
        <f aca="false">WEEKDAY(A1443,2)</f>
        <v>3</v>
      </c>
      <c r="G1443" s="22" t="str">
        <f aca="false">IF(F1443=7,IF(B1443&gt;=23,"C","Sin turno"),IF(B1443&lt;7,"C",IF(B1443&lt;14,"A",IF(B1443&lt;21,"B",IF(B1443&lt;23,"Entre turnos",IF(F1443=6,"Sin turno","C"))))))</f>
        <v>C</v>
      </c>
      <c r="H1443" s="25" t="n">
        <f aca="false">IF(D1443="","",MAX(0,D1443-0.5*C1443))</f>
        <v>0</v>
      </c>
    </row>
    <row r="1444" customFormat="false" ht="15" hidden="false" customHeight="false" outlineLevel="0" collapsed="false">
      <c r="A1444" s="21" t="n">
        <v>46281</v>
      </c>
      <c r="B1444" s="22" t="n">
        <v>2</v>
      </c>
      <c r="C1444" s="25" t="n">
        <v>92.52</v>
      </c>
      <c r="D1444" s="25" t="n">
        <v>27.24</v>
      </c>
      <c r="E1444" s="25" t="n">
        <v>0</v>
      </c>
      <c r="F1444" s="22" t="n">
        <f aca="false">WEEKDAY(A1444,2)</f>
        <v>3</v>
      </c>
      <c r="G1444" s="22" t="str">
        <f aca="false">IF(F1444=7,IF(B1444&gt;=23,"C","Sin turno"),IF(B1444&lt;7,"C",IF(B1444&lt;14,"A",IF(B1444&lt;21,"B",IF(B1444&lt;23,"Entre turnos",IF(F1444=6,"Sin turno","C"))))))</f>
        <v>C</v>
      </c>
      <c r="H1444" s="25" t="n">
        <f aca="false">IF(D1444="","",MAX(0,D1444-0.5*C1444))</f>
        <v>0</v>
      </c>
    </row>
    <row r="1445" customFormat="false" ht="15" hidden="false" customHeight="false" outlineLevel="0" collapsed="false">
      <c r="A1445" s="21" t="n">
        <v>46281</v>
      </c>
      <c r="B1445" s="22" t="n">
        <v>3</v>
      </c>
      <c r="C1445" s="25" t="n">
        <v>92.52</v>
      </c>
      <c r="D1445" s="25" t="n">
        <v>27.12</v>
      </c>
      <c r="E1445" s="25" t="n">
        <v>0.12</v>
      </c>
      <c r="F1445" s="22" t="n">
        <f aca="false">WEEKDAY(A1445,2)</f>
        <v>3</v>
      </c>
      <c r="G1445" s="22" t="str">
        <f aca="false">IF(F1445=7,IF(B1445&gt;=23,"C","Sin turno"),IF(B1445&lt;7,"C",IF(B1445&lt;14,"A",IF(B1445&lt;21,"B",IF(B1445&lt;23,"Entre turnos",IF(F1445=6,"Sin turno","C"))))))</f>
        <v>C</v>
      </c>
      <c r="H1445" s="25" t="n">
        <f aca="false">IF(D1445="","",MAX(0,D1445-0.5*C1445))</f>
        <v>0</v>
      </c>
    </row>
    <row r="1446" customFormat="false" ht="15" hidden="false" customHeight="false" outlineLevel="0" collapsed="false">
      <c r="A1446" s="21" t="n">
        <v>46281</v>
      </c>
      <c r="B1446" s="22" t="n">
        <v>4</v>
      </c>
      <c r="C1446" s="25" t="n">
        <v>90.96</v>
      </c>
      <c r="D1446" s="25" t="n">
        <v>26.88</v>
      </c>
      <c r="E1446" s="25" t="n">
        <v>0</v>
      </c>
      <c r="F1446" s="22" t="n">
        <f aca="false">WEEKDAY(A1446,2)</f>
        <v>3</v>
      </c>
      <c r="G1446" s="22" t="str">
        <f aca="false">IF(F1446=7,IF(B1446&gt;=23,"C","Sin turno"),IF(B1446&lt;7,"C",IF(B1446&lt;14,"A",IF(B1446&lt;21,"B",IF(B1446&lt;23,"Entre turnos",IF(F1446=6,"Sin turno","C"))))))</f>
        <v>C</v>
      </c>
      <c r="H1446" s="25" t="n">
        <f aca="false">IF(D1446="","",MAX(0,D1446-0.5*C1446))</f>
        <v>0</v>
      </c>
    </row>
    <row r="1447" customFormat="false" ht="15" hidden="false" customHeight="false" outlineLevel="0" collapsed="false">
      <c r="A1447" s="21" t="n">
        <v>46281</v>
      </c>
      <c r="B1447" s="22" t="n">
        <v>5</v>
      </c>
      <c r="C1447" s="25" t="n">
        <v>95.76</v>
      </c>
      <c r="D1447" s="25" t="n">
        <v>26.52</v>
      </c>
      <c r="E1447" s="25" t="n">
        <v>0.24</v>
      </c>
      <c r="F1447" s="22" t="n">
        <f aca="false">WEEKDAY(A1447,2)</f>
        <v>3</v>
      </c>
      <c r="G1447" s="22" t="str">
        <f aca="false">IF(F1447=7,IF(B1447&gt;=23,"C","Sin turno"),IF(B1447&lt;7,"C",IF(B1447&lt;14,"A",IF(B1447&lt;21,"B",IF(B1447&lt;23,"Entre turnos",IF(F1447=6,"Sin turno","C"))))))</f>
        <v>C</v>
      </c>
      <c r="H1447" s="25" t="n">
        <f aca="false">IF(D1447="","",MAX(0,D1447-0.5*C1447))</f>
        <v>0</v>
      </c>
    </row>
    <row r="1448" customFormat="false" ht="15" hidden="false" customHeight="false" outlineLevel="0" collapsed="false">
      <c r="A1448" s="21" t="n">
        <v>46281</v>
      </c>
      <c r="B1448" s="22" t="n">
        <v>6</v>
      </c>
      <c r="C1448" s="25" t="n">
        <v>109.08</v>
      </c>
      <c r="D1448" s="25" t="n">
        <v>12.24</v>
      </c>
      <c r="E1448" s="25" t="n">
        <v>0.72</v>
      </c>
      <c r="F1448" s="22" t="n">
        <f aca="false">WEEKDAY(A1448,2)</f>
        <v>3</v>
      </c>
      <c r="G1448" s="22" t="str">
        <f aca="false">IF(F1448=7,IF(B1448&gt;=23,"C","Sin turno"),IF(B1448&lt;7,"C",IF(B1448&lt;14,"A",IF(B1448&lt;21,"B",IF(B1448&lt;23,"Entre turnos",IF(F1448=6,"Sin turno","C"))))))</f>
        <v>C</v>
      </c>
      <c r="H1448" s="25" t="n">
        <f aca="false">IF(D1448="","",MAX(0,D1448-0.5*C1448))</f>
        <v>0</v>
      </c>
    </row>
    <row r="1449" customFormat="false" ht="15" hidden="false" customHeight="false" outlineLevel="0" collapsed="false">
      <c r="A1449" s="21" t="n">
        <v>46281</v>
      </c>
      <c r="B1449" s="22" t="n">
        <v>7</v>
      </c>
      <c r="C1449" s="25" t="n">
        <v>236.16</v>
      </c>
      <c r="D1449" s="25" t="n">
        <v>27.6</v>
      </c>
      <c r="E1449" s="25" t="n">
        <v>0</v>
      </c>
      <c r="F1449" s="22" t="n">
        <f aca="false">WEEKDAY(A1449,2)</f>
        <v>3</v>
      </c>
      <c r="G1449" s="22" t="str">
        <f aca="false">IF(F1449=7,IF(B1449&gt;=23,"C","Sin turno"),IF(B1449&lt;7,"C",IF(B1449&lt;14,"A",IF(B1449&lt;21,"B",IF(B1449&lt;23,"Entre turnos",IF(F1449=6,"Sin turno","C"))))))</f>
        <v>A</v>
      </c>
      <c r="H1449" s="25" t="n">
        <f aca="false">IF(D1449="","",MAX(0,D1449-0.5*C1449))</f>
        <v>0</v>
      </c>
    </row>
    <row r="1450" customFormat="false" ht="15" hidden="false" customHeight="false" outlineLevel="0" collapsed="false">
      <c r="A1450" s="21" t="n">
        <v>46281</v>
      </c>
      <c r="B1450" s="22" t="n">
        <v>8</v>
      </c>
      <c r="C1450" s="25" t="n">
        <v>283.08</v>
      </c>
      <c r="D1450" s="25" t="n">
        <v>24.6</v>
      </c>
      <c r="E1450" s="25" t="n">
        <v>0</v>
      </c>
      <c r="F1450" s="22" t="n">
        <f aca="false">WEEKDAY(A1450,2)</f>
        <v>3</v>
      </c>
      <c r="G1450" s="22" t="str">
        <f aca="false">IF(F1450=7,IF(B1450&gt;=23,"C","Sin turno"),IF(B1450&lt;7,"C",IF(B1450&lt;14,"A",IF(B1450&lt;21,"B",IF(B1450&lt;23,"Entre turnos",IF(F1450=6,"Sin turno","C"))))))</f>
        <v>A</v>
      </c>
      <c r="H1450" s="25" t="n">
        <f aca="false">IF(D1450="","",MAX(0,D1450-0.5*C1450))</f>
        <v>0</v>
      </c>
    </row>
    <row r="1451" customFormat="false" ht="15" hidden="false" customHeight="false" outlineLevel="0" collapsed="false">
      <c r="A1451" s="21" t="n">
        <v>46281</v>
      </c>
      <c r="B1451" s="22" t="n">
        <v>9</v>
      </c>
      <c r="C1451" s="25" t="n">
        <v>284.64</v>
      </c>
      <c r="D1451" s="25" t="n">
        <v>18.48</v>
      </c>
      <c r="E1451" s="25" t="n">
        <v>0</v>
      </c>
      <c r="F1451" s="22" t="n">
        <f aca="false">WEEKDAY(A1451,2)</f>
        <v>3</v>
      </c>
      <c r="G1451" s="22" t="str">
        <f aca="false">IF(F1451=7,IF(B1451&gt;=23,"C","Sin turno"),IF(B1451&lt;7,"C",IF(B1451&lt;14,"A",IF(B1451&lt;21,"B",IF(B1451&lt;23,"Entre turnos",IF(F1451=6,"Sin turno","C"))))))</f>
        <v>A</v>
      </c>
      <c r="H1451" s="25" t="n">
        <f aca="false">IF(D1451="","",MAX(0,D1451-0.5*C1451))</f>
        <v>0</v>
      </c>
    </row>
    <row r="1452" customFormat="false" ht="15" hidden="false" customHeight="false" outlineLevel="0" collapsed="false">
      <c r="A1452" s="21" t="n">
        <v>46281</v>
      </c>
      <c r="B1452" s="22" t="n">
        <v>10</v>
      </c>
      <c r="C1452" s="25" t="n">
        <v>274.56</v>
      </c>
      <c r="D1452" s="25" t="n">
        <v>15.36</v>
      </c>
      <c r="E1452" s="25" t="n">
        <v>0</v>
      </c>
      <c r="F1452" s="22" t="n">
        <f aca="false">WEEKDAY(A1452,2)</f>
        <v>3</v>
      </c>
      <c r="G1452" s="22" t="str">
        <f aca="false">IF(F1452=7,IF(B1452&gt;=23,"C","Sin turno"),IF(B1452&lt;7,"C",IF(B1452&lt;14,"A",IF(B1452&lt;21,"B",IF(B1452&lt;23,"Entre turnos",IF(F1452=6,"Sin turno","C"))))))</f>
        <v>A</v>
      </c>
      <c r="H1452" s="25" t="n">
        <f aca="false">IF(D1452="","",MAX(0,D1452-0.5*C1452))</f>
        <v>0</v>
      </c>
    </row>
    <row r="1453" customFormat="false" ht="15" hidden="false" customHeight="false" outlineLevel="0" collapsed="false">
      <c r="A1453" s="21" t="n">
        <v>46281</v>
      </c>
      <c r="B1453" s="22" t="n">
        <v>11</v>
      </c>
      <c r="C1453" s="25" t="n">
        <v>268.8</v>
      </c>
      <c r="D1453" s="25" t="n">
        <v>21.48</v>
      </c>
      <c r="E1453" s="25" t="n">
        <v>0</v>
      </c>
      <c r="F1453" s="22" t="n">
        <f aca="false">WEEKDAY(A1453,2)</f>
        <v>3</v>
      </c>
      <c r="G1453" s="22" t="str">
        <f aca="false">IF(F1453=7,IF(B1453&gt;=23,"C","Sin turno"),IF(B1453&lt;7,"C",IF(B1453&lt;14,"A",IF(B1453&lt;21,"B",IF(B1453&lt;23,"Entre turnos",IF(F1453=6,"Sin turno","C"))))))</f>
        <v>A</v>
      </c>
      <c r="H1453" s="25" t="n">
        <f aca="false">IF(D1453="","",MAX(0,D1453-0.5*C1453))</f>
        <v>0</v>
      </c>
    </row>
    <row r="1454" customFormat="false" ht="15" hidden="false" customHeight="false" outlineLevel="0" collapsed="false">
      <c r="A1454" s="21" t="n">
        <v>46281</v>
      </c>
      <c r="B1454" s="22" t="n">
        <v>12</v>
      </c>
      <c r="C1454" s="25" t="n">
        <v>308.16</v>
      </c>
      <c r="D1454" s="25" t="n">
        <v>23.16</v>
      </c>
      <c r="E1454" s="25" t="n">
        <v>0</v>
      </c>
      <c r="F1454" s="22" t="n">
        <f aca="false">WEEKDAY(A1454,2)</f>
        <v>3</v>
      </c>
      <c r="G1454" s="22" t="str">
        <f aca="false">IF(F1454=7,IF(B1454&gt;=23,"C","Sin turno"),IF(B1454&lt;7,"C",IF(B1454&lt;14,"A",IF(B1454&lt;21,"B",IF(B1454&lt;23,"Entre turnos",IF(F1454=6,"Sin turno","C"))))))</f>
        <v>A</v>
      </c>
      <c r="H1454" s="25" t="n">
        <f aca="false">IF(D1454="","",MAX(0,D1454-0.5*C1454))</f>
        <v>0</v>
      </c>
    </row>
    <row r="1455" customFormat="false" ht="15" hidden="false" customHeight="false" outlineLevel="0" collapsed="false">
      <c r="A1455" s="21" t="n">
        <v>46281</v>
      </c>
      <c r="B1455" s="22" t="n">
        <v>13</v>
      </c>
      <c r="C1455" s="25" t="n">
        <v>318.48</v>
      </c>
      <c r="D1455" s="25" t="n">
        <v>26.16</v>
      </c>
      <c r="E1455" s="25" t="n">
        <v>0</v>
      </c>
      <c r="F1455" s="22" t="n">
        <f aca="false">WEEKDAY(A1455,2)</f>
        <v>3</v>
      </c>
      <c r="G1455" s="22" t="str">
        <f aca="false">IF(F1455=7,IF(B1455&gt;=23,"C","Sin turno"),IF(B1455&lt;7,"C",IF(B1455&lt;14,"A",IF(B1455&lt;21,"B",IF(B1455&lt;23,"Entre turnos",IF(F1455=6,"Sin turno","C"))))))</f>
        <v>A</v>
      </c>
      <c r="H1455" s="25" t="n">
        <f aca="false">IF(D1455="","",MAX(0,D1455-0.5*C1455))</f>
        <v>0</v>
      </c>
    </row>
    <row r="1456" customFormat="false" ht="15" hidden="false" customHeight="false" outlineLevel="0" collapsed="false">
      <c r="A1456" s="21" t="n">
        <v>46281</v>
      </c>
      <c r="B1456" s="22" t="n">
        <v>14</v>
      </c>
      <c r="C1456" s="25" t="n">
        <v>268.68</v>
      </c>
      <c r="D1456" s="25" t="n">
        <v>26.16</v>
      </c>
      <c r="E1456" s="25" t="n">
        <v>0.12</v>
      </c>
      <c r="F1456" s="22" t="n">
        <f aca="false">WEEKDAY(A1456,2)</f>
        <v>3</v>
      </c>
      <c r="G1456" s="22" t="str">
        <f aca="false">IF(F1456=7,IF(B1456&gt;=23,"C","Sin turno"),IF(B1456&lt;7,"C",IF(B1456&lt;14,"A",IF(B1456&lt;21,"B",IF(B1456&lt;23,"Entre turnos",IF(F1456=6,"Sin turno","C"))))))</f>
        <v>B</v>
      </c>
      <c r="H1456" s="25" t="n">
        <f aca="false">IF(D1456="","",MAX(0,D1456-0.5*C1456))</f>
        <v>0</v>
      </c>
    </row>
    <row r="1457" customFormat="false" ht="15" hidden="false" customHeight="false" outlineLevel="0" collapsed="false">
      <c r="A1457" s="21" t="n">
        <v>46281</v>
      </c>
      <c r="B1457" s="22" t="n">
        <v>15</v>
      </c>
      <c r="C1457" s="25" t="n">
        <v>251.76</v>
      </c>
      <c r="D1457" s="25" t="n">
        <v>21.36</v>
      </c>
      <c r="E1457" s="25" t="n">
        <v>0.12</v>
      </c>
      <c r="F1457" s="22" t="n">
        <f aca="false">WEEKDAY(A1457,2)</f>
        <v>3</v>
      </c>
      <c r="G1457" s="22" t="str">
        <f aca="false">IF(F1457=7,IF(B1457&gt;=23,"C","Sin turno"),IF(B1457&lt;7,"C",IF(B1457&lt;14,"A",IF(B1457&lt;21,"B",IF(B1457&lt;23,"Entre turnos",IF(F1457=6,"Sin turno","C"))))))</f>
        <v>B</v>
      </c>
      <c r="H1457" s="25" t="n">
        <f aca="false">IF(D1457="","",MAX(0,D1457-0.5*C1457))</f>
        <v>0</v>
      </c>
    </row>
    <row r="1458" customFormat="false" ht="15" hidden="false" customHeight="false" outlineLevel="0" collapsed="false">
      <c r="A1458" s="21" t="n">
        <v>46281</v>
      </c>
      <c r="B1458" s="22" t="n">
        <v>16</v>
      </c>
      <c r="C1458" s="25" t="n">
        <v>261.84</v>
      </c>
      <c r="D1458" s="25" t="n">
        <v>20.4</v>
      </c>
      <c r="E1458" s="25" t="n">
        <v>0</v>
      </c>
      <c r="F1458" s="22" t="n">
        <f aca="false">WEEKDAY(A1458,2)</f>
        <v>3</v>
      </c>
      <c r="G1458" s="22" t="str">
        <f aca="false">IF(F1458=7,IF(B1458&gt;=23,"C","Sin turno"),IF(B1458&lt;7,"C",IF(B1458&lt;14,"A",IF(B1458&lt;21,"B",IF(B1458&lt;23,"Entre turnos",IF(F1458=6,"Sin turno","C"))))))</f>
        <v>B</v>
      </c>
      <c r="H1458" s="25" t="n">
        <f aca="false">IF(D1458="","",MAX(0,D1458-0.5*C1458))</f>
        <v>0</v>
      </c>
    </row>
    <row r="1459" customFormat="false" ht="15" hidden="false" customHeight="false" outlineLevel="0" collapsed="false">
      <c r="A1459" s="21" t="n">
        <v>46281</v>
      </c>
      <c r="B1459" s="22" t="n">
        <v>17</v>
      </c>
      <c r="C1459" s="25" t="n">
        <v>225.36</v>
      </c>
      <c r="D1459" s="25" t="n">
        <v>23.88</v>
      </c>
      <c r="E1459" s="25" t="n">
        <v>0</v>
      </c>
      <c r="F1459" s="22" t="n">
        <f aca="false">WEEKDAY(A1459,2)</f>
        <v>3</v>
      </c>
      <c r="G1459" s="22" t="str">
        <f aca="false">IF(F1459=7,IF(B1459&gt;=23,"C","Sin turno"),IF(B1459&lt;7,"C",IF(B1459&lt;14,"A",IF(B1459&lt;21,"B",IF(B1459&lt;23,"Entre turnos",IF(F1459=6,"Sin turno","C"))))))</f>
        <v>B</v>
      </c>
      <c r="H1459" s="25" t="n">
        <f aca="false">IF(D1459="","",MAX(0,D1459-0.5*C1459))</f>
        <v>0</v>
      </c>
    </row>
    <row r="1460" customFormat="false" ht="15" hidden="false" customHeight="false" outlineLevel="0" collapsed="false">
      <c r="A1460" s="21" t="n">
        <v>46281</v>
      </c>
      <c r="B1460" s="22" t="n">
        <v>18</v>
      </c>
      <c r="C1460" s="25" t="n">
        <v>181.92</v>
      </c>
      <c r="D1460" s="25" t="n">
        <v>16.92</v>
      </c>
      <c r="E1460" s="25" t="n">
        <v>0.72</v>
      </c>
      <c r="F1460" s="22" t="n">
        <f aca="false">WEEKDAY(A1460,2)</f>
        <v>3</v>
      </c>
      <c r="G1460" s="22" t="str">
        <f aca="false">IF(F1460=7,IF(B1460&gt;=23,"C","Sin turno"),IF(B1460&lt;7,"C",IF(B1460&lt;14,"A",IF(B1460&lt;21,"B",IF(B1460&lt;23,"Entre turnos",IF(F1460=6,"Sin turno","C"))))))</f>
        <v>B</v>
      </c>
      <c r="H1460" s="25" t="n">
        <f aca="false">IF(D1460="","",MAX(0,D1460-0.5*C1460))</f>
        <v>0</v>
      </c>
    </row>
    <row r="1461" customFormat="false" ht="15" hidden="false" customHeight="false" outlineLevel="0" collapsed="false">
      <c r="A1461" s="21" t="n">
        <v>46281</v>
      </c>
      <c r="B1461" s="22" t="n">
        <v>19</v>
      </c>
      <c r="C1461" s="25" t="n">
        <v>186.72</v>
      </c>
      <c r="D1461" s="25" t="n">
        <v>21.36</v>
      </c>
      <c r="E1461" s="25" t="n">
        <v>0.48</v>
      </c>
      <c r="F1461" s="22" t="n">
        <f aca="false">WEEKDAY(A1461,2)</f>
        <v>3</v>
      </c>
      <c r="G1461" s="22" t="str">
        <f aca="false">IF(F1461=7,IF(B1461&gt;=23,"C","Sin turno"),IF(B1461&lt;7,"C",IF(B1461&lt;14,"A",IF(B1461&lt;21,"B",IF(B1461&lt;23,"Entre turnos",IF(F1461=6,"Sin turno","C"))))))</f>
        <v>B</v>
      </c>
      <c r="H1461" s="25" t="n">
        <f aca="false">IF(D1461="","",MAX(0,D1461-0.5*C1461))</f>
        <v>0</v>
      </c>
    </row>
    <row r="1462" customFormat="false" ht="15" hidden="false" customHeight="false" outlineLevel="0" collapsed="false">
      <c r="A1462" s="21" t="n">
        <v>46281</v>
      </c>
      <c r="B1462" s="22" t="n">
        <v>20</v>
      </c>
      <c r="C1462" s="25" t="n">
        <v>179.4</v>
      </c>
      <c r="D1462" s="25" t="n">
        <v>28.2</v>
      </c>
      <c r="E1462" s="25" t="n">
        <v>0.12</v>
      </c>
      <c r="F1462" s="22" t="n">
        <f aca="false">WEEKDAY(A1462,2)</f>
        <v>3</v>
      </c>
      <c r="G1462" s="22" t="str">
        <f aca="false">IF(F1462=7,IF(B1462&gt;=23,"C","Sin turno"),IF(B1462&lt;7,"C",IF(B1462&lt;14,"A",IF(B1462&lt;21,"B",IF(B1462&lt;23,"Entre turnos",IF(F1462=6,"Sin turno","C"))))))</f>
        <v>B</v>
      </c>
      <c r="H1462" s="25" t="n">
        <f aca="false">IF(D1462="","",MAX(0,D1462-0.5*C1462))</f>
        <v>0</v>
      </c>
    </row>
    <row r="1463" customFormat="false" ht="15" hidden="false" customHeight="false" outlineLevel="0" collapsed="false">
      <c r="A1463" s="21" t="n">
        <v>46281</v>
      </c>
      <c r="B1463" s="22" t="n">
        <v>21</v>
      </c>
      <c r="C1463" s="25" t="n">
        <v>130.2</v>
      </c>
      <c r="D1463" s="25" t="n">
        <v>21.96</v>
      </c>
      <c r="E1463" s="25" t="n">
        <v>0.72</v>
      </c>
      <c r="F1463" s="22" t="n">
        <f aca="false">WEEKDAY(A1463,2)</f>
        <v>3</v>
      </c>
      <c r="G1463" s="22" t="str">
        <f aca="false">IF(F1463=7,IF(B1463&gt;=23,"C","Sin turno"),IF(B1463&lt;7,"C",IF(B1463&lt;14,"A",IF(B1463&lt;21,"B",IF(B1463&lt;23,"Entre turnos",IF(F1463=6,"Sin turno","C"))))))</f>
        <v>Entre turnos</v>
      </c>
      <c r="H1463" s="25" t="n">
        <f aca="false">IF(D1463="","",MAX(0,D1463-0.5*C1463))</f>
        <v>0</v>
      </c>
    </row>
    <row r="1464" customFormat="false" ht="15" hidden="false" customHeight="false" outlineLevel="0" collapsed="false">
      <c r="A1464" s="21" t="n">
        <v>46281</v>
      </c>
      <c r="B1464" s="22" t="n">
        <v>22</v>
      </c>
      <c r="C1464" s="25" t="n">
        <v>86.4</v>
      </c>
      <c r="D1464" s="25" t="n">
        <v>21.48</v>
      </c>
      <c r="E1464" s="25" t="n">
        <v>0.72</v>
      </c>
      <c r="F1464" s="22" t="n">
        <f aca="false">WEEKDAY(A1464,2)</f>
        <v>3</v>
      </c>
      <c r="G1464" s="22" t="str">
        <f aca="false">IF(F1464=7,IF(B1464&gt;=23,"C","Sin turno"),IF(B1464&lt;7,"C",IF(B1464&lt;14,"A",IF(B1464&lt;21,"B",IF(B1464&lt;23,"Entre turnos",IF(F1464=6,"Sin turno","C"))))))</f>
        <v>Entre turnos</v>
      </c>
      <c r="H1464" s="25" t="n">
        <f aca="false">IF(D1464="","",MAX(0,D1464-0.5*C1464))</f>
        <v>0</v>
      </c>
    </row>
    <row r="1465" customFormat="false" ht="15" hidden="false" customHeight="false" outlineLevel="0" collapsed="false">
      <c r="A1465" s="21" t="n">
        <v>46281</v>
      </c>
      <c r="B1465" s="22" t="n">
        <v>23</v>
      </c>
      <c r="C1465" s="25" t="n">
        <v>85.8</v>
      </c>
      <c r="D1465" s="25" t="n">
        <v>21.48</v>
      </c>
      <c r="E1465" s="25" t="n">
        <v>0.96</v>
      </c>
      <c r="F1465" s="22" t="n">
        <f aca="false">WEEKDAY(A1465,2)</f>
        <v>3</v>
      </c>
      <c r="G1465" s="22" t="str">
        <f aca="false">IF(F1465=7,IF(B1465&gt;=23,"C","Sin turno"),IF(B1465&lt;7,"C",IF(B1465&lt;14,"A",IF(B1465&lt;21,"B",IF(B1465&lt;23,"Entre turnos",IF(F1465=6,"Sin turno","C"))))))</f>
        <v>C</v>
      </c>
      <c r="H1465" s="25" t="n">
        <f aca="false">IF(D1465="","",MAX(0,D1465-0.5*C1465))</f>
        <v>0</v>
      </c>
    </row>
    <row r="1466" customFormat="false" ht="15" hidden="false" customHeight="false" outlineLevel="0" collapsed="false">
      <c r="A1466" s="21" t="n">
        <v>46282</v>
      </c>
      <c r="B1466" s="22" t="n">
        <v>0</v>
      </c>
      <c r="C1466" s="25" t="n">
        <v>88.92</v>
      </c>
      <c r="D1466" s="25" t="n">
        <v>20.4</v>
      </c>
      <c r="E1466" s="25" t="n">
        <v>0.72</v>
      </c>
      <c r="F1466" s="22" t="n">
        <f aca="false">WEEKDAY(A1466,2)</f>
        <v>4</v>
      </c>
      <c r="G1466" s="22" t="str">
        <f aca="false">IF(F1466=7,IF(B1466&gt;=23,"C","Sin turno"),IF(B1466&lt;7,"C",IF(B1466&lt;14,"A",IF(B1466&lt;21,"B",IF(B1466&lt;23,"Entre turnos",IF(F1466=6,"Sin turno","C"))))))</f>
        <v>C</v>
      </c>
      <c r="H1466" s="25" t="n">
        <f aca="false">IF(D1466="","",MAX(0,D1466-0.5*C1466))</f>
        <v>0</v>
      </c>
    </row>
    <row r="1467" customFormat="false" ht="15" hidden="false" customHeight="false" outlineLevel="0" collapsed="false">
      <c r="A1467" s="21" t="n">
        <v>46282</v>
      </c>
      <c r="B1467" s="22" t="n">
        <v>1</v>
      </c>
      <c r="C1467" s="25" t="n">
        <v>94.08</v>
      </c>
      <c r="D1467" s="25" t="n">
        <v>14.76</v>
      </c>
      <c r="E1467" s="25" t="n">
        <v>0.96</v>
      </c>
      <c r="F1467" s="22" t="n">
        <f aca="false">WEEKDAY(A1467,2)</f>
        <v>4</v>
      </c>
      <c r="G1467" s="22" t="str">
        <f aca="false">IF(F1467=7,IF(B1467&gt;=23,"C","Sin turno"),IF(B1467&lt;7,"C",IF(B1467&lt;14,"A",IF(B1467&lt;21,"B",IF(B1467&lt;23,"Entre turnos",IF(F1467=6,"Sin turno","C"))))))</f>
        <v>C</v>
      </c>
      <c r="H1467" s="25" t="n">
        <f aca="false">IF(D1467="","",MAX(0,D1467-0.5*C1467))</f>
        <v>0</v>
      </c>
    </row>
    <row r="1468" customFormat="false" ht="15" hidden="false" customHeight="false" outlineLevel="0" collapsed="false">
      <c r="A1468" s="21" t="n">
        <v>46282</v>
      </c>
      <c r="B1468" s="22" t="n">
        <v>2</v>
      </c>
      <c r="C1468" s="25" t="n">
        <v>92.16</v>
      </c>
      <c r="D1468" s="25" t="n">
        <v>16.56</v>
      </c>
      <c r="E1468" s="25" t="n">
        <v>1.08</v>
      </c>
      <c r="F1468" s="22" t="n">
        <f aca="false">WEEKDAY(A1468,2)</f>
        <v>4</v>
      </c>
      <c r="G1468" s="22" t="str">
        <f aca="false">IF(F1468=7,IF(B1468&gt;=23,"C","Sin turno"),IF(B1468&lt;7,"C",IF(B1468&lt;14,"A",IF(B1468&lt;21,"B",IF(B1468&lt;23,"Entre turnos",IF(F1468=6,"Sin turno","C"))))))</f>
        <v>C</v>
      </c>
      <c r="H1468" s="25" t="n">
        <f aca="false">IF(D1468="","",MAX(0,D1468-0.5*C1468))</f>
        <v>0</v>
      </c>
    </row>
    <row r="1469" customFormat="false" ht="15" hidden="false" customHeight="false" outlineLevel="0" collapsed="false">
      <c r="A1469" s="21" t="n">
        <v>46282</v>
      </c>
      <c r="B1469" s="22" t="n">
        <v>3</v>
      </c>
      <c r="C1469" s="25" t="n">
        <v>89.04</v>
      </c>
      <c r="D1469" s="25" t="n">
        <v>18.12</v>
      </c>
      <c r="E1469" s="25" t="n">
        <v>0.84</v>
      </c>
      <c r="F1469" s="22" t="n">
        <f aca="false">WEEKDAY(A1469,2)</f>
        <v>4</v>
      </c>
      <c r="G1469" s="22" t="str">
        <f aca="false">IF(F1469=7,IF(B1469&gt;=23,"C","Sin turno"),IF(B1469&lt;7,"C",IF(B1469&lt;14,"A",IF(B1469&lt;21,"B",IF(B1469&lt;23,"Entre turnos",IF(F1469=6,"Sin turno","C"))))))</f>
        <v>C</v>
      </c>
      <c r="H1469" s="25" t="n">
        <f aca="false">IF(D1469="","",MAX(0,D1469-0.5*C1469))</f>
        <v>0</v>
      </c>
    </row>
    <row r="1470" customFormat="false" ht="15" hidden="false" customHeight="false" outlineLevel="0" collapsed="false">
      <c r="A1470" s="21" t="n">
        <v>46282</v>
      </c>
      <c r="B1470" s="22" t="n">
        <v>4</v>
      </c>
      <c r="C1470" s="25" t="n">
        <v>89.28</v>
      </c>
      <c r="D1470" s="25" t="n">
        <v>18</v>
      </c>
      <c r="E1470" s="25" t="n">
        <v>0.84</v>
      </c>
      <c r="F1470" s="22" t="n">
        <f aca="false">WEEKDAY(A1470,2)</f>
        <v>4</v>
      </c>
      <c r="G1470" s="22" t="str">
        <f aca="false">IF(F1470=7,IF(B1470&gt;=23,"C","Sin turno"),IF(B1470&lt;7,"C",IF(B1470&lt;14,"A",IF(B1470&lt;21,"B",IF(B1470&lt;23,"Entre turnos",IF(F1470=6,"Sin turno","C"))))))</f>
        <v>C</v>
      </c>
      <c r="H1470" s="25" t="n">
        <f aca="false">IF(D1470="","",MAX(0,D1470-0.5*C1470))</f>
        <v>0</v>
      </c>
    </row>
    <row r="1471" customFormat="false" ht="15" hidden="false" customHeight="false" outlineLevel="0" collapsed="false">
      <c r="A1471" s="21" t="n">
        <v>46282</v>
      </c>
      <c r="B1471" s="22" t="n">
        <v>5</v>
      </c>
      <c r="C1471" s="25" t="n">
        <v>92.88</v>
      </c>
      <c r="D1471" s="25" t="n">
        <v>17.4</v>
      </c>
      <c r="E1471" s="25" t="n">
        <v>1.08</v>
      </c>
      <c r="F1471" s="22" t="n">
        <f aca="false">WEEKDAY(A1471,2)</f>
        <v>4</v>
      </c>
      <c r="G1471" s="22" t="str">
        <f aca="false">IF(F1471=7,IF(B1471&gt;=23,"C","Sin turno"),IF(B1471&lt;7,"C",IF(B1471&lt;14,"A",IF(B1471&lt;21,"B",IF(B1471&lt;23,"Entre turnos",IF(F1471=6,"Sin turno","C"))))))</f>
        <v>C</v>
      </c>
      <c r="H1471" s="25" t="n">
        <f aca="false">IF(D1471="","",MAX(0,D1471-0.5*C1471))</f>
        <v>0</v>
      </c>
    </row>
    <row r="1472" customFormat="false" ht="15" hidden="false" customHeight="false" outlineLevel="0" collapsed="false">
      <c r="A1472" s="21" t="n">
        <v>46282</v>
      </c>
      <c r="B1472" s="22" t="n">
        <v>6</v>
      </c>
      <c r="C1472" s="25" t="n">
        <v>103.56</v>
      </c>
      <c r="D1472" s="25" t="n">
        <v>16.56</v>
      </c>
      <c r="E1472" s="25" t="n">
        <v>0.6</v>
      </c>
      <c r="F1472" s="22" t="n">
        <f aca="false">WEEKDAY(A1472,2)</f>
        <v>4</v>
      </c>
      <c r="G1472" s="22" t="str">
        <f aca="false">IF(F1472=7,IF(B1472&gt;=23,"C","Sin turno"),IF(B1472&lt;7,"C",IF(B1472&lt;14,"A",IF(B1472&lt;21,"B",IF(B1472&lt;23,"Entre turnos",IF(F1472=6,"Sin turno","C"))))))</f>
        <v>C</v>
      </c>
      <c r="H1472" s="25" t="n">
        <f aca="false">IF(D1472="","",MAX(0,D1472-0.5*C1472))</f>
        <v>0</v>
      </c>
    </row>
    <row r="1473" customFormat="false" ht="15" hidden="false" customHeight="false" outlineLevel="0" collapsed="false">
      <c r="A1473" s="21" t="n">
        <v>46282</v>
      </c>
      <c r="B1473" s="22" t="n">
        <v>7</v>
      </c>
      <c r="C1473" s="25" t="n">
        <v>235.32</v>
      </c>
      <c r="D1473" s="25" t="n">
        <v>27</v>
      </c>
      <c r="E1473" s="25" t="n">
        <v>0.12</v>
      </c>
      <c r="F1473" s="22" t="n">
        <f aca="false">WEEKDAY(A1473,2)</f>
        <v>4</v>
      </c>
      <c r="G1473" s="22" t="str">
        <f aca="false">IF(F1473=7,IF(B1473&gt;=23,"C","Sin turno"),IF(B1473&lt;7,"C",IF(B1473&lt;14,"A",IF(B1473&lt;21,"B",IF(B1473&lt;23,"Entre turnos",IF(F1473=6,"Sin turno","C"))))))</f>
        <v>A</v>
      </c>
      <c r="H1473" s="25" t="n">
        <f aca="false">IF(D1473="","",MAX(0,D1473-0.5*C1473))</f>
        <v>0</v>
      </c>
    </row>
    <row r="1474" customFormat="false" ht="15" hidden="false" customHeight="false" outlineLevel="0" collapsed="false">
      <c r="A1474" s="21" t="n">
        <v>46282</v>
      </c>
      <c r="B1474" s="22" t="n">
        <v>8</v>
      </c>
      <c r="C1474" s="25" t="n">
        <v>266.64</v>
      </c>
      <c r="D1474" s="25" t="n">
        <v>20.16</v>
      </c>
      <c r="E1474" s="25" t="n">
        <v>0</v>
      </c>
      <c r="F1474" s="22" t="n">
        <f aca="false">WEEKDAY(A1474,2)</f>
        <v>4</v>
      </c>
      <c r="G1474" s="22" t="str">
        <f aca="false">IF(F1474=7,IF(B1474&gt;=23,"C","Sin turno"),IF(B1474&lt;7,"C",IF(B1474&lt;14,"A",IF(B1474&lt;21,"B",IF(B1474&lt;23,"Entre turnos",IF(F1474=6,"Sin turno","C"))))))</f>
        <v>A</v>
      </c>
      <c r="H1474" s="25" t="n">
        <f aca="false">IF(D1474="","",MAX(0,D1474-0.5*C1474))</f>
        <v>0</v>
      </c>
    </row>
    <row r="1475" customFormat="false" ht="15" hidden="false" customHeight="false" outlineLevel="0" collapsed="false">
      <c r="A1475" s="21" t="n">
        <v>46282</v>
      </c>
      <c r="B1475" s="22" t="n">
        <v>9</v>
      </c>
      <c r="C1475" s="25" t="n">
        <v>288</v>
      </c>
      <c r="D1475" s="25" t="n">
        <v>17.76</v>
      </c>
      <c r="E1475" s="25" t="n">
        <v>0</v>
      </c>
      <c r="F1475" s="22" t="n">
        <f aca="false">WEEKDAY(A1475,2)</f>
        <v>4</v>
      </c>
      <c r="G1475" s="22" t="str">
        <f aca="false">IF(F1475=7,IF(B1475&gt;=23,"C","Sin turno"),IF(B1475&lt;7,"C",IF(B1475&lt;14,"A",IF(B1475&lt;21,"B",IF(B1475&lt;23,"Entre turnos",IF(F1475=6,"Sin turno","C"))))))</f>
        <v>A</v>
      </c>
      <c r="H1475" s="25" t="n">
        <f aca="false">IF(D1475="","",MAX(0,D1475-0.5*C1475))</f>
        <v>0</v>
      </c>
    </row>
    <row r="1476" customFormat="false" ht="15" hidden="false" customHeight="false" outlineLevel="0" collapsed="false">
      <c r="A1476" s="21" t="n">
        <v>46282</v>
      </c>
      <c r="B1476" s="22" t="n">
        <v>10</v>
      </c>
      <c r="C1476" s="25" t="n">
        <v>287.28</v>
      </c>
      <c r="D1476" s="25" t="n">
        <v>21.84</v>
      </c>
      <c r="E1476" s="25" t="n">
        <v>0</v>
      </c>
      <c r="F1476" s="22" t="n">
        <f aca="false">WEEKDAY(A1476,2)</f>
        <v>4</v>
      </c>
      <c r="G1476" s="22" t="str">
        <f aca="false">IF(F1476=7,IF(B1476&gt;=23,"C","Sin turno"),IF(B1476&lt;7,"C",IF(B1476&lt;14,"A",IF(B1476&lt;21,"B",IF(B1476&lt;23,"Entre turnos",IF(F1476=6,"Sin turno","C"))))))</f>
        <v>A</v>
      </c>
      <c r="H1476" s="25" t="n">
        <f aca="false">IF(D1476="","",MAX(0,D1476-0.5*C1476))</f>
        <v>0</v>
      </c>
    </row>
    <row r="1477" customFormat="false" ht="15" hidden="false" customHeight="false" outlineLevel="0" collapsed="false">
      <c r="A1477" s="21" t="n">
        <v>46282</v>
      </c>
      <c r="B1477" s="22" t="n">
        <v>11</v>
      </c>
      <c r="C1477" s="25" t="n">
        <v>287.88</v>
      </c>
      <c r="D1477" s="25" t="n">
        <v>20.88</v>
      </c>
      <c r="E1477" s="25" t="n">
        <v>0.12</v>
      </c>
      <c r="F1477" s="22" t="n">
        <f aca="false">WEEKDAY(A1477,2)</f>
        <v>4</v>
      </c>
      <c r="G1477" s="22" t="str">
        <f aca="false">IF(F1477=7,IF(B1477&gt;=23,"C","Sin turno"),IF(B1477&lt;7,"C",IF(B1477&lt;14,"A",IF(B1477&lt;21,"B",IF(B1477&lt;23,"Entre turnos",IF(F1477=6,"Sin turno","C"))))))</f>
        <v>A</v>
      </c>
      <c r="H1477" s="25" t="n">
        <f aca="false">IF(D1477="","",MAX(0,D1477-0.5*C1477))</f>
        <v>0</v>
      </c>
    </row>
    <row r="1478" customFormat="false" ht="15" hidden="false" customHeight="false" outlineLevel="0" collapsed="false">
      <c r="A1478" s="21" t="n">
        <v>46282</v>
      </c>
      <c r="B1478" s="22" t="n">
        <v>12</v>
      </c>
      <c r="C1478" s="25" t="n">
        <v>313.8</v>
      </c>
      <c r="D1478" s="25" t="n">
        <v>26.4</v>
      </c>
      <c r="E1478" s="25" t="n">
        <v>0</v>
      </c>
      <c r="F1478" s="22" t="n">
        <f aca="false">WEEKDAY(A1478,2)</f>
        <v>4</v>
      </c>
      <c r="G1478" s="22" t="str">
        <f aca="false">IF(F1478=7,IF(B1478&gt;=23,"C","Sin turno"),IF(B1478&lt;7,"C",IF(B1478&lt;14,"A",IF(B1478&lt;21,"B",IF(B1478&lt;23,"Entre turnos",IF(F1478=6,"Sin turno","C"))))))</f>
        <v>A</v>
      </c>
      <c r="H1478" s="25" t="n">
        <f aca="false">IF(D1478="","",MAX(0,D1478-0.5*C1478))</f>
        <v>0</v>
      </c>
    </row>
    <row r="1479" customFormat="false" ht="15" hidden="false" customHeight="false" outlineLevel="0" collapsed="false">
      <c r="A1479" s="21" t="n">
        <v>46282</v>
      </c>
      <c r="B1479" s="22" t="n">
        <v>13</v>
      </c>
      <c r="C1479" s="25" t="n">
        <v>311.28</v>
      </c>
      <c r="D1479" s="25" t="n">
        <v>24.36</v>
      </c>
      <c r="E1479" s="25" t="n">
        <v>0</v>
      </c>
      <c r="F1479" s="22" t="n">
        <f aca="false">WEEKDAY(A1479,2)</f>
        <v>4</v>
      </c>
      <c r="G1479" s="22" t="str">
        <f aca="false">IF(F1479=7,IF(B1479&gt;=23,"C","Sin turno"),IF(B1479&lt;7,"C",IF(B1479&lt;14,"A",IF(B1479&lt;21,"B",IF(B1479&lt;23,"Entre turnos",IF(F1479=6,"Sin turno","C"))))))</f>
        <v>A</v>
      </c>
      <c r="H1479" s="25" t="n">
        <f aca="false">IF(D1479="","",MAX(0,D1479-0.5*C1479))</f>
        <v>0</v>
      </c>
    </row>
    <row r="1480" customFormat="false" ht="15" hidden="false" customHeight="false" outlineLevel="0" collapsed="false">
      <c r="A1480" s="21" t="n">
        <v>46282</v>
      </c>
      <c r="B1480" s="22" t="n">
        <v>14</v>
      </c>
      <c r="C1480" s="25" t="n">
        <v>271.92</v>
      </c>
      <c r="D1480" s="25" t="n">
        <v>21.48</v>
      </c>
      <c r="E1480" s="25" t="n">
        <v>0.36</v>
      </c>
      <c r="F1480" s="22" t="n">
        <f aca="false">WEEKDAY(A1480,2)</f>
        <v>4</v>
      </c>
      <c r="G1480" s="22" t="str">
        <f aca="false">IF(F1480=7,IF(B1480&gt;=23,"C","Sin turno"),IF(B1480&lt;7,"C",IF(B1480&lt;14,"A",IF(B1480&lt;21,"B",IF(B1480&lt;23,"Entre turnos",IF(F1480=6,"Sin turno","C"))))))</f>
        <v>B</v>
      </c>
      <c r="H1480" s="25" t="n">
        <f aca="false">IF(D1480="","",MAX(0,D1480-0.5*C1480))</f>
        <v>0</v>
      </c>
    </row>
    <row r="1481" customFormat="false" ht="15" hidden="false" customHeight="false" outlineLevel="0" collapsed="false">
      <c r="A1481" s="21" t="n">
        <v>46282</v>
      </c>
      <c r="B1481" s="22" t="n">
        <v>15</v>
      </c>
      <c r="C1481" s="25" t="n">
        <v>280.2</v>
      </c>
      <c r="D1481" s="25" t="n">
        <v>22.32</v>
      </c>
      <c r="E1481" s="25" t="n">
        <v>0.12</v>
      </c>
      <c r="F1481" s="22" t="n">
        <f aca="false">WEEKDAY(A1481,2)</f>
        <v>4</v>
      </c>
      <c r="G1481" s="22" t="str">
        <f aca="false">IF(F1481=7,IF(B1481&gt;=23,"C","Sin turno"),IF(B1481&lt;7,"C",IF(B1481&lt;14,"A",IF(B1481&lt;21,"B",IF(B1481&lt;23,"Entre turnos",IF(F1481=6,"Sin turno","C"))))))</f>
        <v>B</v>
      </c>
      <c r="H1481" s="25" t="n">
        <f aca="false">IF(D1481="","",MAX(0,D1481-0.5*C1481))</f>
        <v>0</v>
      </c>
    </row>
    <row r="1482" customFormat="false" ht="15" hidden="false" customHeight="false" outlineLevel="0" collapsed="false">
      <c r="A1482" s="21" t="n">
        <v>46282</v>
      </c>
      <c r="B1482" s="22" t="n">
        <v>16</v>
      </c>
      <c r="C1482" s="25" t="n">
        <v>249.72</v>
      </c>
      <c r="D1482" s="25" t="n">
        <v>23.76</v>
      </c>
      <c r="E1482" s="25" t="n">
        <v>0.12</v>
      </c>
      <c r="F1482" s="22" t="n">
        <f aca="false">WEEKDAY(A1482,2)</f>
        <v>4</v>
      </c>
      <c r="G1482" s="22" t="str">
        <f aca="false">IF(F1482=7,IF(B1482&gt;=23,"C","Sin turno"),IF(B1482&lt;7,"C",IF(B1482&lt;14,"A",IF(B1482&lt;21,"B",IF(B1482&lt;23,"Entre turnos",IF(F1482=6,"Sin turno","C"))))))</f>
        <v>B</v>
      </c>
      <c r="H1482" s="25" t="n">
        <f aca="false">IF(D1482="","",MAX(0,D1482-0.5*C1482))</f>
        <v>0</v>
      </c>
    </row>
    <row r="1483" customFormat="false" ht="15" hidden="false" customHeight="false" outlineLevel="0" collapsed="false">
      <c r="A1483" s="21" t="n">
        <v>46282</v>
      </c>
      <c r="B1483" s="22" t="n">
        <v>17</v>
      </c>
      <c r="C1483" s="25" t="n">
        <v>194.76</v>
      </c>
      <c r="D1483" s="25" t="n">
        <v>16.2</v>
      </c>
      <c r="E1483" s="25" t="n">
        <v>0.12</v>
      </c>
      <c r="F1483" s="22" t="n">
        <f aca="false">WEEKDAY(A1483,2)</f>
        <v>4</v>
      </c>
      <c r="G1483" s="22" t="str">
        <f aca="false">IF(F1483=7,IF(B1483&gt;=23,"C","Sin turno"),IF(B1483&lt;7,"C",IF(B1483&lt;14,"A",IF(B1483&lt;21,"B",IF(B1483&lt;23,"Entre turnos",IF(F1483=6,"Sin turno","C"))))))</f>
        <v>B</v>
      </c>
      <c r="H1483" s="25" t="n">
        <f aca="false">IF(D1483="","",MAX(0,D1483-0.5*C1483))</f>
        <v>0</v>
      </c>
    </row>
    <row r="1484" customFormat="false" ht="15" hidden="false" customHeight="false" outlineLevel="0" collapsed="false">
      <c r="A1484" s="21" t="n">
        <v>46282</v>
      </c>
      <c r="B1484" s="22" t="n">
        <v>18</v>
      </c>
      <c r="C1484" s="25" t="n">
        <v>175.2</v>
      </c>
      <c r="D1484" s="25" t="n">
        <v>16.32</v>
      </c>
      <c r="E1484" s="25" t="n">
        <v>0.48</v>
      </c>
      <c r="F1484" s="22" t="n">
        <f aca="false">WEEKDAY(A1484,2)</f>
        <v>4</v>
      </c>
      <c r="G1484" s="22" t="str">
        <f aca="false">IF(F1484=7,IF(B1484&gt;=23,"C","Sin turno"),IF(B1484&lt;7,"C",IF(B1484&lt;14,"A",IF(B1484&lt;21,"B",IF(B1484&lt;23,"Entre turnos",IF(F1484=6,"Sin turno","C"))))))</f>
        <v>B</v>
      </c>
      <c r="H1484" s="25" t="n">
        <f aca="false">IF(D1484="","",MAX(0,D1484-0.5*C1484))</f>
        <v>0</v>
      </c>
    </row>
    <row r="1485" customFormat="false" ht="15" hidden="false" customHeight="false" outlineLevel="0" collapsed="false">
      <c r="A1485" s="21" t="n">
        <v>46282</v>
      </c>
      <c r="B1485" s="22" t="n">
        <v>19</v>
      </c>
      <c r="C1485" s="25" t="n">
        <v>162.48</v>
      </c>
      <c r="D1485" s="25" t="n">
        <v>26.76</v>
      </c>
      <c r="E1485" s="25" t="n">
        <v>0.12</v>
      </c>
      <c r="F1485" s="22" t="n">
        <f aca="false">WEEKDAY(A1485,2)</f>
        <v>4</v>
      </c>
      <c r="G1485" s="22" t="str">
        <f aca="false">IF(F1485=7,IF(B1485&gt;=23,"C","Sin turno"),IF(B1485&lt;7,"C",IF(B1485&lt;14,"A",IF(B1485&lt;21,"B",IF(B1485&lt;23,"Entre turnos",IF(F1485=6,"Sin turno","C"))))))</f>
        <v>B</v>
      </c>
      <c r="H1485" s="25" t="n">
        <f aca="false">IF(D1485="","",MAX(0,D1485-0.5*C1485))</f>
        <v>0</v>
      </c>
    </row>
    <row r="1486" customFormat="false" ht="15" hidden="false" customHeight="false" outlineLevel="0" collapsed="false">
      <c r="A1486" s="21" t="n">
        <v>46282</v>
      </c>
      <c r="B1486" s="22" t="n">
        <v>20</v>
      </c>
      <c r="C1486" s="25" t="n">
        <v>166.2</v>
      </c>
      <c r="D1486" s="25" t="n">
        <v>25.8</v>
      </c>
      <c r="E1486" s="25" t="n">
        <v>0</v>
      </c>
      <c r="F1486" s="22" t="n">
        <f aca="false">WEEKDAY(A1486,2)</f>
        <v>4</v>
      </c>
      <c r="G1486" s="22" t="str">
        <f aca="false">IF(F1486=7,IF(B1486&gt;=23,"C","Sin turno"),IF(B1486&lt;7,"C",IF(B1486&lt;14,"A",IF(B1486&lt;21,"B",IF(B1486&lt;23,"Entre turnos",IF(F1486=6,"Sin turno","C"))))))</f>
        <v>B</v>
      </c>
      <c r="H1486" s="25" t="n">
        <f aca="false">IF(D1486="","",MAX(0,D1486-0.5*C1486))</f>
        <v>0</v>
      </c>
    </row>
    <row r="1487" customFormat="false" ht="15" hidden="false" customHeight="false" outlineLevel="0" collapsed="false">
      <c r="A1487" s="21" t="n">
        <v>46282</v>
      </c>
      <c r="B1487" s="22" t="n">
        <v>21</v>
      </c>
      <c r="C1487" s="25" t="n">
        <v>123</v>
      </c>
      <c r="D1487" s="25" t="n">
        <v>23.16</v>
      </c>
      <c r="E1487" s="25" t="n">
        <v>0.36</v>
      </c>
      <c r="F1487" s="22" t="n">
        <f aca="false">WEEKDAY(A1487,2)</f>
        <v>4</v>
      </c>
      <c r="G1487" s="22" t="str">
        <f aca="false">IF(F1487=7,IF(B1487&gt;=23,"C","Sin turno"),IF(B1487&lt;7,"C",IF(B1487&lt;14,"A",IF(B1487&lt;21,"B",IF(B1487&lt;23,"Entre turnos",IF(F1487=6,"Sin turno","C"))))))</f>
        <v>Entre turnos</v>
      </c>
      <c r="H1487" s="25" t="n">
        <f aca="false">IF(D1487="","",MAX(0,D1487-0.5*C1487))</f>
        <v>0</v>
      </c>
    </row>
    <row r="1488" customFormat="false" ht="15" hidden="false" customHeight="false" outlineLevel="0" collapsed="false">
      <c r="A1488" s="21" t="n">
        <v>46282</v>
      </c>
      <c r="B1488" s="22" t="n">
        <v>22</v>
      </c>
      <c r="C1488" s="25" t="n">
        <v>92.64</v>
      </c>
      <c r="D1488" s="25" t="n">
        <v>24.12</v>
      </c>
      <c r="E1488" s="25" t="n">
        <v>0.6</v>
      </c>
      <c r="F1488" s="22" t="n">
        <f aca="false">WEEKDAY(A1488,2)</f>
        <v>4</v>
      </c>
      <c r="G1488" s="22" t="str">
        <f aca="false">IF(F1488=7,IF(B1488&gt;=23,"C","Sin turno"),IF(B1488&lt;7,"C",IF(B1488&lt;14,"A",IF(B1488&lt;21,"B",IF(B1488&lt;23,"Entre turnos",IF(F1488=6,"Sin turno","C"))))))</f>
        <v>Entre turnos</v>
      </c>
      <c r="H1488" s="25" t="n">
        <f aca="false">IF(D1488="","",MAX(0,D1488-0.5*C1488))</f>
        <v>0</v>
      </c>
    </row>
    <row r="1489" customFormat="false" ht="15" hidden="false" customHeight="false" outlineLevel="0" collapsed="false">
      <c r="A1489" s="21" t="n">
        <v>46282</v>
      </c>
      <c r="B1489" s="22" t="n">
        <v>23</v>
      </c>
      <c r="C1489" s="25" t="n">
        <v>91.8</v>
      </c>
      <c r="D1489" s="25" t="n">
        <v>24</v>
      </c>
      <c r="E1489" s="25" t="n">
        <v>0.6</v>
      </c>
      <c r="F1489" s="22" t="n">
        <f aca="false">WEEKDAY(A1489,2)</f>
        <v>4</v>
      </c>
      <c r="G1489" s="22" t="str">
        <f aca="false">IF(F1489=7,IF(B1489&gt;=23,"C","Sin turno"),IF(B1489&lt;7,"C",IF(B1489&lt;14,"A",IF(B1489&lt;21,"B",IF(B1489&lt;23,"Entre turnos",IF(F1489=6,"Sin turno","C"))))))</f>
        <v>C</v>
      </c>
      <c r="H1489" s="25" t="n">
        <f aca="false">IF(D1489="","",MAX(0,D1489-0.5*C1489))</f>
        <v>0</v>
      </c>
    </row>
    <row r="1490" customFormat="false" ht="15" hidden="false" customHeight="false" outlineLevel="0" collapsed="false">
      <c r="A1490" s="21" t="n">
        <v>46283</v>
      </c>
      <c r="B1490" s="22" t="n">
        <v>0</v>
      </c>
      <c r="C1490" s="25" t="n">
        <v>99.6</v>
      </c>
      <c r="D1490" s="25" t="n">
        <v>12.12</v>
      </c>
      <c r="E1490" s="25" t="n">
        <v>1.08</v>
      </c>
      <c r="F1490" s="22" t="n">
        <f aca="false">WEEKDAY(A1490,2)</f>
        <v>5</v>
      </c>
      <c r="G1490" s="22" t="str">
        <f aca="false">IF(F1490=7,IF(B1490&gt;=23,"C","Sin turno"),IF(B1490&lt;7,"C",IF(B1490&lt;14,"A",IF(B1490&lt;21,"B",IF(B1490&lt;23,"Entre turnos",IF(F1490=6,"Sin turno","C"))))))</f>
        <v>C</v>
      </c>
      <c r="H1490" s="25" t="n">
        <f aca="false">IF(D1490="","",MAX(0,D1490-0.5*C1490))</f>
        <v>0</v>
      </c>
    </row>
    <row r="1491" customFormat="false" ht="15" hidden="false" customHeight="false" outlineLevel="0" collapsed="false">
      <c r="A1491" s="21" t="n">
        <v>46283</v>
      </c>
      <c r="B1491" s="22" t="n">
        <v>1</v>
      </c>
      <c r="C1491" s="25" t="n">
        <v>96.96</v>
      </c>
      <c r="D1491" s="25" t="n">
        <v>12</v>
      </c>
      <c r="E1491" s="25" t="n">
        <v>1.2</v>
      </c>
      <c r="F1491" s="22" t="n">
        <f aca="false">WEEKDAY(A1491,2)</f>
        <v>5</v>
      </c>
      <c r="G1491" s="22" t="str">
        <f aca="false">IF(F1491=7,IF(B1491&gt;=23,"C","Sin turno"),IF(B1491&lt;7,"C",IF(B1491&lt;14,"A",IF(B1491&lt;21,"B",IF(B1491&lt;23,"Entre turnos",IF(F1491=6,"Sin turno","C"))))))</f>
        <v>C</v>
      </c>
      <c r="H1491" s="25" t="n">
        <f aca="false">IF(D1491="","",MAX(0,D1491-0.5*C1491))</f>
        <v>0</v>
      </c>
    </row>
    <row r="1492" customFormat="false" ht="15" hidden="false" customHeight="false" outlineLevel="0" collapsed="false">
      <c r="A1492" s="21" t="n">
        <v>46283</v>
      </c>
      <c r="B1492" s="22" t="n">
        <v>2</v>
      </c>
      <c r="C1492" s="25" t="n">
        <v>96.12</v>
      </c>
      <c r="D1492" s="25" t="n">
        <v>14.64</v>
      </c>
      <c r="E1492" s="25" t="n">
        <v>1.08</v>
      </c>
      <c r="F1492" s="22" t="n">
        <f aca="false">WEEKDAY(A1492,2)</f>
        <v>5</v>
      </c>
      <c r="G1492" s="22" t="str">
        <f aca="false">IF(F1492=7,IF(B1492&gt;=23,"C","Sin turno"),IF(B1492&lt;7,"C",IF(B1492&lt;14,"A",IF(B1492&lt;21,"B",IF(B1492&lt;23,"Entre turnos",IF(F1492=6,"Sin turno","C"))))))</f>
        <v>C</v>
      </c>
      <c r="H1492" s="25" t="n">
        <f aca="false">IF(D1492="","",MAX(0,D1492-0.5*C1492))</f>
        <v>0</v>
      </c>
    </row>
    <row r="1493" customFormat="false" ht="15" hidden="false" customHeight="false" outlineLevel="0" collapsed="false">
      <c r="A1493" s="21" t="n">
        <v>46283</v>
      </c>
      <c r="B1493" s="22" t="n">
        <v>3</v>
      </c>
      <c r="C1493" s="25" t="n">
        <v>93.48</v>
      </c>
      <c r="D1493" s="25" t="n">
        <v>19.2</v>
      </c>
      <c r="E1493" s="25" t="n">
        <v>0.84</v>
      </c>
      <c r="F1493" s="22" t="n">
        <f aca="false">WEEKDAY(A1493,2)</f>
        <v>5</v>
      </c>
      <c r="G1493" s="22" t="str">
        <f aca="false">IF(F1493=7,IF(B1493&gt;=23,"C","Sin turno"),IF(B1493&lt;7,"C",IF(B1493&lt;14,"A",IF(B1493&lt;21,"B",IF(B1493&lt;23,"Entre turnos",IF(F1493=6,"Sin turno","C"))))))</f>
        <v>C</v>
      </c>
      <c r="H1493" s="25" t="n">
        <f aca="false">IF(D1493="","",MAX(0,D1493-0.5*C1493))</f>
        <v>0</v>
      </c>
    </row>
    <row r="1494" customFormat="false" ht="15" hidden="false" customHeight="false" outlineLevel="0" collapsed="false">
      <c r="A1494" s="21" t="n">
        <v>46283</v>
      </c>
      <c r="B1494" s="22" t="n">
        <v>4</v>
      </c>
      <c r="C1494" s="25" t="n">
        <v>93.84</v>
      </c>
      <c r="D1494" s="25" t="n">
        <v>18.48</v>
      </c>
      <c r="E1494" s="25" t="n">
        <v>0.96</v>
      </c>
      <c r="F1494" s="22" t="n">
        <f aca="false">WEEKDAY(A1494,2)</f>
        <v>5</v>
      </c>
      <c r="G1494" s="22" t="str">
        <f aca="false">IF(F1494=7,IF(B1494&gt;=23,"C","Sin turno"),IF(B1494&lt;7,"C",IF(B1494&lt;14,"A",IF(B1494&lt;21,"B",IF(B1494&lt;23,"Entre turnos",IF(F1494=6,"Sin turno","C"))))))</f>
        <v>C</v>
      </c>
      <c r="H1494" s="25" t="n">
        <f aca="false">IF(D1494="","",MAX(0,D1494-0.5*C1494))</f>
        <v>0</v>
      </c>
    </row>
    <row r="1495" customFormat="false" ht="15" hidden="false" customHeight="false" outlineLevel="0" collapsed="false">
      <c r="A1495" s="21" t="n">
        <v>46283</v>
      </c>
      <c r="B1495" s="22" t="n">
        <v>5</v>
      </c>
      <c r="C1495" s="25" t="n">
        <v>102.84</v>
      </c>
      <c r="D1495" s="25" t="n">
        <v>16.44</v>
      </c>
      <c r="E1495" s="25" t="n">
        <v>1.32</v>
      </c>
      <c r="F1495" s="22" t="n">
        <f aca="false">WEEKDAY(A1495,2)</f>
        <v>5</v>
      </c>
      <c r="G1495" s="22" t="str">
        <f aca="false">IF(F1495=7,IF(B1495&gt;=23,"C","Sin turno"),IF(B1495&lt;7,"C",IF(B1495&lt;14,"A",IF(B1495&lt;21,"B",IF(B1495&lt;23,"Entre turnos",IF(F1495=6,"Sin turno","C"))))))</f>
        <v>C</v>
      </c>
      <c r="H1495" s="25" t="n">
        <f aca="false">IF(D1495="","",MAX(0,D1495-0.5*C1495))</f>
        <v>0</v>
      </c>
    </row>
    <row r="1496" customFormat="false" ht="15" hidden="false" customHeight="false" outlineLevel="0" collapsed="false">
      <c r="A1496" s="21" t="n">
        <v>46283</v>
      </c>
      <c r="B1496" s="22" t="n">
        <v>6</v>
      </c>
      <c r="C1496" s="25" t="n">
        <v>123.84</v>
      </c>
      <c r="D1496" s="25" t="n">
        <v>14.52</v>
      </c>
      <c r="E1496" s="25" t="n">
        <v>0.12</v>
      </c>
      <c r="F1496" s="22" t="n">
        <f aca="false">WEEKDAY(A1496,2)</f>
        <v>5</v>
      </c>
      <c r="G1496" s="22" t="str">
        <f aca="false">IF(F1496=7,IF(B1496&gt;=23,"C","Sin turno"),IF(B1496&lt;7,"C",IF(B1496&lt;14,"A",IF(B1496&lt;21,"B",IF(B1496&lt;23,"Entre turnos",IF(F1496=6,"Sin turno","C"))))))</f>
        <v>C</v>
      </c>
      <c r="H1496" s="25" t="n">
        <f aca="false">IF(D1496="","",MAX(0,D1496-0.5*C1496))</f>
        <v>0</v>
      </c>
    </row>
    <row r="1497" customFormat="false" ht="15" hidden="false" customHeight="false" outlineLevel="0" collapsed="false">
      <c r="A1497" s="21" t="n">
        <v>46283</v>
      </c>
      <c r="B1497" s="22" t="n">
        <v>7</v>
      </c>
      <c r="C1497" s="25" t="n">
        <v>256.08</v>
      </c>
      <c r="D1497" s="25" t="n">
        <v>21.84</v>
      </c>
      <c r="E1497" s="25" t="n">
        <v>0.24</v>
      </c>
      <c r="F1497" s="22" t="n">
        <f aca="false">WEEKDAY(A1497,2)</f>
        <v>5</v>
      </c>
      <c r="G1497" s="22" t="str">
        <f aca="false">IF(F1497=7,IF(B1497&gt;=23,"C","Sin turno"),IF(B1497&lt;7,"C",IF(B1497&lt;14,"A",IF(B1497&lt;21,"B",IF(B1497&lt;23,"Entre turnos",IF(F1497=6,"Sin turno","C"))))))</f>
        <v>A</v>
      </c>
      <c r="H1497" s="25" t="n">
        <f aca="false">IF(D1497="","",MAX(0,D1497-0.5*C1497))</f>
        <v>0</v>
      </c>
    </row>
    <row r="1498" customFormat="false" ht="15" hidden="false" customHeight="false" outlineLevel="0" collapsed="false">
      <c r="A1498" s="21" t="n">
        <v>46283</v>
      </c>
      <c r="B1498" s="22" t="n">
        <v>8</v>
      </c>
      <c r="C1498" s="25" t="n">
        <v>281.04</v>
      </c>
      <c r="D1498" s="25" t="n">
        <v>20.28</v>
      </c>
      <c r="E1498" s="25" t="n">
        <v>0.12</v>
      </c>
      <c r="F1498" s="22" t="n">
        <f aca="false">WEEKDAY(A1498,2)</f>
        <v>5</v>
      </c>
      <c r="G1498" s="22" t="str">
        <f aca="false">IF(F1498=7,IF(B1498&gt;=23,"C","Sin turno"),IF(B1498&lt;7,"C",IF(B1498&lt;14,"A",IF(B1498&lt;21,"B",IF(B1498&lt;23,"Entre turnos",IF(F1498=6,"Sin turno","C"))))))</f>
        <v>A</v>
      </c>
      <c r="H1498" s="25" t="n">
        <f aca="false">IF(D1498="","",MAX(0,D1498-0.5*C1498))</f>
        <v>0</v>
      </c>
    </row>
    <row r="1499" customFormat="false" ht="15" hidden="false" customHeight="false" outlineLevel="0" collapsed="false">
      <c r="A1499" s="21" t="n">
        <v>46283</v>
      </c>
      <c r="B1499" s="22" t="n">
        <v>9</v>
      </c>
      <c r="C1499" s="25" t="n">
        <v>292.44</v>
      </c>
      <c r="D1499" s="25" t="n">
        <v>18.96</v>
      </c>
      <c r="E1499" s="25" t="n">
        <v>0.12</v>
      </c>
      <c r="F1499" s="22" t="n">
        <f aca="false">WEEKDAY(A1499,2)</f>
        <v>5</v>
      </c>
      <c r="G1499" s="22" t="str">
        <f aca="false">IF(F1499=7,IF(B1499&gt;=23,"C","Sin turno"),IF(B1499&lt;7,"C",IF(B1499&lt;14,"A",IF(B1499&lt;21,"B",IF(B1499&lt;23,"Entre turnos",IF(F1499=6,"Sin turno","C"))))))</f>
        <v>A</v>
      </c>
      <c r="H1499" s="25" t="n">
        <f aca="false">IF(D1499="","",MAX(0,D1499-0.5*C1499))</f>
        <v>0</v>
      </c>
    </row>
    <row r="1500" customFormat="false" ht="15" hidden="false" customHeight="false" outlineLevel="0" collapsed="false">
      <c r="A1500" s="21" t="n">
        <v>46283</v>
      </c>
      <c r="B1500" s="22" t="n">
        <v>10</v>
      </c>
      <c r="C1500" s="25" t="n">
        <v>296.28</v>
      </c>
      <c r="D1500" s="25" t="n">
        <v>22.68</v>
      </c>
      <c r="E1500" s="25" t="n">
        <v>0</v>
      </c>
      <c r="F1500" s="22" t="n">
        <f aca="false">WEEKDAY(A1500,2)</f>
        <v>5</v>
      </c>
      <c r="G1500" s="22" t="str">
        <f aca="false">IF(F1500=7,IF(B1500&gt;=23,"C","Sin turno"),IF(B1500&lt;7,"C",IF(B1500&lt;14,"A",IF(B1500&lt;21,"B",IF(B1500&lt;23,"Entre turnos",IF(F1500=6,"Sin turno","C"))))))</f>
        <v>A</v>
      </c>
      <c r="H1500" s="25" t="n">
        <f aca="false">IF(D1500="","",MAX(0,D1500-0.5*C1500))</f>
        <v>0</v>
      </c>
    </row>
    <row r="1501" customFormat="false" ht="15" hidden="false" customHeight="false" outlineLevel="0" collapsed="false">
      <c r="A1501" s="21" t="n">
        <v>46283</v>
      </c>
      <c r="B1501" s="22" t="n">
        <v>11</v>
      </c>
      <c r="C1501" s="25" t="n">
        <v>281.76</v>
      </c>
      <c r="D1501" s="25" t="n">
        <v>22.2</v>
      </c>
      <c r="E1501" s="25" t="n">
        <v>0.12</v>
      </c>
      <c r="F1501" s="22" t="n">
        <f aca="false">WEEKDAY(A1501,2)</f>
        <v>5</v>
      </c>
      <c r="G1501" s="22" t="str">
        <f aca="false">IF(F1501=7,IF(B1501&gt;=23,"C","Sin turno"),IF(B1501&lt;7,"C",IF(B1501&lt;14,"A",IF(B1501&lt;21,"B",IF(B1501&lt;23,"Entre turnos",IF(F1501=6,"Sin turno","C"))))))</f>
        <v>A</v>
      </c>
      <c r="H1501" s="25" t="n">
        <f aca="false">IF(D1501="","",MAX(0,D1501-0.5*C1501))</f>
        <v>0</v>
      </c>
    </row>
    <row r="1502" customFormat="false" ht="15" hidden="false" customHeight="false" outlineLevel="0" collapsed="false">
      <c r="A1502" s="21" t="n">
        <v>46283</v>
      </c>
      <c r="B1502" s="22" t="n">
        <v>12</v>
      </c>
      <c r="C1502" s="25" t="n">
        <v>304.68</v>
      </c>
      <c r="D1502" s="25" t="n">
        <v>26.28</v>
      </c>
      <c r="E1502" s="25" t="n">
        <v>0</v>
      </c>
      <c r="F1502" s="22" t="n">
        <f aca="false">WEEKDAY(A1502,2)</f>
        <v>5</v>
      </c>
      <c r="G1502" s="22" t="str">
        <f aca="false">IF(F1502=7,IF(B1502&gt;=23,"C","Sin turno"),IF(B1502&lt;7,"C",IF(B1502&lt;14,"A",IF(B1502&lt;21,"B",IF(B1502&lt;23,"Entre turnos",IF(F1502=6,"Sin turno","C"))))))</f>
        <v>A</v>
      </c>
      <c r="H1502" s="25" t="n">
        <f aca="false">IF(D1502="","",MAX(0,D1502-0.5*C1502))</f>
        <v>0</v>
      </c>
    </row>
    <row r="1503" customFormat="false" ht="15" hidden="false" customHeight="false" outlineLevel="0" collapsed="false">
      <c r="A1503" s="21" t="n">
        <v>46283</v>
      </c>
      <c r="B1503" s="22" t="n">
        <v>13</v>
      </c>
      <c r="C1503" s="25" t="n">
        <v>293.4</v>
      </c>
      <c r="D1503" s="25" t="n">
        <v>21</v>
      </c>
      <c r="E1503" s="25" t="n">
        <v>0.12</v>
      </c>
      <c r="F1503" s="22" t="n">
        <f aca="false">WEEKDAY(A1503,2)</f>
        <v>5</v>
      </c>
      <c r="G1503" s="22" t="str">
        <f aca="false">IF(F1503=7,IF(B1503&gt;=23,"C","Sin turno"),IF(B1503&lt;7,"C",IF(B1503&lt;14,"A",IF(B1503&lt;21,"B",IF(B1503&lt;23,"Entre turnos",IF(F1503=6,"Sin turno","C"))))))</f>
        <v>A</v>
      </c>
      <c r="H1503" s="25" t="n">
        <f aca="false">IF(D1503="","",MAX(0,D1503-0.5*C1503))</f>
        <v>0</v>
      </c>
    </row>
    <row r="1504" customFormat="false" ht="15" hidden="false" customHeight="false" outlineLevel="0" collapsed="false">
      <c r="A1504" s="21" t="n">
        <v>46283</v>
      </c>
      <c r="B1504" s="22" t="n">
        <v>14</v>
      </c>
      <c r="C1504" s="25" t="n">
        <v>266.16</v>
      </c>
      <c r="D1504" s="25" t="n">
        <v>27.36</v>
      </c>
      <c r="E1504" s="25" t="n">
        <v>0</v>
      </c>
      <c r="F1504" s="22" t="n">
        <f aca="false">WEEKDAY(A1504,2)</f>
        <v>5</v>
      </c>
      <c r="G1504" s="22" t="str">
        <f aca="false">IF(F1504=7,IF(B1504&gt;=23,"C","Sin turno"),IF(B1504&lt;7,"C",IF(B1504&lt;14,"A",IF(B1504&lt;21,"B",IF(B1504&lt;23,"Entre turnos",IF(F1504=6,"Sin turno","C"))))))</f>
        <v>B</v>
      </c>
      <c r="H1504" s="25" t="n">
        <f aca="false">IF(D1504="","",MAX(0,D1504-0.5*C1504))</f>
        <v>0</v>
      </c>
    </row>
    <row r="1505" customFormat="false" ht="15" hidden="false" customHeight="false" outlineLevel="0" collapsed="false">
      <c r="A1505" s="21" t="n">
        <v>46283</v>
      </c>
      <c r="B1505" s="22" t="n">
        <v>15</v>
      </c>
      <c r="C1505" s="25" t="n">
        <v>259.8</v>
      </c>
      <c r="D1505" s="25" t="n">
        <v>25.68</v>
      </c>
      <c r="E1505" s="25" t="n">
        <v>0</v>
      </c>
      <c r="F1505" s="22" t="n">
        <f aca="false">WEEKDAY(A1505,2)</f>
        <v>5</v>
      </c>
      <c r="G1505" s="22" t="str">
        <f aca="false">IF(F1505=7,IF(B1505&gt;=23,"C","Sin turno"),IF(B1505&lt;7,"C",IF(B1505&lt;14,"A",IF(B1505&lt;21,"B",IF(B1505&lt;23,"Entre turnos",IF(F1505=6,"Sin turno","C"))))))</f>
        <v>B</v>
      </c>
      <c r="H1505" s="25" t="n">
        <f aca="false">IF(D1505="","",MAX(0,D1505-0.5*C1505))</f>
        <v>0</v>
      </c>
    </row>
    <row r="1506" customFormat="false" ht="15" hidden="false" customHeight="false" outlineLevel="0" collapsed="false">
      <c r="A1506" s="21" t="n">
        <v>46283</v>
      </c>
      <c r="B1506" s="22" t="n">
        <v>16</v>
      </c>
      <c r="C1506" s="25" t="n">
        <v>244.44</v>
      </c>
      <c r="D1506" s="25" t="n">
        <v>27.84</v>
      </c>
      <c r="E1506" s="25" t="n">
        <v>0</v>
      </c>
      <c r="F1506" s="22" t="n">
        <f aca="false">WEEKDAY(A1506,2)</f>
        <v>5</v>
      </c>
      <c r="G1506" s="22" t="str">
        <f aca="false">IF(F1506=7,IF(B1506&gt;=23,"C","Sin turno"),IF(B1506&lt;7,"C",IF(B1506&lt;14,"A",IF(B1506&lt;21,"B",IF(B1506&lt;23,"Entre turnos",IF(F1506=6,"Sin turno","C"))))))</f>
        <v>B</v>
      </c>
      <c r="H1506" s="25" t="n">
        <f aca="false">IF(D1506="","",MAX(0,D1506-0.5*C1506))</f>
        <v>0</v>
      </c>
    </row>
    <row r="1507" customFormat="false" ht="15" hidden="false" customHeight="false" outlineLevel="0" collapsed="false">
      <c r="A1507" s="21" t="n">
        <v>46283</v>
      </c>
      <c r="B1507" s="22" t="n">
        <v>17</v>
      </c>
      <c r="C1507" s="25" t="n">
        <v>196.56</v>
      </c>
      <c r="D1507" s="25" t="n">
        <v>19.56</v>
      </c>
      <c r="E1507" s="25" t="n">
        <v>0.24</v>
      </c>
      <c r="F1507" s="22" t="n">
        <f aca="false">WEEKDAY(A1507,2)</f>
        <v>5</v>
      </c>
      <c r="G1507" s="22" t="str">
        <f aca="false">IF(F1507=7,IF(B1507&gt;=23,"C","Sin turno"),IF(B1507&lt;7,"C",IF(B1507&lt;14,"A",IF(B1507&lt;21,"B",IF(B1507&lt;23,"Entre turnos",IF(F1507=6,"Sin turno","C"))))))</f>
        <v>B</v>
      </c>
      <c r="H1507" s="25" t="n">
        <f aca="false">IF(D1507="","",MAX(0,D1507-0.5*C1507))</f>
        <v>0</v>
      </c>
    </row>
    <row r="1508" customFormat="false" ht="15" hidden="false" customHeight="false" outlineLevel="0" collapsed="false">
      <c r="A1508" s="21" t="n">
        <v>46283</v>
      </c>
      <c r="B1508" s="22" t="n">
        <v>18</v>
      </c>
      <c r="C1508" s="25" t="n">
        <v>170.28</v>
      </c>
      <c r="D1508" s="25" t="n">
        <v>26.76</v>
      </c>
      <c r="E1508" s="25" t="n">
        <v>0.12</v>
      </c>
      <c r="F1508" s="22" t="n">
        <f aca="false">WEEKDAY(A1508,2)</f>
        <v>5</v>
      </c>
      <c r="G1508" s="22" t="str">
        <f aca="false">IF(F1508=7,IF(B1508&gt;=23,"C","Sin turno"),IF(B1508&lt;7,"C",IF(B1508&lt;14,"A",IF(B1508&lt;21,"B",IF(B1508&lt;23,"Entre turnos",IF(F1508=6,"Sin turno","C"))))))</f>
        <v>B</v>
      </c>
      <c r="H1508" s="25" t="n">
        <f aca="false">IF(D1508="","",MAX(0,D1508-0.5*C1508))</f>
        <v>0</v>
      </c>
    </row>
    <row r="1509" customFormat="false" ht="15" hidden="false" customHeight="false" outlineLevel="0" collapsed="false">
      <c r="A1509" s="21" t="n">
        <v>46283</v>
      </c>
      <c r="B1509" s="22" t="n">
        <v>19</v>
      </c>
      <c r="C1509" s="25" t="n">
        <v>169.56</v>
      </c>
      <c r="D1509" s="25" t="n">
        <v>22.2</v>
      </c>
      <c r="E1509" s="25" t="n">
        <v>0.12</v>
      </c>
      <c r="F1509" s="22" t="n">
        <f aca="false">WEEKDAY(A1509,2)</f>
        <v>5</v>
      </c>
      <c r="G1509" s="22" t="str">
        <f aca="false">IF(F1509=7,IF(B1509&gt;=23,"C","Sin turno"),IF(B1509&lt;7,"C",IF(B1509&lt;14,"A",IF(B1509&lt;21,"B",IF(B1509&lt;23,"Entre turnos",IF(F1509=6,"Sin turno","C"))))))</f>
        <v>B</v>
      </c>
      <c r="H1509" s="25" t="n">
        <f aca="false">IF(D1509="","",MAX(0,D1509-0.5*C1509))</f>
        <v>0</v>
      </c>
    </row>
    <row r="1510" customFormat="false" ht="15" hidden="false" customHeight="false" outlineLevel="0" collapsed="false">
      <c r="A1510" s="21" t="n">
        <v>46283</v>
      </c>
      <c r="B1510" s="22" t="n">
        <v>20</v>
      </c>
      <c r="C1510" s="25" t="n">
        <v>167.4</v>
      </c>
      <c r="D1510" s="25" t="n">
        <v>24.84</v>
      </c>
      <c r="E1510" s="25" t="n">
        <v>0</v>
      </c>
      <c r="F1510" s="22" t="n">
        <f aca="false">WEEKDAY(A1510,2)</f>
        <v>5</v>
      </c>
      <c r="G1510" s="22" t="str">
        <f aca="false">IF(F1510=7,IF(B1510&gt;=23,"C","Sin turno"),IF(B1510&lt;7,"C",IF(B1510&lt;14,"A",IF(B1510&lt;21,"B",IF(B1510&lt;23,"Entre turnos",IF(F1510=6,"Sin turno","C"))))))</f>
        <v>B</v>
      </c>
      <c r="H1510" s="25" t="n">
        <f aca="false">IF(D1510="","",MAX(0,D1510-0.5*C1510))</f>
        <v>0</v>
      </c>
    </row>
    <row r="1511" customFormat="false" ht="15" hidden="false" customHeight="false" outlineLevel="0" collapsed="false">
      <c r="A1511" s="21" t="n">
        <v>46283</v>
      </c>
      <c r="B1511" s="22" t="n">
        <v>21</v>
      </c>
      <c r="C1511" s="25" t="n">
        <v>123.48</v>
      </c>
      <c r="D1511" s="25" t="n">
        <v>19.08</v>
      </c>
      <c r="E1511" s="25" t="n">
        <v>0.48</v>
      </c>
      <c r="F1511" s="22" t="n">
        <f aca="false">WEEKDAY(A1511,2)</f>
        <v>5</v>
      </c>
      <c r="G1511" s="22" t="str">
        <f aca="false">IF(F1511=7,IF(B1511&gt;=23,"C","Sin turno"),IF(B1511&lt;7,"C",IF(B1511&lt;14,"A",IF(B1511&lt;21,"B",IF(B1511&lt;23,"Entre turnos",IF(F1511=6,"Sin turno","C"))))))</f>
        <v>Entre turnos</v>
      </c>
      <c r="H1511" s="25" t="n">
        <f aca="false">IF(D1511="","",MAX(0,D1511-0.5*C1511))</f>
        <v>0</v>
      </c>
    </row>
    <row r="1512" customFormat="false" ht="15" hidden="false" customHeight="false" outlineLevel="0" collapsed="false">
      <c r="A1512" s="21" t="n">
        <v>46283</v>
      </c>
      <c r="B1512" s="22" t="n">
        <v>22</v>
      </c>
      <c r="C1512" s="25" t="n">
        <v>88.44</v>
      </c>
      <c r="D1512" s="25" t="n">
        <v>27</v>
      </c>
      <c r="E1512" s="25" t="n">
        <v>0.12</v>
      </c>
      <c r="F1512" s="22" t="n">
        <f aca="false">WEEKDAY(A1512,2)</f>
        <v>5</v>
      </c>
      <c r="G1512" s="22" t="str">
        <f aca="false">IF(F1512=7,IF(B1512&gt;=23,"C","Sin turno"),IF(B1512&lt;7,"C",IF(B1512&lt;14,"A",IF(B1512&lt;21,"B",IF(B1512&lt;23,"Entre turnos",IF(F1512=6,"Sin turno","C"))))))</f>
        <v>Entre turnos</v>
      </c>
      <c r="H1512" s="25" t="n">
        <f aca="false">IF(D1512="","",MAX(0,D1512-0.5*C1512))</f>
        <v>0</v>
      </c>
    </row>
    <row r="1513" customFormat="false" ht="15" hidden="false" customHeight="false" outlineLevel="0" collapsed="false">
      <c r="A1513" s="21" t="n">
        <v>46283</v>
      </c>
      <c r="B1513" s="22" t="n">
        <v>23</v>
      </c>
      <c r="C1513" s="25" t="n">
        <v>89.76</v>
      </c>
      <c r="D1513" s="25" t="n">
        <v>27</v>
      </c>
      <c r="E1513" s="25" t="n">
        <v>0.12</v>
      </c>
      <c r="F1513" s="22" t="n">
        <f aca="false">WEEKDAY(A1513,2)</f>
        <v>5</v>
      </c>
      <c r="G1513" s="22" t="str">
        <f aca="false">IF(F1513=7,IF(B1513&gt;=23,"C","Sin turno"),IF(B1513&lt;7,"C",IF(B1513&lt;14,"A",IF(B1513&lt;21,"B",IF(B1513&lt;23,"Entre turnos",IF(F1513=6,"Sin turno","C"))))))</f>
        <v>C</v>
      </c>
      <c r="H1513" s="25" t="n">
        <f aca="false">IF(D1513="","",MAX(0,D1513-0.5*C1513))</f>
        <v>0</v>
      </c>
    </row>
    <row r="1514" customFormat="false" ht="15" hidden="false" customHeight="false" outlineLevel="0" collapsed="false">
      <c r="A1514" s="21" t="n">
        <v>46284</v>
      </c>
      <c r="B1514" s="22" t="n">
        <v>0</v>
      </c>
      <c r="C1514" s="25" t="n">
        <v>98.4</v>
      </c>
      <c r="D1514" s="25" t="n">
        <v>25.92</v>
      </c>
      <c r="E1514" s="25" t="n">
        <v>0.48</v>
      </c>
      <c r="F1514" s="22" t="n">
        <f aca="false">WEEKDAY(A1514,2)</f>
        <v>6</v>
      </c>
      <c r="G1514" s="22" t="str">
        <f aca="false">IF(F1514=7,IF(B1514&gt;=23,"C","Sin turno"),IF(B1514&lt;7,"C",IF(B1514&lt;14,"A",IF(B1514&lt;21,"B",IF(B1514&lt;23,"Entre turnos",IF(F1514=6,"Sin turno","C"))))))</f>
        <v>C</v>
      </c>
      <c r="H1514" s="25" t="n">
        <f aca="false">IF(D1514="","",MAX(0,D1514-0.5*C1514))</f>
        <v>0</v>
      </c>
    </row>
    <row r="1515" customFormat="false" ht="15" hidden="false" customHeight="false" outlineLevel="0" collapsed="false">
      <c r="A1515" s="21" t="n">
        <v>46284</v>
      </c>
      <c r="B1515" s="22" t="n">
        <v>1</v>
      </c>
      <c r="C1515" s="25" t="n">
        <v>93.6</v>
      </c>
      <c r="D1515" s="25" t="n">
        <v>24.36</v>
      </c>
      <c r="E1515" s="25" t="n">
        <v>0.36</v>
      </c>
      <c r="F1515" s="22" t="n">
        <f aca="false">WEEKDAY(A1515,2)</f>
        <v>6</v>
      </c>
      <c r="G1515" s="22" t="str">
        <f aca="false">IF(F1515=7,IF(B1515&gt;=23,"C","Sin turno"),IF(B1515&lt;7,"C",IF(B1515&lt;14,"A",IF(B1515&lt;21,"B",IF(B1515&lt;23,"Entre turnos",IF(F1515=6,"Sin turno","C"))))))</f>
        <v>C</v>
      </c>
      <c r="H1515" s="25" t="n">
        <f aca="false">IF(D1515="","",MAX(0,D1515-0.5*C1515))</f>
        <v>0</v>
      </c>
    </row>
    <row r="1516" customFormat="false" ht="15" hidden="false" customHeight="false" outlineLevel="0" collapsed="false">
      <c r="A1516" s="21" t="n">
        <v>46284</v>
      </c>
      <c r="B1516" s="22" t="n">
        <v>2</v>
      </c>
      <c r="C1516" s="25" t="n">
        <v>92.76</v>
      </c>
      <c r="D1516" s="25" t="n">
        <v>23.16</v>
      </c>
      <c r="E1516" s="25" t="n">
        <v>0.6</v>
      </c>
      <c r="F1516" s="22" t="n">
        <f aca="false">WEEKDAY(A1516,2)</f>
        <v>6</v>
      </c>
      <c r="G1516" s="22" t="str">
        <f aca="false">IF(F1516=7,IF(B1516&gt;=23,"C","Sin turno"),IF(B1516&lt;7,"C",IF(B1516&lt;14,"A",IF(B1516&lt;21,"B",IF(B1516&lt;23,"Entre turnos",IF(F1516=6,"Sin turno","C"))))))</f>
        <v>C</v>
      </c>
      <c r="H1516" s="25" t="n">
        <f aca="false">IF(D1516="","",MAX(0,D1516-0.5*C1516))</f>
        <v>0</v>
      </c>
    </row>
    <row r="1517" customFormat="false" ht="15" hidden="false" customHeight="false" outlineLevel="0" collapsed="false">
      <c r="A1517" s="21" t="n">
        <v>46284</v>
      </c>
      <c r="B1517" s="22" t="n">
        <v>3</v>
      </c>
      <c r="C1517" s="25" t="n">
        <v>87.48</v>
      </c>
      <c r="D1517" s="25" t="n">
        <v>25.32</v>
      </c>
      <c r="E1517" s="25" t="n">
        <v>0.24</v>
      </c>
      <c r="F1517" s="22" t="n">
        <f aca="false">WEEKDAY(A1517,2)</f>
        <v>6</v>
      </c>
      <c r="G1517" s="22" t="str">
        <f aca="false">IF(F1517=7,IF(B1517&gt;=23,"C","Sin turno"),IF(B1517&lt;7,"C",IF(B1517&lt;14,"A",IF(B1517&lt;21,"B",IF(B1517&lt;23,"Entre turnos",IF(F1517=6,"Sin turno","C"))))))</f>
        <v>C</v>
      </c>
      <c r="H1517" s="25" t="n">
        <f aca="false">IF(D1517="","",MAX(0,D1517-0.5*C1517))</f>
        <v>0</v>
      </c>
    </row>
    <row r="1518" customFormat="false" ht="15" hidden="false" customHeight="false" outlineLevel="0" collapsed="false">
      <c r="A1518" s="21" t="n">
        <v>46284</v>
      </c>
      <c r="B1518" s="22" t="n">
        <v>4</v>
      </c>
      <c r="C1518" s="25" t="n">
        <v>87</v>
      </c>
      <c r="D1518" s="25" t="n">
        <v>27.24</v>
      </c>
      <c r="E1518" s="25" t="n">
        <v>0.24</v>
      </c>
      <c r="F1518" s="22" t="n">
        <f aca="false">WEEKDAY(A1518,2)</f>
        <v>6</v>
      </c>
      <c r="G1518" s="22" t="str">
        <f aca="false">IF(F1518=7,IF(B1518&gt;=23,"C","Sin turno"),IF(B1518&lt;7,"C",IF(B1518&lt;14,"A",IF(B1518&lt;21,"B",IF(B1518&lt;23,"Entre turnos",IF(F1518=6,"Sin turno","C"))))))</f>
        <v>C</v>
      </c>
      <c r="H1518" s="25" t="n">
        <f aca="false">IF(D1518="","",MAX(0,D1518-0.5*C1518))</f>
        <v>0</v>
      </c>
    </row>
    <row r="1519" customFormat="false" ht="15" hidden="false" customHeight="false" outlineLevel="0" collapsed="false">
      <c r="A1519" s="21" t="n">
        <v>46284</v>
      </c>
      <c r="B1519" s="22" t="n">
        <v>5</v>
      </c>
      <c r="C1519" s="25" t="n">
        <v>97.32</v>
      </c>
      <c r="D1519" s="25" t="n">
        <v>25.2</v>
      </c>
      <c r="E1519" s="25" t="n">
        <v>0.36</v>
      </c>
      <c r="F1519" s="22" t="n">
        <f aca="false">WEEKDAY(A1519,2)</f>
        <v>6</v>
      </c>
      <c r="G1519" s="22" t="str">
        <f aca="false">IF(F1519=7,IF(B1519&gt;=23,"C","Sin turno"),IF(B1519&lt;7,"C",IF(B1519&lt;14,"A",IF(B1519&lt;21,"B",IF(B1519&lt;23,"Entre turnos",IF(F1519=6,"Sin turno","C"))))))</f>
        <v>C</v>
      </c>
      <c r="H1519" s="25" t="n">
        <f aca="false">IF(D1519="","",MAX(0,D1519-0.5*C1519))</f>
        <v>0</v>
      </c>
    </row>
    <row r="1520" customFormat="false" ht="15" hidden="false" customHeight="false" outlineLevel="0" collapsed="false">
      <c r="A1520" s="21" t="n">
        <v>46284</v>
      </c>
      <c r="B1520" s="22" t="n">
        <v>6</v>
      </c>
      <c r="C1520" s="25" t="n">
        <v>107.76</v>
      </c>
      <c r="D1520" s="25" t="n">
        <v>13.44</v>
      </c>
      <c r="E1520" s="25" t="n">
        <v>0.48</v>
      </c>
      <c r="F1520" s="22" t="n">
        <f aca="false">WEEKDAY(A1520,2)</f>
        <v>6</v>
      </c>
      <c r="G1520" s="22" t="str">
        <f aca="false">IF(F1520=7,IF(B1520&gt;=23,"C","Sin turno"),IF(B1520&lt;7,"C",IF(B1520&lt;14,"A",IF(B1520&lt;21,"B",IF(B1520&lt;23,"Entre turnos",IF(F1520=6,"Sin turno","C"))))))</f>
        <v>C</v>
      </c>
      <c r="H1520" s="25" t="n">
        <f aca="false">IF(D1520="","",MAX(0,D1520-0.5*C1520))</f>
        <v>0</v>
      </c>
    </row>
    <row r="1521" customFormat="false" ht="15" hidden="false" customHeight="false" outlineLevel="0" collapsed="false">
      <c r="A1521" s="21" t="n">
        <v>46284</v>
      </c>
      <c r="B1521" s="22" t="n">
        <v>7</v>
      </c>
      <c r="C1521" s="25" t="n">
        <v>218.76</v>
      </c>
      <c r="D1521" s="25" t="n">
        <v>16.92</v>
      </c>
      <c r="E1521" s="25" t="n">
        <v>0.36</v>
      </c>
      <c r="F1521" s="22" t="n">
        <f aca="false">WEEKDAY(A1521,2)</f>
        <v>6</v>
      </c>
      <c r="G1521" s="22" t="str">
        <f aca="false">IF(F1521=7,IF(B1521&gt;=23,"C","Sin turno"),IF(B1521&lt;7,"C",IF(B1521&lt;14,"A",IF(B1521&lt;21,"B",IF(B1521&lt;23,"Entre turnos",IF(F1521=6,"Sin turno","C"))))))</f>
        <v>A</v>
      </c>
      <c r="H1521" s="25" t="n">
        <f aca="false">IF(D1521="","",MAX(0,D1521-0.5*C1521))</f>
        <v>0</v>
      </c>
    </row>
    <row r="1522" customFormat="false" ht="15" hidden="false" customHeight="false" outlineLevel="0" collapsed="false">
      <c r="A1522" s="21" t="n">
        <v>46284</v>
      </c>
      <c r="B1522" s="22" t="n">
        <v>8</v>
      </c>
      <c r="C1522" s="25" t="n">
        <v>248.16</v>
      </c>
      <c r="D1522" s="25" t="n">
        <v>18.24</v>
      </c>
      <c r="E1522" s="25" t="n">
        <v>0</v>
      </c>
      <c r="F1522" s="22" t="n">
        <f aca="false">WEEKDAY(A1522,2)</f>
        <v>6</v>
      </c>
      <c r="G1522" s="22" t="str">
        <f aca="false">IF(F1522=7,IF(B1522&gt;=23,"C","Sin turno"),IF(B1522&lt;7,"C",IF(B1522&lt;14,"A",IF(B1522&lt;21,"B",IF(B1522&lt;23,"Entre turnos",IF(F1522=6,"Sin turno","C"))))))</f>
        <v>A</v>
      </c>
      <c r="H1522" s="25" t="n">
        <f aca="false">IF(D1522="","",MAX(0,D1522-0.5*C1522))</f>
        <v>0</v>
      </c>
    </row>
    <row r="1523" customFormat="false" ht="15" hidden="false" customHeight="false" outlineLevel="0" collapsed="false">
      <c r="A1523" s="21" t="n">
        <v>46284</v>
      </c>
      <c r="B1523" s="22" t="n">
        <v>9</v>
      </c>
      <c r="C1523" s="25" t="n">
        <v>257.52</v>
      </c>
      <c r="D1523" s="25" t="n">
        <v>22.56</v>
      </c>
      <c r="E1523" s="25" t="n">
        <v>0.12</v>
      </c>
      <c r="F1523" s="22" t="n">
        <f aca="false">WEEKDAY(A1523,2)</f>
        <v>6</v>
      </c>
      <c r="G1523" s="22" t="str">
        <f aca="false">IF(F1523=7,IF(B1523&gt;=23,"C","Sin turno"),IF(B1523&lt;7,"C",IF(B1523&lt;14,"A",IF(B1523&lt;21,"B",IF(B1523&lt;23,"Entre turnos",IF(F1523=6,"Sin turno","C"))))))</f>
        <v>A</v>
      </c>
      <c r="H1523" s="25" t="n">
        <f aca="false">IF(D1523="","",MAX(0,D1523-0.5*C1523))</f>
        <v>0</v>
      </c>
    </row>
    <row r="1524" customFormat="false" ht="15" hidden="false" customHeight="false" outlineLevel="0" collapsed="false">
      <c r="A1524" s="21" t="n">
        <v>46284</v>
      </c>
      <c r="B1524" s="22" t="n">
        <v>10</v>
      </c>
      <c r="C1524" s="25" t="n">
        <v>255.36</v>
      </c>
      <c r="D1524" s="25" t="n">
        <v>21.84</v>
      </c>
      <c r="E1524" s="25" t="n">
        <v>0.48</v>
      </c>
      <c r="F1524" s="22" t="n">
        <f aca="false">WEEKDAY(A1524,2)</f>
        <v>6</v>
      </c>
      <c r="G1524" s="22" t="str">
        <f aca="false">IF(F1524=7,IF(B1524&gt;=23,"C","Sin turno"),IF(B1524&lt;7,"C",IF(B1524&lt;14,"A",IF(B1524&lt;21,"B",IF(B1524&lt;23,"Entre turnos",IF(F1524=6,"Sin turno","C"))))))</f>
        <v>A</v>
      </c>
      <c r="H1524" s="25" t="n">
        <f aca="false">IF(D1524="","",MAX(0,D1524-0.5*C1524))</f>
        <v>0</v>
      </c>
    </row>
    <row r="1525" customFormat="false" ht="15" hidden="false" customHeight="false" outlineLevel="0" collapsed="false">
      <c r="A1525" s="21" t="n">
        <v>46284</v>
      </c>
      <c r="B1525" s="22" t="n">
        <v>11</v>
      </c>
      <c r="C1525" s="25" t="n">
        <v>246.36</v>
      </c>
      <c r="D1525" s="25" t="n">
        <v>19.92</v>
      </c>
      <c r="E1525" s="25" t="n">
        <v>0.24</v>
      </c>
      <c r="F1525" s="22" t="n">
        <f aca="false">WEEKDAY(A1525,2)</f>
        <v>6</v>
      </c>
      <c r="G1525" s="22" t="str">
        <f aca="false">IF(F1525=7,IF(B1525&gt;=23,"C","Sin turno"),IF(B1525&lt;7,"C",IF(B1525&lt;14,"A",IF(B1525&lt;21,"B",IF(B1525&lt;23,"Entre turnos",IF(F1525=6,"Sin turno","C"))))))</f>
        <v>A</v>
      </c>
      <c r="H1525" s="25" t="n">
        <f aca="false">IF(D1525="","",MAX(0,D1525-0.5*C1525))</f>
        <v>0</v>
      </c>
    </row>
    <row r="1526" customFormat="false" ht="15" hidden="false" customHeight="false" outlineLevel="0" collapsed="false">
      <c r="A1526" s="21" t="n">
        <v>46284</v>
      </c>
      <c r="B1526" s="22" t="n">
        <v>12</v>
      </c>
      <c r="C1526" s="25" t="n">
        <v>259.32</v>
      </c>
      <c r="D1526" s="25" t="n">
        <v>22.44</v>
      </c>
      <c r="E1526" s="25" t="n">
        <v>0.48</v>
      </c>
      <c r="F1526" s="22" t="n">
        <f aca="false">WEEKDAY(A1526,2)</f>
        <v>6</v>
      </c>
      <c r="G1526" s="22" t="str">
        <f aca="false">IF(F1526=7,IF(B1526&gt;=23,"C","Sin turno"),IF(B1526&lt;7,"C",IF(B1526&lt;14,"A",IF(B1526&lt;21,"B",IF(B1526&lt;23,"Entre turnos",IF(F1526=6,"Sin turno","C"))))))</f>
        <v>A</v>
      </c>
      <c r="H1526" s="25" t="n">
        <f aca="false">IF(D1526="","",MAX(0,D1526-0.5*C1526))</f>
        <v>0</v>
      </c>
    </row>
    <row r="1527" customFormat="false" ht="15" hidden="false" customHeight="false" outlineLevel="0" collapsed="false">
      <c r="A1527" s="21" t="n">
        <v>46284</v>
      </c>
      <c r="B1527" s="22" t="n">
        <v>13</v>
      </c>
      <c r="C1527" s="25" t="n">
        <v>251.64</v>
      </c>
      <c r="D1527" s="25" t="n">
        <v>22.8</v>
      </c>
      <c r="E1527" s="25" t="n">
        <v>0.6</v>
      </c>
      <c r="F1527" s="22" t="n">
        <f aca="false">WEEKDAY(A1527,2)</f>
        <v>6</v>
      </c>
      <c r="G1527" s="22" t="str">
        <f aca="false">IF(F1527=7,IF(B1527&gt;=23,"C","Sin turno"),IF(B1527&lt;7,"C",IF(B1527&lt;14,"A",IF(B1527&lt;21,"B",IF(B1527&lt;23,"Entre turnos",IF(F1527=6,"Sin turno","C"))))))</f>
        <v>A</v>
      </c>
      <c r="H1527" s="25" t="n">
        <f aca="false">IF(D1527="","",MAX(0,D1527-0.5*C1527))</f>
        <v>0</v>
      </c>
    </row>
    <row r="1528" customFormat="false" ht="15" hidden="false" customHeight="false" outlineLevel="0" collapsed="false">
      <c r="A1528" s="21" t="n">
        <v>46284</v>
      </c>
      <c r="B1528" s="22" t="n">
        <v>14</v>
      </c>
      <c r="C1528" s="25" t="n">
        <v>217.2</v>
      </c>
      <c r="D1528" s="25" t="n">
        <v>23.28</v>
      </c>
      <c r="E1528" s="25" t="n">
        <v>0.24</v>
      </c>
      <c r="F1528" s="22" t="n">
        <f aca="false">WEEKDAY(A1528,2)</f>
        <v>6</v>
      </c>
      <c r="G1528" s="22" t="str">
        <f aca="false">IF(F1528=7,IF(B1528&gt;=23,"C","Sin turno"),IF(B1528&lt;7,"C",IF(B1528&lt;14,"A",IF(B1528&lt;21,"B",IF(B1528&lt;23,"Entre turnos",IF(F1528=6,"Sin turno","C"))))))</f>
        <v>B</v>
      </c>
      <c r="H1528" s="25" t="n">
        <f aca="false">IF(D1528="","",MAX(0,D1528-0.5*C1528))</f>
        <v>0</v>
      </c>
    </row>
    <row r="1529" customFormat="false" ht="15" hidden="false" customHeight="false" outlineLevel="0" collapsed="false">
      <c r="A1529" s="21" t="n">
        <v>46284</v>
      </c>
      <c r="B1529" s="22" t="n">
        <v>15</v>
      </c>
      <c r="C1529" s="25" t="n">
        <v>196.2</v>
      </c>
      <c r="D1529" s="25" t="n">
        <v>23.76</v>
      </c>
      <c r="E1529" s="25" t="n">
        <v>0.48</v>
      </c>
      <c r="F1529" s="22" t="n">
        <f aca="false">WEEKDAY(A1529,2)</f>
        <v>6</v>
      </c>
      <c r="G1529" s="22" t="str">
        <f aca="false">IF(F1529=7,IF(B1529&gt;=23,"C","Sin turno"),IF(B1529&lt;7,"C",IF(B1529&lt;14,"A",IF(B1529&lt;21,"B",IF(B1529&lt;23,"Entre turnos",IF(F1529=6,"Sin turno","C"))))))</f>
        <v>B</v>
      </c>
      <c r="H1529" s="25" t="n">
        <f aca="false">IF(D1529="","",MAX(0,D1529-0.5*C1529))</f>
        <v>0</v>
      </c>
    </row>
    <row r="1530" customFormat="false" ht="15" hidden="false" customHeight="false" outlineLevel="0" collapsed="false">
      <c r="A1530" s="21" t="n">
        <v>46284</v>
      </c>
      <c r="B1530" s="22" t="n">
        <v>16</v>
      </c>
      <c r="C1530" s="25" t="n">
        <v>193.56</v>
      </c>
      <c r="D1530" s="25" t="n">
        <v>26.52</v>
      </c>
      <c r="E1530" s="25" t="n">
        <v>0.12</v>
      </c>
      <c r="F1530" s="22" t="n">
        <f aca="false">WEEKDAY(A1530,2)</f>
        <v>6</v>
      </c>
      <c r="G1530" s="22" t="str">
        <f aca="false">IF(F1530=7,IF(B1530&gt;=23,"C","Sin turno"),IF(B1530&lt;7,"C",IF(B1530&lt;14,"A",IF(B1530&lt;21,"B",IF(B1530&lt;23,"Entre turnos",IF(F1530=6,"Sin turno","C"))))))</f>
        <v>B</v>
      </c>
      <c r="H1530" s="25" t="n">
        <f aca="false">IF(D1530="","",MAX(0,D1530-0.5*C1530))</f>
        <v>0</v>
      </c>
    </row>
    <row r="1531" customFormat="false" ht="15" hidden="false" customHeight="false" outlineLevel="0" collapsed="false">
      <c r="A1531" s="21" t="n">
        <v>46284</v>
      </c>
      <c r="B1531" s="22" t="n">
        <v>17</v>
      </c>
      <c r="C1531" s="25" t="n">
        <v>183.96</v>
      </c>
      <c r="D1531" s="25" t="n">
        <v>21.96</v>
      </c>
      <c r="E1531" s="25" t="n">
        <v>0.24</v>
      </c>
      <c r="F1531" s="22" t="n">
        <f aca="false">WEEKDAY(A1531,2)</f>
        <v>6</v>
      </c>
      <c r="G1531" s="22" t="str">
        <f aca="false">IF(F1531=7,IF(B1531&gt;=23,"C","Sin turno"),IF(B1531&lt;7,"C",IF(B1531&lt;14,"A",IF(B1531&lt;21,"B",IF(B1531&lt;23,"Entre turnos",IF(F1531=6,"Sin turno","C"))))))</f>
        <v>B</v>
      </c>
      <c r="H1531" s="25" t="n">
        <f aca="false">IF(D1531="","",MAX(0,D1531-0.5*C1531))</f>
        <v>0</v>
      </c>
    </row>
    <row r="1532" customFormat="false" ht="15" hidden="false" customHeight="false" outlineLevel="0" collapsed="false">
      <c r="A1532" s="21" t="n">
        <v>46284</v>
      </c>
      <c r="B1532" s="22" t="n">
        <v>18</v>
      </c>
      <c r="C1532" s="25" t="n">
        <v>161.52</v>
      </c>
      <c r="D1532" s="25" t="n">
        <v>20.88</v>
      </c>
      <c r="E1532" s="25" t="n">
        <v>0</v>
      </c>
      <c r="F1532" s="22" t="n">
        <f aca="false">WEEKDAY(A1532,2)</f>
        <v>6</v>
      </c>
      <c r="G1532" s="22" t="str">
        <f aca="false">IF(F1532=7,IF(B1532&gt;=23,"C","Sin turno"),IF(B1532&lt;7,"C",IF(B1532&lt;14,"A",IF(B1532&lt;21,"B",IF(B1532&lt;23,"Entre turnos",IF(F1532=6,"Sin turno","C"))))))</f>
        <v>B</v>
      </c>
      <c r="H1532" s="25" t="n">
        <f aca="false">IF(D1532="","",MAX(0,D1532-0.5*C1532))</f>
        <v>0</v>
      </c>
    </row>
    <row r="1533" customFormat="false" ht="15" hidden="false" customHeight="false" outlineLevel="0" collapsed="false">
      <c r="A1533" s="21" t="n">
        <v>46284</v>
      </c>
      <c r="B1533" s="22" t="n">
        <v>19</v>
      </c>
      <c r="C1533" s="25" t="n">
        <v>167.52</v>
      </c>
      <c r="D1533" s="25" t="n">
        <v>22.44</v>
      </c>
      <c r="E1533" s="25" t="n">
        <v>0.24</v>
      </c>
      <c r="F1533" s="22" t="n">
        <f aca="false">WEEKDAY(A1533,2)</f>
        <v>6</v>
      </c>
      <c r="G1533" s="22" t="str">
        <f aca="false">IF(F1533=7,IF(B1533&gt;=23,"C","Sin turno"),IF(B1533&lt;7,"C",IF(B1533&lt;14,"A",IF(B1533&lt;21,"B",IF(B1533&lt;23,"Entre turnos",IF(F1533=6,"Sin turno","C"))))))</f>
        <v>B</v>
      </c>
      <c r="H1533" s="25" t="n">
        <f aca="false">IF(D1533="","",MAX(0,D1533-0.5*C1533))</f>
        <v>0</v>
      </c>
    </row>
    <row r="1534" customFormat="false" ht="15" hidden="false" customHeight="false" outlineLevel="0" collapsed="false">
      <c r="A1534" s="21" t="n">
        <v>46284</v>
      </c>
      <c r="B1534" s="22" t="n">
        <v>20</v>
      </c>
      <c r="C1534" s="25" t="n">
        <v>162.48</v>
      </c>
      <c r="D1534" s="25" t="n">
        <v>24.24</v>
      </c>
      <c r="E1534" s="25" t="n">
        <v>0.12</v>
      </c>
      <c r="F1534" s="22" t="n">
        <f aca="false">WEEKDAY(A1534,2)</f>
        <v>6</v>
      </c>
      <c r="G1534" s="22" t="str">
        <f aca="false">IF(F1534=7,IF(B1534&gt;=23,"C","Sin turno"),IF(B1534&lt;7,"C",IF(B1534&lt;14,"A",IF(B1534&lt;21,"B",IF(B1534&lt;23,"Entre turnos",IF(F1534=6,"Sin turno","C"))))))</f>
        <v>B</v>
      </c>
      <c r="H1534" s="25" t="n">
        <f aca="false">IF(D1534="","",MAX(0,D1534-0.5*C1534))</f>
        <v>0</v>
      </c>
    </row>
    <row r="1535" customFormat="false" ht="15" hidden="false" customHeight="false" outlineLevel="0" collapsed="false">
      <c r="A1535" s="21" t="n">
        <v>46284</v>
      </c>
      <c r="B1535" s="22" t="n">
        <v>21</v>
      </c>
      <c r="C1535" s="25" t="n">
        <v>97.56</v>
      </c>
      <c r="D1535" s="25" t="n">
        <v>21.36</v>
      </c>
      <c r="E1535" s="25" t="n">
        <v>0.24</v>
      </c>
      <c r="F1535" s="22" t="n">
        <f aca="false">WEEKDAY(A1535,2)</f>
        <v>6</v>
      </c>
      <c r="G1535" s="22" t="str">
        <f aca="false">IF(F1535=7,IF(B1535&gt;=23,"C","Sin turno"),IF(B1535&lt;7,"C",IF(B1535&lt;14,"A",IF(B1535&lt;21,"B",IF(B1535&lt;23,"Entre turnos",IF(F1535=6,"Sin turno","C"))))))</f>
        <v>Entre turnos</v>
      </c>
      <c r="H1535" s="25" t="n">
        <f aca="false">IF(D1535="","",MAX(0,D1535-0.5*C1535))</f>
        <v>0</v>
      </c>
    </row>
    <row r="1536" customFormat="false" ht="15" hidden="false" customHeight="false" outlineLevel="0" collapsed="false">
      <c r="A1536" s="21" t="n">
        <v>46284</v>
      </c>
      <c r="B1536" s="22" t="n">
        <v>22</v>
      </c>
      <c r="C1536" s="25" t="n">
        <v>48.96</v>
      </c>
      <c r="D1536" s="25" t="n">
        <v>20.52</v>
      </c>
      <c r="E1536" s="25" t="n">
        <v>0</v>
      </c>
      <c r="F1536" s="22" t="n">
        <f aca="false">WEEKDAY(A1536,2)</f>
        <v>6</v>
      </c>
      <c r="G1536" s="22" t="str">
        <f aca="false">IF(F1536=7,IF(B1536&gt;=23,"C","Sin turno"),IF(B1536&lt;7,"C",IF(B1536&lt;14,"A",IF(B1536&lt;21,"B",IF(B1536&lt;23,"Entre turnos",IF(F1536=6,"Sin turno","C"))))))</f>
        <v>Entre turnos</v>
      </c>
      <c r="H1536" s="25" t="n">
        <f aca="false">IF(D1536="","",MAX(0,D1536-0.5*C1536))</f>
        <v>0</v>
      </c>
    </row>
    <row r="1537" customFormat="false" ht="15" hidden="false" customHeight="false" outlineLevel="0" collapsed="false">
      <c r="A1537" s="21" t="n">
        <v>46284</v>
      </c>
      <c r="B1537" s="22" t="n">
        <v>23</v>
      </c>
      <c r="C1537" s="25" t="n">
        <v>45.96</v>
      </c>
      <c r="D1537" s="25" t="n">
        <v>20.16</v>
      </c>
      <c r="E1537" s="25" t="n">
        <v>0</v>
      </c>
      <c r="F1537" s="22" t="n">
        <f aca="false">WEEKDAY(A1537,2)</f>
        <v>6</v>
      </c>
      <c r="G1537" s="22" t="str">
        <f aca="false">IF(F1537=7,IF(B1537&gt;=23,"C","Sin turno"),IF(B1537&lt;7,"C",IF(B1537&lt;14,"A",IF(B1537&lt;21,"B",IF(B1537&lt;23,"Entre turnos",IF(F1537=6,"Sin turno","C"))))))</f>
        <v>Sin turno</v>
      </c>
      <c r="H1537" s="25" t="n">
        <f aca="false">IF(D1537="","",MAX(0,D1537-0.5*C1537))</f>
        <v>0</v>
      </c>
    </row>
    <row r="1538" customFormat="false" ht="15" hidden="false" customHeight="false" outlineLevel="0" collapsed="false">
      <c r="A1538" s="21" t="n">
        <v>46285</v>
      </c>
      <c r="B1538" s="22" t="n">
        <v>0</v>
      </c>
      <c r="C1538" s="25" t="n">
        <v>44.4</v>
      </c>
      <c r="D1538" s="25" t="n">
        <v>20.04</v>
      </c>
      <c r="E1538" s="25" t="n">
        <v>0</v>
      </c>
      <c r="F1538" s="22" t="n">
        <f aca="false">WEEKDAY(A1538,2)</f>
        <v>7</v>
      </c>
      <c r="G1538" s="22" t="str">
        <f aca="false">IF(F1538=7,IF(B1538&gt;=23,"C","Sin turno"),IF(B1538&lt;7,"C",IF(B1538&lt;14,"A",IF(B1538&lt;21,"B",IF(B1538&lt;23,"Entre turnos",IF(F1538=6,"Sin turno","C"))))))</f>
        <v>Sin turno</v>
      </c>
      <c r="H1538" s="25" t="n">
        <f aca="false">IF(D1538="","",MAX(0,D1538-0.5*C1538))</f>
        <v>0</v>
      </c>
    </row>
    <row r="1539" customFormat="false" ht="15" hidden="false" customHeight="false" outlineLevel="0" collapsed="false">
      <c r="A1539" s="21" t="n">
        <v>46285</v>
      </c>
      <c r="B1539" s="22" t="n">
        <v>1</v>
      </c>
      <c r="C1539" s="25" t="n">
        <v>45.48</v>
      </c>
      <c r="D1539" s="25" t="n">
        <v>20.04</v>
      </c>
      <c r="E1539" s="25" t="n">
        <v>0</v>
      </c>
      <c r="F1539" s="22" t="n">
        <f aca="false">WEEKDAY(A1539,2)</f>
        <v>7</v>
      </c>
      <c r="G1539" s="22" t="str">
        <f aca="false">IF(F1539=7,IF(B1539&gt;=23,"C","Sin turno"),IF(B1539&lt;7,"C",IF(B1539&lt;14,"A",IF(B1539&lt;21,"B",IF(B1539&lt;23,"Entre turnos",IF(F1539=6,"Sin turno","C"))))))</f>
        <v>Sin turno</v>
      </c>
      <c r="H1539" s="25" t="n">
        <f aca="false">IF(D1539="","",MAX(0,D1539-0.5*C1539))</f>
        <v>0</v>
      </c>
    </row>
    <row r="1540" customFormat="false" ht="15" hidden="false" customHeight="false" outlineLevel="0" collapsed="false">
      <c r="A1540" s="21" t="n">
        <v>46285</v>
      </c>
      <c r="B1540" s="22" t="n">
        <v>2</v>
      </c>
      <c r="C1540" s="25" t="n">
        <v>47.28</v>
      </c>
      <c r="D1540" s="25" t="n">
        <v>20.4</v>
      </c>
      <c r="E1540" s="25" t="n">
        <v>0</v>
      </c>
      <c r="F1540" s="22" t="n">
        <f aca="false">WEEKDAY(A1540,2)</f>
        <v>7</v>
      </c>
      <c r="G1540" s="22" t="str">
        <f aca="false">IF(F1540=7,IF(B1540&gt;=23,"C","Sin turno"),IF(B1540&lt;7,"C",IF(B1540&lt;14,"A",IF(B1540&lt;21,"B",IF(B1540&lt;23,"Entre turnos",IF(F1540=6,"Sin turno","C"))))))</f>
        <v>Sin turno</v>
      </c>
      <c r="H1540" s="25" t="n">
        <f aca="false">IF(D1540="","",MAX(0,D1540-0.5*C1540))</f>
        <v>0</v>
      </c>
    </row>
    <row r="1541" customFormat="false" ht="15" hidden="false" customHeight="false" outlineLevel="0" collapsed="false">
      <c r="A1541" s="21" t="n">
        <v>46285</v>
      </c>
      <c r="B1541" s="22" t="n">
        <v>3</v>
      </c>
      <c r="C1541" s="25" t="n">
        <v>45.84</v>
      </c>
      <c r="D1541" s="25" t="n">
        <v>19.44</v>
      </c>
      <c r="E1541" s="25" t="n">
        <v>0</v>
      </c>
      <c r="F1541" s="22" t="n">
        <f aca="false">WEEKDAY(A1541,2)</f>
        <v>7</v>
      </c>
      <c r="G1541" s="22" t="str">
        <f aca="false">IF(F1541=7,IF(B1541&gt;=23,"C","Sin turno"),IF(B1541&lt;7,"C",IF(B1541&lt;14,"A",IF(B1541&lt;21,"B",IF(B1541&lt;23,"Entre turnos",IF(F1541=6,"Sin turno","C"))))))</f>
        <v>Sin turno</v>
      </c>
      <c r="H1541" s="25" t="n">
        <f aca="false">IF(D1541="","",MAX(0,D1541-0.5*C1541))</f>
        <v>0</v>
      </c>
    </row>
    <row r="1542" customFormat="false" ht="15" hidden="false" customHeight="false" outlineLevel="0" collapsed="false">
      <c r="A1542" s="21" t="n">
        <v>46285</v>
      </c>
      <c r="B1542" s="22" t="n">
        <v>4</v>
      </c>
      <c r="C1542" s="25" t="n">
        <v>44.64</v>
      </c>
      <c r="D1542" s="25" t="n">
        <v>19.92</v>
      </c>
      <c r="E1542" s="25" t="n">
        <v>0</v>
      </c>
      <c r="F1542" s="22" t="n">
        <f aca="false">WEEKDAY(A1542,2)</f>
        <v>7</v>
      </c>
      <c r="G1542" s="22" t="str">
        <f aca="false">IF(F1542=7,IF(B1542&gt;=23,"C","Sin turno"),IF(B1542&lt;7,"C",IF(B1542&lt;14,"A",IF(B1542&lt;21,"B",IF(B1542&lt;23,"Entre turnos",IF(F1542=6,"Sin turno","C"))))))</f>
        <v>Sin turno</v>
      </c>
      <c r="H1542" s="25" t="n">
        <f aca="false">IF(D1542="","",MAX(0,D1542-0.5*C1542))</f>
        <v>0</v>
      </c>
    </row>
    <row r="1543" customFormat="false" ht="15" hidden="false" customHeight="false" outlineLevel="0" collapsed="false">
      <c r="A1543" s="21" t="n">
        <v>46285</v>
      </c>
      <c r="B1543" s="22" t="n">
        <v>5</v>
      </c>
      <c r="C1543" s="25" t="n">
        <v>44.04</v>
      </c>
      <c r="D1543" s="25" t="n">
        <v>19.68</v>
      </c>
      <c r="E1543" s="25" t="n">
        <v>0</v>
      </c>
      <c r="F1543" s="22" t="n">
        <f aca="false">WEEKDAY(A1543,2)</f>
        <v>7</v>
      </c>
      <c r="G1543" s="22" t="str">
        <f aca="false">IF(F1543=7,IF(B1543&gt;=23,"C","Sin turno"),IF(B1543&lt;7,"C",IF(B1543&lt;14,"A",IF(B1543&lt;21,"B",IF(B1543&lt;23,"Entre turnos",IF(F1543=6,"Sin turno","C"))))))</f>
        <v>Sin turno</v>
      </c>
      <c r="H1543" s="25" t="n">
        <f aca="false">IF(D1543="","",MAX(0,D1543-0.5*C1543))</f>
        <v>0</v>
      </c>
    </row>
    <row r="1544" customFormat="false" ht="15" hidden="false" customHeight="false" outlineLevel="0" collapsed="false">
      <c r="A1544" s="21" t="n">
        <v>46285</v>
      </c>
      <c r="B1544" s="22" t="n">
        <v>6</v>
      </c>
      <c r="C1544" s="25" t="n">
        <v>43.2</v>
      </c>
      <c r="D1544" s="25" t="n">
        <v>20.04</v>
      </c>
      <c r="E1544" s="25" t="n">
        <v>0</v>
      </c>
      <c r="F1544" s="22" t="n">
        <f aca="false">WEEKDAY(A1544,2)</f>
        <v>7</v>
      </c>
      <c r="G1544" s="22" t="str">
        <f aca="false">IF(F1544=7,IF(B1544&gt;=23,"C","Sin turno"),IF(B1544&lt;7,"C",IF(B1544&lt;14,"A",IF(B1544&lt;21,"B",IF(B1544&lt;23,"Entre turnos",IF(F1544=6,"Sin turno","C"))))))</f>
        <v>Sin turno</v>
      </c>
      <c r="H1544" s="25" t="n">
        <f aca="false">IF(D1544="","",MAX(0,D1544-0.5*C1544))</f>
        <v>0</v>
      </c>
    </row>
    <row r="1545" customFormat="false" ht="15" hidden="false" customHeight="false" outlineLevel="0" collapsed="false">
      <c r="A1545" s="21" t="n">
        <v>46285</v>
      </c>
      <c r="B1545" s="22" t="n">
        <v>7</v>
      </c>
      <c r="C1545" s="25" t="n">
        <v>44.04</v>
      </c>
      <c r="D1545" s="25" t="n">
        <v>17.4</v>
      </c>
      <c r="E1545" s="25" t="n">
        <v>0</v>
      </c>
      <c r="F1545" s="22" t="n">
        <f aca="false">WEEKDAY(A1545,2)</f>
        <v>7</v>
      </c>
      <c r="G1545" s="22" t="str">
        <f aca="false">IF(F1545=7,IF(B1545&gt;=23,"C","Sin turno"),IF(B1545&lt;7,"C",IF(B1545&lt;14,"A",IF(B1545&lt;21,"B",IF(B1545&lt;23,"Entre turnos",IF(F1545=6,"Sin turno","C"))))))</f>
        <v>Sin turno</v>
      </c>
      <c r="H1545" s="25" t="n">
        <f aca="false">IF(D1545="","",MAX(0,D1545-0.5*C1545))</f>
        <v>0</v>
      </c>
    </row>
    <row r="1546" customFormat="false" ht="15" hidden="false" customHeight="false" outlineLevel="0" collapsed="false">
      <c r="A1546" s="21" t="n">
        <v>46285</v>
      </c>
      <c r="B1546" s="22" t="n">
        <v>8</v>
      </c>
      <c r="C1546" s="25" t="n">
        <v>46.2</v>
      </c>
      <c r="D1546" s="25" t="n">
        <v>16.92</v>
      </c>
      <c r="E1546" s="25" t="n">
        <v>0</v>
      </c>
      <c r="F1546" s="22" t="n">
        <f aca="false">WEEKDAY(A1546,2)</f>
        <v>7</v>
      </c>
      <c r="G1546" s="22" t="str">
        <f aca="false">IF(F1546=7,IF(B1546&gt;=23,"C","Sin turno"),IF(B1546&lt;7,"C",IF(B1546&lt;14,"A",IF(B1546&lt;21,"B",IF(B1546&lt;23,"Entre turnos",IF(F1546=6,"Sin turno","C"))))))</f>
        <v>Sin turno</v>
      </c>
      <c r="H1546" s="25" t="n">
        <f aca="false">IF(D1546="","",MAX(0,D1546-0.5*C1546))</f>
        <v>0</v>
      </c>
    </row>
    <row r="1547" customFormat="false" ht="15" hidden="false" customHeight="false" outlineLevel="0" collapsed="false">
      <c r="A1547" s="21" t="n">
        <v>46285</v>
      </c>
      <c r="B1547" s="22" t="n">
        <v>9</v>
      </c>
      <c r="C1547" s="25" t="n">
        <v>47.04</v>
      </c>
      <c r="D1547" s="25" t="n">
        <v>16.92</v>
      </c>
      <c r="E1547" s="25" t="n">
        <v>0</v>
      </c>
      <c r="F1547" s="22" t="n">
        <f aca="false">WEEKDAY(A1547,2)</f>
        <v>7</v>
      </c>
      <c r="G1547" s="22" t="str">
        <f aca="false">IF(F1547=7,IF(B1547&gt;=23,"C","Sin turno"),IF(B1547&lt;7,"C",IF(B1547&lt;14,"A",IF(B1547&lt;21,"B",IF(B1547&lt;23,"Entre turnos",IF(F1547=6,"Sin turno","C"))))))</f>
        <v>Sin turno</v>
      </c>
      <c r="H1547" s="25" t="n">
        <f aca="false">IF(D1547="","",MAX(0,D1547-0.5*C1547))</f>
        <v>0</v>
      </c>
    </row>
    <row r="1548" customFormat="false" ht="15" hidden="false" customHeight="false" outlineLevel="0" collapsed="false">
      <c r="A1548" s="21" t="n">
        <v>46285</v>
      </c>
      <c r="B1548" s="22" t="n">
        <v>10</v>
      </c>
      <c r="C1548" s="25" t="n">
        <v>48.96</v>
      </c>
      <c r="D1548" s="25" t="n">
        <v>16.8</v>
      </c>
      <c r="E1548" s="25" t="n">
        <v>0</v>
      </c>
      <c r="F1548" s="22" t="n">
        <f aca="false">WEEKDAY(A1548,2)</f>
        <v>7</v>
      </c>
      <c r="G1548" s="22" t="str">
        <f aca="false">IF(F1548=7,IF(B1548&gt;=23,"C","Sin turno"),IF(B1548&lt;7,"C",IF(B1548&lt;14,"A",IF(B1548&lt;21,"B",IF(B1548&lt;23,"Entre turnos",IF(F1548=6,"Sin turno","C"))))))</f>
        <v>Sin turno</v>
      </c>
      <c r="H1548" s="25" t="n">
        <f aca="false">IF(D1548="","",MAX(0,D1548-0.5*C1548))</f>
        <v>0</v>
      </c>
    </row>
    <row r="1549" customFormat="false" ht="15" hidden="false" customHeight="false" outlineLevel="0" collapsed="false">
      <c r="A1549" s="21" t="n">
        <v>46285</v>
      </c>
      <c r="B1549" s="22" t="n">
        <v>11</v>
      </c>
      <c r="C1549" s="25" t="n">
        <v>48.84</v>
      </c>
      <c r="D1549" s="25" t="n">
        <v>17.04</v>
      </c>
      <c r="E1549" s="25" t="n">
        <v>0</v>
      </c>
      <c r="F1549" s="22" t="n">
        <f aca="false">WEEKDAY(A1549,2)</f>
        <v>7</v>
      </c>
      <c r="G1549" s="22" t="str">
        <f aca="false">IF(F1549=7,IF(B1549&gt;=23,"C","Sin turno"),IF(B1549&lt;7,"C",IF(B1549&lt;14,"A",IF(B1549&lt;21,"B",IF(B1549&lt;23,"Entre turnos",IF(F1549=6,"Sin turno","C"))))))</f>
        <v>Sin turno</v>
      </c>
      <c r="H1549" s="25" t="n">
        <f aca="false">IF(D1549="","",MAX(0,D1549-0.5*C1549))</f>
        <v>0</v>
      </c>
    </row>
    <row r="1550" customFormat="false" ht="15" hidden="false" customHeight="false" outlineLevel="0" collapsed="false">
      <c r="A1550" s="21" t="n">
        <v>46285</v>
      </c>
      <c r="B1550" s="22" t="n">
        <v>12</v>
      </c>
      <c r="C1550" s="25" t="n">
        <v>48.36</v>
      </c>
      <c r="D1550" s="25" t="n">
        <v>16.92</v>
      </c>
      <c r="E1550" s="25" t="n">
        <v>0</v>
      </c>
      <c r="F1550" s="22" t="n">
        <f aca="false">WEEKDAY(A1550,2)</f>
        <v>7</v>
      </c>
      <c r="G1550" s="22" t="str">
        <f aca="false">IF(F1550=7,IF(B1550&gt;=23,"C","Sin turno"),IF(B1550&lt;7,"C",IF(B1550&lt;14,"A",IF(B1550&lt;21,"B",IF(B1550&lt;23,"Entre turnos",IF(F1550=6,"Sin turno","C"))))))</f>
        <v>Sin turno</v>
      </c>
      <c r="H1550" s="25" t="n">
        <f aca="false">IF(D1550="","",MAX(0,D1550-0.5*C1550))</f>
        <v>0</v>
      </c>
    </row>
    <row r="1551" customFormat="false" ht="15" hidden="false" customHeight="false" outlineLevel="0" collapsed="false">
      <c r="A1551" s="21" t="n">
        <v>46285</v>
      </c>
      <c r="B1551" s="22" t="n">
        <v>13</v>
      </c>
      <c r="C1551" s="25" t="n">
        <v>49.56</v>
      </c>
      <c r="D1551" s="25" t="n">
        <v>17.04</v>
      </c>
      <c r="E1551" s="25" t="n">
        <v>0</v>
      </c>
      <c r="F1551" s="22" t="n">
        <f aca="false">WEEKDAY(A1551,2)</f>
        <v>7</v>
      </c>
      <c r="G1551" s="22" t="str">
        <f aca="false">IF(F1551=7,IF(B1551&gt;=23,"C","Sin turno"),IF(B1551&lt;7,"C",IF(B1551&lt;14,"A",IF(B1551&lt;21,"B",IF(B1551&lt;23,"Entre turnos",IF(F1551=6,"Sin turno","C"))))))</f>
        <v>Sin turno</v>
      </c>
      <c r="H1551" s="25" t="n">
        <f aca="false">IF(D1551="","",MAX(0,D1551-0.5*C1551))</f>
        <v>0</v>
      </c>
    </row>
    <row r="1552" customFormat="false" ht="15" hidden="false" customHeight="false" outlineLevel="0" collapsed="false">
      <c r="A1552" s="21" t="n">
        <v>46285</v>
      </c>
      <c r="B1552" s="22" t="n">
        <v>14</v>
      </c>
      <c r="C1552" s="25" t="n">
        <v>48.84</v>
      </c>
      <c r="D1552" s="25" t="n">
        <v>17.64</v>
      </c>
      <c r="E1552" s="25" t="n">
        <v>0</v>
      </c>
      <c r="F1552" s="22" t="n">
        <f aca="false">WEEKDAY(A1552,2)</f>
        <v>7</v>
      </c>
      <c r="G1552" s="22" t="str">
        <f aca="false">IF(F1552=7,IF(B1552&gt;=23,"C","Sin turno"),IF(B1552&lt;7,"C",IF(B1552&lt;14,"A",IF(B1552&lt;21,"B",IF(B1552&lt;23,"Entre turnos",IF(F1552=6,"Sin turno","C"))))))</f>
        <v>Sin turno</v>
      </c>
      <c r="H1552" s="25" t="n">
        <f aca="false">IF(D1552="","",MAX(0,D1552-0.5*C1552))</f>
        <v>0</v>
      </c>
    </row>
    <row r="1553" customFormat="false" ht="15" hidden="false" customHeight="false" outlineLevel="0" collapsed="false">
      <c r="A1553" s="21" t="n">
        <v>46285</v>
      </c>
      <c r="B1553" s="22" t="n">
        <v>15</v>
      </c>
      <c r="C1553" s="25" t="n">
        <v>46.44</v>
      </c>
      <c r="D1553" s="25" t="n">
        <v>16.68</v>
      </c>
      <c r="E1553" s="25" t="n">
        <v>0</v>
      </c>
      <c r="F1553" s="22" t="n">
        <f aca="false">WEEKDAY(A1553,2)</f>
        <v>7</v>
      </c>
      <c r="G1553" s="22" t="str">
        <f aca="false">IF(F1553=7,IF(B1553&gt;=23,"C","Sin turno"),IF(B1553&lt;7,"C",IF(B1553&lt;14,"A",IF(B1553&lt;21,"B",IF(B1553&lt;23,"Entre turnos",IF(F1553=6,"Sin turno","C"))))))</f>
        <v>Sin turno</v>
      </c>
      <c r="H1553" s="25" t="n">
        <f aca="false">IF(D1553="","",MAX(0,D1553-0.5*C1553))</f>
        <v>0</v>
      </c>
    </row>
    <row r="1554" customFormat="false" ht="15" hidden="false" customHeight="false" outlineLevel="0" collapsed="false">
      <c r="A1554" s="21" t="n">
        <v>46285</v>
      </c>
      <c r="B1554" s="22" t="n">
        <v>16</v>
      </c>
      <c r="C1554" s="25" t="n">
        <v>46.08</v>
      </c>
      <c r="D1554" s="25" t="n">
        <v>17.04</v>
      </c>
      <c r="E1554" s="25" t="n">
        <v>0</v>
      </c>
      <c r="F1554" s="22" t="n">
        <f aca="false">WEEKDAY(A1554,2)</f>
        <v>7</v>
      </c>
      <c r="G1554" s="22" t="str">
        <f aca="false">IF(F1554=7,IF(B1554&gt;=23,"C","Sin turno"),IF(B1554&lt;7,"C",IF(B1554&lt;14,"A",IF(B1554&lt;21,"B",IF(B1554&lt;23,"Entre turnos",IF(F1554=6,"Sin turno","C"))))))</f>
        <v>Sin turno</v>
      </c>
      <c r="H1554" s="25" t="n">
        <f aca="false">IF(D1554="","",MAX(0,D1554-0.5*C1554))</f>
        <v>0</v>
      </c>
    </row>
    <row r="1555" customFormat="false" ht="15" hidden="false" customHeight="false" outlineLevel="0" collapsed="false">
      <c r="A1555" s="21" t="n">
        <v>46285</v>
      </c>
      <c r="B1555" s="22" t="n">
        <v>17</v>
      </c>
      <c r="C1555" s="25" t="n">
        <v>46.8</v>
      </c>
      <c r="D1555" s="25" t="n">
        <v>16.92</v>
      </c>
      <c r="E1555" s="25" t="n">
        <v>0</v>
      </c>
      <c r="F1555" s="22" t="n">
        <f aca="false">WEEKDAY(A1555,2)</f>
        <v>7</v>
      </c>
      <c r="G1555" s="22" t="str">
        <f aca="false">IF(F1555=7,IF(B1555&gt;=23,"C","Sin turno"),IF(B1555&lt;7,"C",IF(B1555&lt;14,"A",IF(B1555&lt;21,"B",IF(B1555&lt;23,"Entre turnos",IF(F1555=6,"Sin turno","C"))))))</f>
        <v>Sin turno</v>
      </c>
      <c r="H1555" s="25" t="n">
        <f aca="false">IF(D1555="","",MAX(0,D1555-0.5*C1555))</f>
        <v>0</v>
      </c>
    </row>
    <row r="1556" customFormat="false" ht="15" hidden="false" customHeight="false" outlineLevel="0" collapsed="false">
      <c r="A1556" s="21" t="n">
        <v>46285</v>
      </c>
      <c r="B1556" s="22" t="n">
        <v>18</v>
      </c>
      <c r="C1556" s="25" t="n">
        <v>46.44</v>
      </c>
      <c r="D1556" s="25" t="n">
        <v>15.96</v>
      </c>
      <c r="E1556" s="25" t="n">
        <v>0</v>
      </c>
      <c r="F1556" s="22" t="n">
        <f aca="false">WEEKDAY(A1556,2)</f>
        <v>7</v>
      </c>
      <c r="G1556" s="22" t="str">
        <f aca="false">IF(F1556=7,IF(B1556&gt;=23,"C","Sin turno"),IF(B1556&lt;7,"C",IF(B1556&lt;14,"A",IF(B1556&lt;21,"B",IF(B1556&lt;23,"Entre turnos",IF(F1556=6,"Sin turno","C"))))))</f>
        <v>Sin turno</v>
      </c>
      <c r="H1556" s="25" t="n">
        <f aca="false">IF(D1556="","",MAX(0,D1556-0.5*C1556))</f>
        <v>0</v>
      </c>
    </row>
    <row r="1557" customFormat="false" ht="15" hidden="false" customHeight="false" outlineLevel="0" collapsed="false">
      <c r="A1557" s="21" t="n">
        <v>46285</v>
      </c>
      <c r="B1557" s="22" t="n">
        <v>19</v>
      </c>
      <c r="C1557" s="25" t="n">
        <v>46.44</v>
      </c>
      <c r="D1557" s="25" t="n">
        <v>16.2</v>
      </c>
      <c r="E1557" s="25" t="n">
        <v>0</v>
      </c>
      <c r="F1557" s="22" t="n">
        <f aca="false">WEEKDAY(A1557,2)</f>
        <v>7</v>
      </c>
      <c r="G1557" s="22" t="str">
        <f aca="false">IF(F1557=7,IF(B1557&gt;=23,"C","Sin turno"),IF(B1557&lt;7,"C",IF(B1557&lt;14,"A",IF(B1557&lt;21,"B",IF(B1557&lt;23,"Entre turnos",IF(F1557=6,"Sin turno","C"))))))</f>
        <v>Sin turno</v>
      </c>
      <c r="H1557" s="25" t="n">
        <f aca="false">IF(D1557="","",MAX(0,D1557-0.5*C1557))</f>
        <v>0</v>
      </c>
    </row>
    <row r="1558" customFormat="false" ht="15" hidden="false" customHeight="false" outlineLevel="0" collapsed="false">
      <c r="A1558" s="21" t="n">
        <v>46285</v>
      </c>
      <c r="B1558" s="22" t="n">
        <v>20</v>
      </c>
      <c r="C1558" s="25" t="n">
        <v>47.28</v>
      </c>
      <c r="D1558" s="25" t="n">
        <v>16.2</v>
      </c>
      <c r="E1558" s="25" t="n">
        <v>0</v>
      </c>
      <c r="F1558" s="22" t="n">
        <f aca="false">WEEKDAY(A1558,2)</f>
        <v>7</v>
      </c>
      <c r="G1558" s="22" t="str">
        <f aca="false">IF(F1558=7,IF(B1558&gt;=23,"C","Sin turno"),IF(B1558&lt;7,"C",IF(B1558&lt;14,"A",IF(B1558&lt;21,"B",IF(B1558&lt;23,"Entre turnos",IF(F1558=6,"Sin turno","C"))))))</f>
        <v>Sin turno</v>
      </c>
      <c r="H1558" s="25" t="n">
        <f aca="false">IF(D1558="","",MAX(0,D1558-0.5*C1558))</f>
        <v>0</v>
      </c>
    </row>
    <row r="1559" customFormat="false" ht="15" hidden="false" customHeight="false" outlineLevel="0" collapsed="false">
      <c r="A1559" s="21" t="n">
        <v>46285</v>
      </c>
      <c r="B1559" s="22" t="n">
        <v>21</v>
      </c>
      <c r="C1559" s="25" t="n">
        <v>47.04</v>
      </c>
      <c r="D1559" s="25" t="n">
        <v>16.8</v>
      </c>
      <c r="E1559" s="25" t="n">
        <v>0</v>
      </c>
      <c r="F1559" s="22" t="n">
        <f aca="false">WEEKDAY(A1559,2)</f>
        <v>7</v>
      </c>
      <c r="G1559" s="22" t="str">
        <f aca="false">IF(F1559=7,IF(B1559&gt;=23,"C","Sin turno"),IF(B1559&lt;7,"C",IF(B1559&lt;14,"A",IF(B1559&lt;21,"B",IF(B1559&lt;23,"Entre turnos",IF(F1559=6,"Sin turno","C"))))))</f>
        <v>Sin turno</v>
      </c>
      <c r="H1559" s="25" t="n">
        <f aca="false">IF(D1559="","",MAX(0,D1559-0.5*C1559))</f>
        <v>0</v>
      </c>
    </row>
    <row r="1560" customFormat="false" ht="15" hidden="false" customHeight="false" outlineLevel="0" collapsed="false">
      <c r="A1560" s="21" t="n">
        <v>46285</v>
      </c>
      <c r="B1560" s="22" t="n">
        <v>22</v>
      </c>
      <c r="C1560" s="25" t="n">
        <v>45.48</v>
      </c>
      <c r="D1560" s="25" t="n">
        <v>16.68</v>
      </c>
      <c r="E1560" s="25" t="n">
        <v>0</v>
      </c>
      <c r="F1560" s="22" t="n">
        <f aca="false">WEEKDAY(A1560,2)</f>
        <v>7</v>
      </c>
      <c r="G1560" s="22" t="str">
        <f aca="false">IF(F1560=7,IF(B1560&gt;=23,"C","Sin turno"),IF(B1560&lt;7,"C",IF(B1560&lt;14,"A",IF(B1560&lt;21,"B",IF(B1560&lt;23,"Entre turnos",IF(F1560=6,"Sin turno","C"))))))</f>
        <v>Sin turno</v>
      </c>
      <c r="H1560" s="25" t="n">
        <f aca="false">IF(D1560="","",MAX(0,D1560-0.5*C1560))</f>
        <v>0</v>
      </c>
    </row>
    <row r="1561" customFormat="false" ht="15" hidden="false" customHeight="false" outlineLevel="0" collapsed="false">
      <c r="A1561" s="21" t="n">
        <v>46285</v>
      </c>
      <c r="B1561" s="22" t="n">
        <v>23</v>
      </c>
      <c r="C1561" s="25" t="n">
        <v>84.12</v>
      </c>
      <c r="D1561" s="25" t="n">
        <v>19.68</v>
      </c>
      <c r="E1561" s="25" t="n">
        <v>0</v>
      </c>
      <c r="F1561" s="22" t="n">
        <f aca="false">WEEKDAY(A1561,2)</f>
        <v>7</v>
      </c>
      <c r="G1561" s="22" t="str">
        <f aca="false">IF(F1561=7,IF(B1561&gt;=23,"C","Sin turno"),IF(B1561&lt;7,"C",IF(B1561&lt;14,"A",IF(B1561&lt;21,"B",IF(B1561&lt;23,"Entre turnos",IF(F1561=6,"Sin turno","C"))))))</f>
        <v>C</v>
      </c>
      <c r="H1561" s="25" t="n">
        <f aca="false">IF(D1561="","",MAX(0,D1561-0.5*C1561))</f>
        <v>0</v>
      </c>
    </row>
    <row r="1562" customFormat="false" ht="15" hidden="false" customHeight="false" outlineLevel="0" collapsed="false">
      <c r="A1562" s="21" t="n">
        <v>46286</v>
      </c>
      <c r="B1562" s="22" t="n">
        <v>0</v>
      </c>
      <c r="C1562" s="25" t="n">
        <v>93.12</v>
      </c>
      <c r="D1562" s="25" t="n">
        <v>24.24</v>
      </c>
      <c r="E1562" s="25" t="n">
        <v>0.24</v>
      </c>
      <c r="F1562" s="22" t="n">
        <f aca="false">WEEKDAY(A1562,2)</f>
        <v>1</v>
      </c>
      <c r="G1562" s="22" t="str">
        <f aca="false">IF(F1562=7,IF(B1562&gt;=23,"C","Sin turno"),IF(B1562&lt;7,"C",IF(B1562&lt;14,"A",IF(B1562&lt;21,"B",IF(B1562&lt;23,"Entre turnos",IF(F1562=6,"Sin turno","C"))))))</f>
        <v>C</v>
      </c>
      <c r="H1562" s="25" t="n">
        <f aca="false">IF(D1562="","",MAX(0,D1562-0.5*C1562))</f>
        <v>0</v>
      </c>
    </row>
    <row r="1563" customFormat="false" ht="15" hidden="false" customHeight="false" outlineLevel="0" collapsed="false">
      <c r="A1563" s="21" t="n">
        <v>46286</v>
      </c>
      <c r="B1563" s="22" t="n">
        <v>1</v>
      </c>
      <c r="C1563" s="25" t="n">
        <v>93.24</v>
      </c>
      <c r="D1563" s="25" t="n">
        <v>25.08</v>
      </c>
      <c r="E1563" s="25" t="n">
        <v>0.24</v>
      </c>
      <c r="F1563" s="22" t="n">
        <f aca="false">WEEKDAY(A1563,2)</f>
        <v>1</v>
      </c>
      <c r="G1563" s="22" t="str">
        <f aca="false">IF(F1563=7,IF(B1563&gt;=23,"C","Sin turno"),IF(B1563&lt;7,"C",IF(B1563&lt;14,"A",IF(B1563&lt;21,"B",IF(B1563&lt;23,"Entre turnos",IF(F1563=6,"Sin turno","C"))))))</f>
        <v>C</v>
      </c>
      <c r="H1563" s="25" t="n">
        <f aca="false">IF(D1563="","",MAX(0,D1563-0.5*C1563))</f>
        <v>0</v>
      </c>
    </row>
    <row r="1564" customFormat="false" ht="15" hidden="false" customHeight="false" outlineLevel="0" collapsed="false">
      <c r="A1564" s="21" t="n">
        <v>46286</v>
      </c>
      <c r="B1564" s="22" t="n">
        <v>2</v>
      </c>
      <c r="C1564" s="25" t="n">
        <v>93</v>
      </c>
      <c r="D1564" s="25" t="n">
        <v>26.88</v>
      </c>
      <c r="E1564" s="25" t="n">
        <v>0.12</v>
      </c>
      <c r="F1564" s="22" t="n">
        <f aca="false">WEEKDAY(A1564,2)</f>
        <v>1</v>
      </c>
      <c r="G1564" s="22" t="str">
        <f aca="false">IF(F1564=7,IF(B1564&gt;=23,"C","Sin turno"),IF(B1564&lt;7,"C",IF(B1564&lt;14,"A",IF(B1564&lt;21,"B",IF(B1564&lt;23,"Entre turnos",IF(F1564=6,"Sin turno","C"))))))</f>
        <v>C</v>
      </c>
      <c r="H1564" s="25" t="n">
        <f aca="false">IF(D1564="","",MAX(0,D1564-0.5*C1564))</f>
        <v>0</v>
      </c>
    </row>
    <row r="1565" customFormat="false" ht="15" hidden="false" customHeight="false" outlineLevel="0" collapsed="false">
      <c r="A1565" s="21" t="n">
        <v>46286</v>
      </c>
      <c r="B1565" s="22" t="n">
        <v>3</v>
      </c>
      <c r="C1565" s="25" t="n">
        <v>94.92</v>
      </c>
      <c r="D1565" s="25" t="n">
        <v>23.4</v>
      </c>
      <c r="E1565" s="25" t="n">
        <v>0.36</v>
      </c>
      <c r="F1565" s="22" t="n">
        <f aca="false">WEEKDAY(A1565,2)</f>
        <v>1</v>
      </c>
      <c r="G1565" s="22" t="str">
        <f aca="false">IF(F1565=7,IF(B1565&gt;=23,"C","Sin turno"),IF(B1565&lt;7,"C",IF(B1565&lt;14,"A",IF(B1565&lt;21,"B",IF(B1565&lt;23,"Entre turnos",IF(F1565=6,"Sin turno","C"))))))</f>
        <v>C</v>
      </c>
      <c r="H1565" s="25" t="n">
        <f aca="false">IF(D1565="","",MAX(0,D1565-0.5*C1565))</f>
        <v>0</v>
      </c>
    </row>
    <row r="1566" customFormat="false" ht="15" hidden="false" customHeight="false" outlineLevel="0" collapsed="false">
      <c r="A1566" s="21" t="n">
        <v>46286</v>
      </c>
      <c r="B1566" s="22" t="n">
        <v>4</v>
      </c>
      <c r="C1566" s="25" t="n">
        <v>93</v>
      </c>
      <c r="D1566" s="25" t="n">
        <v>25.68</v>
      </c>
      <c r="E1566" s="25" t="n">
        <v>0.24</v>
      </c>
      <c r="F1566" s="22" t="n">
        <f aca="false">WEEKDAY(A1566,2)</f>
        <v>1</v>
      </c>
      <c r="G1566" s="22" t="str">
        <f aca="false">IF(F1566=7,IF(B1566&gt;=23,"C","Sin turno"),IF(B1566&lt;7,"C",IF(B1566&lt;14,"A",IF(B1566&lt;21,"B",IF(B1566&lt;23,"Entre turnos",IF(F1566=6,"Sin turno","C"))))))</f>
        <v>C</v>
      </c>
      <c r="H1566" s="25" t="n">
        <f aca="false">IF(D1566="","",MAX(0,D1566-0.5*C1566))</f>
        <v>0</v>
      </c>
    </row>
    <row r="1567" customFormat="false" ht="15" hidden="false" customHeight="false" outlineLevel="0" collapsed="false">
      <c r="A1567" s="21" t="n">
        <v>46286</v>
      </c>
      <c r="B1567" s="22" t="n">
        <v>5</v>
      </c>
      <c r="C1567" s="25" t="n">
        <v>110.28</v>
      </c>
      <c r="D1567" s="25" t="n">
        <v>19.8</v>
      </c>
      <c r="E1567" s="25" t="n">
        <v>0.72</v>
      </c>
      <c r="F1567" s="22" t="n">
        <f aca="false">WEEKDAY(A1567,2)</f>
        <v>1</v>
      </c>
      <c r="G1567" s="22" t="str">
        <f aca="false">IF(F1567=7,IF(B1567&gt;=23,"C","Sin turno"),IF(B1567&lt;7,"C",IF(B1567&lt;14,"A",IF(B1567&lt;21,"B",IF(B1567&lt;23,"Entre turnos",IF(F1567=6,"Sin turno","C"))))))</f>
        <v>C</v>
      </c>
      <c r="H1567" s="25" t="n">
        <f aca="false">IF(D1567="","",MAX(0,D1567-0.5*C1567))</f>
        <v>0</v>
      </c>
    </row>
    <row r="1568" customFormat="false" ht="15" hidden="false" customHeight="false" outlineLevel="0" collapsed="false">
      <c r="A1568" s="21" t="n">
        <v>46286</v>
      </c>
      <c r="B1568" s="22" t="n">
        <v>6</v>
      </c>
      <c r="C1568" s="25" t="n">
        <v>134.16</v>
      </c>
      <c r="D1568" s="25" t="n">
        <v>11.4</v>
      </c>
      <c r="E1568" s="25" t="n">
        <v>0.96</v>
      </c>
      <c r="F1568" s="22" t="n">
        <f aca="false">WEEKDAY(A1568,2)</f>
        <v>1</v>
      </c>
      <c r="G1568" s="22" t="str">
        <f aca="false">IF(F1568=7,IF(B1568&gt;=23,"C","Sin turno"),IF(B1568&lt;7,"C",IF(B1568&lt;14,"A",IF(B1568&lt;21,"B",IF(B1568&lt;23,"Entre turnos",IF(F1568=6,"Sin turno","C"))))))</f>
        <v>C</v>
      </c>
      <c r="H1568" s="25" t="n">
        <f aca="false">IF(D1568="","",MAX(0,D1568-0.5*C1568))</f>
        <v>0</v>
      </c>
    </row>
    <row r="1569" customFormat="false" ht="15" hidden="false" customHeight="false" outlineLevel="0" collapsed="false">
      <c r="A1569" s="21" t="n">
        <v>46286</v>
      </c>
      <c r="B1569" s="22" t="n">
        <v>7</v>
      </c>
      <c r="C1569" s="25" t="n">
        <v>226.2</v>
      </c>
      <c r="D1569" s="25" t="n">
        <v>22.44</v>
      </c>
      <c r="E1569" s="25" t="n">
        <v>0.12</v>
      </c>
      <c r="F1569" s="22" t="n">
        <f aca="false">WEEKDAY(A1569,2)</f>
        <v>1</v>
      </c>
      <c r="G1569" s="22" t="str">
        <f aca="false">IF(F1569=7,IF(B1569&gt;=23,"C","Sin turno"),IF(B1569&lt;7,"C",IF(B1569&lt;14,"A",IF(B1569&lt;21,"B",IF(B1569&lt;23,"Entre turnos",IF(F1569=6,"Sin turno","C"))))))</f>
        <v>A</v>
      </c>
      <c r="H1569" s="25" t="n">
        <f aca="false">IF(D1569="","",MAX(0,D1569-0.5*C1569))</f>
        <v>0</v>
      </c>
    </row>
    <row r="1570" customFormat="false" ht="15" hidden="false" customHeight="false" outlineLevel="0" collapsed="false">
      <c r="A1570" s="21" t="n">
        <v>46286</v>
      </c>
      <c r="B1570" s="22" t="n">
        <v>8</v>
      </c>
      <c r="C1570" s="25" t="n">
        <v>289.68</v>
      </c>
      <c r="D1570" s="25" t="n">
        <v>30.12</v>
      </c>
      <c r="E1570" s="25" t="n">
        <v>0</v>
      </c>
      <c r="F1570" s="22" t="n">
        <f aca="false">WEEKDAY(A1570,2)</f>
        <v>1</v>
      </c>
      <c r="G1570" s="22" t="str">
        <f aca="false">IF(F1570=7,IF(B1570&gt;=23,"C","Sin turno"),IF(B1570&lt;7,"C",IF(B1570&lt;14,"A",IF(B1570&lt;21,"B",IF(B1570&lt;23,"Entre turnos",IF(F1570=6,"Sin turno","C"))))))</f>
        <v>A</v>
      </c>
      <c r="H1570" s="25" t="n">
        <f aca="false">IF(D1570="","",MAX(0,D1570-0.5*C1570))</f>
        <v>0</v>
      </c>
    </row>
    <row r="1571" customFormat="false" ht="15" hidden="false" customHeight="false" outlineLevel="0" collapsed="false">
      <c r="A1571" s="21" t="n">
        <v>46286</v>
      </c>
      <c r="B1571" s="22" t="n">
        <v>9</v>
      </c>
      <c r="C1571" s="25" t="n">
        <v>317.76</v>
      </c>
      <c r="D1571" s="25" t="n">
        <v>28.32</v>
      </c>
      <c r="E1571" s="25" t="n">
        <v>0</v>
      </c>
      <c r="F1571" s="22" t="n">
        <f aca="false">WEEKDAY(A1571,2)</f>
        <v>1</v>
      </c>
      <c r="G1571" s="22" t="str">
        <f aca="false">IF(F1571=7,IF(B1571&gt;=23,"C","Sin turno"),IF(B1571&lt;7,"C",IF(B1571&lt;14,"A",IF(B1571&lt;21,"B",IF(B1571&lt;23,"Entre turnos",IF(F1571=6,"Sin turno","C"))))))</f>
        <v>A</v>
      </c>
      <c r="H1571" s="25" t="n">
        <f aca="false">IF(D1571="","",MAX(0,D1571-0.5*C1571))</f>
        <v>0</v>
      </c>
    </row>
    <row r="1572" customFormat="false" ht="15" hidden="false" customHeight="false" outlineLevel="0" collapsed="false">
      <c r="A1572" s="21" t="n">
        <v>46286</v>
      </c>
      <c r="B1572" s="22" t="n">
        <v>10</v>
      </c>
      <c r="C1572" s="25" t="n">
        <v>306.72</v>
      </c>
      <c r="D1572" s="25" t="n">
        <v>27</v>
      </c>
      <c r="E1572" s="25" t="n">
        <v>0</v>
      </c>
      <c r="F1572" s="22" t="n">
        <f aca="false">WEEKDAY(A1572,2)</f>
        <v>1</v>
      </c>
      <c r="G1572" s="22" t="str">
        <f aca="false">IF(F1572=7,IF(B1572&gt;=23,"C","Sin turno"),IF(B1572&lt;7,"C",IF(B1572&lt;14,"A",IF(B1572&lt;21,"B",IF(B1572&lt;23,"Entre turnos",IF(F1572=6,"Sin turno","C"))))))</f>
        <v>A</v>
      </c>
      <c r="H1572" s="25" t="n">
        <f aca="false">IF(D1572="","",MAX(0,D1572-0.5*C1572))</f>
        <v>0</v>
      </c>
    </row>
    <row r="1573" customFormat="false" ht="15" hidden="false" customHeight="false" outlineLevel="0" collapsed="false">
      <c r="A1573" s="21" t="n">
        <v>46286</v>
      </c>
      <c r="B1573" s="22" t="n">
        <v>11</v>
      </c>
      <c r="C1573" s="25" t="n">
        <v>273</v>
      </c>
      <c r="D1573" s="25" t="n">
        <v>26.28</v>
      </c>
      <c r="E1573" s="25" t="n">
        <v>0</v>
      </c>
      <c r="F1573" s="22" t="n">
        <f aca="false">WEEKDAY(A1573,2)</f>
        <v>1</v>
      </c>
      <c r="G1573" s="22" t="str">
        <f aca="false">IF(F1573=7,IF(B1573&gt;=23,"C","Sin turno"),IF(B1573&lt;7,"C",IF(B1573&lt;14,"A",IF(B1573&lt;21,"B",IF(B1573&lt;23,"Entre turnos",IF(F1573=6,"Sin turno","C"))))))</f>
        <v>A</v>
      </c>
      <c r="H1573" s="25" t="n">
        <f aca="false">IF(D1573="","",MAX(0,D1573-0.5*C1573))</f>
        <v>0</v>
      </c>
    </row>
    <row r="1574" customFormat="false" ht="15" hidden="false" customHeight="false" outlineLevel="0" collapsed="false">
      <c r="A1574" s="21" t="n">
        <v>46286</v>
      </c>
      <c r="B1574" s="22" t="n">
        <v>12</v>
      </c>
      <c r="C1574" s="25" t="n">
        <v>290.64</v>
      </c>
      <c r="D1574" s="25" t="n">
        <v>28.32</v>
      </c>
      <c r="E1574" s="25" t="n">
        <v>0</v>
      </c>
      <c r="F1574" s="22" t="n">
        <f aca="false">WEEKDAY(A1574,2)</f>
        <v>1</v>
      </c>
      <c r="G1574" s="22" t="str">
        <f aca="false">IF(F1574=7,IF(B1574&gt;=23,"C","Sin turno"),IF(B1574&lt;7,"C",IF(B1574&lt;14,"A",IF(B1574&lt;21,"B",IF(B1574&lt;23,"Entre turnos",IF(F1574=6,"Sin turno","C"))))))</f>
        <v>A</v>
      </c>
      <c r="H1574" s="25" t="n">
        <f aca="false">IF(D1574="","",MAX(0,D1574-0.5*C1574))</f>
        <v>0</v>
      </c>
    </row>
    <row r="1575" customFormat="false" ht="15" hidden="false" customHeight="false" outlineLevel="0" collapsed="false">
      <c r="A1575" s="21" t="n">
        <v>46286</v>
      </c>
      <c r="B1575" s="22" t="n">
        <v>13</v>
      </c>
      <c r="C1575" s="25" t="n">
        <v>292.08</v>
      </c>
      <c r="D1575" s="25" t="n">
        <v>28.56</v>
      </c>
      <c r="E1575" s="25" t="n">
        <v>0.12</v>
      </c>
      <c r="F1575" s="22" t="n">
        <f aca="false">WEEKDAY(A1575,2)</f>
        <v>1</v>
      </c>
      <c r="G1575" s="22" t="str">
        <f aca="false">IF(F1575=7,IF(B1575&gt;=23,"C","Sin turno"),IF(B1575&lt;7,"C",IF(B1575&lt;14,"A",IF(B1575&lt;21,"B",IF(B1575&lt;23,"Entre turnos",IF(F1575=6,"Sin turno","C"))))))</f>
        <v>A</v>
      </c>
      <c r="H1575" s="25" t="n">
        <f aca="false">IF(D1575="","",MAX(0,D1575-0.5*C1575))</f>
        <v>0</v>
      </c>
    </row>
    <row r="1576" customFormat="false" ht="15" hidden="false" customHeight="false" outlineLevel="0" collapsed="false">
      <c r="A1576" s="21" t="n">
        <v>46286</v>
      </c>
      <c r="B1576" s="22" t="n">
        <v>14</v>
      </c>
      <c r="C1576" s="25" t="n">
        <v>309.36</v>
      </c>
      <c r="D1576" s="25" t="n">
        <v>32.04</v>
      </c>
      <c r="E1576" s="25" t="n">
        <v>0</v>
      </c>
      <c r="F1576" s="22" t="n">
        <f aca="false">WEEKDAY(A1576,2)</f>
        <v>1</v>
      </c>
      <c r="G1576" s="22" t="str">
        <f aca="false">IF(F1576=7,IF(B1576&gt;=23,"C","Sin turno"),IF(B1576&lt;7,"C",IF(B1576&lt;14,"A",IF(B1576&lt;21,"B",IF(B1576&lt;23,"Entre turnos",IF(F1576=6,"Sin turno","C"))))))</f>
        <v>B</v>
      </c>
      <c r="H1576" s="25" t="n">
        <f aca="false">IF(D1576="","",MAX(0,D1576-0.5*C1576))</f>
        <v>0</v>
      </c>
    </row>
    <row r="1577" customFormat="false" ht="15" hidden="false" customHeight="false" outlineLevel="0" collapsed="false">
      <c r="A1577" s="21" t="n">
        <v>46286</v>
      </c>
      <c r="B1577" s="22" t="n">
        <v>15</v>
      </c>
      <c r="C1577" s="25" t="n">
        <v>272.28</v>
      </c>
      <c r="D1577" s="25" t="n">
        <v>24.72</v>
      </c>
      <c r="E1577" s="25" t="n">
        <v>0</v>
      </c>
      <c r="F1577" s="22" t="n">
        <f aca="false">WEEKDAY(A1577,2)</f>
        <v>1</v>
      </c>
      <c r="G1577" s="22" t="str">
        <f aca="false">IF(F1577=7,IF(B1577&gt;=23,"C","Sin turno"),IF(B1577&lt;7,"C",IF(B1577&lt;14,"A",IF(B1577&lt;21,"B",IF(B1577&lt;23,"Entre turnos",IF(F1577=6,"Sin turno","C"))))))</f>
        <v>B</v>
      </c>
      <c r="H1577" s="25" t="n">
        <f aca="false">IF(D1577="","",MAX(0,D1577-0.5*C1577))</f>
        <v>0</v>
      </c>
    </row>
    <row r="1578" customFormat="false" ht="15" hidden="false" customHeight="false" outlineLevel="0" collapsed="false">
      <c r="A1578" s="21" t="n">
        <v>46286</v>
      </c>
      <c r="B1578" s="22" t="n">
        <v>16</v>
      </c>
      <c r="C1578" s="25" t="n">
        <v>302.76</v>
      </c>
      <c r="D1578" s="25" t="n">
        <v>31.2</v>
      </c>
      <c r="E1578" s="25" t="n">
        <v>0</v>
      </c>
      <c r="F1578" s="22" t="n">
        <f aca="false">WEEKDAY(A1578,2)</f>
        <v>1</v>
      </c>
      <c r="G1578" s="22" t="str">
        <f aca="false">IF(F1578=7,IF(B1578&gt;=23,"C","Sin turno"),IF(B1578&lt;7,"C",IF(B1578&lt;14,"A",IF(B1578&lt;21,"B",IF(B1578&lt;23,"Entre turnos",IF(F1578=6,"Sin turno","C"))))))</f>
        <v>B</v>
      </c>
      <c r="H1578" s="25" t="n">
        <f aca="false">IF(D1578="","",MAX(0,D1578-0.5*C1578))</f>
        <v>0</v>
      </c>
    </row>
    <row r="1579" customFormat="false" ht="15" hidden="false" customHeight="false" outlineLevel="0" collapsed="false">
      <c r="A1579" s="21" t="n">
        <v>46286</v>
      </c>
      <c r="B1579" s="22" t="n">
        <v>17</v>
      </c>
      <c r="C1579" s="25" t="n">
        <v>235.56</v>
      </c>
      <c r="D1579" s="25" t="n">
        <v>26.64</v>
      </c>
      <c r="E1579" s="25" t="n">
        <v>0.12</v>
      </c>
      <c r="F1579" s="22" t="n">
        <f aca="false">WEEKDAY(A1579,2)</f>
        <v>1</v>
      </c>
      <c r="G1579" s="22" t="str">
        <f aca="false">IF(F1579=7,IF(B1579&gt;=23,"C","Sin turno"),IF(B1579&lt;7,"C",IF(B1579&lt;14,"A",IF(B1579&lt;21,"B",IF(B1579&lt;23,"Entre turnos",IF(F1579=6,"Sin turno","C"))))))</f>
        <v>B</v>
      </c>
      <c r="H1579" s="25" t="n">
        <f aca="false">IF(D1579="","",MAX(0,D1579-0.5*C1579))</f>
        <v>0</v>
      </c>
    </row>
    <row r="1580" customFormat="false" ht="15" hidden="false" customHeight="false" outlineLevel="0" collapsed="false">
      <c r="A1580" s="21" t="n">
        <v>46286</v>
      </c>
      <c r="B1580" s="22" t="n">
        <v>18</v>
      </c>
      <c r="C1580" s="25" t="n">
        <v>219.36</v>
      </c>
      <c r="D1580" s="25" t="n">
        <v>25.08</v>
      </c>
      <c r="E1580" s="25" t="n">
        <v>0.12</v>
      </c>
      <c r="F1580" s="22" t="n">
        <f aca="false">WEEKDAY(A1580,2)</f>
        <v>1</v>
      </c>
      <c r="G1580" s="22" t="str">
        <f aca="false">IF(F1580=7,IF(B1580&gt;=23,"C","Sin turno"),IF(B1580&lt;7,"C",IF(B1580&lt;14,"A",IF(B1580&lt;21,"B",IF(B1580&lt;23,"Entre turnos",IF(F1580=6,"Sin turno","C"))))))</f>
        <v>B</v>
      </c>
      <c r="H1580" s="25" t="n">
        <f aca="false">IF(D1580="","",MAX(0,D1580-0.5*C1580))</f>
        <v>0</v>
      </c>
    </row>
    <row r="1581" customFormat="false" ht="15" hidden="false" customHeight="false" outlineLevel="0" collapsed="false">
      <c r="A1581" s="21" t="n">
        <v>46286</v>
      </c>
      <c r="B1581" s="22" t="n">
        <v>19</v>
      </c>
      <c r="C1581" s="25" t="n">
        <v>184.8</v>
      </c>
      <c r="D1581" s="25" t="n">
        <v>24.36</v>
      </c>
      <c r="E1581" s="25" t="n">
        <v>0.12</v>
      </c>
      <c r="F1581" s="22" t="n">
        <f aca="false">WEEKDAY(A1581,2)</f>
        <v>1</v>
      </c>
      <c r="G1581" s="22" t="str">
        <f aca="false">IF(F1581=7,IF(B1581&gt;=23,"C","Sin turno"),IF(B1581&lt;7,"C",IF(B1581&lt;14,"A",IF(B1581&lt;21,"B",IF(B1581&lt;23,"Entre turnos",IF(F1581=6,"Sin turno","C"))))))</f>
        <v>B</v>
      </c>
      <c r="H1581" s="25" t="n">
        <f aca="false">IF(D1581="","",MAX(0,D1581-0.5*C1581))</f>
        <v>0</v>
      </c>
    </row>
    <row r="1582" customFormat="false" ht="15" hidden="false" customHeight="false" outlineLevel="0" collapsed="false">
      <c r="A1582" s="21" t="n">
        <v>46286</v>
      </c>
      <c r="B1582" s="22" t="n">
        <v>20</v>
      </c>
      <c r="C1582" s="25" t="n">
        <v>202.68</v>
      </c>
      <c r="D1582" s="25" t="n">
        <v>18.36</v>
      </c>
      <c r="E1582" s="25" t="n">
        <v>0</v>
      </c>
      <c r="F1582" s="22" t="n">
        <f aca="false">WEEKDAY(A1582,2)</f>
        <v>1</v>
      </c>
      <c r="G1582" s="22" t="str">
        <f aca="false">IF(F1582=7,IF(B1582&gt;=23,"C","Sin turno"),IF(B1582&lt;7,"C",IF(B1582&lt;14,"A",IF(B1582&lt;21,"B",IF(B1582&lt;23,"Entre turnos",IF(F1582=6,"Sin turno","C"))))))</f>
        <v>B</v>
      </c>
      <c r="H1582" s="25" t="n">
        <f aca="false">IF(D1582="","",MAX(0,D1582-0.5*C1582))</f>
        <v>0</v>
      </c>
    </row>
    <row r="1583" customFormat="false" ht="15" hidden="false" customHeight="false" outlineLevel="0" collapsed="false">
      <c r="A1583" s="21" t="n">
        <v>46286</v>
      </c>
      <c r="B1583" s="22" t="n">
        <v>21</v>
      </c>
      <c r="C1583" s="25" t="n">
        <v>204.96</v>
      </c>
      <c r="D1583" s="25" t="n">
        <v>18.36</v>
      </c>
      <c r="E1583" s="25" t="n">
        <v>0</v>
      </c>
      <c r="F1583" s="22" t="n">
        <f aca="false">WEEKDAY(A1583,2)</f>
        <v>1</v>
      </c>
      <c r="G1583" s="22" t="str">
        <f aca="false">IF(F1583=7,IF(B1583&gt;=23,"C","Sin turno"),IF(B1583&lt;7,"C",IF(B1583&lt;14,"A",IF(B1583&lt;21,"B",IF(B1583&lt;23,"Entre turnos",IF(F1583=6,"Sin turno","C"))))))</f>
        <v>Entre turnos</v>
      </c>
      <c r="H1583" s="25" t="n">
        <f aca="false">IF(D1583="","",MAX(0,D1583-0.5*C1583))</f>
        <v>0</v>
      </c>
    </row>
    <row r="1584" customFormat="false" ht="15" hidden="false" customHeight="false" outlineLevel="0" collapsed="false">
      <c r="A1584" s="21" t="n">
        <v>46286</v>
      </c>
      <c r="B1584" s="22" t="n">
        <v>22</v>
      </c>
      <c r="C1584" s="25" t="n">
        <v>207.12</v>
      </c>
      <c r="D1584" s="25" t="n">
        <v>15</v>
      </c>
      <c r="E1584" s="25" t="n">
        <v>0.12</v>
      </c>
      <c r="F1584" s="22" t="n">
        <f aca="false">WEEKDAY(A1584,2)</f>
        <v>1</v>
      </c>
      <c r="G1584" s="22" t="str">
        <f aca="false">IF(F1584=7,IF(B1584&gt;=23,"C","Sin turno"),IF(B1584&lt;7,"C",IF(B1584&lt;14,"A",IF(B1584&lt;21,"B",IF(B1584&lt;23,"Entre turnos",IF(F1584=6,"Sin turno","C"))))))</f>
        <v>Entre turnos</v>
      </c>
      <c r="H1584" s="25" t="n">
        <f aca="false">IF(D1584="","",MAX(0,D1584-0.5*C1584))</f>
        <v>0</v>
      </c>
    </row>
    <row r="1585" customFormat="false" ht="15" hidden="false" customHeight="false" outlineLevel="0" collapsed="false">
      <c r="A1585" s="21" t="n">
        <v>46286</v>
      </c>
      <c r="B1585" s="22" t="n">
        <v>23</v>
      </c>
      <c r="C1585" s="25" t="n">
        <v>129.72</v>
      </c>
      <c r="D1585" s="25" t="n">
        <v>16.68</v>
      </c>
      <c r="E1585" s="25" t="n">
        <v>0.12</v>
      </c>
      <c r="F1585" s="22" t="n">
        <f aca="false">WEEKDAY(A1585,2)</f>
        <v>1</v>
      </c>
      <c r="G1585" s="22" t="str">
        <f aca="false">IF(F1585=7,IF(B1585&gt;=23,"C","Sin turno"),IF(B1585&lt;7,"C",IF(B1585&lt;14,"A",IF(B1585&lt;21,"B",IF(B1585&lt;23,"Entre turnos",IF(F1585=6,"Sin turno","C"))))))</f>
        <v>C</v>
      </c>
      <c r="H1585" s="25" t="n">
        <f aca="false">IF(D1585="","",MAX(0,D1585-0.5*C1585))</f>
        <v>0</v>
      </c>
    </row>
    <row r="1586" customFormat="false" ht="15" hidden="false" customHeight="false" outlineLevel="0" collapsed="false">
      <c r="A1586" s="21" t="n">
        <v>46287</v>
      </c>
      <c r="B1586" s="22" t="n">
        <v>0</v>
      </c>
      <c r="C1586" s="25" t="n">
        <v>100.32</v>
      </c>
      <c r="D1586" s="25" t="n">
        <v>12.96</v>
      </c>
      <c r="E1586" s="25" t="n">
        <v>0.24</v>
      </c>
      <c r="F1586" s="22" t="n">
        <f aca="false">WEEKDAY(A1586,2)</f>
        <v>2</v>
      </c>
      <c r="G1586" s="22" t="str">
        <f aca="false">IF(F1586=7,IF(B1586&gt;=23,"C","Sin turno"),IF(B1586&lt;7,"C",IF(B1586&lt;14,"A",IF(B1586&lt;21,"B",IF(B1586&lt;23,"Entre turnos",IF(F1586=6,"Sin turno","C"))))))</f>
        <v>C</v>
      </c>
      <c r="H1586" s="25" t="n">
        <f aca="false">IF(D1586="","",MAX(0,D1586-0.5*C1586))</f>
        <v>0</v>
      </c>
    </row>
    <row r="1587" customFormat="false" ht="15" hidden="false" customHeight="false" outlineLevel="0" collapsed="false">
      <c r="A1587" s="21" t="n">
        <v>46287</v>
      </c>
      <c r="B1587" s="22" t="n">
        <v>1</v>
      </c>
      <c r="C1587" s="25" t="n">
        <v>99.48</v>
      </c>
      <c r="D1587" s="25" t="n">
        <v>12.72</v>
      </c>
      <c r="E1587" s="25" t="n">
        <v>0.12</v>
      </c>
      <c r="F1587" s="22" t="n">
        <f aca="false">WEEKDAY(A1587,2)</f>
        <v>2</v>
      </c>
      <c r="G1587" s="22" t="str">
        <f aca="false">IF(F1587=7,IF(B1587&gt;=23,"C","Sin turno"),IF(B1587&lt;7,"C",IF(B1587&lt;14,"A",IF(B1587&lt;21,"B",IF(B1587&lt;23,"Entre turnos",IF(F1587=6,"Sin turno","C"))))))</f>
        <v>C</v>
      </c>
      <c r="H1587" s="25" t="n">
        <f aca="false">IF(D1587="","",MAX(0,D1587-0.5*C1587))</f>
        <v>0</v>
      </c>
    </row>
    <row r="1588" customFormat="false" ht="15" hidden="false" customHeight="false" outlineLevel="0" collapsed="false">
      <c r="A1588" s="21" t="n">
        <v>46287</v>
      </c>
      <c r="B1588" s="22" t="n">
        <v>2</v>
      </c>
      <c r="C1588" s="25" t="n">
        <v>98.76</v>
      </c>
      <c r="D1588" s="25" t="n">
        <v>12.12</v>
      </c>
      <c r="E1588" s="25" t="n">
        <v>0.12</v>
      </c>
      <c r="F1588" s="22" t="n">
        <f aca="false">WEEKDAY(A1588,2)</f>
        <v>2</v>
      </c>
      <c r="G1588" s="22" t="str">
        <f aca="false">IF(F1588=7,IF(B1588&gt;=23,"C","Sin turno"),IF(B1588&lt;7,"C",IF(B1588&lt;14,"A",IF(B1588&lt;21,"B",IF(B1588&lt;23,"Entre turnos",IF(F1588=6,"Sin turno","C"))))))</f>
        <v>C</v>
      </c>
      <c r="H1588" s="25" t="n">
        <f aca="false">IF(D1588="","",MAX(0,D1588-0.5*C1588))</f>
        <v>0</v>
      </c>
    </row>
    <row r="1589" customFormat="false" ht="15" hidden="false" customHeight="false" outlineLevel="0" collapsed="false">
      <c r="A1589" s="21" t="n">
        <v>46287</v>
      </c>
      <c r="B1589" s="22" t="n">
        <v>3</v>
      </c>
      <c r="C1589" s="25" t="n">
        <v>98.28</v>
      </c>
      <c r="D1589" s="25" t="n">
        <v>12.36</v>
      </c>
      <c r="E1589" s="25" t="n">
        <v>0.12</v>
      </c>
      <c r="F1589" s="22" t="n">
        <f aca="false">WEEKDAY(A1589,2)</f>
        <v>2</v>
      </c>
      <c r="G1589" s="22" t="str">
        <f aca="false">IF(F1589=7,IF(B1589&gt;=23,"C","Sin turno"),IF(B1589&lt;7,"C",IF(B1589&lt;14,"A",IF(B1589&lt;21,"B",IF(B1589&lt;23,"Entre turnos",IF(F1589=6,"Sin turno","C"))))))</f>
        <v>C</v>
      </c>
      <c r="H1589" s="25" t="n">
        <f aca="false">IF(D1589="","",MAX(0,D1589-0.5*C1589))</f>
        <v>0</v>
      </c>
    </row>
    <row r="1590" customFormat="false" ht="15" hidden="false" customHeight="false" outlineLevel="0" collapsed="false">
      <c r="A1590" s="21" t="n">
        <v>46287</v>
      </c>
      <c r="B1590" s="22" t="n">
        <v>4</v>
      </c>
      <c r="C1590" s="25" t="n">
        <v>98.28</v>
      </c>
      <c r="D1590" s="25" t="n">
        <v>15</v>
      </c>
      <c r="E1590" s="25" t="n">
        <v>0</v>
      </c>
      <c r="F1590" s="22" t="n">
        <f aca="false">WEEKDAY(A1590,2)</f>
        <v>2</v>
      </c>
      <c r="G1590" s="22" t="str">
        <f aca="false">IF(F1590=7,IF(B1590&gt;=23,"C","Sin turno"),IF(B1590&lt;7,"C",IF(B1590&lt;14,"A",IF(B1590&lt;21,"B",IF(B1590&lt;23,"Entre turnos",IF(F1590=6,"Sin turno","C"))))))</f>
        <v>C</v>
      </c>
      <c r="H1590" s="25" t="n">
        <f aca="false">IF(D1590="","",MAX(0,D1590-0.5*C1590))</f>
        <v>0</v>
      </c>
    </row>
    <row r="1591" customFormat="false" ht="15" hidden="false" customHeight="false" outlineLevel="0" collapsed="false">
      <c r="A1591" s="21" t="n">
        <v>46287</v>
      </c>
      <c r="B1591" s="22" t="n">
        <v>5</v>
      </c>
      <c r="C1591" s="25" t="n">
        <v>98.76</v>
      </c>
      <c r="D1591" s="25" t="n">
        <v>14.52</v>
      </c>
      <c r="E1591" s="25" t="n">
        <v>0</v>
      </c>
      <c r="F1591" s="22" t="n">
        <f aca="false">WEEKDAY(A1591,2)</f>
        <v>2</v>
      </c>
      <c r="G1591" s="22" t="str">
        <f aca="false">IF(F1591=7,IF(B1591&gt;=23,"C","Sin turno"),IF(B1591&lt;7,"C",IF(B1591&lt;14,"A",IF(B1591&lt;21,"B",IF(B1591&lt;23,"Entre turnos",IF(F1591=6,"Sin turno","C"))))))</f>
        <v>C</v>
      </c>
      <c r="H1591" s="25" t="n">
        <f aca="false">IF(D1591="","",MAX(0,D1591-0.5*C1591))</f>
        <v>0</v>
      </c>
    </row>
    <row r="1592" customFormat="false" ht="15" hidden="false" customHeight="false" outlineLevel="0" collapsed="false">
      <c r="A1592" s="21" t="n">
        <v>46287</v>
      </c>
      <c r="B1592" s="22" t="n">
        <v>6</v>
      </c>
      <c r="C1592" s="25" t="n">
        <v>132.12</v>
      </c>
      <c r="D1592" s="25" t="n">
        <v>21.36</v>
      </c>
      <c r="E1592" s="25" t="n">
        <v>0.12</v>
      </c>
      <c r="F1592" s="22" t="n">
        <f aca="false">WEEKDAY(A1592,2)</f>
        <v>2</v>
      </c>
      <c r="G1592" s="22" t="str">
        <f aca="false">IF(F1592=7,IF(B1592&gt;=23,"C","Sin turno"),IF(B1592&lt;7,"C",IF(B1592&lt;14,"A",IF(B1592&lt;21,"B",IF(B1592&lt;23,"Entre turnos",IF(F1592=6,"Sin turno","C"))))))</f>
        <v>C</v>
      </c>
      <c r="H1592" s="25" t="n">
        <f aca="false">IF(D1592="","",MAX(0,D1592-0.5*C1592))</f>
        <v>0</v>
      </c>
    </row>
    <row r="1593" customFormat="false" ht="15" hidden="false" customHeight="false" outlineLevel="0" collapsed="false">
      <c r="A1593" s="21" t="n">
        <v>46287</v>
      </c>
      <c r="B1593" s="22" t="n">
        <v>7</v>
      </c>
      <c r="C1593" s="25" t="n">
        <v>230.04</v>
      </c>
      <c r="D1593" s="25" t="n">
        <v>24.48</v>
      </c>
      <c r="E1593" s="25" t="n">
        <v>0.12</v>
      </c>
      <c r="F1593" s="22" t="n">
        <f aca="false">WEEKDAY(A1593,2)</f>
        <v>2</v>
      </c>
      <c r="G1593" s="22" t="str">
        <f aca="false">IF(F1593=7,IF(B1593&gt;=23,"C","Sin turno"),IF(B1593&lt;7,"C",IF(B1593&lt;14,"A",IF(B1593&lt;21,"B",IF(B1593&lt;23,"Entre turnos",IF(F1593=6,"Sin turno","C"))))))</f>
        <v>A</v>
      </c>
      <c r="H1593" s="25" t="n">
        <f aca="false">IF(D1593="","",MAX(0,D1593-0.5*C1593))</f>
        <v>0</v>
      </c>
    </row>
    <row r="1594" customFormat="false" ht="15" hidden="false" customHeight="false" outlineLevel="0" collapsed="false">
      <c r="A1594" s="21" t="n">
        <v>46287</v>
      </c>
      <c r="B1594" s="22" t="n">
        <v>8</v>
      </c>
      <c r="C1594" s="25" t="n">
        <v>277.56</v>
      </c>
      <c r="D1594" s="25" t="n">
        <v>26.88</v>
      </c>
      <c r="E1594" s="25" t="n">
        <v>0</v>
      </c>
      <c r="F1594" s="22" t="n">
        <f aca="false">WEEKDAY(A1594,2)</f>
        <v>2</v>
      </c>
      <c r="G1594" s="22" t="str">
        <f aca="false">IF(F1594=7,IF(B1594&gt;=23,"C","Sin turno"),IF(B1594&lt;7,"C",IF(B1594&lt;14,"A",IF(B1594&lt;21,"B",IF(B1594&lt;23,"Entre turnos",IF(F1594=6,"Sin turno","C"))))))</f>
        <v>A</v>
      </c>
      <c r="H1594" s="25" t="n">
        <f aca="false">IF(D1594="","",MAX(0,D1594-0.5*C1594))</f>
        <v>0</v>
      </c>
    </row>
    <row r="1595" customFormat="false" ht="15" hidden="false" customHeight="false" outlineLevel="0" collapsed="false">
      <c r="A1595" s="21" t="n">
        <v>46287</v>
      </c>
      <c r="B1595" s="22" t="n">
        <v>9</v>
      </c>
      <c r="C1595" s="25" t="n">
        <v>273.72</v>
      </c>
      <c r="D1595" s="25" t="n">
        <v>22.68</v>
      </c>
      <c r="E1595" s="25" t="n">
        <v>0</v>
      </c>
      <c r="F1595" s="22" t="n">
        <f aca="false">WEEKDAY(A1595,2)</f>
        <v>2</v>
      </c>
      <c r="G1595" s="22" t="str">
        <f aca="false">IF(F1595=7,IF(B1595&gt;=23,"C","Sin turno"),IF(B1595&lt;7,"C",IF(B1595&lt;14,"A",IF(B1595&lt;21,"B",IF(B1595&lt;23,"Entre turnos",IF(F1595=6,"Sin turno","C"))))))</f>
        <v>A</v>
      </c>
      <c r="H1595" s="25" t="n">
        <f aca="false">IF(D1595="","",MAX(0,D1595-0.5*C1595))</f>
        <v>0</v>
      </c>
    </row>
    <row r="1596" customFormat="false" ht="15" hidden="false" customHeight="false" outlineLevel="0" collapsed="false">
      <c r="A1596" s="21" t="n">
        <v>46287</v>
      </c>
      <c r="B1596" s="22" t="n">
        <v>10</v>
      </c>
      <c r="C1596" s="25" t="n">
        <v>271.08</v>
      </c>
      <c r="D1596" s="25" t="n">
        <v>29.04</v>
      </c>
      <c r="E1596" s="25" t="n">
        <v>0</v>
      </c>
      <c r="F1596" s="22" t="n">
        <f aca="false">WEEKDAY(A1596,2)</f>
        <v>2</v>
      </c>
      <c r="G1596" s="22" t="str">
        <f aca="false">IF(F1596=7,IF(B1596&gt;=23,"C","Sin turno"),IF(B1596&lt;7,"C",IF(B1596&lt;14,"A",IF(B1596&lt;21,"B",IF(B1596&lt;23,"Entre turnos",IF(F1596=6,"Sin turno","C"))))))</f>
        <v>A</v>
      </c>
      <c r="H1596" s="25" t="n">
        <f aca="false">IF(D1596="","",MAX(0,D1596-0.5*C1596))</f>
        <v>0</v>
      </c>
    </row>
    <row r="1597" customFormat="false" ht="15" hidden="false" customHeight="false" outlineLevel="0" collapsed="false">
      <c r="A1597" s="21" t="n">
        <v>46287</v>
      </c>
      <c r="B1597" s="22" t="n">
        <v>11</v>
      </c>
      <c r="C1597" s="25" t="n">
        <v>260.16</v>
      </c>
      <c r="D1597" s="25" t="n">
        <v>25.8</v>
      </c>
      <c r="E1597" s="25" t="n">
        <v>0</v>
      </c>
      <c r="F1597" s="22" t="n">
        <f aca="false">WEEKDAY(A1597,2)</f>
        <v>2</v>
      </c>
      <c r="G1597" s="22" t="str">
        <f aca="false">IF(F1597=7,IF(B1597&gt;=23,"C","Sin turno"),IF(B1597&lt;7,"C",IF(B1597&lt;14,"A",IF(B1597&lt;21,"B",IF(B1597&lt;23,"Entre turnos",IF(F1597=6,"Sin turno","C"))))))</f>
        <v>A</v>
      </c>
      <c r="H1597" s="25" t="n">
        <f aca="false">IF(D1597="","",MAX(0,D1597-0.5*C1597))</f>
        <v>0</v>
      </c>
    </row>
    <row r="1598" customFormat="false" ht="15" hidden="false" customHeight="false" outlineLevel="0" collapsed="false">
      <c r="A1598" s="21" t="n">
        <v>46287</v>
      </c>
      <c r="B1598" s="22" t="n">
        <v>12</v>
      </c>
      <c r="C1598" s="25" t="n">
        <v>270.6</v>
      </c>
      <c r="D1598" s="25" t="n">
        <v>29.52</v>
      </c>
      <c r="E1598" s="25" t="n">
        <v>0</v>
      </c>
      <c r="F1598" s="22" t="n">
        <f aca="false">WEEKDAY(A1598,2)</f>
        <v>2</v>
      </c>
      <c r="G1598" s="22" t="str">
        <f aca="false">IF(F1598=7,IF(B1598&gt;=23,"C","Sin turno"),IF(B1598&lt;7,"C",IF(B1598&lt;14,"A",IF(B1598&lt;21,"B",IF(B1598&lt;23,"Entre turnos",IF(F1598=6,"Sin turno","C"))))))</f>
        <v>A</v>
      </c>
      <c r="H1598" s="25" t="n">
        <f aca="false">IF(D1598="","",MAX(0,D1598-0.5*C1598))</f>
        <v>0</v>
      </c>
    </row>
    <row r="1599" customFormat="false" ht="15" hidden="false" customHeight="false" outlineLevel="0" collapsed="false">
      <c r="A1599" s="21" t="n">
        <v>46287</v>
      </c>
      <c r="B1599" s="22" t="n">
        <v>13</v>
      </c>
      <c r="C1599" s="25" t="n">
        <v>278.76</v>
      </c>
      <c r="D1599" s="25" t="n">
        <v>27.24</v>
      </c>
      <c r="E1599" s="25" t="n">
        <v>0</v>
      </c>
      <c r="F1599" s="22" t="n">
        <f aca="false">WEEKDAY(A1599,2)</f>
        <v>2</v>
      </c>
      <c r="G1599" s="22" t="str">
        <f aca="false">IF(F1599=7,IF(B1599&gt;=23,"C","Sin turno"),IF(B1599&lt;7,"C",IF(B1599&lt;14,"A",IF(B1599&lt;21,"B",IF(B1599&lt;23,"Entre turnos",IF(F1599=6,"Sin turno","C"))))))</f>
        <v>A</v>
      </c>
      <c r="H1599" s="25" t="n">
        <f aca="false">IF(D1599="","",MAX(0,D1599-0.5*C1599))</f>
        <v>0</v>
      </c>
    </row>
    <row r="1600" customFormat="false" ht="15" hidden="false" customHeight="false" outlineLevel="0" collapsed="false">
      <c r="A1600" s="21" t="n">
        <v>46287</v>
      </c>
      <c r="B1600" s="22" t="n">
        <v>14</v>
      </c>
      <c r="C1600" s="25" t="n">
        <v>278.28</v>
      </c>
      <c r="D1600" s="25" t="n">
        <v>27.84</v>
      </c>
      <c r="E1600" s="25" t="n">
        <v>0</v>
      </c>
      <c r="F1600" s="22" t="n">
        <f aca="false">WEEKDAY(A1600,2)</f>
        <v>2</v>
      </c>
      <c r="G1600" s="22" t="str">
        <f aca="false">IF(F1600=7,IF(B1600&gt;=23,"C","Sin turno"),IF(B1600&lt;7,"C",IF(B1600&lt;14,"A",IF(B1600&lt;21,"B",IF(B1600&lt;23,"Entre turnos",IF(F1600=6,"Sin turno","C"))))))</f>
        <v>B</v>
      </c>
      <c r="H1600" s="25" t="n">
        <f aca="false">IF(D1600="","",MAX(0,D1600-0.5*C1600))</f>
        <v>0</v>
      </c>
    </row>
    <row r="1601" customFormat="false" ht="15" hidden="false" customHeight="false" outlineLevel="0" collapsed="false">
      <c r="A1601" s="21" t="n">
        <v>46287</v>
      </c>
      <c r="B1601" s="22" t="n">
        <v>15</v>
      </c>
      <c r="C1601" s="25" t="n">
        <v>264.72</v>
      </c>
      <c r="D1601" s="25" t="n">
        <v>30.12</v>
      </c>
      <c r="E1601" s="25" t="n">
        <v>0</v>
      </c>
      <c r="F1601" s="22" t="n">
        <f aca="false">WEEKDAY(A1601,2)</f>
        <v>2</v>
      </c>
      <c r="G1601" s="22" t="str">
        <f aca="false">IF(F1601=7,IF(B1601&gt;=23,"C","Sin turno"),IF(B1601&lt;7,"C",IF(B1601&lt;14,"A",IF(B1601&lt;21,"B",IF(B1601&lt;23,"Entre turnos",IF(F1601=6,"Sin turno","C"))))))</f>
        <v>B</v>
      </c>
      <c r="H1601" s="25" t="n">
        <f aca="false">IF(D1601="","",MAX(0,D1601-0.5*C1601))</f>
        <v>0</v>
      </c>
    </row>
    <row r="1602" customFormat="false" ht="15" hidden="false" customHeight="false" outlineLevel="0" collapsed="false">
      <c r="A1602" s="21" t="n">
        <v>46287</v>
      </c>
      <c r="B1602" s="22" t="n">
        <v>16</v>
      </c>
      <c r="C1602" s="25" t="n">
        <v>266.88</v>
      </c>
      <c r="D1602" s="25" t="n">
        <v>27.48</v>
      </c>
      <c r="E1602" s="25" t="n">
        <v>0</v>
      </c>
      <c r="F1602" s="22" t="n">
        <f aca="false">WEEKDAY(A1602,2)</f>
        <v>2</v>
      </c>
      <c r="G1602" s="22" t="str">
        <f aca="false">IF(F1602=7,IF(B1602&gt;=23,"C","Sin turno"),IF(B1602&lt;7,"C",IF(B1602&lt;14,"A",IF(B1602&lt;21,"B",IF(B1602&lt;23,"Entre turnos",IF(F1602=6,"Sin turno","C"))))))</f>
        <v>B</v>
      </c>
      <c r="H1602" s="25" t="n">
        <f aca="false">IF(D1602="","",MAX(0,D1602-0.5*C1602))</f>
        <v>0</v>
      </c>
    </row>
    <row r="1603" customFormat="false" ht="15" hidden="false" customHeight="false" outlineLevel="0" collapsed="false">
      <c r="A1603" s="21" t="n">
        <v>46287</v>
      </c>
      <c r="B1603" s="22" t="n">
        <v>17</v>
      </c>
      <c r="C1603" s="25" t="n">
        <v>245.16</v>
      </c>
      <c r="D1603" s="25" t="n">
        <v>21.24</v>
      </c>
      <c r="E1603" s="25" t="n">
        <v>0.12</v>
      </c>
      <c r="F1603" s="22" t="n">
        <f aca="false">WEEKDAY(A1603,2)</f>
        <v>2</v>
      </c>
      <c r="G1603" s="22" t="str">
        <f aca="false">IF(F1603=7,IF(B1603&gt;=23,"C","Sin turno"),IF(B1603&lt;7,"C",IF(B1603&lt;14,"A",IF(B1603&lt;21,"B",IF(B1603&lt;23,"Entre turnos",IF(F1603=6,"Sin turno","C"))))))</f>
        <v>B</v>
      </c>
      <c r="H1603" s="25" t="n">
        <f aca="false">IF(D1603="","",MAX(0,D1603-0.5*C1603))</f>
        <v>0</v>
      </c>
    </row>
    <row r="1604" customFormat="false" ht="15" hidden="false" customHeight="false" outlineLevel="0" collapsed="false">
      <c r="A1604" s="21" t="n">
        <v>46287</v>
      </c>
      <c r="B1604" s="22" t="n">
        <v>18</v>
      </c>
      <c r="C1604" s="25" t="n">
        <v>228.96</v>
      </c>
      <c r="D1604" s="25" t="n">
        <v>21.6</v>
      </c>
      <c r="E1604" s="25" t="n">
        <v>0</v>
      </c>
      <c r="F1604" s="22" t="n">
        <f aca="false">WEEKDAY(A1604,2)</f>
        <v>2</v>
      </c>
      <c r="G1604" s="22" t="str">
        <f aca="false">IF(F1604=7,IF(B1604&gt;=23,"C","Sin turno"),IF(B1604&lt;7,"C",IF(B1604&lt;14,"A",IF(B1604&lt;21,"B",IF(B1604&lt;23,"Entre turnos",IF(F1604=6,"Sin turno","C"))))))</f>
        <v>B</v>
      </c>
      <c r="H1604" s="25" t="n">
        <f aca="false">IF(D1604="","",MAX(0,D1604-0.5*C1604))</f>
        <v>0</v>
      </c>
    </row>
    <row r="1605" customFormat="false" ht="15" hidden="false" customHeight="false" outlineLevel="0" collapsed="false">
      <c r="A1605" s="21" t="n">
        <v>46287</v>
      </c>
      <c r="B1605" s="22" t="n">
        <v>19</v>
      </c>
      <c r="C1605" s="25" t="n">
        <v>190.08</v>
      </c>
      <c r="D1605" s="25" t="n">
        <v>22.2</v>
      </c>
      <c r="E1605" s="25" t="n">
        <v>0.12</v>
      </c>
      <c r="F1605" s="22" t="n">
        <f aca="false">WEEKDAY(A1605,2)</f>
        <v>2</v>
      </c>
      <c r="G1605" s="22" t="str">
        <f aca="false">IF(F1605=7,IF(B1605&gt;=23,"C","Sin turno"),IF(B1605&lt;7,"C",IF(B1605&lt;14,"A",IF(B1605&lt;21,"B",IF(B1605&lt;23,"Entre turnos",IF(F1605=6,"Sin turno","C"))))))</f>
        <v>B</v>
      </c>
      <c r="H1605" s="25" t="n">
        <f aca="false">IF(D1605="","",MAX(0,D1605-0.5*C1605))</f>
        <v>0</v>
      </c>
    </row>
    <row r="1606" customFormat="false" ht="15" hidden="false" customHeight="false" outlineLevel="0" collapsed="false">
      <c r="A1606" s="21" t="n">
        <v>46287</v>
      </c>
      <c r="B1606" s="22" t="n">
        <v>20</v>
      </c>
      <c r="C1606" s="25" t="n">
        <v>218.52</v>
      </c>
      <c r="D1606" s="25" t="n">
        <v>22.08</v>
      </c>
      <c r="E1606" s="25" t="n">
        <v>0.12</v>
      </c>
      <c r="F1606" s="22" t="n">
        <f aca="false">WEEKDAY(A1606,2)</f>
        <v>2</v>
      </c>
      <c r="G1606" s="22" t="str">
        <f aca="false">IF(F1606=7,IF(B1606&gt;=23,"C","Sin turno"),IF(B1606&lt;7,"C",IF(B1606&lt;14,"A",IF(B1606&lt;21,"B",IF(B1606&lt;23,"Entre turnos",IF(F1606=6,"Sin turno","C"))))))</f>
        <v>B</v>
      </c>
      <c r="H1606" s="25" t="n">
        <f aca="false">IF(D1606="","",MAX(0,D1606-0.5*C1606))</f>
        <v>0</v>
      </c>
    </row>
    <row r="1607" customFormat="false" ht="15" hidden="false" customHeight="false" outlineLevel="0" collapsed="false">
      <c r="A1607" s="21" t="n">
        <v>46287</v>
      </c>
      <c r="B1607" s="22" t="n">
        <v>21</v>
      </c>
      <c r="C1607" s="25" t="n">
        <v>202.8</v>
      </c>
      <c r="D1607" s="25" t="n">
        <v>18.24</v>
      </c>
      <c r="E1607" s="25" t="n">
        <v>0.12</v>
      </c>
      <c r="F1607" s="22" t="n">
        <f aca="false">WEEKDAY(A1607,2)</f>
        <v>2</v>
      </c>
      <c r="G1607" s="22" t="str">
        <f aca="false">IF(F1607=7,IF(B1607&gt;=23,"C","Sin turno"),IF(B1607&lt;7,"C",IF(B1607&lt;14,"A",IF(B1607&lt;21,"B",IF(B1607&lt;23,"Entre turnos",IF(F1607=6,"Sin turno","C"))))))</f>
        <v>Entre turnos</v>
      </c>
      <c r="H1607" s="25" t="n">
        <f aca="false">IF(D1607="","",MAX(0,D1607-0.5*C1607))</f>
        <v>0</v>
      </c>
    </row>
    <row r="1608" customFormat="false" ht="15" hidden="false" customHeight="false" outlineLevel="0" collapsed="false">
      <c r="A1608" s="21" t="n">
        <v>46287</v>
      </c>
      <c r="B1608" s="22" t="n">
        <v>22</v>
      </c>
      <c r="C1608" s="25" t="n">
        <v>204.36</v>
      </c>
      <c r="D1608" s="25" t="n">
        <v>19.92</v>
      </c>
      <c r="E1608" s="25" t="n">
        <v>0.12</v>
      </c>
      <c r="F1608" s="22" t="n">
        <f aca="false">WEEKDAY(A1608,2)</f>
        <v>2</v>
      </c>
      <c r="G1608" s="22" t="str">
        <f aca="false">IF(F1608=7,IF(B1608&gt;=23,"C","Sin turno"),IF(B1608&lt;7,"C",IF(B1608&lt;14,"A",IF(B1608&lt;21,"B",IF(B1608&lt;23,"Entre turnos",IF(F1608=6,"Sin turno","C"))))))</f>
        <v>Entre turnos</v>
      </c>
      <c r="H1608" s="25" t="n">
        <f aca="false">IF(D1608="","",MAX(0,D1608-0.5*C1608))</f>
        <v>0</v>
      </c>
    </row>
    <row r="1609" customFormat="false" ht="15" hidden="false" customHeight="false" outlineLevel="0" collapsed="false">
      <c r="A1609" s="21" t="n">
        <v>46287</v>
      </c>
      <c r="B1609" s="22" t="n">
        <v>23</v>
      </c>
      <c r="C1609" s="25" t="n">
        <v>124.08</v>
      </c>
      <c r="D1609" s="25" t="n">
        <v>15</v>
      </c>
      <c r="E1609" s="25" t="n">
        <v>0.6</v>
      </c>
      <c r="F1609" s="22" t="n">
        <f aca="false">WEEKDAY(A1609,2)</f>
        <v>2</v>
      </c>
      <c r="G1609" s="22" t="str">
        <f aca="false">IF(F1609=7,IF(B1609&gt;=23,"C","Sin turno"),IF(B1609&lt;7,"C",IF(B1609&lt;14,"A",IF(B1609&lt;21,"B",IF(B1609&lt;23,"Entre turnos",IF(F1609=6,"Sin turno","C"))))))</f>
        <v>C</v>
      </c>
      <c r="H1609" s="25" t="n">
        <f aca="false">IF(D1609="","",MAX(0,D1609-0.5*C1609))</f>
        <v>0</v>
      </c>
    </row>
    <row r="1610" customFormat="false" ht="15" hidden="false" customHeight="false" outlineLevel="0" collapsed="false">
      <c r="A1610" s="21" t="n">
        <v>46288</v>
      </c>
      <c r="B1610" s="22" t="n">
        <v>0</v>
      </c>
      <c r="C1610" s="25" t="n">
        <v>92.88</v>
      </c>
      <c r="D1610" s="25" t="n">
        <v>9.48</v>
      </c>
      <c r="E1610" s="25" t="n">
        <v>1.68</v>
      </c>
      <c r="F1610" s="22" t="n">
        <f aca="false">WEEKDAY(A1610,2)</f>
        <v>3</v>
      </c>
      <c r="G1610" s="22" t="str">
        <f aca="false">IF(F1610=7,IF(B1610&gt;=23,"C","Sin turno"),IF(B1610&lt;7,"C",IF(B1610&lt;14,"A",IF(B1610&lt;21,"B",IF(B1610&lt;23,"Entre turnos",IF(F1610=6,"Sin turno","C"))))))</f>
        <v>C</v>
      </c>
      <c r="H1610" s="25" t="n">
        <f aca="false">IF(D1610="","",MAX(0,D1610-0.5*C1610))</f>
        <v>0</v>
      </c>
    </row>
    <row r="1611" customFormat="false" ht="15" hidden="false" customHeight="false" outlineLevel="0" collapsed="false">
      <c r="A1611" s="21" t="n">
        <v>46288</v>
      </c>
      <c r="B1611" s="22" t="n">
        <v>1</v>
      </c>
      <c r="C1611" s="25" t="n">
        <v>93.6</v>
      </c>
      <c r="D1611" s="25" t="n">
        <v>9.72</v>
      </c>
      <c r="E1611" s="25" t="n">
        <v>1.68</v>
      </c>
      <c r="F1611" s="22" t="n">
        <f aca="false">WEEKDAY(A1611,2)</f>
        <v>3</v>
      </c>
      <c r="G1611" s="22" t="str">
        <f aca="false">IF(F1611=7,IF(B1611&gt;=23,"C","Sin turno"),IF(B1611&lt;7,"C",IF(B1611&lt;14,"A",IF(B1611&lt;21,"B",IF(B1611&lt;23,"Entre turnos",IF(F1611=6,"Sin turno","C"))))))</f>
        <v>C</v>
      </c>
      <c r="H1611" s="25" t="n">
        <f aca="false">IF(D1611="","",MAX(0,D1611-0.5*C1611))</f>
        <v>0</v>
      </c>
    </row>
    <row r="1612" customFormat="false" ht="15" hidden="false" customHeight="false" outlineLevel="0" collapsed="false">
      <c r="A1612" s="21" t="n">
        <v>46288</v>
      </c>
      <c r="B1612" s="22" t="n">
        <v>2</v>
      </c>
      <c r="C1612" s="25" t="n">
        <v>92.04</v>
      </c>
      <c r="D1612" s="25" t="n">
        <v>11.76</v>
      </c>
      <c r="E1612" s="25" t="n">
        <v>1.2</v>
      </c>
      <c r="F1612" s="22" t="n">
        <f aca="false">WEEKDAY(A1612,2)</f>
        <v>3</v>
      </c>
      <c r="G1612" s="22" t="str">
        <f aca="false">IF(F1612=7,IF(B1612&gt;=23,"C","Sin turno"),IF(B1612&lt;7,"C",IF(B1612&lt;14,"A",IF(B1612&lt;21,"B",IF(B1612&lt;23,"Entre turnos",IF(F1612=6,"Sin turno","C"))))))</f>
        <v>C</v>
      </c>
      <c r="H1612" s="25" t="n">
        <f aca="false">IF(D1612="","",MAX(0,D1612-0.5*C1612))</f>
        <v>0</v>
      </c>
    </row>
    <row r="1613" customFormat="false" ht="15" hidden="false" customHeight="false" outlineLevel="0" collapsed="false">
      <c r="A1613" s="21" t="n">
        <v>46288</v>
      </c>
      <c r="B1613" s="22" t="n">
        <v>3</v>
      </c>
      <c r="C1613" s="25" t="n">
        <v>90.72</v>
      </c>
      <c r="D1613" s="25" t="n">
        <v>7.44</v>
      </c>
      <c r="E1613" s="25" t="n">
        <v>1.56</v>
      </c>
      <c r="F1613" s="22" t="n">
        <f aca="false">WEEKDAY(A1613,2)</f>
        <v>3</v>
      </c>
      <c r="G1613" s="22" t="str">
        <f aca="false">IF(F1613=7,IF(B1613&gt;=23,"C","Sin turno"),IF(B1613&lt;7,"C",IF(B1613&lt;14,"A",IF(B1613&lt;21,"B",IF(B1613&lt;23,"Entre turnos",IF(F1613=6,"Sin turno","C"))))))</f>
        <v>C</v>
      </c>
      <c r="H1613" s="25" t="n">
        <f aca="false">IF(D1613="","",MAX(0,D1613-0.5*C1613))</f>
        <v>0</v>
      </c>
    </row>
    <row r="1614" customFormat="false" ht="15" hidden="false" customHeight="false" outlineLevel="0" collapsed="false">
      <c r="A1614" s="21" t="n">
        <v>46288</v>
      </c>
      <c r="B1614" s="22" t="n">
        <v>4</v>
      </c>
      <c r="C1614" s="25" t="n">
        <v>92.52</v>
      </c>
      <c r="D1614" s="25" t="n">
        <v>9.84</v>
      </c>
      <c r="E1614" s="25" t="n">
        <v>1.44</v>
      </c>
      <c r="F1614" s="22" t="n">
        <f aca="false">WEEKDAY(A1614,2)</f>
        <v>3</v>
      </c>
      <c r="G1614" s="22" t="str">
        <f aca="false">IF(F1614=7,IF(B1614&gt;=23,"C","Sin turno"),IF(B1614&lt;7,"C",IF(B1614&lt;14,"A",IF(B1614&lt;21,"B",IF(B1614&lt;23,"Entre turnos",IF(F1614=6,"Sin turno","C"))))))</f>
        <v>C</v>
      </c>
      <c r="H1614" s="25" t="n">
        <f aca="false">IF(D1614="","",MAX(0,D1614-0.5*C1614))</f>
        <v>0</v>
      </c>
    </row>
    <row r="1615" customFormat="false" ht="15" hidden="false" customHeight="false" outlineLevel="0" collapsed="false">
      <c r="A1615" s="21" t="n">
        <v>46288</v>
      </c>
      <c r="B1615" s="22" t="n">
        <v>5</v>
      </c>
      <c r="C1615" s="25" t="n">
        <v>104.52</v>
      </c>
      <c r="D1615" s="25" t="n">
        <v>10.2</v>
      </c>
      <c r="E1615" s="25" t="n">
        <v>1.08</v>
      </c>
      <c r="F1615" s="22" t="n">
        <f aca="false">WEEKDAY(A1615,2)</f>
        <v>3</v>
      </c>
      <c r="G1615" s="22" t="str">
        <f aca="false">IF(F1615=7,IF(B1615&gt;=23,"C","Sin turno"),IF(B1615&lt;7,"C",IF(B1615&lt;14,"A",IF(B1615&lt;21,"B",IF(B1615&lt;23,"Entre turnos",IF(F1615=6,"Sin turno","C"))))))</f>
        <v>C</v>
      </c>
      <c r="H1615" s="25" t="n">
        <f aca="false">IF(D1615="","",MAX(0,D1615-0.5*C1615))</f>
        <v>0</v>
      </c>
    </row>
    <row r="1616" customFormat="false" ht="15" hidden="false" customHeight="false" outlineLevel="0" collapsed="false">
      <c r="A1616" s="21" t="n">
        <v>46288</v>
      </c>
      <c r="B1616" s="22" t="n">
        <v>6</v>
      </c>
      <c r="C1616" s="25" t="n">
        <v>124.8</v>
      </c>
      <c r="D1616" s="25" t="n">
        <v>13.8</v>
      </c>
      <c r="E1616" s="25" t="n">
        <v>0.36</v>
      </c>
      <c r="F1616" s="22" t="n">
        <f aca="false">WEEKDAY(A1616,2)</f>
        <v>3</v>
      </c>
      <c r="G1616" s="22" t="str">
        <f aca="false">IF(F1616=7,IF(B1616&gt;=23,"C","Sin turno"),IF(B1616&lt;7,"C",IF(B1616&lt;14,"A",IF(B1616&lt;21,"B",IF(B1616&lt;23,"Entre turnos",IF(F1616=6,"Sin turno","C"))))))</f>
        <v>C</v>
      </c>
      <c r="H1616" s="25" t="n">
        <f aca="false">IF(D1616="","",MAX(0,D1616-0.5*C1616))</f>
        <v>0</v>
      </c>
    </row>
    <row r="1617" customFormat="false" ht="15" hidden="false" customHeight="false" outlineLevel="0" collapsed="false">
      <c r="A1617" s="21" t="n">
        <v>46288</v>
      </c>
      <c r="B1617" s="22" t="n">
        <v>7</v>
      </c>
      <c r="C1617" s="25" t="n">
        <v>213.72</v>
      </c>
      <c r="D1617" s="25" t="n">
        <v>20.76</v>
      </c>
      <c r="E1617" s="25" t="n">
        <v>0.24</v>
      </c>
      <c r="F1617" s="22" t="n">
        <f aca="false">WEEKDAY(A1617,2)</f>
        <v>3</v>
      </c>
      <c r="G1617" s="22" t="str">
        <f aca="false">IF(F1617=7,IF(B1617&gt;=23,"C","Sin turno"),IF(B1617&lt;7,"C",IF(B1617&lt;14,"A",IF(B1617&lt;21,"B",IF(B1617&lt;23,"Entre turnos",IF(F1617=6,"Sin turno","C"))))))</f>
        <v>A</v>
      </c>
      <c r="H1617" s="25" t="n">
        <f aca="false">IF(D1617="","",MAX(0,D1617-0.5*C1617))</f>
        <v>0</v>
      </c>
    </row>
    <row r="1618" customFormat="false" ht="15" hidden="false" customHeight="false" outlineLevel="0" collapsed="false">
      <c r="A1618" s="21" t="n">
        <v>46288</v>
      </c>
      <c r="B1618" s="22" t="n">
        <v>8</v>
      </c>
      <c r="C1618" s="25" t="n">
        <v>249</v>
      </c>
      <c r="D1618" s="25" t="n">
        <v>27.48</v>
      </c>
      <c r="E1618" s="25" t="n">
        <v>0</v>
      </c>
      <c r="F1618" s="22" t="n">
        <f aca="false">WEEKDAY(A1618,2)</f>
        <v>3</v>
      </c>
      <c r="G1618" s="22" t="str">
        <f aca="false">IF(F1618=7,IF(B1618&gt;=23,"C","Sin turno"),IF(B1618&lt;7,"C",IF(B1618&lt;14,"A",IF(B1618&lt;21,"B",IF(B1618&lt;23,"Entre turnos",IF(F1618=6,"Sin turno","C"))))))</f>
        <v>A</v>
      </c>
      <c r="H1618" s="25" t="n">
        <f aca="false">IF(D1618="","",MAX(0,D1618-0.5*C1618))</f>
        <v>0</v>
      </c>
    </row>
    <row r="1619" customFormat="false" ht="15" hidden="false" customHeight="false" outlineLevel="0" collapsed="false">
      <c r="A1619" s="21" t="n">
        <v>46288</v>
      </c>
      <c r="B1619" s="22" t="n">
        <v>9</v>
      </c>
      <c r="C1619" s="25" t="n">
        <v>260.04</v>
      </c>
      <c r="D1619" s="25" t="n">
        <v>26.28</v>
      </c>
      <c r="E1619" s="25" t="n">
        <v>0</v>
      </c>
      <c r="F1619" s="22" t="n">
        <f aca="false">WEEKDAY(A1619,2)</f>
        <v>3</v>
      </c>
      <c r="G1619" s="22" t="str">
        <f aca="false">IF(F1619=7,IF(B1619&gt;=23,"C","Sin turno"),IF(B1619&lt;7,"C",IF(B1619&lt;14,"A",IF(B1619&lt;21,"B",IF(B1619&lt;23,"Entre turnos",IF(F1619=6,"Sin turno","C"))))))</f>
        <v>A</v>
      </c>
      <c r="H1619" s="25" t="n">
        <f aca="false">IF(D1619="","",MAX(0,D1619-0.5*C1619))</f>
        <v>0</v>
      </c>
    </row>
    <row r="1620" customFormat="false" ht="15" hidden="false" customHeight="false" outlineLevel="0" collapsed="false">
      <c r="A1620" s="21" t="n">
        <v>46288</v>
      </c>
      <c r="B1620" s="22" t="n">
        <v>10</v>
      </c>
      <c r="C1620" s="25" t="n">
        <v>260.76</v>
      </c>
      <c r="D1620" s="25" t="n">
        <v>26.16</v>
      </c>
      <c r="E1620" s="25" t="n">
        <v>0</v>
      </c>
      <c r="F1620" s="22" t="n">
        <f aca="false">WEEKDAY(A1620,2)</f>
        <v>3</v>
      </c>
      <c r="G1620" s="22" t="str">
        <f aca="false">IF(F1620=7,IF(B1620&gt;=23,"C","Sin turno"),IF(B1620&lt;7,"C",IF(B1620&lt;14,"A",IF(B1620&lt;21,"B",IF(B1620&lt;23,"Entre turnos",IF(F1620=6,"Sin turno","C"))))))</f>
        <v>A</v>
      </c>
      <c r="H1620" s="25" t="n">
        <f aca="false">IF(D1620="","",MAX(0,D1620-0.5*C1620))</f>
        <v>0</v>
      </c>
    </row>
    <row r="1621" customFormat="false" ht="15" hidden="false" customHeight="false" outlineLevel="0" collapsed="false">
      <c r="A1621" s="21" t="n">
        <v>46288</v>
      </c>
      <c r="B1621" s="22" t="n">
        <v>11</v>
      </c>
      <c r="C1621" s="25" t="n">
        <v>217.92</v>
      </c>
      <c r="D1621" s="25" t="n">
        <v>24.24</v>
      </c>
      <c r="E1621" s="25" t="n">
        <v>0</v>
      </c>
      <c r="F1621" s="22" t="n">
        <f aca="false">WEEKDAY(A1621,2)</f>
        <v>3</v>
      </c>
      <c r="G1621" s="22" t="str">
        <f aca="false">IF(F1621=7,IF(B1621&gt;=23,"C","Sin turno"),IF(B1621&lt;7,"C",IF(B1621&lt;14,"A",IF(B1621&lt;21,"B",IF(B1621&lt;23,"Entre turnos",IF(F1621=6,"Sin turno","C"))))))</f>
        <v>A</v>
      </c>
      <c r="H1621" s="25" t="n">
        <f aca="false">IF(D1621="","",MAX(0,D1621-0.5*C1621))</f>
        <v>0</v>
      </c>
    </row>
    <row r="1622" customFormat="false" ht="15" hidden="false" customHeight="false" outlineLevel="0" collapsed="false">
      <c r="A1622" s="21" t="n">
        <v>46288</v>
      </c>
      <c r="B1622" s="22" t="n">
        <v>12</v>
      </c>
      <c r="C1622" s="25" t="n">
        <v>240.96</v>
      </c>
      <c r="D1622" s="25" t="n">
        <v>22.2</v>
      </c>
      <c r="E1622" s="25" t="n">
        <v>0.12</v>
      </c>
      <c r="F1622" s="22" t="n">
        <f aca="false">WEEKDAY(A1622,2)</f>
        <v>3</v>
      </c>
      <c r="G1622" s="22" t="str">
        <f aca="false">IF(F1622=7,IF(B1622&gt;=23,"C","Sin turno"),IF(B1622&lt;7,"C",IF(B1622&lt;14,"A",IF(B1622&lt;21,"B",IF(B1622&lt;23,"Entre turnos",IF(F1622=6,"Sin turno","C"))))))</f>
        <v>A</v>
      </c>
      <c r="H1622" s="25" t="n">
        <f aca="false">IF(D1622="","",MAX(0,D1622-0.5*C1622))</f>
        <v>0</v>
      </c>
    </row>
    <row r="1623" customFormat="false" ht="15" hidden="false" customHeight="false" outlineLevel="0" collapsed="false">
      <c r="A1623" s="21" t="n">
        <v>46288</v>
      </c>
      <c r="B1623" s="22" t="n">
        <v>13</v>
      </c>
      <c r="C1623" s="25" t="n">
        <v>247.92</v>
      </c>
      <c r="D1623" s="25" t="n">
        <v>25.2</v>
      </c>
      <c r="E1623" s="25" t="n">
        <v>0.12</v>
      </c>
      <c r="F1623" s="22" t="n">
        <f aca="false">WEEKDAY(A1623,2)</f>
        <v>3</v>
      </c>
      <c r="G1623" s="22" t="str">
        <f aca="false">IF(F1623=7,IF(B1623&gt;=23,"C","Sin turno"),IF(B1623&lt;7,"C",IF(B1623&lt;14,"A",IF(B1623&lt;21,"B",IF(B1623&lt;23,"Entre turnos",IF(F1623=6,"Sin turno","C"))))))</f>
        <v>A</v>
      </c>
      <c r="H1623" s="25" t="n">
        <f aca="false">IF(D1623="","",MAX(0,D1623-0.5*C1623))</f>
        <v>0</v>
      </c>
    </row>
    <row r="1624" customFormat="false" ht="15" hidden="false" customHeight="false" outlineLevel="0" collapsed="false">
      <c r="A1624" s="21" t="n">
        <v>46288</v>
      </c>
      <c r="B1624" s="22" t="n">
        <v>14</v>
      </c>
      <c r="C1624" s="25" t="n">
        <v>254.64</v>
      </c>
      <c r="D1624" s="25" t="n">
        <v>25.8</v>
      </c>
      <c r="E1624" s="25" t="n">
        <v>0</v>
      </c>
      <c r="F1624" s="22" t="n">
        <f aca="false">WEEKDAY(A1624,2)</f>
        <v>3</v>
      </c>
      <c r="G1624" s="22" t="str">
        <f aca="false">IF(F1624=7,IF(B1624&gt;=23,"C","Sin turno"),IF(B1624&lt;7,"C",IF(B1624&lt;14,"A",IF(B1624&lt;21,"B",IF(B1624&lt;23,"Entre turnos",IF(F1624=6,"Sin turno","C"))))))</f>
        <v>B</v>
      </c>
      <c r="H1624" s="25" t="n">
        <f aca="false">IF(D1624="","",MAX(0,D1624-0.5*C1624))</f>
        <v>0</v>
      </c>
    </row>
    <row r="1625" customFormat="false" ht="15" hidden="false" customHeight="false" outlineLevel="0" collapsed="false">
      <c r="A1625" s="21" t="n">
        <v>46288</v>
      </c>
      <c r="B1625" s="22" t="n">
        <v>15</v>
      </c>
      <c r="C1625" s="25" t="n">
        <v>259.8</v>
      </c>
      <c r="D1625" s="25" t="n">
        <v>25.8</v>
      </c>
      <c r="E1625" s="25" t="n">
        <v>0.12</v>
      </c>
      <c r="F1625" s="22" t="n">
        <f aca="false">WEEKDAY(A1625,2)</f>
        <v>3</v>
      </c>
      <c r="G1625" s="22" t="str">
        <f aca="false">IF(F1625=7,IF(B1625&gt;=23,"C","Sin turno"),IF(B1625&lt;7,"C",IF(B1625&lt;14,"A",IF(B1625&lt;21,"B",IF(B1625&lt;23,"Entre turnos",IF(F1625=6,"Sin turno","C"))))))</f>
        <v>B</v>
      </c>
      <c r="H1625" s="25" t="n">
        <f aca="false">IF(D1625="","",MAX(0,D1625-0.5*C1625))</f>
        <v>0</v>
      </c>
    </row>
    <row r="1626" customFormat="false" ht="15" hidden="false" customHeight="false" outlineLevel="0" collapsed="false">
      <c r="A1626" s="21" t="n">
        <v>46288</v>
      </c>
      <c r="B1626" s="22" t="n">
        <v>16</v>
      </c>
      <c r="C1626" s="25" t="n">
        <v>273.84</v>
      </c>
      <c r="D1626" s="25" t="n">
        <v>27.48</v>
      </c>
      <c r="E1626" s="25" t="n">
        <v>0</v>
      </c>
      <c r="F1626" s="22" t="n">
        <f aca="false">WEEKDAY(A1626,2)</f>
        <v>3</v>
      </c>
      <c r="G1626" s="22" t="str">
        <f aca="false">IF(F1626=7,IF(B1626&gt;=23,"C","Sin turno"),IF(B1626&lt;7,"C",IF(B1626&lt;14,"A",IF(B1626&lt;21,"B",IF(B1626&lt;23,"Entre turnos",IF(F1626=6,"Sin turno","C"))))))</f>
        <v>B</v>
      </c>
      <c r="H1626" s="25" t="n">
        <f aca="false">IF(D1626="","",MAX(0,D1626-0.5*C1626))</f>
        <v>0</v>
      </c>
    </row>
    <row r="1627" customFormat="false" ht="15" hidden="false" customHeight="false" outlineLevel="0" collapsed="false">
      <c r="A1627" s="21" t="n">
        <v>46288</v>
      </c>
      <c r="B1627" s="22" t="n">
        <v>17</v>
      </c>
      <c r="C1627" s="25" t="n">
        <v>249.84</v>
      </c>
      <c r="D1627" s="25" t="n">
        <v>23.4</v>
      </c>
      <c r="E1627" s="25" t="n">
        <v>0</v>
      </c>
      <c r="F1627" s="22" t="n">
        <f aca="false">WEEKDAY(A1627,2)</f>
        <v>3</v>
      </c>
      <c r="G1627" s="22" t="str">
        <f aca="false">IF(F1627=7,IF(B1627&gt;=23,"C","Sin turno"),IF(B1627&lt;7,"C",IF(B1627&lt;14,"A",IF(B1627&lt;21,"B",IF(B1627&lt;23,"Entre turnos",IF(F1627=6,"Sin turno","C"))))))</f>
        <v>B</v>
      </c>
      <c r="H1627" s="25" t="n">
        <f aca="false">IF(D1627="","",MAX(0,D1627-0.5*C1627))</f>
        <v>0</v>
      </c>
    </row>
    <row r="1628" customFormat="false" ht="15" hidden="false" customHeight="false" outlineLevel="0" collapsed="false">
      <c r="A1628" s="21" t="n">
        <v>46288</v>
      </c>
      <c r="B1628" s="22" t="n">
        <v>18</v>
      </c>
      <c r="C1628" s="25" t="n">
        <v>223.32</v>
      </c>
      <c r="D1628" s="25" t="n">
        <v>20.16</v>
      </c>
      <c r="E1628" s="25" t="n">
        <v>0</v>
      </c>
      <c r="F1628" s="22" t="n">
        <f aca="false">WEEKDAY(A1628,2)</f>
        <v>3</v>
      </c>
      <c r="G1628" s="22" t="str">
        <f aca="false">IF(F1628=7,IF(B1628&gt;=23,"C","Sin turno"),IF(B1628&lt;7,"C",IF(B1628&lt;14,"A",IF(B1628&lt;21,"B",IF(B1628&lt;23,"Entre turnos",IF(F1628=6,"Sin turno","C"))))))</f>
        <v>B</v>
      </c>
      <c r="H1628" s="25" t="n">
        <f aca="false">IF(D1628="","",MAX(0,D1628-0.5*C1628))</f>
        <v>0</v>
      </c>
    </row>
    <row r="1629" customFormat="false" ht="15" hidden="false" customHeight="false" outlineLevel="0" collapsed="false">
      <c r="A1629" s="21" t="n">
        <v>46288</v>
      </c>
      <c r="B1629" s="22" t="n">
        <v>19</v>
      </c>
      <c r="C1629" s="25" t="n">
        <v>189.96</v>
      </c>
      <c r="D1629" s="25" t="n">
        <v>21.24</v>
      </c>
      <c r="E1629" s="25" t="n">
        <v>0</v>
      </c>
      <c r="F1629" s="22" t="n">
        <f aca="false">WEEKDAY(A1629,2)</f>
        <v>3</v>
      </c>
      <c r="G1629" s="22" t="str">
        <f aca="false">IF(F1629=7,IF(B1629&gt;=23,"C","Sin turno"),IF(B1629&lt;7,"C",IF(B1629&lt;14,"A",IF(B1629&lt;21,"B",IF(B1629&lt;23,"Entre turnos",IF(F1629=6,"Sin turno","C"))))))</f>
        <v>B</v>
      </c>
      <c r="H1629" s="25" t="n">
        <f aca="false">IF(D1629="","",MAX(0,D1629-0.5*C1629))</f>
        <v>0</v>
      </c>
    </row>
    <row r="1630" customFormat="false" ht="15" hidden="false" customHeight="false" outlineLevel="0" collapsed="false">
      <c r="A1630" s="21" t="n">
        <v>46288</v>
      </c>
      <c r="B1630" s="22" t="n">
        <v>20</v>
      </c>
      <c r="C1630" s="25" t="n">
        <v>212.52</v>
      </c>
      <c r="D1630" s="25" t="n">
        <v>16.2</v>
      </c>
      <c r="E1630" s="25" t="n">
        <v>0.12</v>
      </c>
      <c r="F1630" s="22" t="n">
        <f aca="false">WEEKDAY(A1630,2)</f>
        <v>3</v>
      </c>
      <c r="G1630" s="22" t="str">
        <f aca="false">IF(F1630=7,IF(B1630&gt;=23,"C","Sin turno"),IF(B1630&lt;7,"C",IF(B1630&lt;14,"A",IF(B1630&lt;21,"B",IF(B1630&lt;23,"Entre turnos",IF(F1630=6,"Sin turno","C"))))))</f>
        <v>B</v>
      </c>
      <c r="H1630" s="25" t="n">
        <f aca="false">IF(D1630="","",MAX(0,D1630-0.5*C1630))</f>
        <v>0</v>
      </c>
    </row>
    <row r="1631" customFormat="false" ht="15" hidden="false" customHeight="false" outlineLevel="0" collapsed="false">
      <c r="A1631" s="21" t="n">
        <v>46288</v>
      </c>
      <c r="B1631" s="22" t="n">
        <v>21</v>
      </c>
      <c r="C1631" s="25" t="n">
        <v>219.72</v>
      </c>
      <c r="D1631" s="25" t="n">
        <v>21.24</v>
      </c>
      <c r="E1631" s="25" t="n">
        <v>0.24</v>
      </c>
      <c r="F1631" s="22" t="n">
        <f aca="false">WEEKDAY(A1631,2)</f>
        <v>3</v>
      </c>
      <c r="G1631" s="22" t="str">
        <f aca="false">IF(F1631=7,IF(B1631&gt;=23,"C","Sin turno"),IF(B1631&lt;7,"C",IF(B1631&lt;14,"A",IF(B1631&lt;21,"B",IF(B1631&lt;23,"Entre turnos",IF(F1631=6,"Sin turno","C"))))))</f>
        <v>Entre turnos</v>
      </c>
      <c r="H1631" s="25" t="n">
        <f aca="false">IF(D1631="","",MAX(0,D1631-0.5*C1631))</f>
        <v>0</v>
      </c>
    </row>
    <row r="1632" customFormat="false" ht="15" hidden="false" customHeight="false" outlineLevel="0" collapsed="false">
      <c r="A1632" s="21" t="n">
        <v>46288</v>
      </c>
      <c r="B1632" s="22" t="n">
        <v>22</v>
      </c>
      <c r="C1632" s="25" t="n">
        <v>220.2</v>
      </c>
      <c r="D1632" s="25" t="n">
        <v>27.36</v>
      </c>
      <c r="E1632" s="25" t="n">
        <v>0</v>
      </c>
      <c r="F1632" s="22" t="n">
        <f aca="false">WEEKDAY(A1632,2)</f>
        <v>3</v>
      </c>
      <c r="G1632" s="22" t="str">
        <f aca="false">IF(F1632=7,IF(B1632&gt;=23,"C","Sin turno"),IF(B1632&lt;7,"C",IF(B1632&lt;14,"A",IF(B1632&lt;21,"B",IF(B1632&lt;23,"Entre turnos",IF(F1632=6,"Sin turno","C"))))))</f>
        <v>Entre turnos</v>
      </c>
      <c r="H1632" s="25" t="n">
        <f aca="false">IF(D1632="","",MAX(0,D1632-0.5*C1632))</f>
        <v>0</v>
      </c>
    </row>
    <row r="1633" customFormat="false" ht="15" hidden="false" customHeight="false" outlineLevel="0" collapsed="false">
      <c r="A1633" s="21" t="n">
        <v>46288</v>
      </c>
      <c r="B1633" s="22" t="n">
        <v>23</v>
      </c>
      <c r="C1633" s="25" t="n">
        <v>127.08</v>
      </c>
      <c r="D1633" s="25" t="n">
        <v>12.12</v>
      </c>
      <c r="E1633" s="25" t="n">
        <v>0.36</v>
      </c>
      <c r="F1633" s="22" t="n">
        <f aca="false">WEEKDAY(A1633,2)</f>
        <v>3</v>
      </c>
      <c r="G1633" s="22" t="str">
        <f aca="false">IF(F1633=7,IF(B1633&gt;=23,"C","Sin turno"),IF(B1633&lt;7,"C",IF(B1633&lt;14,"A",IF(B1633&lt;21,"B",IF(B1633&lt;23,"Entre turnos",IF(F1633=6,"Sin turno","C"))))))</f>
        <v>C</v>
      </c>
      <c r="H1633" s="25" t="n">
        <f aca="false">IF(D1633="","",MAX(0,D1633-0.5*C1633))</f>
        <v>0</v>
      </c>
    </row>
    <row r="1634" customFormat="false" ht="15" hidden="false" customHeight="false" outlineLevel="0" collapsed="false">
      <c r="A1634" s="21" t="n">
        <v>46289</v>
      </c>
      <c r="B1634" s="22" t="n">
        <v>0</v>
      </c>
      <c r="C1634" s="25" t="n">
        <v>101.28</v>
      </c>
      <c r="D1634" s="25" t="n">
        <v>8.52</v>
      </c>
      <c r="E1634" s="25" t="n">
        <v>0.6</v>
      </c>
      <c r="F1634" s="22" t="n">
        <f aca="false">WEEKDAY(A1634,2)</f>
        <v>4</v>
      </c>
      <c r="G1634" s="22" t="str">
        <f aca="false">IF(F1634=7,IF(B1634&gt;=23,"C","Sin turno"),IF(B1634&lt;7,"C",IF(B1634&lt;14,"A",IF(B1634&lt;21,"B",IF(B1634&lt;23,"Entre turnos",IF(F1634=6,"Sin turno","C"))))))</f>
        <v>C</v>
      </c>
      <c r="H1634" s="25" t="n">
        <f aca="false">IF(D1634="","",MAX(0,D1634-0.5*C1634))</f>
        <v>0</v>
      </c>
    </row>
    <row r="1635" customFormat="false" ht="15" hidden="false" customHeight="false" outlineLevel="0" collapsed="false">
      <c r="A1635" s="21" t="n">
        <v>46289</v>
      </c>
      <c r="B1635" s="22" t="n">
        <v>1</v>
      </c>
      <c r="C1635" s="25" t="n">
        <v>97.92</v>
      </c>
      <c r="D1635" s="25" t="n">
        <v>7.56</v>
      </c>
      <c r="E1635" s="25" t="n">
        <v>0.6</v>
      </c>
      <c r="F1635" s="22" t="n">
        <f aca="false">WEEKDAY(A1635,2)</f>
        <v>4</v>
      </c>
      <c r="G1635" s="22" t="str">
        <f aca="false">IF(F1635=7,IF(B1635&gt;=23,"C","Sin turno"),IF(B1635&lt;7,"C",IF(B1635&lt;14,"A",IF(B1635&lt;21,"B",IF(B1635&lt;23,"Entre turnos",IF(F1635=6,"Sin turno","C"))))))</f>
        <v>C</v>
      </c>
      <c r="H1635" s="25" t="n">
        <f aca="false">IF(D1635="","",MAX(0,D1635-0.5*C1635))</f>
        <v>0</v>
      </c>
    </row>
    <row r="1636" customFormat="false" ht="15" hidden="false" customHeight="false" outlineLevel="0" collapsed="false">
      <c r="A1636" s="21" t="n">
        <v>46289</v>
      </c>
      <c r="B1636" s="22" t="n">
        <v>2</v>
      </c>
      <c r="C1636" s="25" t="n">
        <v>94.56</v>
      </c>
      <c r="D1636" s="25" t="n">
        <v>8.04</v>
      </c>
      <c r="E1636" s="25" t="n">
        <v>0.72</v>
      </c>
      <c r="F1636" s="22" t="n">
        <f aca="false">WEEKDAY(A1636,2)</f>
        <v>4</v>
      </c>
      <c r="G1636" s="22" t="str">
        <f aca="false">IF(F1636=7,IF(B1636&gt;=23,"C","Sin turno"),IF(B1636&lt;7,"C",IF(B1636&lt;14,"A",IF(B1636&lt;21,"B",IF(B1636&lt;23,"Entre turnos",IF(F1636=6,"Sin turno","C"))))))</f>
        <v>C</v>
      </c>
      <c r="H1636" s="25" t="n">
        <f aca="false">IF(D1636="","",MAX(0,D1636-0.5*C1636))</f>
        <v>0</v>
      </c>
    </row>
    <row r="1637" customFormat="false" ht="15" hidden="false" customHeight="false" outlineLevel="0" collapsed="false">
      <c r="A1637" s="21" t="n">
        <v>46289</v>
      </c>
      <c r="B1637" s="22" t="n">
        <v>3</v>
      </c>
      <c r="C1637" s="25" t="n">
        <v>93.36</v>
      </c>
      <c r="D1637" s="25" t="n">
        <v>15.24</v>
      </c>
      <c r="E1637" s="25" t="n">
        <v>0.36</v>
      </c>
      <c r="F1637" s="22" t="n">
        <f aca="false">WEEKDAY(A1637,2)</f>
        <v>4</v>
      </c>
      <c r="G1637" s="22" t="str">
        <f aca="false">IF(F1637=7,IF(B1637&gt;=23,"C","Sin turno"),IF(B1637&lt;7,"C",IF(B1637&lt;14,"A",IF(B1637&lt;21,"B",IF(B1637&lt;23,"Entre turnos",IF(F1637=6,"Sin turno","C"))))))</f>
        <v>C</v>
      </c>
      <c r="H1637" s="25" t="n">
        <f aca="false">IF(D1637="","",MAX(0,D1637-0.5*C1637))</f>
        <v>0</v>
      </c>
    </row>
    <row r="1638" customFormat="false" ht="15" hidden="false" customHeight="false" outlineLevel="0" collapsed="false">
      <c r="A1638" s="21" t="n">
        <v>46289</v>
      </c>
      <c r="B1638" s="22" t="n">
        <v>4</v>
      </c>
      <c r="C1638" s="25" t="n">
        <v>92.4</v>
      </c>
      <c r="D1638" s="25" t="n">
        <v>11.4</v>
      </c>
      <c r="E1638" s="25" t="n">
        <v>0.72</v>
      </c>
      <c r="F1638" s="22" t="n">
        <f aca="false">WEEKDAY(A1638,2)</f>
        <v>4</v>
      </c>
      <c r="G1638" s="22" t="str">
        <f aca="false">IF(F1638=7,IF(B1638&gt;=23,"C","Sin turno"),IF(B1638&lt;7,"C",IF(B1638&lt;14,"A",IF(B1638&lt;21,"B",IF(B1638&lt;23,"Entre turnos",IF(F1638=6,"Sin turno","C"))))))</f>
        <v>C</v>
      </c>
      <c r="H1638" s="25" t="n">
        <f aca="false">IF(D1638="","",MAX(0,D1638-0.5*C1638))</f>
        <v>0</v>
      </c>
    </row>
    <row r="1639" customFormat="false" ht="15" hidden="false" customHeight="false" outlineLevel="0" collapsed="false">
      <c r="A1639" s="21" t="n">
        <v>46289</v>
      </c>
      <c r="B1639" s="22" t="n">
        <v>5</v>
      </c>
      <c r="C1639" s="25" t="n">
        <v>107.16</v>
      </c>
      <c r="D1639" s="25" t="n">
        <v>8.76</v>
      </c>
      <c r="E1639" s="25" t="n">
        <v>0.6</v>
      </c>
      <c r="F1639" s="22" t="n">
        <f aca="false">WEEKDAY(A1639,2)</f>
        <v>4</v>
      </c>
      <c r="G1639" s="22" t="str">
        <f aca="false">IF(F1639=7,IF(B1639&gt;=23,"C","Sin turno"),IF(B1639&lt;7,"C",IF(B1639&lt;14,"A",IF(B1639&lt;21,"B",IF(B1639&lt;23,"Entre turnos",IF(F1639=6,"Sin turno","C"))))))</f>
        <v>C</v>
      </c>
      <c r="H1639" s="25" t="n">
        <f aca="false">IF(D1639="","",MAX(0,D1639-0.5*C1639))</f>
        <v>0</v>
      </c>
    </row>
    <row r="1640" customFormat="false" ht="15" hidden="false" customHeight="false" outlineLevel="0" collapsed="false">
      <c r="A1640" s="21" t="n">
        <v>46289</v>
      </c>
      <c r="B1640" s="22" t="n">
        <v>6</v>
      </c>
      <c r="C1640" s="25" t="n">
        <v>137.76</v>
      </c>
      <c r="D1640" s="25" t="n">
        <v>13.56</v>
      </c>
      <c r="E1640" s="25" t="n">
        <v>0</v>
      </c>
      <c r="F1640" s="22" t="n">
        <f aca="false">WEEKDAY(A1640,2)</f>
        <v>4</v>
      </c>
      <c r="G1640" s="22" t="str">
        <f aca="false">IF(F1640=7,IF(B1640&gt;=23,"C","Sin turno"),IF(B1640&lt;7,"C",IF(B1640&lt;14,"A",IF(B1640&lt;21,"B",IF(B1640&lt;23,"Entre turnos",IF(F1640=6,"Sin turno","C"))))))</f>
        <v>C</v>
      </c>
      <c r="H1640" s="25" t="n">
        <f aca="false">IF(D1640="","",MAX(0,D1640-0.5*C1640))</f>
        <v>0</v>
      </c>
    </row>
    <row r="1641" customFormat="false" ht="15" hidden="false" customHeight="false" outlineLevel="0" collapsed="false">
      <c r="A1641" s="21" t="n">
        <v>46289</v>
      </c>
      <c r="B1641" s="22" t="n">
        <v>7</v>
      </c>
      <c r="C1641" s="25" t="n">
        <v>237.12</v>
      </c>
      <c r="D1641" s="25" t="n">
        <v>18.12</v>
      </c>
      <c r="E1641" s="25" t="n">
        <v>0</v>
      </c>
      <c r="F1641" s="22" t="n">
        <f aca="false">WEEKDAY(A1641,2)</f>
        <v>4</v>
      </c>
      <c r="G1641" s="22" t="str">
        <f aca="false">IF(F1641=7,IF(B1641&gt;=23,"C","Sin turno"),IF(B1641&lt;7,"C",IF(B1641&lt;14,"A",IF(B1641&lt;21,"B",IF(B1641&lt;23,"Entre turnos",IF(F1641=6,"Sin turno","C"))))))</f>
        <v>A</v>
      </c>
      <c r="H1641" s="25" t="n">
        <f aca="false">IF(D1641="","",MAX(0,D1641-0.5*C1641))</f>
        <v>0</v>
      </c>
    </row>
    <row r="1642" customFormat="false" ht="15" hidden="false" customHeight="false" outlineLevel="0" collapsed="false">
      <c r="A1642" s="21" t="n">
        <v>46289</v>
      </c>
      <c r="B1642" s="22" t="n">
        <v>8</v>
      </c>
      <c r="C1642" s="25" t="n">
        <v>257.88</v>
      </c>
      <c r="D1642" s="25" t="n">
        <v>26.28</v>
      </c>
      <c r="E1642" s="25" t="n">
        <v>0.12</v>
      </c>
      <c r="F1642" s="22" t="n">
        <f aca="false">WEEKDAY(A1642,2)</f>
        <v>4</v>
      </c>
      <c r="G1642" s="22" t="str">
        <f aca="false">IF(F1642=7,IF(B1642&gt;=23,"C","Sin turno"),IF(B1642&lt;7,"C",IF(B1642&lt;14,"A",IF(B1642&lt;21,"B",IF(B1642&lt;23,"Entre turnos",IF(F1642=6,"Sin turno","C"))))))</f>
        <v>A</v>
      </c>
      <c r="H1642" s="25" t="n">
        <f aca="false">IF(D1642="","",MAX(0,D1642-0.5*C1642))</f>
        <v>0</v>
      </c>
    </row>
    <row r="1643" customFormat="false" ht="15" hidden="false" customHeight="false" outlineLevel="0" collapsed="false">
      <c r="A1643" s="21" t="n">
        <v>46289</v>
      </c>
      <c r="B1643" s="22" t="n">
        <v>9</v>
      </c>
      <c r="C1643" s="25" t="n">
        <v>253.56</v>
      </c>
      <c r="D1643" s="25" t="n">
        <v>25.92</v>
      </c>
      <c r="E1643" s="25" t="n">
        <v>0.12</v>
      </c>
      <c r="F1643" s="22" t="n">
        <f aca="false">WEEKDAY(A1643,2)</f>
        <v>4</v>
      </c>
      <c r="G1643" s="22" t="str">
        <f aca="false">IF(F1643=7,IF(B1643&gt;=23,"C","Sin turno"),IF(B1643&lt;7,"C",IF(B1643&lt;14,"A",IF(B1643&lt;21,"B",IF(B1643&lt;23,"Entre turnos",IF(F1643=6,"Sin turno","C"))))))</f>
        <v>A</v>
      </c>
      <c r="H1643" s="25" t="n">
        <f aca="false">IF(D1643="","",MAX(0,D1643-0.5*C1643))</f>
        <v>0</v>
      </c>
    </row>
    <row r="1644" customFormat="false" ht="15" hidden="false" customHeight="false" outlineLevel="0" collapsed="false">
      <c r="A1644" s="21" t="n">
        <v>46289</v>
      </c>
      <c r="B1644" s="22" t="n">
        <v>10</v>
      </c>
      <c r="C1644" s="25" t="n">
        <v>265.56</v>
      </c>
      <c r="D1644" s="25" t="n">
        <v>27.72</v>
      </c>
      <c r="E1644" s="25" t="n">
        <v>0</v>
      </c>
      <c r="F1644" s="22" t="n">
        <f aca="false">WEEKDAY(A1644,2)</f>
        <v>4</v>
      </c>
      <c r="G1644" s="22" t="str">
        <f aca="false">IF(F1644=7,IF(B1644&gt;=23,"C","Sin turno"),IF(B1644&lt;7,"C",IF(B1644&lt;14,"A",IF(B1644&lt;21,"B",IF(B1644&lt;23,"Entre turnos",IF(F1644=6,"Sin turno","C"))))))</f>
        <v>A</v>
      </c>
      <c r="H1644" s="25" t="n">
        <f aca="false">IF(D1644="","",MAX(0,D1644-0.5*C1644))</f>
        <v>0</v>
      </c>
    </row>
    <row r="1645" customFormat="false" ht="15" hidden="false" customHeight="false" outlineLevel="0" collapsed="false">
      <c r="A1645" s="21" t="n">
        <v>46289</v>
      </c>
      <c r="B1645" s="22" t="n">
        <v>11</v>
      </c>
      <c r="C1645" s="25" t="n">
        <v>233.04</v>
      </c>
      <c r="D1645" s="25" t="n">
        <v>24.12</v>
      </c>
      <c r="E1645" s="25" t="n">
        <v>0</v>
      </c>
      <c r="F1645" s="22" t="n">
        <f aca="false">WEEKDAY(A1645,2)</f>
        <v>4</v>
      </c>
      <c r="G1645" s="22" t="str">
        <f aca="false">IF(F1645=7,IF(B1645&gt;=23,"C","Sin turno"),IF(B1645&lt;7,"C",IF(B1645&lt;14,"A",IF(B1645&lt;21,"B",IF(B1645&lt;23,"Entre turnos",IF(F1645=6,"Sin turno","C"))))))</f>
        <v>A</v>
      </c>
      <c r="H1645" s="25" t="n">
        <f aca="false">IF(D1645="","",MAX(0,D1645-0.5*C1645))</f>
        <v>0</v>
      </c>
    </row>
    <row r="1646" customFormat="false" ht="15" hidden="false" customHeight="false" outlineLevel="0" collapsed="false">
      <c r="A1646" s="21" t="n">
        <v>46289</v>
      </c>
      <c r="B1646" s="22" t="n">
        <v>12</v>
      </c>
      <c r="C1646" s="25" t="n">
        <v>245.88</v>
      </c>
      <c r="D1646" s="25" t="n">
        <v>28.8</v>
      </c>
      <c r="E1646" s="25" t="n">
        <v>0</v>
      </c>
      <c r="F1646" s="22" t="n">
        <f aca="false">WEEKDAY(A1646,2)</f>
        <v>4</v>
      </c>
      <c r="G1646" s="22" t="str">
        <f aca="false">IF(F1646=7,IF(B1646&gt;=23,"C","Sin turno"),IF(B1646&lt;7,"C",IF(B1646&lt;14,"A",IF(B1646&lt;21,"B",IF(B1646&lt;23,"Entre turnos",IF(F1646=6,"Sin turno","C"))))))</f>
        <v>A</v>
      </c>
      <c r="H1646" s="25" t="n">
        <f aca="false">IF(D1646="","",MAX(0,D1646-0.5*C1646))</f>
        <v>0</v>
      </c>
    </row>
    <row r="1647" customFormat="false" ht="15" hidden="false" customHeight="false" outlineLevel="0" collapsed="false">
      <c r="A1647" s="21" t="n">
        <v>46289</v>
      </c>
      <c r="B1647" s="22" t="n">
        <v>13</v>
      </c>
      <c r="C1647" s="25" t="n">
        <v>250.8</v>
      </c>
      <c r="D1647" s="25" t="n">
        <v>26.04</v>
      </c>
      <c r="E1647" s="25" t="n">
        <v>0</v>
      </c>
      <c r="F1647" s="22" t="n">
        <f aca="false">WEEKDAY(A1647,2)</f>
        <v>4</v>
      </c>
      <c r="G1647" s="22" t="str">
        <f aca="false">IF(F1647=7,IF(B1647&gt;=23,"C","Sin turno"),IF(B1647&lt;7,"C",IF(B1647&lt;14,"A",IF(B1647&lt;21,"B",IF(B1647&lt;23,"Entre turnos",IF(F1647=6,"Sin turno","C"))))))</f>
        <v>A</v>
      </c>
      <c r="H1647" s="25" t="n">
        <f aca="false">IF(D1647="","",MAX(0,D1647-0.5*C1647))</f>
        <v>0</v>
      </c>
    </row>
    <row r="1648" customFormat="false" ht="15" hidden="false" customHeight="false" outlineLevel="0" collapsed="false">
      <c r="A1648" s="21" t="n">
        <v>46289</v>
      </c>
      <c r="B1648" s="22" t="n">
        <v>14</v>
      </c>
      <c r="C1648" s="25" t="n">
        <v>262.44</v>
      </c>
      <c r="D1648" s="25" t="n">
        <v>25.68</v>
      </c>
      <c r="E1648" s="25" t="n">
        <v>0.12</v>
      </c>
      <c r="F1648" s="22" t="n">
        <f aca="false">WEEKDAY(A1648,2)</f>
        <v>4</v>
      </c>
      <c r="G1648" s="22" t="str">
        <f aca="false">IF(F1648=7,IF(B1648&gt;=23,"C","Sin turno"),IF(B1648&lt;7,"C",IF(B1648&lt;14,"A",IF(B1648&lt;21,"B",IF(B1648&lt;23,"Entre turnos",IF(F1648=6,"Sin turno","C"))))))</f>
        <v>B</v>
      </c>
      <c r="H1648" s="25" t="n">
        <f aca="false">IF(D1648="","",MAX(0,D1648-0.5*C1648))</f>
        <v>0</v>
      </c>
    </row>
    <row r="1649" customFormat="false" ht="15" hidden="false" customHeight="false" outlineLevel="0" collapsed="false">
      <c r="A1649" s="21" t="n">
        <v>46289</v>
      </c>
      <c r="B1649" s="22" t="n">
        <v>15</v>
      </c>
      <c r="C1649" s="25" t="n">
        <v>278.4</v>
      </c>
      <c r="D1649" s="25" t="n">
        <v>26.76</v>
      </c>
      <c r="E1649" s="25" t="n">
        <v>0</v>
      </c>
      <c r="F1649" s="22" t="n">
        <f aca="false">WEEKDAY(A1649,2)</f>
        <v>4</v>
      </c>
      <c r="G1649" s="22" t="str">
        <f aca="false">IF(F1649=7,IF(B1649&gt;=23,"C","Sin turno"),IF(B1649&lt;7,"C",IF(B1649&lt;14,"A",IF(B1649&lt;21,"B",IF(B1649&lt;23,"Entre turnos",IF(F1649=6,"Sin turno","C"))))))</f>
        <v>B</v>
      </c>
      <c r="H1649" s="25" t="n">
        <f aca="false">IF(D1649="","",MAX(0,D1649-0.5*C1649))</f>
        <v>0</v>
      </c>
    </row>
    <row r="1650" customFormat="false" ht="15" hidden="false" customHeight="false" outlineLevel="0" collapsed="false">
      <c r="A1650" s="21" t="n">
        <v>46289</v>
      </c>
      <c r="B1650" s="22" t="n">
        <v>16</v>
      </c>
      <c r="C1650" s="25" t="n">
        <v>278.76</v>
      </c>
      <c r="D1650" s="25" t="n">
        <v>27</v>
      </c>
      <c r="E1650" s="25" t="n">
        <v>0</v>
      </c>
      <c r="F1650" s="22" t="n">
        <f aca="false">WEEKDAY(A1650,2)</f>
        <v>4</v>
      </c>
      <c r="G1650" s="22" t="str">
        <f aca="false">IF(F1650=7,IF(B1650&gt;=23,"C","Sin turno"),IF(B1650&lt;7,"C",IF(B1650&lt;14,"A",IF(B1650&lt;21,"B",IF(B1650&lt;23,"Entre turnos",IF(F1650=6,"Sin turno","C"))))))</f>
        <v>B</v>
      </c>
      <c r="H1650" s="25" t="n">
        <f aca="false">IF(D1650="","",MAX(0,D1650-0.5*C1650))</f>
        <v>0</v>
      </c>
    </row>
    <row r="1651" customFormat="false" ht="15" hidden="false" customHeight="false" outlineLevel="0" collapsed="false">
      <c r="A1651" s="21" t="n">
        <v>46289</v>
      </c>
      <c r="B1651" s="22" t="n">
        <v>17</v>
      </c>
      <c r="C1651" s="25" t="n">
        <v>241.56</v>
      </c>
      <c r="D1651" s="25" t="n">
        <v>23.64</v>
      </c>
      <c r="E1651" s="25" t="n">
        <v>0</v>
      </c>
      <c r="F1651" s="22" t="n">
        <f aca="false">WEEKDAY(A1651,2)</f>
        <v>4</v>
      </c>
      <c r="G1651" s="22" t="str">
        <f aca="false">IF(F1651=7,IF(B1651&gt;=23,"C","Sin turno"),IF(B1651&lt;7,"C",IF(B1651&lt;14,"A",IF(B1651&lt;21,"B",IF(B1651&lt;23,"Entre turnos",IF(F1651=6,"Sin turno","C"))))))</f>
        <v>B</v>
      </c>
      <c r="H1651" s="25" t="n">
        <f aca="false">IF(D1651="","",MAX(0,D1651-0.5*C1651))</f>
        <v>0</v>
      </c>
    </row>
    <row r="1652" customFormat="false" ht="15" hidden="false" customHeight="false" outlineLevel="0" collapsed="false">
      <c r="A1652" s="21" t="n">
        <v>46289</v>
      </c>
      <c r="B1652" s="22" t="n">
        <v>18</v>
      </c>
      <c r="C1652" s="25" t="n">
        <v>246.48</v>
      </c>
      <c r="D1652" s="25" t="n">
        <v>26.04</v>
      </c>
      <c r="E1652" s="25" t="n">
        <v>0</v>
      </c>
      <c r="F1652" s="22" t="n">
        <f aca="false">WEEKDAY(A1652,2)</f>
        <v>4</v>
      </c>
      <c r="G1652" s="22" t="str">
        <f aca="false">IF(F1652=7,IF(B1652&gt;=23,"C","Sin turno"),IF(B1652&lt;7,"C",IF(B1652&lt;14,"A",IF(B1652&lt;21,"B",IF(B1652&lt;23,"Entre turnos",IF(F1652=6,"Sin turno","C"))))))</f>
        <v>B</v>
      </c>
      <c r="H1652" s="25" t="n">
        <f aca="false">IF(D1652="","",MAX(0,D1652-0.5*C1652))</f>
        <v>0</v>
      </c>
    </row>
    <row r="1653" customFormat="false" ht="15" hidden="false" customHeight="false" outlineLevel="0" collapsed="false">
      <c r="A1653" s="21" t="n">
        <v>46289</v>
      </c>
      <c r="B1653" s="22" t="n">
        <v>19</v>
      </c>
      <c r="C1653" s="25" t="n">
        <v>183.48</v>
      </c>
      <c r="D1653" s="25" t="n">
        <v>18.72</v>
      </c>
      <c r="E1653" s="25" t="n">
        <v>0.24</v>
      </c>
      <c r="F1653" s="22" t="n">
        <f aca="false">WEEKDAY(A1653,2)</f>
        <v>4</v>
      </c>
      <c r="G1653" s="22" t="str">
        <f aca="false">IF(F1653=7,IF(B1653&gt;=23,"C","Sin turno"),IF(B1653&lt;7,"C",IF(B1653&lt;14,"A",IF(B1653&lt;21,"B",IF(B1653&lt;23,"Entre turnos",IF(F1653=6,"Sin turno","C"))))))</f>
        <v>B</v>
      </c>
      <c r="H1653" s="25" t="n">
        <f aca="false">IF(D1653="","",MAX(0,D1653-0.5*C1653))</f>
        <v>0</v>
      </c>
    </row>
    <row r="1654" customFormat="false" ht="15" hidden="false" customHeight="false" outlineLevel="0" collapsed="false">
      <c r="A1654" s="21" t="n">
        <v>46289</v>
      </c>
      <c r="B1654" s="22" t="n">
        <v>20</v>
      </c>
      <c r="C1654" s="25" t="n">
        <v>215.28</v>
      </c>
      <c r="D1654" s="25" t="n">
        <v>17.52</v>
      </c>
      <c r="E1654" s="25" t="n">
        <v>0</v>
      </c>
      <c r="F1654" s="22" t="n">
        <f aca="false">WEEKDAY(A1654,2)</f>
        <v>4</v>
      </c>
      <c r="G1654" s="22" t="str">
        <f aca="false">IF(F1654=7,IF(B1654&gt;=23,"C","Sin turno"),IF(B1654&lt;7,"C",IF(B1654&lt;14,"A",IF(B1654&lt;21,"B",IF(B1654&lt;23,"Entre turnos",IF(F1654=6,"Sin turno","C"))))))</f>
        <v>B</v>
      </c>
      <c r="H1654" s="25" t="n">
        <f aca="false">IF(D1654="","",MAX(0,D1654-0.5*C1654))</f>
        <v>0</v>
      </c>
    </row>
    <row r="1655" customFormat="false" ht="15" hidden="false" customHeight="false" outlineLevel="0" collapsed="false">
      <c r="A1655" s="21" t="n">
        <v>46289</v>
      </c>
      <c r="B1655" s="22" t="n">
        <v>21</v>
      </c>
      <c r="C1655" s="25" t="n">
        <v>212.16</v>
      </c>
      <c r="D1655" s="25" t="n">
        <v>16.08</v>
      </c>
      <c r="E1655" s="25" t="n">
        <v>0.24</v>
      </c>
      <c r="F1655" s="22" t="n">
        <f aca="false">WEEKDAY(A1655,2)</f>
        <v>4</v>
      </c>
      <c r="G1655" s="22" t="str">
        <f aca="false">IF(F1655=7,IF(B1655&gt;=23,"C","Sin turno"),IF(B1655&lt;7,"C",IF(B1655&lt;14,"A",IF(B1655&lt;21,"B",IF(B1655&lt;23,"Entre turnos",IF(F1655=6,"Sin turno","C"))))))</f>
        <v>Entre turnos</v>
      </c>
      <c r="H1655" s="25" t="n">
        <f aca="false">IF(D1655="","",MAX(0,D1655-0.5*C1655))</f>
        <v>0</v>
      </c>
    </row>
    <row r="1656" customFormat="false" ht="15" hidden="false" customHeight="false" outlineLevel="0" collapsed="false">
      <c r="A1656" s="21" t="n">
        <v>46289</v>
      </c>
      <c r="B1656" s="22" t="n">
        <v>22</v>
      </c>
      <c r="C1656" s="25" t="n">
        <v>200.64</v>
      </c>
      <c r="D1656" s="25" t="n">
        <v>17.28</v>
      </c>
      <c r="E1656" s="25" t="n">
        <v>0.12</v>
      </c>
      <c r="F1656" s="22" t="n">
        <f aca="false">WEEKDAY(A1656,2)</f>
        <v>4</v>
      </c>
      <c r="G1656" s="22" t="str">
        <f aca="false">IF(F1656=7,IF(B1656&gt;=23,"C","Sin turno"),IF(B1656&lt;7,"C",IF(B1656&lt;14,"A",IF(B1656&lt;21,"B",IF(B1656&lt;23,"Entre turnos",IF(F1656=6,"Sin turno","C"))))))</f>
        <v>Entre turnos</v>
      </c>
      <c r="H1656" s="25" t="n">
        <f aca="false">IF(D1656="","",MAX(0,D1656-0.5*C1656))</f>
        <v>0</v>
      </c>
    </row>
    <row r="1657" customFormat="false" ht="15" hidden="false" customHeight="false" outlineLevel="0" collapsed="false">
      <c r="A1657" s="21" t="n">
        <v>46289</v>
      </c>
      <c r="B1657" s="22" t="n">
        <v>23</v>
      </c>
      <c r="C1657" s="25" t="n">
        <v>114.36</v>
      </c>
      <c r="D1657" s="25" t="n">
        <v>14.88</v>
      </c>
      <c r="E1657" s="25" t="n">
        <v>0.72</v>
      </c>
      <c r="F1657" s="22" t="n">
        <f aca="false">WEEKDAY(A1657,2)</f>
        <v>4</v>
      </c>
      <c r="G1657" s="22" t="str">
        <f aca="false">IF(F1657=7,IF(B1657&gt;=23,"C","Sin turno"),IF(B1657&lt;7,"C",IF(B1657&lt;14,"A",IF(B1657&lt;21,"B",IF(B1657&lt;23,"Entre turnos",IF(F1657=6,"Sin turno","C"))))))</f>
        <v>C</v>
      </c>
      <c r="H1657" s="25" t="n">
        <f aca="false">IF(D1657="","",MAX(0,D1657-0.5*C1657))</f>
        <v>0</v>
      </c>
    </row>
    <row r="1658" customFormat="false" ht="15" hidden="false" customHeight="false" outlineLevel="0" collapsed="false">
      <c r="A1658" s="21" t="n">
        <v>46290</v>
      </c>
      <c r="B1658" s="22" t="n">
        <v>0</v>
      </c>
      <c r="C1658" s="25" t="n">
        <v>100.8</v>
      </c>
      <c r="D1658" s="25" t="n">
        <v>10.56</v>
      </c>
      <c r="E1658" s="25" t="n">
        <v>1.08</v>
      </c>
      <c r="F1658" s="22" t="n">
        <f aca="false">WEEKDAY(A1658,2)</f>
        <v>5</v>
      </c>
      <c r="G1658" s="22" t="str">
        <f aca="false">IF(F1658=7,IF(B1658&gt;=23,"C","Sin turno"),IF(B1658&lt;7,"C",IF(B1658&lt;14,"A",IF(B1658&lt;21,"B",IF(B1658&lt;23,"Entre turnos",IF(F1658=6,"Sin turno","C"))))))</f>
        <v>C</v>
      </c>
      <c r="H1658" s="25" t="n">
        <f aca="false">IF(D1658="","",MAX(0,D1658-0.5*C1658))</f>
        <v>0</v>
      </c>
    </row>
    <row r="1659" customFormat="false" ht="15" hidden="false" customHeight="false" outlineLevel="0" collapsed="false">
      <c r="A1659" s="21" t="n">
        <v>46290</v>
      </c>
      <c r="B1659" s="22" t="n">
        <v>1</v>
      </c>
      <c r="C1659" s="25" t="n">
        <v>100.56</v>
      </c>
      <c r="D1659" s="25" t="n">
        <v>11.16</v>
      </c>
      <c r="E1659" s="25" t="n">
        <v>0.48</v>
      </c>
      <c r="F1659" s="22" t="n">
        <f aca="false">WEEKDAY(A1659,2)</f>
        <v>5</v>
      </c>
      <c r="G1659" s="22" t="str">
        <f aca="false">IF(F1659=7,IF(B1659&gt;=23,"C","Sin turno"),IF(B1659&lt;7,"C",IF(B1659&lt;14,"A",IF(B1659&lt;21,"B",IF(B1659&lt;23,"Entre turnos",IF(F1659=6,"Sin turno","C"))))))</f>
        <v>C</v>
      </c>
      <c r="H1659" s="25" t="n">
        <f aca="false">IF(D1659="","",MAX(0,D1659-0.5*C1659))</f>
        <v>0</v>
      </c>
    </row>
    <row r="1660" customFormat="false" ht="15" hidden="false" customHeight="false" outlineLevel="0" collapsed="false">
      <c r="A1660" s="21" t="n">
        <v>46290</v>
      </c>
      <c r="B1660" s="22" t="n">
        <v>2</v>
      </c>
      <c r="C1660" s="25" t="n">
        <v>94.68</v>
      </c>
      <c r="D1660" s="25" t="n">
        <v>8.4</v>
      </c>
      <c r="E1660" s="25" t="n">
        <v>0.6</v>
      </c>
      <c r="F1660" s="22" t="n">
        <f aca="false">WEEKDAY(A1660,2)</f>
        <v>5</v>
      </c>
      <c r="G1660" s="22" t="str">
        <f aca="false">IF(F1660=7,IF(B1660&gt;=23,"C","Sin turno"),IF(B1660&lt;7,"C",IF(B1660&lt;14,"A",IF(B1660&lt;21,"B",IF(B1660&lt;23,"Entre turnos",IF(F1660=6,"Sin turno","C"))))))</f>
        <v>C</v>
      </c>
      <c r="H1660" s="25" t="n">
        <f aca="false">IF(D1660="","",MAX(0,D1660-0.5*C1660))</f>
        <v>0</v>
      </c>
    </row>
    <row r="1661" customFormat="false" ht="15" hidden="false" customHeight="false" outlineLevel="0" collapsed="false">
      <c r="A1661" s="21" t="n">
        <v>46290</v>
      </c>
      <c r="B1661" s="22" t="n">
        <v>3</v>
      </c>
      <c r="C1661" s="25" t="n">
        <v>95.88</v>
      </c>
      <c r="D1661" s="25" t="n">
        <v>8.76</v>
      </c>
      <c r="E1661" s="25" t="n">
        <v>0.84</v>
      </c>
      <c r="F1661" s="22" t="n">
        <f aca="false">WEEKDAY(A1661,2)</f>
        <v>5</v>
      </c>
      <c r="G1661" s="22" t="str">
        <f aca="false">IF(F1661=7,IF(B1661&gt;=23,"C","Sin turno"),IF(B1661&lt;7,"C",IF(B1661&lt;14,"A",IF(B1661&lt;21,"B",IF(B1661&lt;23,"Entre turnos",IF(F1661=6,"Sin turno","C"))))))</f>
        <v>C</v>
      </c>
      <c r="H1661" s="25" t="n">
        <f aca="false">IF(D1661="","",MAX(0,D1661-0.5*C1661))</f>
        <v>0</v>
      </c>
    </row>
    <row r="1662" customFormat="false" ht="15" hidden="false" customHeight="false" outlineLevel="0" collapsed="false">
      <c r="A1662" s="21" t="n">
        <v>46290</v>
      </c>
      <c r="B1662" s="22" t="n">
        <v>4</v>
      </c>
      <c r="C1662" s="25" t="n">
        <v>95.64</v>
      </c>
      <c r="D1662" s="25" t="n">
        <v>8.28</v>
      </c>
      <c r="E1662" s="25" t="n">
        <v>0.84</v>
      </c>
      <c r="F1662" s="22" t="n">
        <f aca="false">WEEKDAY(A1662,2)</f>
        <v>5</v>
      </c>
      <c r="G1662" s="22" t="str">
        <f aca="false">IF(F1662=7,IF(B1662&gt;=23,"C","Sin turno"),IF(B1662&lt;7,"C",IF(B1662&lt;14,"A",IF(B1662&lt;21,"B",IF(B1662&lt;23,"Entre turnos",IF(F1662=6,"Sin turno","C"))))))</f>
        <v>C</v>
      </c>
      <c r="H1662" s="25" t="n">
        <f aca="false">IF(D1662="","",MAX(0,D1662-0.5*C1662))</f>
        <v>0</v>
      </c>
    </row>
    <row r="1663" customFormat="false" ht="15" hidden="false" customHeight="false" outlineLevel="0" collapsed="false">
      <c r="A1663" s="21" t="n">
        <v>46290</v>
      </c>
      <c r="B1663" s="22" t="n">
        <v>5</v>
      </c>
      <c r="C1663" s="25" t="n">
        <v>102.96</v>
      </c>
      <c r="D1663" s="25" t="n">
        <v>11.16</v>
      </c>
      <c r="E1663" s="25" t="n">
        <v>1.08</v>
      </c>
      <c r="F1663" s="22" t="n">
        <f aca="false">WEEKDAY(A1663,2)</f>
        <v>5</v>
      </c>
      <c r="G1663" s="22" t="str">
        <f aca="false">IF(F1663=7,IF(B1663&gt;=23,"C","Sin turno"),IF(B1663&lt;7,"C",IF(B1663&lt;14,"A",IF(B1663&lt;21,"B",IF(B1663&lt;23,"Entre turnos",IF(F1663=6,"Sin turno","C"))))))</f>
        <v>C</v>
      </c>
      <c r="H1663" s="25" t="n">
        <f aca="false">IF(D1663="","",MAX(0,D1663-0.5*C1663))</f>
        <v>0</v>
      </c>
    </row>
    <row r="1664" customFormat="false" ht="15" hidden="false" customHeight="false" outlineLevel="0" collapsed="false">
      <c r="A1664" s="21" t="n">
        <v>46290</v>
      </c>
      <c r="B1664" s="22" t="n">
        <v>6</v>
      </c>
      <c r="C1664" s="25" t="n">
        <v>126.36</v>
      </c>
      <c r="D1664" s="25" t="n">
        <v>10.68</v>
      </c>
      <c r="E1664" s="25" t="n">
        <v>0.24</v>
      </c>
      <c r="F1664" s="22" t="n">
        <f aca="false">WEEKDAY(A1664,2)</f>
        <v>5</v>
      </c>
      <c r="G1664" s="22" t="str">
        <f aca="false">IF(F1664=7,IF(B1664&gt;=23,"C","Sin turno"),IF(B1664&lt;7,"C",IF(B1664&lt;14,"A",IF(B1664&lt;21,"B",IF(B1664&lt;23,"Entre turnos",IF(F1664=6,"Sin turno","C"))))))</f>
        <v>C</v>
      </c>
      <c r="H1664" s="25" t="n">
        <f aca="false">IF(D1664="","",MAX(0,D1664-0.5*C1664))</f>
        <v>0</v>
      </c>
    </row>
    <row r="1665" customFormat="false" ht="15" hidden="false" customHeight="false" outlineLevel="0" collapsed="false">
      <c r="A1665" s="21" t="n">
        <v>46290</v>
      </c>
      <c r="B1665" s="22" t="n">
        <v>7</v>
      </c>
      <c r="C1665" s="25" t="n">
        <v>196.92</v>
      </c>
      <c r="D1665" s="25" t="n">
        <v>16.56</v>
      </c>
      <c r="E1665" s="25" t="n">
        <v>0</v>
      </c>
      <c r="F1665" s="22" t="n">
        <f aca="false">WEEKDAY(A1665,2)</f>
        <v>5</v>
      </c>
      <c r="G1665" s="22" t="str">
        <f aca="false">IF(F1665=7,IF(B1665&gt;=23,"C","Sin turno"),IF(B1665&lt;7,"C",IF(B1665&lt;14,"A",IF(B1665&lt;21,"B",IF(B1665&lt;23,"Entre turnos",IF(F1665=6,"Sin turno","C"))))))</f>
        <v>A</v>
      </c>
      <c r="H1665" s="25" t="n">
        <f aca="false">IF(D1665="","",MAX(0,D1665-0.5*C1665))</f>
        <v>0</v>
      </c>
    </row>
    <row r="1666" customFormat="false" ht="15" hidden="false" customHeight="false" outlineLevel="0" collapsed="false">
      <c r="A1666" s="21" t="n">
        <v>46290</v>
      </c>
      <c r="B1666" s="22" t="n">
        <v>8</v>
      </c>
      <c r="C1666" s="25" t="n">
        <v>210.36</v>
      </c>
      <c r="D1666" s="25" t="n">
        <v>21.6</v>
      </c>
      <c r="E1666" s="25" t="n">
        <v>0</v>
      </c>
      <c r="F1666" s="22" t="n">
        <f aca="false">WEEKDAY(A1666,2)</f>
        <v>5</v>
      </c>
      <c r="G1666" s="22" t="str">
        <f aca="false">IF(F1666=7,IF(B1666&gt;=23,"C","Sin turno"),IF(B1666&lt;7,"C",IF(B1666&lt;14,"A",IF(B1666&lt;21,"B",IF(B1666&lt;23,"Entre turnos",IF(F1666=6,"Sin turno","C"))))))</f>
        <v>A</v>
      </c>
      <c r="H1666" s="25" t="n">
        <f aca="false">IF(D1666="","",MAX(0,D1666-0.5*C1666))</f>
        <v>0</v>
      </c>
    </row>
    <row r="1667" customFormat="false" ht="15" hidden="false" customHeight="false" outlineLevel="0" collapsed="false">
      <c r="A1667" s="21" t="n">
        <v>46290</v>
      </c>
      <c r="B1667" s="22" t="n">
        <v>9</v>
      </c>
      <c r="C1667" s="25" t="n">
        <v>228.6</v>
      </c>
      <c r="D1667" s="25" t="n">
        <v>25.44</v>
      </c>
      <c r="E1667" s="25" t="n">
        <v>0.12</v>
      </c>
      <c r="F1667" s="22" t="n">
        <f aca="false">WEEKDAY(A1667,2)</f>
        <v>5</v>
      </c>
      <c r="G1667" s="22" t="str">
        <f aca="false">IF(F1667=7,IF(B1667&gt;=23,"C","Sin turno"),IF(B1667&lt;7,"C",IF(B1667&lt;14,"A",IF(B1667&lt;21,"B",IF(B1667&lt;23,"Entre turnos",IF(F1667=6,"Sin turno","C"))))))</f>
        <v>A</v>
      </c>
      <c r="H1667" s="25" t="n">
        <f aca="false">IF(D1667="","",MAX(0,D1667-0.5*C1667))</f>
        <v>0</v>
      </c>
    </row>
    <row r="1668" customFormat="false" ht="15" hidden="false" customHeight="false" outlineLevel="0" collapsed="false">
      <c r="A1668" s="21" t="n">
        <v>46290</v>
      </c>
      <c r="B1668" s="22" t="n">
        <v>10</v>
      </c>
      <c r="C1668" s="25" t="n">
        <v>221.4</v>
      </c>
      <c r="D1668" s="25" t="n">
        <v>25.44</v>
      </c>
      <c r="E1668" s="25" t="n">
        <v>0</v>
      </c>
      <c r="F1668" s="22" t="n">
        <f aca="false">WEEKDAY(A1668,2)</f>
        <v>5</v>
      </c>
      <c r="G1668" s="22" t="str">
        <f aca="false">IF(F1668=7,IF(B1668&gt;=23,"C","Sin turno"),IF(B1668&lt;7,"C",IF(B1668&lt;14,"A",IF(B1668&lt;21,"B",IF(B1668&lt;23,"Entre turnos",IF(F1668=6,"Sin turno","C"))))))</f>
        <v>A</v>
      </c>
      <c r="H1668" s="25" t="n">
        <f aca="false">IF(D1668="","",MAX(0,D1668-0.5*C1668))</f>
        <v>0</v>
      </c>
    </row>
    <row r="1669" customFormat="false" ht="15" hidden="false" customHeight="false" outlineLevel="0" collapsed="false">
      <c r="A1669" s="21" t="n">
        <v>46290</v>
      </c>
      <c r="B1669" s="22" t="n">
        <v>11</v>
      </c>
      <c r="C1669" s="25" t="n">
        <v>222.24</v>
      </c>
      <c r="D1669" s="25" t="n">
        <v>24.6</v>
      </c>
      <c r="E1669" s="25" t="n">
        <v>0</v>
      </c>
      <c r="F1669" s="22" t="n">
        <f aca="false">WEEKDAY(A1669,2)</f>
        <v>5</v>
      </c>
      <c r="G1669" s="22" t="str">
        <f aca="false">IF(F1669=7,IF(B1669&gt;=23,"C","Sin turno"),IF(B1669&lt;7,"C",IF(B1669&lt;14,"A",IF(B1669&lt;21,"B",IF(B1669&lt;23,"Entre turnos",IF(F1669=6,"Sin turno","C"))))))</f>
        <v>A</v>
      </c>
      <c r="H1669" s="25" t="n">
        <f aca="false">IF(D1669="","",MAX(0,D1669-0.5*C1669))</f>
        <v>0</v>
      </c>
    </row>
    <row r="1670" customFormat="false" ht="15" hidden="false" customHeight="false" outlineLevel="0" collapsed="false">
      <c r="A1670" s="21" t="n">
        <v>46290</v>
      </c>
      <c r="B1670" s="22" t="n">
        <v>12</v>
      </c>
      <c r="C1670" s="25" t="n">
        <v>249.36</v>
      </c>
      <c r="D1670" s="25" t="n">
        <v>24.12</v>
      </c>
      <c r="E1670" s="25" t="n">
        <v>0.12</v>
      </c>
      <c r="F1670" s="22" t="n">
        <f aca="false">WEEKDAY(A1670,2)</f>
        <v>5</v>
      </c>
      <c r="G1670" s="22" t="str">
        <f aca="false">IF(F1670=7,IF(B1670&gt;=23,"C","Sin turno"),IF(B1670&lt;7,"C",IF(B1670&lt;14,"A",IF(B1670&lt;21,"B",IF(B1670&lt;23,"Entre turnos",IF(F1670=6,"Sin turno","C"))))))</f>
        <v>A</v>
      </c>
      <c r="H1670" s="25" t="n">
        <f aca="false">IF(D1670="","",MAX(0,D1670-0.5*C1670))</f>
        <v>0</v>
      </c>
    </row>
    <row r="1671" customFormat="false" ht="15" hidden="false" customHeight="false" outlineLevel="0" collapsed="false">
      <c r="A1671" s="21" t="n">
        <v>46290</v>
      </c>
      <c r="B1671" s="22" t="n">
        <v>13</v>
      </c>
      <c r="C1671" s="25" t="n">
        <v>247.56</v>
      </c>
      <c r="D1671" s="25" t="n">
        <v>24</v>
      </c>
      <c r="E1671" s="25" t="n">
        <v>0</v>
      </c>
      <c r="F1671" s="22" t="n">
        <f aca="false">WEEKDAY(A1671,2)</f>
        <v>5</v>
      </c>
      <c r="G1671" s="22" t="str">
        <f aca="false">IF(F1671=7,IF(B1671&gt;=23,"C","Sin turno"),IF(B1671&lt;7,"C",IF(B1671&lt;14,"A",IF(B1671&lt;21,"B",IF(B1671&lt;23,"Entre turnos",IF(F1671=6,"Sin turno","C"))))))</f>
        <v>A</v>
      </c>
      <c r="H1671" s="25" t="n">
        <f aca="false">IF(D1671="","",MAX(0,D1671-0.5*C1671))</f>
        <v>0</v>
      </c>
    </row>
    <row r="1672" customFormat="false" ht="15" hidden="false" customHeight="false" outlineLevel="0" collapsed="false">
      <c r="A1672" s="21" t="n">
        <v>46290</v>
      </c>
      <c r="B1672" s="22" t="n">
        <v>14</v>
      </c>
      <c r="C1672" s="25" t="n">
        <v>243</v>
      </c>
      <c r="D1672" s="25" t="n">
        <v>21.36</v>
      </c>
      <c r="E1672" s="25" t="n">
        <v>0.12</v>
      </c>
      <c r="F1672" s="22" t="n">
        <f aca="false">WEEKDAY(A1672,2)</f>
        <v>5</v>
      </c>
      <c r="G1672" s="22" t="str">
        <f aca="false">IF(F1672=7,IF(B1672&gt;=23,"C","Sin turno"),IF(B1672&lt;7,"C",IF(B1672&lt;14,"A",IF(B1672&lt;21,"B",IF(B1672&lt;23,"Entre turnos",IF(F1672=6,"Sin turno","C"))))))</f>
        <v>B</v>
      </c>
      <c r="H1672" s="25" t="n">
        <f aca="false">IF(D1672="","",MAX(0,D1672-0.5*C1672))</f>
        <v>0</v>
      </c>
    </row>
    <row r="1673" customFormat="false" ht="15" hidden="false" customHeight="false" outlineLevel="0" collapsed="false">
      <c r="A1673" s="21" t="n">
        <v>46290</v>
      </c>
      <c r="B1673" s="22" t="n">
        <v>15</v>
      </c>
      <c r="C1673" s="25" t="n">
        <v>246.12</v>
      </c>
      <c r="D1673" s="25" t="n">
        <v>26.64</v>
      </c>
      <c r="E1673" s="25" t="n">
        <v>0</v>
      </c>
      <c r="F1673" s="22" t="n">
        <f aca="false">WEEKDAY(A1673,2)</f>
        <v>5</v>
      </c>
      <c r="G1673" s="22" t="str">
        <f aca="false">IF(F1673=7,IF(B1673&gt;=23,"C","Sin turno"),IF(B1673&lt;7,"C",IF(B1673&lt;14,"A",IF(B1673&lt;21,"B",IF(B1673&lt;23,"Entre turnos",IF(F1673=6,"Sin turno","C"))))))</f>
        <v>B</v>
      </c>
      <c r="H1673" s="25" t="n">
        <f aca="false">IF(D1673="","",MAX(0,D1673-0.5*C1673))</f>
        <v>0</v>
      </c>
    </row>
    <row r="1674" customFormat="false" ht="15" hidden="false" customHeight="false" outlineLevel="0" collapsed="false">
      <c r="A1674" s="21" t="n">
        <v>46290</v>
      </c>
      <c r="B1674" s="22" t="n">
        <v>16</v>
      </c>
      <c r="C1674" s="25" t="n">
        <v>232.92</v>
      </c>
      <c r="D1674" s="25" t="n">
        <v>16.68</v>
      </c>
      <c r="E1674" s="25" t="n">
        <v>0.12</v>
      </c>
      <c r="F1674" s="22" t="n">
        <f aca="false">WEEKDAY(A1674,2)</f>
        <v>5</v>
      </c>
      <c r="G1674" s="22" t="str">
        <f aca="false">IF(F1674=7,IF(B1674&gt;=23,"C","Sin turno"),IF(B1674&lt;7,"C",IF(B1674&lt;14,"A",IF(B1674&lt;21,"B",IF(B1674&lt;23,"Entre turnos",IF(F1674=6,"Sin turno","C"))))))</f>
        <v>B</v>
      </c>
      <c r="H1674" s="25" t="n">
        <f aca="false">IF(D1674="","",MAX(0,D1674-0.5*C1674))</f>
        <v>0</v>
      </c>
    </row>
    <row r="1675" customFormat="false" ht="15" hidden="false" customHeight="false" outlineLevel="0" collapsed="false">
      <c r="A1675" s="21" t="n">
        <v>46290</v>
      </c>
      <c r="B1675" s="22" t="n">
        <v>17</v>
      </c>
      <c r="C1675" s="25" t="n">
        <v>229.32</v>
      </c>
      <c r="D1675" s="25" t="n">
        <v>18.48</v>
      </c>
      <c r="E1675" s="25" t="n">
        <v>0</v>
      </c>
      <c r="F1675" s="22" t="n">
        <f aca="false">WEEKDAY(A1675,2)</f>
        <v>5</v>
      </c>
      <c r="G1675" s="22" t="str">
        <f aca="false">IF(F1675=7,IF(B1675&gt;=23,"C","Sin turno"),IF(B1675&lt;7,"C",IF(B1675&lt;14,"A",IF(B1675&lt;21,"B",IF(B1675&lt;23,"Entre turnos",IF(F1675=6,"Sin turno","C"))))))</f>
        <v>B</v>
      </c>
      <c r="H1675" s="25" t="n">
        <f aca="false">IF(D1675="","",MAX(0,D1675-0.5*C1675))</f>
        <v>0</v>
      </c>
    </row>
    <row r="1676" customFormat="false" ht="15" hidden="false" customHeight="false" outlineLevel="0" collapsed="false">
      <c r="A1676" s="21" t="n">
        <v>46290</v>
      </c>
      <c r="B1676" s="22" t="n">
        <v>18</v>
      </c>
      <c r="C1676" s="25" t="n">
        <v>227.76</v>
      </c>
      <c r="D1676" s="25" t="n">
        <v>17.88</v>
      </c>
      <c r="E1676" s="25" t="n">
        <v>0</v>
      </c>
      <c r="F1676" s="22" t="n">
        <f aca="false">WEEKDAY(A1676,2)</f>
        <v>5</v>
      </c>
      <c r="G1676" s="22" t="str">
        <f aca="false">IF(F1676=7,IF(B1676&gt;=23,"C","Sin turno"),IF(B1676&lt;7,"C",IF(B1676&lt;14,"A",IF(B1676&lt;21,"B",IF(B1676&lt;23,"Entre turnos",IF(F1676=6,"Sin turno","C"))))))</f>
        <v>B</v>
      </c>
      <c r="H1676" s="25" t="n">
        <f aca="false">IF(D1676="","",MAX(0,D1676-0.5*C1676))</f>
        <v>0</v>
      </c>
    </row>
    <row r="1677" customFormat="false" ht="15" hidden="false" customHeight="false" outlineLevel="0" collapsed="false">
      <c r="A1677" s="21" t="n">
        <v>46290</v>
      </c>
      <c r="B1677" s="22" t="n">
        <v>19</v>
      </c>
      <c r="C1677" s="25" t="n">
        <v>183.36</v>
      </c>
      <c r="D1677" s="25" t="n">
        <v>24</v>
      </c>
      <c r="E1677" s="25" t="n">
        <v>0.12</v>
      </c>
      <c r="F1677" s="22" t="n">
        <f aca="false">WEEKDAY(A1677,2)</f>
        <v>5</v>
      </c>
      <c r="G1677" s="22" t="str">
        <f aca="false">IF(F1677=7,IF(B1677&gt;=23,"C","Sin turno"),IF(B1677&lt;7,"C",IF(B1677&lt;14,"A",IF(B1677&lt;21,"B",IF(B1677&lt;23,"Entre turnos",IF(F1677=6,"Sin turno","C"))))))</f>
        <v>B</v>
      </c>
      <c r="H1677" s="25" t="n">
        <f aca="false">IF(D1677="","",MAX(0,D1677-0.5*C1677))</f>
        <v>0</v>
      </c>
    </row>
    <row r="1678" customFormat="false" ht="15" hidden="false" customHeight="false" outlineLevel="0" collapsed="false">
      <c r="A1678" s="21" t="n">
        <v>46290</v>
      </c>
      <c r="B1678" s="22" t="n">
        <v>20</v>
      </c>
      <c r="C1678" s="25" t="n">
        <v>208.44</v>
      </c>
      <c r="D1678" s="25" t="n">
        <v>25.32</v>
      </c>
      <c r="E1678" s="25" t="n">
        <v>0.24</v>
      </c>
      <c r="F1678" s="22" t="n">
        <f aca="false">WEEKDAY(A1678,2)</f>
        <v>5</v>
      </c>
      <c r="G1678" s="22" t="str">
        <f aca="false">IF(F1678=7,IF(B1678&gt;=23,"C","Sin turno"),IF(B1678&lt;7,"C",IF(B1678&lt;14,"A",IF(B1678&lt;21,"B",IF(B1678&lt;23,"Entre turnos",IF(F1678=6,"Sin turno","C"))))))</f>
        <v>B</v>
      </c>
      <c r="H1678" s="25" t="n">
        <f aca="false">IF(D1678="","",MAX(0,D1678-0.5*C1678))</f>
        <v>0</v>
      </c>
    </row>
    <row r="1679" customFormat="false" ht="15" hidden="false" customHeight="false" outlineLevel="0" collapsed="false">
      <c r="A1679" s="21" t="n">
        <v>46290</v>
      </c>
      <c r="B1679" s="22" t="n">
        <v>21</v>
      </c>
      <c r="C1679" s="25" t="n">
        <v>193.2</v>
      </c>
      <c r="D1679" s="25" t="n">
        <v>24.12</v>
      </c>
      <c r="E1679" s="25" t="n">
        <v>0.24</v>
      </c>
      <c r="F1679" s="22" t="n">
        <f aca="false">WEEKDAY(A1679,2)</f>
        <v>5</v>
      </c>
      <c r="G1679" s="22" t="str">
        <f aca="false">IF(F1679=7,IF(B1679&gt;=23,"C","Sin turno"),IF(B1679&lt;7,"C",IF(B1679&lt;14,"A",IF(B1679&lt;21,"B",IF(B1679&lt;23,"Entre turnos",IF(F1679=6,"Sin turno","C"))))))</f>
        <v>Entre turnos</v>
      </c>
      <c r="H1679" s="25" t="n">
        <f aca="false">IF(D1679="","",MAX(0,D1679-0.5*C1679))</f>
        <v>0</v>
      </c>
    </row>
    <row r="1680" customFormat="false" ht="15" hidden="false" customHeight="false" outlineLevel="0" collapsed="false">
      <c r="A1680" s="21" t="n">
        <v>46290</v>
      </c>
      <c r="B1680" s="22" t="n">
        <v>22</v>
      </c>
      <c r="C1680" s="25" t="n">
        <v>190.56</v>
      </c>
      <c r="D1680" s="25" t="n">
        <v>27</v>
      </c>
      <c r="E1680" s="25" t="n">
        <v>0.24</v>
      </c>
      <c r="F1680" s="22" t="n">
        <f aca="false">WEEKDAY(A1680,2)</f>
        <v>5</v>
      </c>
      <c r="G1680" s="22" t="str">
        <f aca="false">IF(F1680=7,IF(B1680&gt;=23,"C","Sin turno"),IF(B1680&lt;7,"C",IF(B1680&lt;14,"A",IF(B1680&lt;21,"B",IF(B1680&lt;23,"Entre turnos",IF(F1680=6,"Sin turno","C"))))))</f>
        <v>Entre turnos</v>
      </c>
      <c r="H1680" s="25" t="n">
        <f aca="false">IF(D1680="","",MAX(0,D1680-0.5*C1680))</f>
        <v>0</v>
      </c>
    </row>
    <row r="1681" customFormat="false" ht="15" hidden="false" customHeight="false" outlineLevel="0" collapsed="false">
      <c r="A1681" s="21" t="n">
        <v>46290</v>
      </c>
      <c r="B1681" s="22" t="n">
        <v>23</v>
      </c>
      <c r="C1681" s="25" t="n">
        <v>97.08</v>
      </c>
      <c r="D1681" s="25" t="n">
        <v>22.08</v>
      </c>
      <c r="E1681" s="25" t="n">
        <v>0.48</v>
      </c>
      <c r="F1681" s="22" t="n">
        <f aca="false">WEEKDAY(A1681,2)</f>
        <v>5</v>
      </c>
      <c r="G1681" s="22" t="str">
        <f aca="false">IF(F1681=7,IF(B1681&gt;=23,"C","Sin turno"),IF(B1681&lt;7,"C",IF(B1681&lt;14,"A",IF(B1681&lt;21,"B",IF(B1681&lt;23,"Entre turnos",IF(F1681=6,"Sin turno","C"))))))</f>
        <v>C</v>
      </c>
      <c r="H1681" s="25" t="n">
        <f aca="false">IF(D1681="","",MAX(0,D1681-0.5*C1681))</f>
        <v>0</v>
      </c>
    </row>
    <row r="1682" customFormat="false" ht="15" hidden="false" customHeight="false" outlineLevel="0" collapsed="false">
      <c r="A1682" s="21" t="n">
        <v>46291</v>
      </c>
      <c r="B1682" s="22" t="n">
        <v>0</v>
      </c>
      <c r="C1682" s="25" t="n">
        <v>87.24</v>
      </c>
      <c r="D1682" s="25" t="n">
        <v>7.56</v>
      </c>
      <c r="E1682" s="25" t="n">
        <v>1.32</v>
      </c>
      <c r="F1682" s="22" t="n">
        <f aca="false">WEEKDAY(A1682,2)</f>
        <v>6</v>
      </c>
      <c r="G1682" s="22" t="str">
        <f aca="false">IF(F1682=7,IF(B1682&gt;=23,"C","Sin turno"),IF(B1682&lt;7,"C",IF(B1682&lt;14,"A",IF(B1682&lt;21,"B",IF(B1682&lt;23,"Entre turnos",IF(F1682=6,"Sin turno","C"))))))</f>
        <v>C</v>
      </c>
      <c r="H1682" s="25" t="n">
        <f aca="false">IF(D1682="","",MAX(0,D1682-0.5*C1682))</f>
        <v>0</v>
      </c>
    </row>
    <row r="1683" customFormat="false" ht="15" hidden="false" customHeight="false" outlineLevel="0" collapsed="false">
      <c r="A1683" s="21" t="n">
        <v>46291</v>
      </c>
      <c r="B1683" s="22" t="n">
        <v>1</v>
      </c>
      <c r="C1683" s="25" t="n">
        <v>80.64</v>
      </c>
      <c r="D1683" s="25" t="n">
        <v>9.36</v>
      </c>
      <c r="E1683" s="25" t="n">
        <v>1.32</v>
      </c>
      <c r="F1683" s="22" t="n">
        <f aca="false">WEEKDAY(A1683,2)</f>
        <v>6</v>
      </c>
      <c r="G1683" s="22" t="str">
        <f aca="false">IF(F1683=7,IF(B1683&gt;=23,"C","Sin turno"),IF(B1683&lt;7,"C",IF(B1683&lt;14,"A",IF(B1683&lt;21,"B",IF(B1683&lt;23,"Entre turnos",IF(F1683=6,"Sin turno","C"))))))</f>
        <v>C</v>
      </c>
      <c r="H1683" s="25" t="n">
        <f aca="false">IF(D1683="","",MAX(0,D1683-0.5*C1683))</f>
        <v>0</v>
      </c>
    </row>
    <row r="1684" customFormat="false" ht="15" hidden="false" customHeight="false" outlineLevel="0" collapsed="false">
      <c r="A1684" s="21" t="n">
        <v>46291</v>
      </c>
      <c r="B1684" s="22" t="n">
        <v>2</v>
      </c>
      <c r="C1684" s="25" t="n">
        <v>79.56</v>
      </c>
      <c r="D1684" s="25" t="n">
        <v>9.84</v>
      </c>
      <c r="E1684" s="25" t="n">
        <v>1.44</v>
      </c>
      <c r="F1684" s="22" t="n">
        <f aca="false">WEEKDAY(A1684,2)</f>
        <v>6</v>
      </c>
      <c r="G1684" s="22" t="str">
        <f aca="false">IF(F1684=7,IF(B1684&gt;=23,"C","Sin turno"),IF(B1684&lt;7,"C",IF(B1684&lt;14,"A",IF(B1684&lt;21,"B",IF(B1684&lt;23,"Entre turnos",IF(F1684=6,"Sin turno","C"))))))</f>
        <v>C</v>
      </c>
      <c r="H1684" s="25" t="n">
        <f aca="false">IF(D1684="","",MAX(0,D1684-0.5*C1684))</f>
        <v>0</v>
      </c>
    </row>
    <row r="1685" customFormat="false" ht="15" hidden="false" customHeight="false" outlineLevel="0" collapsed="false">
      <c r="A1685" s="21" t="n">
        <v>46291</v>
      </c>
      <c r="B1685" s="22" t="n">
        <v>3</v>
      </c>
      <c r="C1685" s="25" t="n">
        <v>77.52</v>
      </c>
      <c r="D1685" s="25" t="n">
        <v>13.44</v>
      </c>
      <c r="E1685" s="25" t="n">
        <v>1.68</v>
      </c>
      <c r="F1685" s="22" t="n">
        <f aca="false">WEEKDAY(A1685,2)</f>
        <v>6</v>
      </c>
      <c r="G1685" s="22" t="str">
        <f aca="false">IF(F1685=7,IF(B1685&gt;=23,"C","Sin turno"),IF(B1685&lt;7,"C",IF(B1685&lt;14,"A",IF(B1685&lt;21,"B",IF(B1685&lt;23,"Entre turnos",IF(F1685=6,"Sin turno","C"))))))</f>
        <v>C</v>
      </c>
      <c r="H1685" s="25" t="n">
        <f aca="false">IF(D1685="","",MAX(0,D1685-0.5*C1685))</f>
        <v>0</v>
      </c>
    </row>
    <row r="1686" customFormat="false" ht="15" hidden="false" customHeight="false" outlineLevel="0" collapsed="false">
      <c r="A1686" s="21" t="n">
        <v>46291</v>
      </c>
      <c r="B1686" s="22" t="n">
        <v>4</v>
      </c>
      <c r="C1686" s="25" t="n">
        <v>78.96</v>
      </c>
      <c r="D1686" s="25" t="n">
        <v>11.04</v>
      </c>
      <c r="E1686" s="25" t="n">
        <v>1.68</v>
      </c>
      <c r="F1686" s="22" t="n">
        <f aca="false">WEEKDAY(A1686,2)</f>
        <v>6</v>
      </c>
      <c r="G1686" s="22" t="str">
        <f aca="false">IF(F1686=7,IF(B1686&gt;=23,"C","Sin turno"),IF(B1686&lt;7,"C",IF(B1686&lt;14,"A",IF(B1686&lt;21,"B",IF(B1686&lt;23,"Entre turnos",IF(F1686=6,"Sin turno","C"))))))</f>
        <v>C</v>
      </c>
      <c r="H1686" s="25" t="n">
        <f aca="false">IF(D1686="","",MAX(0,D1686-0.5*C1686))</f>
        <v>0</v>
      </c>
    </row>
    <row r="1687" customFormat="false" ht="15" hidden="false" customHeight="false" outlineLevel="0" collapsed="false">
      <c r="A1687" s="21" t="n">
        <v>46291</v>
      </c>
      <c r="B1687" s="22" t="n">
        <v>5</v>
      </c>
      <c r="C1687" s="25" t="n">
        <v>76.08</v>
      </c>
      <c r="D1687" s="25" t="n">
        <v>11.52</v>
      </c>
      <c r="E1687" s="25" t="n">
        <v>1.56</v>
      </c>
      <c r="F1687" s="22" t="n">
        <f aca="false">WEEKDAY(A1687,2)</f>
        <v>6</v>
      </c>
      <c r="G1687" s="22" t="str">
        <f aca="false">IF(F1687=7,IF(B1687&gt;=23,"C","Sin turno"),IF(B1687&lt;7,"C",IF(B1687&lt;14,"A",IF(B1687&lt;21,"B",IF(B1687&lt;23,"Entre turnos",IF(F1687=6,"Sin turno","C"))))))</f>
        <v>C</v>
      </c>
      <c r="H1687" s="25" t="n">
        <f aca="false">IF(D1687="","",MAX(0,D1687-0.5*C1687))</f>
        <v>0</v>
      </c>
    </row>
    <row r="1688" customFormat="false" ht="15" hidden="false" customHeight="false" outlineLevel="0" collapsed="false">
      <c r="A1688" s="21" t="n">
        <v>46291</v>
      </c>
      <c r="B1688" s="22" t="n">
        <v>6</v>
      </c>
      <c r="C1688" s="25" t="n">
        <v>87.24</v>
      </c>
      <c r="D1688" s="25" t="n">
        <v>7.8</v>
      </c>
      <c r="E1688" s="25" t="n">
        <v>1.44</v>
      </c>
      <c r="F1688" s="22" t="n">
        <f aca="false">WEEKDAY(A1688,2)</f>
        <v>6</v>
      </c>
      <c r="G1688" s="22" t="str">
        <f aca="false">IF(F1688=7,IF(B1688&gt;=23,"C","Sin turno"),IF(B1688&lt;7,"C",IF(B1688&lt;14,"A",IF(B1688&lt;21,"B",IF(B1688&lt;23,"Entre turnos",IF(F1688=6,"Sin turno","C"))))))</f>
        <v>C</v>
      </c>
      <c r="H1688" s="25" t="n">
        <f aca="false">IF(D1688="","",MAX(0,D1688-0.5*C1688))</f>
        <v>0</v>
      </c>
    </row>
    <row r="1689" customFormat="false" ht="15" hidden="false" customHeight="false" outlineLevel="0" collapsed="false">
      <c r="A1689" s="21" t="n">
        <v>46291</v>
      </c>
      <c r="B1689" s="22" t="n">
        <v>7</v>
      </c>
      <c r="C1689" s="25" t="n">
        <v>87.12</v>
      </c>
      <c r="D1689" s="25" t="n">
        <v>9.36</v>
      </c>
      <c r="E1689" s="25" t="n">
        <v>1.92</v>
      </c>
      <c r="F1689" s="22" t="n">
        <f aca="false">WEEKDAY(A1689,2)</f>
        <v>6</v>
      </c>
      <c r="G1689" s="22" t="str">
        <f aca="false">IF(F1689=7,IF(B1689&gt;=23,"C","Sin turno"),IF(B1689&lt;7,"C",IF(B1689&lt;14,"A",IF(B1689&lt;21,"B",IF(B1689&lt;23,"Entre turnos",IF(F1689=6,"Sin turno","C"))))))</f>
        <v>A</v>
      </c>
      <c r="H1689" s="25" t="n">
        <f aca="false">IF(D1689="","",MAX(0,D1689-0.5*C1689))</f>
        <v>0</v>
      </c>
    </row>
    <row r="1690" customFormat="false" ht="15" hidden="false" customHeight="false" outlineLevel="0" collapsed="false">
      <c r="A1690" s="21" t="n">
        <v>46291</v>
      </c>
      <c r="B1690" s="22" t="n">
        <v>8</v>
      </c>
      <c r="C1690" s="25" t="n">
        <v>86.52</v>
      </c>
      <c r="D1690" s="25" t="n">
        <v>13.68</v>
      </c>
      <c r="E1690" s="25" t="n">
        <v>1.2</v>
      </c>
      <c r="F1690" s="22" t="n">
        <f aca="false">WEEKDAY(A1690,2)</f>
        <v>6</v>
      </c>
      <c r="G1690" s="22" t="str">
        <f aca="false">IF(F1690=7,IF(B1690&gt;=23,"C","Sin turno"),IF(B1690&lt;7,"C",IF(B1690&lt;14,"A",IF(B1690&lt;21,"B",IF(B1690&lt;23,"Entre turnos",IF(F1690=6,"Sin turno","C"))))))</f>
        <v>A</v>
      </c>
      <c r="H1690" s="25" t="n">
        <f aca="false">IF(D1690="","",MAX(0,D1690-0.5*C1690))</f>
        <v>0</v>
      </c>
    </row>
    <row r="1691" customFormat="false" ht="15" hidden="false" customHeight="false" outlineLevel="0" collapsed="false">
      <c r="A1691" s="21" t="n">
        <v>46291</v>
      </c>
      <c r="B1691" s="22" t="n">
        <v>9</v>
      </c>
      <c r="C1691" s="25" t="n">
        <v>90.12</v>
      </c>
      <c r="D1691" s="25" t="n">
        <v>12.84</v>
      </c>
      <c r="E1691" s="25" t="n">
        <v>1.32</v>
      </c>
      <c r="F1691" s="22" t="n">
        <f aca="false">WEEKDAY(A1691,2)</f>
        <v>6</v>
      </c>
      <c r="G1691" s="22" t="str">
        <f aca="false">IF(F1691=7,IF(B1691&gt;=23,"C","Sin turno"),IF(B1691&lt;7,"C",IF(B1691&lt;14,"A",IF(B1691&lt;21,"B",IF(B1691&lt;23,"Entre turnos",IF(F1691=6,"Sin turno","C"))))))</f>
        <v>A</v>
      </c>
      <c r="H1691" s="25" t="n">
        <f aca="false">IF(D1691="","",MAX(0,D1691-0.5*C1691))</f>
        <v>0</v>
      </c>
    </row>
    <row r="1692" customFormat="false" ht="15" hidden="false" customHeight="false" outlineLevel="0" collapsed="false">
      <c r="A1692" s="21" t="n">
        <v>46291</v>
      </c>
      <c r="B1692" s="22" t="n">
        <v>10</v>
      </c>
      <c r="C1692" s="25" t="n">
        <v>90.96</v>
      </c>
      <c r="D1692" s="25" t="n">
        <v>11.88</v>
      </c>
      <c r="E1692" s="25" t="n">
        <v>0.96</v>
      </c>
      <c r="F1692" s="22" t="n">
        <f aca="false">WEEKDAY(A1692,2)</f>
        <v>6</v>
      </c>
      <c r="G1692" s="22" t="str">
        <f aca="false">IF(F1692=7,IF(B1692&gt;=23,"C","Sin turno"),IF(B1692&lt;7,"C",IF(B1692&lt;14,"A",IF(B1692&lt;21,"B",IF(B1692&lt;23,"Entre turnos",IF(F1692=6,"Sin turno","C"))))))</f>
        <v>A</v>
      </c>
      <c r="H1692" s="25" t="n">
        <f aca="false">IF(D1692="","",MAX(0,D1692-0.5*C1692))</f>
        <v>0</v>
      </c>
    </row>
    <row r="1693" customFormat="false" ht="15" hidden="false" customHeight="false" outlineLevel="0" collapsed="false">
      <c r="A1693" s="21" t="n">
        <v>46291</v>
      </c>
      <c r="B1693" s="22" t="n">
        <v>11</v>
      </c>
      <c r="C1693" s="25" t="n">
        <v>93.72</v>
      </c>
      <c r="D1693" s="25" t="n">
        <v>10.08</v>
      </c>
      <c r="E1693" s="25" t="n">
        <v>1.68</v>
      </c>
      <c r="F1693" s="22" t="n">
        <f aca="false">WEEKDAY(A1693,2)</f>
        <v>6</v>
      </c>
      <c r="G1693" s="22" t="str">
        <f aca="false">IF(F1693=7,IF(B1693&gt;=23,"C","Sin turno"),IF(B1693&lt;7,"C",IF(B1693&lt;14,"A",IF(B1693&lt;21,"B",IF(B1693&lt;23,"Entre turnos",IF(F1693=6,"Sin turno","C"))))))</f>
        <v>A</v>
      </c>
      <c r="H1693" s="25" t="n">
        <f aca="false">IF(D1693="","",MAX(0,D1693-0.5*C1693))</f>
        <v>0</v>
      </c>
    </row>
    <row r="1694" customFormat="false" ht="15" hidden="false" customHeight="false" outlineLevel="0" collapsed="false">
      <c r="A1694" s="21" t="n">
        <v>46291</v>
      </c>
      <c r="B1694" s="22" t="n">
        <v>12</v>
      </c>
      <c r="C1694" s="25" t="n">
        <v>108.48</v>
      </c>
      <c r="D1694" s="25" t="n">
        <v>9.6</v>
      </c>
      <c r="E1694" s="25" t="n">
        <v>1.44</v>
      </c>
      <c r="F1694" s="22" t="n">
        <f aca="false">WEEKDAY(A1694,2)</f>
        <v>6</v>
      </c>
      <c r="G1694" s="22" t="str">
        <f aca="false">IF(F1694=7,IF(B1694&gt;=23,"C","Sin turno"),IF(B1694&lt;7,"C",IF(B1694&lt;14,"A",IF(B1694&lt;21,"B",IF(B1694&lt;23,"Entre turnos",IF(F1694=6,"Sin turno","C"))))))</f>
        <v>A</v>
      </c>
      <c r="H1694" s="25" t="n">
        <f aca="false">IF(D1694="","",MAX(0,D1694-0.5*C1694))</f>
        <v>0</v>
      </c>
    </row>
    <row r="1695" customFormat="false" ht="15" hidden="false" customHeight="false" outlineLevel="0" collapsed="false">
      <c r="A1695" s="21" t="n">
        <v>46291</v>
      </c>
      <c r="B1695" s="22" t="n">
        <v>13</v>
      </c>
      <c r="C1695" s="25" t="n">
        <v>111.84</v>
      </c>
      <c r="D1695" s="25" t="n">
        <v>9.24</v>
      </c>
      <c r="E1695" s="25" t="n">
        <v>1.68</v>
      </c>
      <c r="F1695" s="22" t="n">
        <f aca="false">WEEKDAY(A1695,2)</f>
        <v>6</v>
      </c>
      <c r="G1695" s="22" t="str">
        <f aca="false">IF(F1695=7,IF(B1695&gt;=23,"C","Sin turno"),IF(B1695&lt;7,"C",IF(B1695&lt;14,"A",IF(B1695&lt;21,"B",IF(B1695&lt;23,"Entre turnos",IF(F1695=6,"Sin turno","C"))))))</f>
        <v>A</v>
      </c>
      <c r="H1695" s="25" t="n">
        <f aca="false">IF(D1695="","",MAX(0,D1695-0.5*C1695))</f>
        <v>0</v>
      </c>
    </row>
    <row r="1696" customFormat="false" ht="15" hidden="false" customHeight="false" outlineLevel="0" collapsed="false">
      <c r="A1696" s="21" t="n">
        <v>46291</v>
      </c>
      <c r="B1696" s="22" t="n">
        <v>14</v>
      </c>
      <c r="C1696" s="25" t="n">
        <v>89.04</v>
      </c>
      <c r="D1696" s="25" t="n">
        <v>8.64</v>
      </c>
      <c r="E1696" s="25" t="n">
        <v>2.28</v>
      </c>
      <c r="F1696" s="22" t="n">
        <f aca="false">WEEKDAY(A1696,2)</f>
        <v>6</v>
      </c>
      <c r="G1696" s="22" t="str">
        <f aca="false">IF(F1696=7,IF(B1696&gt;=23,"C","Sin turno"),IF(B1696&lt;7,"C",IF(B1696&lt;14,"A",IF(B1696&lt;21,"B",IF(B1696&lt;23,"Entre turnos",IF(F1696=6,"Sin turno","C"))))))</f>
        <v>B</v>
      </c>
      <c r="H1696" s="25" t="n">
        <f aca="false">IF(D1696="","",MAX(0,D1696-0.5*C1696))</f>
        <v>0</v>
      </c>
    </row>
    <row r="1697" customFormat="false" ht="15" hidden="false" customHeight="false" outlineLevel="0" collapsed="false">
      <c r="A1697" s="21" t="n">
        <v>46291</v>
      </c>
      <c r="B1697" s="22" t="n">
        <v>15</v>
      </c>
      <c r="C1697" s="25" t="n">
        <v>81.12</v>
      </c>
      <c r="D1697" s="25" t="n">
        <v>12.36</v>
      </c>
      <c r="E1697" s="25" t="n">
        <v>2.04</v>
      </c>
      <c r="F1697" s="22" t="n">
        <f aca="false">WEEKDAY(A1697,2)</f>
        <v>6</v>
      </c>
      <c r="G1697" s="22" t="str">
        <f aca="false">IF(F1697=7,IF(B1697&gt;=23,"C","Sin turno"),IF(B1697&lt;7,"C",IF(B1697&lt;14,"A",IF(B1697&lt;21,"B",IF(B1697&lt;23,"Entre turnos",IF(F1697=6,"Sin turno","C"))))))</f>
        <v>B</v>
      </c>
      <c r="H1697" s="25" t="n">
        <f aca="false">IF(D1697="","",MAX(0,D1697-0.5*C1697))</f>
        <v>0</v>
      </c>
    </row>
    <row r="1698" customFormat="false" ht="15" hidden="false" customHeight="false" outlineLevel="0" collapsed="false">
      <c r="A1698" s="21" t="n">
        <v>46291</v>
      </c>
      <c r="B1698" s="22" t="n">
        <v>16</v>
      </c>
      <c r="C1698" s="25" t="n">
        <v>78.24</v>
      </c>
      <c r="D1698" s="25" t="n">
        <v>16.44</v>
      </c>
      <c r="E1698" s="25" t="n">
        <v>1.8</v>
      </c>
      <c r="F1698" s="22" t="n">
        <f aca="false">WEEKDAY(A1698,2)</f>
        <v>6</v>
      </c>
      <c r="G1698" s="22" t="str">
        <f aca="false">IF(F1698=7,IF(B1698&gt;=23,"C","Sin turno"),IF(B1698&lt;7,"C",IF(B1698&lt;14,"A",IF(B1698&lt;21,"B",IF(B1698&lt;23,"Entre turnos",IF(F1698=6,"Sin turno","C"))))))</f>
        <v>B</v>
      </c>
      <c r="H1698" s="25" t="n">
        <f aca="false">IF(D1698="","",MAX(0,D1698-0.5*C1698))</f>
        <v>0</v>
      </c>
    </row>
    <row r="1699" customFormat="false" ht="15" hidden="false" customHeight="false" outlineLevel="0" collapsed="false">
      <c r="A1699" s="21" t="n">
        <v>46291</v>
      </c>
      <c r="B1699" s="22" t="n">
        <v>17</v>
      </c>
      <c r="C1699" s="25" t="n">
        <v>75.84</v>
      </c>
      <c r="D1699" s="25" t="n">
        <v>17.16</v>
      </c>
      <c r="E1699" s="25" t="n">
        <v>1.92</v>
      </c>
      <c r="F1699" s="22" t="n">
        <f aca="false">WEEKDAY(A1699,2)</f>
        <v>6</v>
      </c>
      <c r="G1699" s="22" t="str">
        <f aca="false">IF(F1699=7,IF(B1699&gt;=23,"C","Sin turno"),IF(B1699&lt;7,"C",IF(B1699&lt;14,"A",IF(B1699&lt;21,"B",IF(B1699&lt;23,"Entre turnos",IF(F1699=6,"Sin turno","C"))))))</f>
        <v>B</v>
      </c>
      <c r="H1699" s="25" t="n">
        <f aca="false">IF(D1699="","",MAX(0,D1699-0.5*C1699))</f>
        <v>0</v>
      </c>
    </row>
    <row r="1700" customFormat="false" ht="15" hidden="false" customHeight="false" outlineLevel="0" collapsed="false">
      <c r="A1700" s="21" t="n">
        <v>46291</v>
      </c>
      <c r="B1700" s="22" t="n">
        <v>18</v>
      </c>
      <c r="C1700" s="25" t="n">
        <v>75.48</v>
      </c>
      <c r="D1700" s="25" t="n">
        <v>19.68</v>
      </c>
      <c r="E1700" s="25" t="n">
        <v>0.96</v>
      </c>
      <c r="F1700" s="22" t="n">
        <f aca="false">WEEKDAY(A1700,2)</f>
        <v>6</v>
      </c>
      <c r="G1700" s="22" t="str">
        <f aca="false">IF(F1700=7,IF(B1700&gt;=23,"C","Sin turno"),IF(B1700&lt;7,"C",IF(B1700&lt;14,"A",IF(B1700&lt;21,"B",IF(B1700&lt;23,"Entre turnos",IF(F1700=6,"Sin turno","C"))))))</f>
        <v>B</v>
      </c>
      <c r="H1700" s="25" t="n">
        <f aca="false">IF(D1700="","",MAX(0,D1700-0.5*C1700))</f>
        <v>0</v>
      </c>
    </row>
    <row r="1701" customFormat="false" ht="15" hidden="false" customHeight="false" outlineLevel="0" collapsed="false">
      <c r="A1701" s="21" t="n">
        <v>46291</v>
      </c>
      <c r="B1701" s="22" t="n">
        <v>19</v>
      </c>
      <c r="C1701" s="25" t="n">
        <v>56.76</v>
      </c>
      <c r="D1701" s="25" t="n">
        <v>28.44</v>
      </c>
      <c r="E1701" s="25" t="n">
        <v>0</v>
      </c>
      <c r="F1701" s="22" t="n">
        <f aca="false">WEEKDAY(A1701,2)</f>
        <v>6</v>
      </c>
      <c r="G1701" s="22" t="str">
        <f aca="false">IF(F1701=7,IF(B1701&gt;=23,"C","Sin turno"),IF(B1701&lt;7,"C",IF(B1701&lt;14,"A",IF(B1701&lt;21,"B",IF(B1701&lt;23,"Entre turnos",IF(F1701=6,"Sin turno","C"))))))</f>
        <v>B</v>
      </c>
      <c r="H1701" s="25" t="n">
        <f aca="false">IF(D1701="","",MAX(0,D1701-0.5*C1701))</f>
        <v>0.0600000000000023</v>
      </c>
    </row>
    <row r="1702" customFormat="false" ht="15" hidden="false" customHeight="false" outlineLevel="0" collapsed="false">
      <c r="A1702" s="21" t="n">
        <v>46291</v>
      </c>
      <c r="B1702" s="22" t="n">
        <v>20</v>
      </c>
      <c r="C1702" s="25" t="n">
        <v>52.08</v>
      </c>
      <c r="D1702" s="25" t="n">
        <v>28.56</v>
      </c>
      <c r="E1702" s="25" t="n">
        <v>0</v>
      </c>
      <c r="F1702" s="22" t="n">
        <f aca="false">WEEKDAY(A1702,2)</f>
        <v>6</v>
      </c>
      <c r="G1702" s="22" t="str">
        <f aca="false">IF(F1702=7,IF(B1702&gt;=23,"C","Sin turno"),IF(B1702&lt;7,"C",IF(B1702&lt;14,"A",IF(B1702&lt;21,"B",IF(B1702&lt;23,"Entre turnos",IF(F1702=6,"Sin turno","C"))))))</f>
        <v>B</v>
      </c>
      <c r="H1702" s="25" t="n">
        <f aca="false">IF(D1702="","",MAX(0,D1702-0.5*C1702))</f>
        <v>2.52</v>
      </c>
    </row>
    <row r="1703" customFormat="false" ht="15" hidden="false" customHeight="false" outlineLevel="0" collapsed="false">
      <c r="A1703" s="21" t="n">
        <v>46291</v>
      </c>
      <c r="B1703" s="22" t="n">
        <v>21</v>
      </c>
      <c r="C1703" s="25" t="n">
        <v>62.76</v>
      </c>
      <c r="D1703" s="25" t="n">
        <v>27.6</v>
      </c>
      <c r="E1703" s="25" t="n">
        <v>0.24</v>
      </c>
      <c r="F1703" s="22" t="n">
        <f aca="false">WEEKDAY(A1703,2)</f>
        <v>6</v>
      </c>
      <c r="G1703" s="22" t="str">
        <f aca="false">IF(F1703=7,IF(B1703&gt;=23,"C","Sin turno"),IF(B1703&lt;7,"C",IF(B1703&lt;14,"A",IF(B1703&lt;21,"B",IF(B1703&lt;23,"Entre turnos",IF(F1703=6,"Sin turno","C"))))))</f>
        <v>Entre turnos</v>
      </c>
      <c r="H1703" s="25" t="n">
        <f aca="false">IF(D1703="","",MAX(0,D1703-0.5*C1703))</f>
        <v>0</v>
      </c>
    </row>
    <row r="1704" customFormat="false" ht="15" hidden="false" customHeight="false" outlineLevel="0" collapsed="false">
      <c r="A1704" s="21" t="n">
        <v>46291</v>
      </c>
      <c r="B1704" s="22" t="n">
        <v>22</v>
      </c>
      <c r="C1704" s="25" t="n">
        <v>58.44</v>
      </c>
      <c r="D1704" s="25" t="n">
        <v>25.8</v>
      </c>
      <c r="E1704" s="25" t="n">
        <v>0.36</v>
      </c>
      <c r="F1704" s="22" t="n">
        <f aca="false">WEEKDAY(A1704,2)</f>
        <v>6</v>
      </c>
      <c r="G1704" s="22" t="str">
        <f aca="false">IF(F1704=7,IF(B1704&gt;=23,"C","Sin turno"),IF(B1704&lt;7,"C",IF(B1704&lt;14,"A",IF(B1704&lt;21,"B",IF(B1704&lt;23,"Entre turnos",IF(F1704=6,"Sin turno","C"))))))</f>
        <v>Entre turnos</v>
      </c>
      <c r="H1704" s="25" t="n">
        <f aca="false">IF(D1704="","",MAX(0,D1704-0.5*C1704))</f>
        <v>0</v>
      </c>
    </row>
    <row r="1705" customFormat="false" ht="15" hidden="false" customHeight="false" outlineLevel="0" collapsed="false">
      <c r="A1705" s="21" t="n">
        <v>46291</v>
      </c>
      <c r="B1705" s="22" t="n">
        <v>23</v>
      </c>
      <c r="C1705" s="25" t="n">
        <v>58.92</v>
      </c>
      <c r="D1705" s="25" t="n">
        <v>25.44</v>
      </c>
      <c r="E1705" s="25" t="n">
        <v>0.36</v>
      </c>
      <c r="F1705" s="22" t="n">
        <f aca="false">WEEKDAY(A1705,2)</f>
        <v>6</v>
      </c>
      <c r="G1705" s="22" t="str">
        <f aca="false">IF(F1705=7,IF(B1705&gt;=23,"C","Sin turno"),IF(B1705&lt;7,"C",IF(B1705&lt;14,"A",IF(B1705&lt;21,"B",IF(B1705&lt;23,"Entre turnos",IF(F1705=6,"Sin turno","C"))))))</f>
        <v>Sin turno</v>
      </c>
      <c r="H1705" s="25" t="n">
        <f aca="false">IF(D1705="","",MAX(0,D1705-0.5*C1705))</f>
        <v>0</v>
      </c>
    </row>
    <row r="1706" customFormat="false" ht="15" hidden="false" customHeight="false" outlineLevel="0" collapsed="false">
      <c r="A1706" s="21" t="n">
        <v>46292</v>
      </c>
      <c r="B1706" s="22" t="n">
        <v>0</v>
      </c>
      <c r="C1706" s="25" t="n">
        <v>57.12</v>
      </c>
      <c r="D1706" s="25" t="n">
        <v>26.28</v>
      </c>
      <c r="E1706" s="25" t="n">
        <v>0.24</v>
      </c>
      <c r="F1706" s="22" t="n">
        <f aca="false">WEEKDAY(A1706,2)</f>
        <v>7</v>
      </c>
      <c r="G1706" s="22" t="str">
        <f aca="false">IF(F1706=7,IF(B1706&gt;=23,"C","Sin turno"),IF(B1706&lt;7,"C",IF(B1706&lt;14,"A",IF(B1706&lt;21,"B",IF(B1706&lt;23,"Entre turnos",IF(F1706=6,"Sin turno","C"))))))</f>
        <v>Sin turno</v>
      </c>
      <c r="H1706" s="25" t="n">
        <f aca="false">IF(D1706="","",MAX(0,D1706-0.5*C1706))</f>
        <v>0</v>
      </c>
    </row>
    <row r="1707" customFormat="false" ht="15" hidden="false" customHeight="false" outlineLevel="0" collapsed="false">
      <c r="A1707" s="21" t="n">
        <v>46292</v>
      </c>
      <c r="B1707" s="22" t="n">
        <v>1</v>
      </c>
      <c r="C1707" s="25" t="n">
        <v>58.56</v>
      </c>
      <c r="D1707" s="25" t="n">
        <v>26.28</v>
      </c>
      <c r="E1707" s="25" t="n">
        <v>0.36</v>
      </c>
      <c r="F1707" s="22" t="n">
        <f aca="false">WEEKDAY(A1707,2)</f>
        <v>7</v>
      </c>
      <c r="G1707" s="22" t="str">
        <f aca="false">IF(F1707=7,IF(B1707&gt;=23,"C","Sin turno"),IF(B1707&lt;7,"C",IF(B1707&lt;14,"A",IF(B1707&lt;21,"B",IF(B1707&lt;23,"Entre turnos",IF(F1707=6,"Sin turno","C"))))))</f>
        <v>Sin turno</v>
      </c>
      <c r="H1707" s="25" t="n">
        <f aca="false">IF(D1707="","",MAX(0,D1707-0.5*C1707))</f>
        <v>0</v>
      </c>
    </row>
    <row r="1708" customFormat="false" ht="15" hidden="false" customHeight="false" outlineLevel="0" collapsed="false">
      <c r="A1708" s="21" t="n">
        <v>46292</v>
      </c>
      <c r="B1708" s="22" t="n">
        <v>2</v>
      </c>
      <c r="C1708" s="25" t="n">
        <v>57.48</v>
      </c>
      <c r="D1708" s="25" t="n">
        <v>26.28</v>
      </c>
      <c r="E1708" s="25" t="n">
        <v>0.24</v>
      </c>
      <c r="F1708" s="22" t="n">
        <f aca="false">WEEKDAY(A1708,2)</f>
        <v>7</v>
      </c>
      <c r="G1708" s="22" t="str">
        <f aca="false">IF(F1708=7,IF(B1708&gt;=23,"C","Sin turno"),IF(B1708&lt;7,"C",IF(B1708&lt;14,"A",IF(B1708&lt;21,"B",IF(B1708&lt;23,"Entre turnos",IF(F1708=6,"Sin turno","C"))))))</f>
        <v>Sin turno</v>
      </c>
      <c r="H1708" s="25" t="n">
        <f aca="false">IF(D1708="","",MAX(0,D1708-0.5*C1708))</f>
        <v>0</v>
      </c>
    </row>
    <row r="1709" customFormat="false" ht="15" hidden="false" customHeight="false" outlineLevel="0" collapsed="false">
      <c r="A1709" s="21" t="n">
        <v>46292</v>
      </c>
      <c r="B1709" s="22" t="n">
        <v>3</v>
      </c>
      <c r="C1709" s="25" t="n">
        <v>58.32</v>
      </c>
      <c r="D1709" s="25" t="n">
        <v>25.68</v>
      </c>
      <c r="E1709" s="25" t="n">
        <v>0.36</v>
      </c>
      <c r="F1709" s="22" t="n">
        <f aca="false">WEEKDAY(A1709,2)</f>
        <v>7</v>
      </c>
      <c r="G1709" s="22" t="str">
        <f aca="false">IF(F1709=7,IF(B1709&gt;=23,"C","Sin turno"),IF(B1709&lt;7,"C",IF(B1709&lt;14,"A",IF(B1709&lt;21,"B",IF(B1709&lt;23,"Entre turnos",IF(F1709=6,"Sin turno","C"))))))</f>
        <v>Sin turno</v>
      </c>
      <c r="H1709" s="25" t="n">
        <f aca="false">IF(D1709="","",MAX(0,D1709-0.5*C1709))</f>
        <v>0</v>
      </c>
    </row>
    <row r="1710" customFormat="false" ht="15" hidden="false" customHeight="false" outlineLevel="0" collapsed="false">
      <c r="A1710" s="21" t="n">
        <v>46292</v>
      </c>
      <c r="B1710" s="22" t="n">
        <v>4</v>
      </c>
      <c r="C1710" s="25" t="n">
        <v>59.52</v>
      </c>
      <c r="D1710" s="25" t="n">
        <v>25.56</v>
      </c>
      <c r="E1710" s="25" t="n">
        <v>0.48</v>
      </c>
      <c r="F1710" s="22" t="n">
        <f aca="false">WEEKDAY(A1710,2)</f>
        <v>7</v>
      </c>
      <c r="G1710" s="22" t="str">
        <f aca="false">IF(F1710=7,IF(B1710&gt;=23,"C","Sin turno"),IF(B1710&lt;7,"C",IF(B1710&lt;14,"A",IF(B1710&lt;21,"B",IF(B1710&lt;23,"Entre turnos",IF(F1710=6,"Sin turno","C"))))))</f>
        <v>Sin turno</v>
      </c>
      <c r="H1710" s="25" t="n">
        <f aca="false">IF(D1710="","",MAX(0,D1710-0.5*C1710))</f>
        <v>0</v>
      </c>
    </row>
    <row r="1711" customFormat="false" ht="15" hidden="false" customHeight="false" outlineLevel="0" collapsed="false">
      <c r="A1711" s="21" t="n">
        <v>46292</v>
      </c>
      <c r="B1711" s="22" t="n">
        <v>5</v>
      </c>
      <c r="C1711" s="25" t="n">
        <v>56.76</v>
      </c>
      <c r="D1711" s="25" t="n">
        <v>26.64</v>
      </c>
      <c r="E1711" s="25" t="n">
        <v>0.24</v>
      </c>
      <c r="F1711" s="22" t="n">
        <f aca="false">WEEKDAY(A1711,2)</f>
        <v>7</v>
      </c>
      <c r="G1711" s="22" t="str">
        <f aca="false">IF(F1711=7,IF(B1711&gt;=23,"C","Sin turno"),IF(B1711&lt;7,"C",IF(B1711&lt;14,"A",IF(B1711&lt;21,"B",IF(B1711&lt;23,"Entre turnos",IF(F1711=6,"Sin turno","C"))))))</f>
        <v>Sin turno</v>
      </c>
      <c r="H1711" s="25" t="n">
        <f aca="false">IF(D1711="","",MAX(0,D1711-0.5*C1711))</f>
        <v>0</v>
      </c>
    </row>
    <row r="1712" customFormat="false" ht="15" hidden="false" customHeight="false" outlineLevel="0" collapsed="false">
      <c r="A1712" s="21" t="n">
        <v>46292</v>
      </c>
      <c r="B1712" s="22" t="n">
        <v>6</v>
      </c>
      <c r="C1712" s="25" t="n">
        <v>57.36</v>
      </c>
      <c r="D1712" s="25" t="n">
        <v>25.56</v>
      </c>
      <c r="E1712" s="25" t="n">
        <v>0.36</v>
      </c>
      <c r="F1712" s="22" t="n">
        <f aca="false">WEEKDAY(A1712,2)</f>
        <v>7</v>
      </c>
      <c r="G1712" s="22" t="str">
        <f aca="false">IF(F1712=7,IF(B1712&gt;=23,"C","Sin turno"),IF(B1712&lt;7,"C",IF(B1712&lt;14,"A",IF(B1712&lt;21,"B",IF(B1712&lt;23,"Entre turnos",IF(F1712=6,"Sin turno","C"))))))</f>
        <v>Sin turno</v>
      </c>
      <c r="H1712" s="25" t="n">
        <f aca="false">IF(D1712="","",MAX(0,D1712-0.5*C1712))</f>
        <v>0</v>
      </c>
    </row>
    <row r="1713" customFormat="false" ht="15" hidden="false" customHeight="false" outlineLevel="0" collapsed="false">
      <c r="A1713" s="21" t="n">
        <v>46292</v>
      </c>
      <c r="B1713" s="22" t="n">
        <v>7</v>
      </c>
      <c r="C1713" s="25" t="n">
        <v>75</v>
      </c>
      <c r="D1713" s="25" t="n">
        <v>21.84</v>
      </c>
      <c r="E1713" s="25" t="n">
        <v>0.96</v>
      </c>
      <c r="F1713" s="22" t="n">
        <f aca="false">WEEKDAY(A1713,2)</f>
        <v>7</v>
      </c>
      <c r="G1713" s="22" t="str">
        <f aca="false">IF(F1713=7,IF(B1713&gt;=23,"C","Sin turno"),IF(B1713&lt;7,"C",IF(B1713&lt;14,"A",IF(B1713&lt;21,"B",IF(B1713&lt;23,"Entre turnos",IF(F1713=6,"Sin turno","C"))))))</f>
        <v>Sin turno</v>
      </c>
      <c r="H1713" s="25" t="n">
        <f aca="false">IF(D1713="","",MAX(0,D1713-0.5*C1713))</f>
        <v>0</v>
      </c>
    </row>
    <row r="1714" customFormat="false" ht="15" hidden="false" customHeight="false" outlineLevel="0" collapsed="false">
      <c r="A1714" s="21" t="n">
        <v>46292</v>
      </c>
      <c r="B1714" s="22" t="n">
        <v>8</v>
      </c>
      <c r="C1714" s="25" t="n">
        <v>77.52</v>
      </c>
      <c r="D1714" s="25" t="n">
        <v>19.44</v>
      </c>
      <c r="E1714" s="25" t="n">
        <v>1.32</v>
      </c>
      <c r="F1714" s="22" t="n">
        <f aca="false">WEEKDAY(A1714,2)</f>
        <v>7</v>
      </c>
      <c r="G1714" s="22" t="str">
        <f aca="false">IF(F1714=7,IF(B1714&gt;=23,"C","Sin turno"),IF(B1714&lt;7,"C",IF(B1714&lt;14,"A",IF(B1714&lt;21,"B",IF(B1714&lt;23,"Entre turnos",IF(F1714=6,"Sin turno","C"))))))</f>
        <v>Sin turno</v>
      </c>
      <c r="H1714" s="25" t="n">
        <f aca="false">IF(D1714="","",MAX(0,D1714-0.5*C1714))</f>
        <v>0</v>
      </c>
    </row>
    <row r="1715" customFormat="false" ht="15" hidden="false" customHeight="false" outlineLevel="0" collapsed="false">
      <c r="A1715" s="21" t="n">
        <v>46292</v>
      </c>
      <c r="B1715" s="22" t="n">
        <v>9</v>
      </c>
      <c r="C1715" s="25" t="n">
        <v>78.36</v>
      </c>
      <c r="D1715" s="25" t="n">
        <v>21.96</v>
      </c>
      <c r="E1715" s="25" t="n">
        <v>0.6</v>
      </c>
      <c r="F1715" s="22" t="n">
        <f aca="false">WEEKDAY(A1715,2)</f>
        <v>7</v>
      </c>
      <c r="G1715" s="22" t="str">
        <f aca="false">IF(F1715=7,IF(B1715&gt;=23,"C","Sin turno"),IF(B1715&lt;7,"C",IF(B1715&lt;14,"A",IF(B1715&lt;21,"B",IF(B1715&lt;23,"Entre turnos",IF(F1715=6,"Sin turno","C"))))))</f>
        <v>Sin turno</v>
      </c>
      <c r="H1715" s="25" t="n">
        <f aca="false">IF(D1715="","",MAX(0,D1715-0.5*C1715))</f>
        <v>0</v>
      </c>
    </row>
    <row r="1716" customFormat="false" ht="15" hidden="false" customHeight="false" outlineLevel="0" collapsed="false">
      <c r="A1716" s="21" t="n">
        <v>46292</v>
      </c>
      <c r="B1716" s="22" t="n">
        <v>10</v>
      </c>
      <c r="C1716" s="25" t="n">
        <v>83.16</v>
      </c>
      <c r="D1716" s="25" t="n">
        <v>20.28</v>
      </c>
      <c r="E1716" s="25" t="n">
        <v>0.72</v>
      </c>
      <c r="F1716" s="22" t="n">
        <f aca="false">WEEKDAY(A1716,2)</f>
        <v>7</v>
      </c>
      <c r="G1716" s="22" t="str">
        <f aca="false">IF(F1716=7,IF(B1716&gt;=23,"C","Sin turno"),IF(B1716&lt;7,"C",IF(B1716&lt;14,"A",IF(B1716&lt;21,"B",IF(B1716&lt;23,"Entre turnos",IF(F1716=6,"Sin turno","C"))))))</f>
        <v>Sin turno</v>
      </c>
      <c r="H1716" s="25" t="n">
        <f aca="false">IF(D1716="","",MAX(0,D1716-0.5*C1716))</f>
        <v>0</v>
      </c>
    </row>
    <row r="1717" customFormat="false" ht="15" hidden="false" customHeight="false" outlineLevel="0" collapsed="false">
      <c r="A1717" s="21" t="n">
        <v>46292</v>
      </c>
      <c r="B1717" s="22" t="n">
        <v>11</v>
      </c>
      <c r="C1717" s="25" t="n">
        <v>116.04</v>
      </c>
      <c r="D1717" s="25" t="n">
        <v>23.52</v>
      </c>
      <c r="E1717" s="25" t="n">
        <v>0</v>
      </c>
      <c r="F1717" s="22" t="n">
        <f aca="false">WEEKDAY(A1717,2)</f>
        <v>7</v>
      </c>
      <c r="G1717" s="22" t="str">
        <f aca="false">IF(F1717=7,IF(B1717&gt;=23,"C","Sin turno"),IF(B1717&lt;7,"C",IF(B1717&lt;14,"A",IF(B1717&lt;21,"B",IF(B1717&lt;23,"Entre turnos",IF(F1717=6,"Sin turno","C"))))))</f>
        <v>Sin turno</v>
      </c>
      <c r="H1717" s="25" t="n">
        <f aca="false">IF(D1717="","",MAX(0,D1717-0.5*C1717))</f>
        <v>0</v>
      </c>
    </row>
    <row r="1718" customFormat="false" ht="15" hidden="false" customHeight="false" outlineLevel="0" collapsed="false">
      <c r="A1718" s="21" t="n">
        <v>46292</v>
      </c>
      <c r="B1718" s="22" t="n">
        <v>12</v>
      </c>
      <c r="C1718" s="25" t="n">
        <v>112.56</v>
      </c>
      <c r="D1718" s="25" t="n">
        <v>23.64</v>
      </c>
      <c r="E1718" s="25" t="n">
        <v>0</v>
      </c>
      <c r="F1718" s="22" t="n">
        <f aca="false">WEEKDAY(A1718,2)</f>
        <v>7</v>
      </c>
      <c r="G1718" s="22" t="str">
        <f aca="false">IF(F1718=7,IF(B1718&gt;=23,"C","Sin turno"),IF(B1718&lt;7,"C",IF(B1718&lt;14,"A",IF(B1718&lt;21,"B",IF(B1718&lt;23,"Entre turnos",IF(F1718=6,"Sin turno","C"))))))</f>
        <v>Sin turno</v>
      </c>
      <c r="H1718" s="25" t="n">
        <f aca="false">IF(D1718="","",MAX(0,D1718-0.5*C1718))</f>
        <v>0</v>
      </c>
    </row>
    <row r="1719" customFormat="false" ht="15" hidden="false" customHeight="false" outlineLevel="0" collapsed="false">
      <c r="A1719" s="21" t="n">
        <v>46292</v>
      </c>
      <c r="B1719" s="22" t="n">
        <v>13</v>
      </c>
      <c r="C1719" s="25" t="n">
        <v>113.52</v>
      </c>
      <c r="D1719" s="25" t="n">
        <v>24.36</v>
      </c>
      <c r="E1719" s="25" t="n">
        <v>0</v>
      </c>
      <c r="F1719" s="22" t="n">
        <f aca="false">WEEKDAY(A1719,2)</f>
        <v>7</v>
      </c>
      <c r="G1719" s="22" t="str">
        <f aca="false">IF(F1719=7,IF(B1719&gt;=23,"C","Sin turno"),IF(B1719&lt;7,"C",IF(B1719&lt;14,"A",IF(B1719&lt;21,"B",IF(B1719&lt;23,"Entre turnos",IF(F1719=6,"Sin turno","C"))))))</f>
        <v>Sin turno</v>
      </c>
      <c r="H1719" s="25" t="n">
        <f aca="false">IF(D1719="","",MAX(0,D1719-0.5*C1719))</f>
        <v>0</v>
      </c>
    </row>
    <row r="1720" customFormat="false" ht="15" hidden="false" customHeight="false" outlineLevel="0" collapsed="false">
      <c r="A1720" s="21" t="n">
        <v>46292</v>
      </c>
      <c r="B1720" s="22" t="n">
        <v>14</v>
      </c>
      <c r="C1720" s="25" t="n">
        <v>108.6</v>
      </c>
      <c r="D1720" s="25" t="n">
        <v>23.28</v>
      </c>
      <c r="E1720" s="25" t="n">
        <v>0</v>
      </c>
      <c r="F1720" s="22" t="n">
        <f aca="false">WEEKDAY(A1720,2)</f>
        <v>7</v>
      </c>
      <c r="G1720" s="22" t="str">
        <f aca="false">IF(F1720=7,IF(B1720&gt;=23,"C","Sin turno"),IF(B1720&lt;7,"C",IF(B1720&lt;14,"A",IF(B1720&lt;21,"B",IF(B1720&lt;23,"Entre turnos",IF(F1720=6,"Sin turno","C"))))))</f>
        <v>Sin turno</v>
      </c>
      <c r="H1720" s="25" t="n">
        <f aca="false">IF(D1720="","",MAX(0,D1720-0.5*C1720))</f>
        <v>0</v>
      </c>
    </row>
    <row r="1721" customFormat="false" ht="15" hidden="false" customHeight="false" outlineLevel="0" collapsed="false">
      <c r="A1721" s="21" t="n">
        <v>46292</v>
      </c>
      <c r="B1721" s="22" t="n">
        <v>15</v>
      </c>
      <c r="C1721" s="25" t="n">
        <v>66.24</v>
      </c>
      <c r="D1721" s="25" t="n">
        <v>18.6</v>
      </c>
      <c r="E1721" s="25" t="n">
        <v>0</v>
      </c>
      <c r="F1721" s="22" t="n">
        <f aca="false">WEEKDAY(A1721,2)</f>
        <v>7</v>
      </c>
      <c r="G1721" s="22" t="str">
        <f aca="false">IF(F1721=7,IF(B1721&gt;=23,"C","Sin turno"),IF(B1721&lt;7,"C",IF(B1721&lt;14,"A",IF(B1721&lt;21,"B",IF(B1721&lt;23,"Entre turnos",IF(F1721=6,"Sin turno","C"))))))</f>
        <v>Sin turno</v>
      </c>
      <c r="H1721" s="25" t="n">
        <f aca="false">IF(D1721="","",MAX(0,D1721-0.5*C1721))</f>
        <v>0</v>
      </c>
    </row>
    <row r="1722" customFormat="false" ht="15" hidden="false" customHeight="false" outlineLevel="0" collapsed="false">
      <c r="A1722" s="21" t="n">
        <v>46292</v>
      </c>
      <c r="B1722" s="22" t="n">
        <v>16</v>
      </c>
      <c r="C1722" s="25" t="n">
        <v>43.68</v>
      </c>
      <c r="D1722" s="25" t="n">
        <v>25.92</v>
      </c>
      <c r="E1722" s="25" t="n">
        <v>0</v>
      </c>
      <c r="F1722" s="22" t="n">
        <f aca="false">WEEKDAY(A1722,2)</f>
        <v>7</v>
      </c>
      <c r="G1722" s="22" t="str">
        <f aca="false">IF(F1722=7,IF(B1722&gt;=23,"C","Sin turno"),IF(B1722&lt;7,"C",IF(B1722&lt;14,"A",IF(B1722&lt;21,"B",IF(B1722&lt;23,"Entre turnos",IF(F1722=6,"Sin turno","C"))))))</f>
        <v>Sin turno</v>
      </c>
      <c r="H1722" s="25" t="n">
        <f aca="false">IF(D1722="","",MAX(0,D1722-0.5*C1722))</f>
        <v>4.08</v>
      </c>
    </row>
    <row r="1723" customFormat="false" ht="15" hidden="false" customHeight="false" outlineLevel="0" collapsed="false">
      <c r="A1723" s="21" t="n">
        <v>46292</v>
      </c>
      <c r="B1723" s="22" t="n">
        <v>17</v>
      </c>
      <c r="C1723" s="25" t="n">
        <v>41.4</v>
      </c>
      <c r="D1723" s="25" t="n">
        <v>25.2</v>
      </c>
      <c r="E1723" s="25" t="n">
        <v>0</v>
      </c>
      <c r="F1723" s="22" t="n">
        <f aca="false">WEEKDAY(A1723,2)</f>
        <v>7</v>
      </c>
      <c r="G1723" s="22" t="str">
        <f aca="false">IF(F1723=7,IF(B1723&gt;=23,"C","Sin turno"),IF(B1723&lt;7,"C",IF(B1723&lt;14,"A",IF(B1723&lt;21,"B",IF(B1723&lt;23,"Entre turnos",IF(F1723=6,"Sin turno","C"))))))</f>
        <v>Sin turno</v>
      </c>
      <c r="H1723" s="25" t="n">
        <f aca="false">IF(D1723="","",MAX(0,D1723-0.5*C1723))</f>
        <v>4.5</v>
      </c>
    </row>
    <row r="1724" customFormat="false" ht="15" hidden="false" customHeight="false" outlineLevel="0" collapsed="false">
      <c r="A1724" s="21" t="n">
        <v>46292</v>
      </c>
      <c r="B1724" s="22" t="n">
        <v>18</v>
      </c>
      <c r="C1724" s="25" t="n">
        <v>42.12</v>
      </c>
      <c r="D1724" s="25" t="n">
        <v>24.96</v>
      </c>
      <c r="E1724" s="25" t="n">
        <v>0</v>
      </c>
      <c r="F1724" s="22" t="n">
        <f aca="false">WEEKDAY(A1724,2)</f>
        <v>7</v>
      </c>
      <c r="G1724" s="22" t="str">
        <f aca="false">IF(F1724=7,IF(B1724&gt;=23,"C","Sin turno"),IF(B1724&lt;7,"C",IF(B1724&lt;14,"A",IF(B1724&lt;21,"B",IF(B1724&lt;23,"Entre turnos",IF(F1724=6,"Sin turno","C"))))))</f>
        <v>Sin turno</v>
      </c>
      <c r="H1724" s="25" t="n">
        <f aca="false">IF(D1724="","",MAX(0,D1724-0.5*C1724))</f>
        <v>3.9</v>
      </c>
    </row>
    <row r="1725" customFormat="false" ht="15" hidden="false" customHeight="false" outlineLevel="0" collapsed="false">
      <c r="A1725" s="21" t="n">
        <v>46292</v>
      </c>
      <c r="B1725" s="22" t="n">
        <v>19</v>
      </c>
      <c r="C1725" s="25" t="n">
        <v>41.16</v>
      </c>
      <c r="D1725" s="25" t="n">
        <v>24.84</v>
      </c>
      <c r="E1725" s="25" t="n">
        <v>0</v>
      </c>
      <c r="F1725" s="22" t="n">
        <f aca="false">WEEKDAY(A1725,2)</f>
        <v>7</v>
      </c>
      <c r="G1725" s="22" t="str">
        <f aca="false">IF(F1725=7,IF(B1725&gt;=23,"C","Sin turno"),IF(B1725&lt;7,"C",IF(B1725&lt;14,"A",IF(B1725&lt;21,"B",IF(B1725&lt;23,"Entre turnos",IF(F1725=6,"Sin turno","C"))))))</f>
        <v>Sin turno</v>
      </c>
      <c r="H1725" s="25" t="n">
        <f aca="false">IF(D1725="","",MAX(0,D1725-0.5*C1725))</f>
        <v>4.26</v>
      </c>
    </row>
    <row r="1726" customFormat="false" ht="15" hidden="false" customHeight="false" outlineLevel="0" collapsed="false">
      <c r="A1726" s="21" t="n">
        <v>46292</v>
      </c>
      <c r="B1726" s="22" t="n">
        <v>20</v>
      </c>
      <c r="C1726" s="25" t="n">
        <v>41.28</v>
      </c>
      <c r="D1726" s="25" t="n">
        <v>25.08</v>
      </c>
      <c r="E1726" s="25" t="n">
        <v>0</v>
      </c>
      <c r="F1726" s="22" t="n">
        <f aca="false">WEEKDAY(A1726,2)</f>
        <v>7</v>
      </c>
      <c r="G1726" s="22" t="str">
        <f aca="false">IF(F1726=7,IF(B1726&gt;=23,"C","Sin turno"),IF(B1726&lt;7,"C",IF(B1726&lt;14,"A",IF(B1726&lt;21,"B",IF(B1726&lt;23,"Entre turnos",IF(F1726=6,"Sin turno","C"))))))</f>
        <v>Sin turno</v>
      </c>
      <c r="H1726" s="25" t="n">
        <f aca="false">IF(D1726="","",MAX(0,D1726-0.5*C1726))</f>
        <v>4.44</v>
      </c>
    </row>
    <row r="1727" customFormat="false" ht="15" hidden="false" customHeight="false" outlineLevel="0" collapsed="false">
      <c r="A1727" s="21" t="n">
        <v>46292</v>
      </c>
      <c r="B1727" s="22" t="n">
        <v>21</v>
      </c>
      <c r="C1727" s="25" t="n">
        <v>41.76</v>
      </c>
      <c r="D1727" s="25" t="n">
        <v>25.2</v>
      </c>
      <c r="E1727" s="25" t="n">
        <v>0</v>
      </c>
      <c r="F1727" s="22" t="n">
        <f aca="false">WEEKDAY(A1727,2)</f>
        <v>7</v>
      </c>
      <c r="G1727" s="22" t="str">
        <f aca="false">IF(F1727=7,IF(B1727&gt;=23,"C","Sin turno"),IF(B1727&lt;7,"C",IF(B1727&lt;14,"A",IF(B1727&lt;21,"B",IF(B1727&lt;23,"Entre turnos",IF(F1727=6,"Sin turno","C"))))))</f>
        <v>Sin turno</v>
      </c>
      <c r="H1727" s="25" t="n">
        <f aca="false">IF(D1727="","",MAX(0,D1727-0.5*C1727))</f>
        <v>4.32</v>
      </c>
    </row>
    <row r="1728" customFormat="false" ht="15" hidden="false" customHeight="false" outlineLevel="0" collapsed="false">
      <c r="A1728" s="21" t="n">
        <v>46292</v>
      </c>
      <c r="B1728" s="22" t="n">
        <v>22</v>
      </c>
      <c r="C1728" s="25" t="n">
        <v>41.28</v>
      </c>
      <c r="D1728" s="25" t="n">
        <v>24.84</v>
      </c>
      <c r="E1728" s="25" t="n">
        <v>0</v>
      </c>
      <c r="F1728" s="22" t="n">
        <f aca="false">WEEKDAY(A1728,2)</f>
        <v>7</v>
      </c>
      <c r="G1728" s="22" t="str">
        <f aca="false">IF(F1728=7,IF(B1728&gt;=23,"C","Sin turno"),IF(B1728&lt;7,"C",IF(B1728&lt;14,"A",IF(B1728&lt;21,"B",IF(B1728&lt;23,"Entre turnos",IF(F1728=6,"Sin turno","C"))))))</f>
        <v>Sin turno</v>
      </c>
      <c r="H1728" s="25" t="n">
        <f aca="false">IF(D1728="","",MAX(0,D1728-0.5*C1728))</f>
        <v>4.2</v>
      </c>
    </row>
    <row r="1729" customFormat="false" ht="15" hidden="false" customHeight="false" outlineLevel="0" collapsed="false">
      <c r="A1729" s="21" t="n">
        <v>46292</v>
      </c>
      <c r="B1729" s="22" t="n">
        <v>23</v>
      </c>
      <c r="C1729" s="25" t="n">
        <v>69</v>
      </c>
      <c r="D1729" s="25" t="n">
        <v>22.56</v>
      </c>
      <c r="E1729" s="25" t="n">
        <v>0.12</v>
      </c>
      <c r="F1729" s="22" t="n">
        <f aca="false">WEEKDAY(A1729,2)</f>
        <v>7</v>
      </c>
      <c r="G1729" s="22" t="str">
        <f aca="false">IF(F1729=7,IF(B1729&gt;=23,"C","Sin turno"),IF(B1729&lt;7,"C",IF(B1729&lt;14,"A",IF(B1729&lt;21,"B",IF(B1729&lt;23,"Entre turnos",IF(F1729=6,"Sin turno","C"))))))</f>
        <v>C</v>
      </c>
      <c r="H1729" s="25" t="n">
        <f aca="false">IF(D1729="","",MAX(0,D1729-0.5*C1729))</f>
        <v>0</v>
      </c>
    </row>
    <row r="1730" customFormat="false" ht="15" hidden="false" customHeight="false" outlineLevel="0" collapsed="false">
      <c r="A1730" s="21" t="n">
        <v>46293</v>
      </c>
      <c r="B1730" s="22" t="n">
        <v>0</v>
      </c>
      <c r="C1730" s="25" t="n">
        <v>90.48</v>
      </c>
      <c r="D1730" s="25" t="n">
        <v>13.08</v>
      </c>
      <c r="E1730" s="25" t="n">
        <v>0.48</v>
      </c>
      <c r="F1730" s="22" t="n">
        <f aca="false">WEEKDAY(A1730,2)</f>
        <v>1</v>
      </c>
      <c r="G1730" s="22" t="str">
        <f aca="false">IF(F1730=7,IF(B1730&gt;=23,"C","Sin turno"),IF(B1730&lt;7,"C",IF(B1730&lt;14,"A",IF(B1730&lt;21,"B",IF(B1730&lt;23,"Entre turnos",IF(F1730=6,"Sin turno","C"))))))</f>
        <v>C</v>
      </c>
      <c r="H1730" s="25" t="n">
        <f aca="false">IF(D1730="","",MAX(0,D1730-0.5*C1730))</f>
        <v>0</v>
      </c>
    </row>
    <row r="1731" customFormat="false" ht="15" hidden="false" customHeight="false" outlineLevel="0" collapsed="false">
      <c r="A1731" s="21" t="n">
        <v>46293</v>
      </c>
      <c r="B1731" s="22" t="n">
        <v>1</v>
      </c>
      <c r="C1731" s="25" t="n">
        <v>85.68</v>
      </c>
      <c r="D1731" s="25" t="n">
        <v>12.36</v>
      </c>
      <c r="E1731" s="25" t="n">
        <v>0.48</v>
      </c>
      <c r="F1731" s="22" t="n">
        <f aca="false">WEEKDAY(A1731,2)</f>
        <v>1</v>
      </c>
      <c r="G1731" s="22" t="str">
        <f aca="false">IF(F1731=7,IF(B1731&gt;=23,"C","Sin turno"),IF(B1731&lt;7,"C",IF(B1731&lt;14,"A",IF(B1731&lt;21,"B",IF(B1731&lt;23,"Entre turnos",IF(F1731=6,"Sin turno","C"))))))</f>
        <v>C</v>
      </c>
      <c r="H1731" s="25" t="n">
        <f aca="false">IF(D1731="","",MAX(0,D1731-0.5*C1731))</f>
        <v>0</v>
      </c>
    </row>
    <row r="1732" customFormat="false" ht="15" hidden="false" customHeight="false" outlineLevel="0" collapsed="false">
      <c r="A1732" s="21" t="n">
        <v>46293</v>
      </c>
      <c r="B1732" s="22" t="n">
        <v>2</v>
      </c>
      <c r="C1732" s="25" t="n">
        <v>88.56</v>
      </c>
      <c r="D1732" s="25" t="n">
        <v>13.56</v>
      </c>
      <c r="E1732" s="25" t="n">
        <v>0.6</v>
      </c>
      <c r="F1732" s="22" t="n">
        <f aca="false">WEEKDAY(A1732,2)</f>
        <v>1</v>
      </c>
      <c r="G1732" s="22" t="str">
        <f aca="false">IF(F1732=7,IF(B1732&gt;=23,"C","Sin turno"),IF(B1732&lt;7,"C",IF(B1732&lt;14,"A",IF(B1732&lt;21,"B",IF(B1732&lt;23,"Entre turnos",IF(F1732=6,"Sin turno","C"))))))</f>
        <v>C</v>
      </c>
      <c r="H1732" s="25" t="n">
        <f aca="false">IF(D1732="","",MAX(0,D1732-0.5*C1732))</f>
        <v>0</v>
      </c>
    </row>
    <row r="1733" customFormat="false" ht="15" hidden="false" customHeight="false" outlineLevel="0" collapsed="false">
      <c r="A1733" s="21" t="n">
        <v>46293</v>
      </c>
      <c r="B1733" s="22" t="n">
        <v>3</v>
      </c>
      <c r="C1733" s="25" t="n">
        <v>87.12</v>
      </c>
      <c r="D1733" s="25" t="n">
        <v>13.08</v>
      </c>
      <c r="E1733" s="25" t="n">
        <v>0.36</v>
      </c>
      <c r="F1733" s="22" t="n">
        <f aca="false">WEEKDAY(A1733,2)</f>
        <v>1</v>
      </c>
      <c r="G1733" s="22" t="str">
        <f aca="false">IF(F1733=7,IF(B1733&gt;=23,"C","Sin turno"),IF(B1733&lt;7,"C",IF(B1733&lt;14,"A",IF(B1733&lt;21,"B",IF(B1733&lt;23,"Entre turnos",IF(F1733=6,"Sin turno","C"))))))</f>
        <v>C</v>
      </c>
      <c r="H1733" s="25" t="n">
        <f aca="false">IF(D1733="","",MAX(0,D1733-0.5*C1733))</f>
        <v>0</v>
      </c>
    </row>
    <row r="1734" customFormat="false" ht="15" hidden="false" customHeight="false" outlineLevel="0" collapsed="false">
      <c r="A1734" s="21" t="n">
        <v>46293</v>
      </c>
      <c r="B1734" s="22" t="n">
        <v>4</v>
      </c>
      <c r="C1734" s="25" t="n">
        <v>84.84</v>
      </c>
      <c r="D1734" s="25" t="n">
        <v>13.68</v>
      </c>
      <c r="E1734" s="25" t="n">
        <v>0.36</v>
      </c>
      <c r="F1734" s="22" t="n">
        <f aca="false">WEEKDAY(A1734,2)</f>
        <v>1</v>
      </c>
      <c r="G1734" s="22" t="str">
        <f aca="false">IF(F1734=7,IF(B1734&gt;=23,"C","Sin turno"),IF(B1734&lt;7,"C",IF(B1734&lt;14,"A",IF(B1734&lt;21,"B",IF(B1734&lt;23,"Entre turnos",IF(F1734=6,"Sin turno","C"))))))</f>
        <v>C</v>
      </c>
      <c r="H1734" s="25" t="n">
        <f aca="false">IF(D1734="","",MAX(0,D1734-0.5*C1734))</f>
        <v>0</v>
      </c>
    </row>
    <row r="1735" customFormat="false" ht="15" hidden="false" customHeight="false" outlineLevel="0" collapsed="false">
      <c r="A1735" s="21" t="n">
        <v>46293</v>
      </c>
      <c r="B1735" s="22" t="n">
        <v>5</v>
      </c>
      <c r="C1735" s="25" t="n">
        <v>85.56</v>
      </c>
      <c r="D1735" s="25" t="n">
        <v>13.92</v>
      </c>
      <c r="E1735" s="25" t="n">
        <v>0.36</v>
      </c>
      <c r="F1735" s="22" t="n">
        <f aca="false">WEEKDAY(A1735,2)</f>
        <v>1</v>
      </c>
      <c r="G1735" s="22" t="str">
        <f aca="false">IF(F1735=7,IF(B1735&gt;=23,"C","Sin turno"),IF(B1735&lt;7,"C",IF(B1735&lt;14,"A",IF(B1735&lt;21,"B",IF(B1735&lt;23,"Entre turnos",IF(F1735=6,"Sin turno","C"))))))</f>
        <v>C</v>
      </c>
      <c r="H1735" s="25" t="n">
        <f aca="false">IF(D1735="","",MAX(0,D1735-0.5*C1735))</f>
        <v>0</v>
      </c>
    </row>
    <row r="1736" customFormat="false" ht="15" hidden="false" customHeight="false" outlineLevel="0" collapsed="false">
      <c r="A1736" s="21" t="n">
        <v>46293</v>
      </c>
      <c r="B1736" s="22" t="n">
        <v>6</v>
      </c>
      <c r="C1736" s="25" t="n">
        <v>112.44</v>
      </c>
      <c r="D1736" s="25" t="n">
        <v>18.48</v>
      </c>
      <c r="E1736" s="25" t="n">
        <v>0.24</v>
      </c>
      <c r="F1736" s="22" t="n">
        <f aca="false">WEEKDAY(A1736,2)</f>
        <v>1</v>
      </c>
      <c r="G1736" s="22" t="str">
        <f aca="false">IF(F1736=7,IF(B1736&gt;=23,"C","Sin turno"),IF(B1736&lt;7,"C",IF(B1736&lt;14,"A",IF(B1736&lt;21,"B",IF(B1736&lt;23,"Entre turnos",IF(F1736=6,"Sin turno","C"))))))</f>
        <v>C</v>
      </c>
      <c r="H1736" s="25" t="n">
        <f aca="false">IF(D1736="","",MAX(0,D1736-0.5*C1736))</f>
        <v>0</v>
      </c>
    </row>
    <row r="1737" customFormat="false" ht="15" hidden="false" customHeight="false" outlineLevel="0" collapsed="false">
      <c r="A1737" s="21" t="n">
        <v>46293</v>
      </c>
      <c r="B1737" s="22" t="n">
        <v>7</v>
      </c>
      <c r="C1737" s="25" t="n">
        <v>245.04</v>
      </c>
      <c r="D1737" s="25" t="n">
        <v>22.92</v>
      </c>
      <c r="E1737" s="25" t="n">
        <v>0.24</v>
      </c>
      <c r="F1737" s="22" t="n">
        <f aca="false">WEEKDAY(A1737,2)</f>
        <v>1</v>
      </c>
      <c r="G1737" s="22" t="str">
        <f aca="false">IF(F1737=7,IF(B1737&gt;=23,"C","Sin turno"),IF(B1737&lt;7,"C",IF(B1737&lt;14,"A",IF(B1737&lt;21,"B",IF(B1737&lt;23,"Entre turnos",IF(F1737=6,"Sin turno","C"))))))</f>
        <v>A</v>
      </c>
      <c r="H1737" s="25" t="n">
        <f aca="false">IF(D1737="","",MAX(0,D1737-0.5*C1737))</f>
        <v>0</v>
      </c>
    </row>
    <row r="1738" customFormat="false" ht="15" hidden="false" customHeight="false" outlineLevel="0" collapsed="false">
      <c r="A1738" s="21" t="n">
        <v>46293</v>
      </c>
      <c r="B1738" s="22" t="n">
        <v>8</v>
      </c>
      <c r="C1738" s="25" t="n">
        <v>300.96</v>
      </c>
      <c r="D1738" s="25" t="n">
        <v>23.04</v>
      </c>
      <c r="E1738" s="25" t="n">
        <v>0</v>
      </c>
      <c r="F1738" s="22" t="n">
        <f aca="false">WEEKDAY(A1738,2)</f>
        <v>1</v>
      </c>
      <c r="G1738" s="22" t="str">
        <f aca="false">IF(F1738=7,IF(B1738&gt;=23,"C","Sin turno"),IF(B1738&lt;7,"C",IF(B1738&lt;14,"A",IF(B1738&lt;21,"B",IF(B1738&lt;23,"Entre turnos",IF(F1738=6,"Sin turno","C"))))))</f>
        <v>A</v>
      </c>
      <c r="H1738" s="25" t="n">
        <f aca="false">IF(D1738="","",MAX(0,D1738-0.5*C1738))</f>
        <v>0</v>
      </c>
    </row>
    <row r="1739" customFormat="false" ht="15" hidden="false" customHeight="false" outlineLevel="0" collapsed="false">
      <c r="A1739" s="21" t="n">
        <v>46293</v>
      </c>
      <c r="B1739" s="22" t="n">
        <v>9</v>
      </c>
      <c r="C1739" s="25" t="n">
        <v>298.56</v>
      </c>
      <c r="D1739" s="25" t="n">
        <v>26.04</v>
      </c>
      <c r="E1739" s="25" t="n">
        <v>0</v>
      </c>
      <c r="F1739" s="22" t="n">
        <f aca="false">WEEKDAY(A1739,2)</f>
        <v>1</v>
      </c>
      <c r="G1739" s="22" t="str">
        <f aca="false">IF(F1739=7,IF(B1739&gt;=23,"C","Sin turno"),IF(B1739&lt;7,"C",IF(B1739&lt;14,"A",IF(B1739&lt;21,"B",IF(B1739&lt;23,"Entre turnos",IF(F1739=6,"Sin turno","C"))))))</f>
        <v>A</v>
      </c>
      <c r="H1739" s="25" t="n">
        <f aca="false">IF(D1739="","",MAX(0,D1739-0.5*C1739))</f>
        <v>0</v>
      </c>
    </row>
    <row r="1740" customFormat="false" ht="15" hidden="false" customHeight="false" outlineLevel="0" collapsed="false">
      <c r="A1740" s="21" t="n">
        <v>46293</v>
      </c>
      <c r="B1740" s="22" t="n">
        <v>10</v>
      </c>
      <c r="C1740" s="25" t="n">
        <v>294.84</v>
      </c>
      <c r="D1740" s="25" t="n">
        <v>23.88</v>
      </c>
      <c r="E1740" s="25" t="n">
        <v>0.12</v>
      </c>
      <c r="F1740" s="22" t="n">
        <f aca="false">WEEKDAY(A1740,2)</f>
        <v>1</v>
      </c>
      <c r="G1740" s="22" t="str">
        <f aca="false">IF(F1740=7,IF(B1740&gt;=23,"C","Sin turno"),IF(B1740&lt;7,"C",IF(B1740&lt;14,"A",IF(B1740&lt;21,"B",IF(B1740&lt;23,"Entre turnos",IF(F1740=6,"Sin turno","C"))))))</f>
        <v>A</v>
      </c>
      <c r="H1740" s="25" t="n">
        <f aca="false">IF(D1740="","",MAX(0,D1740-0.5*C1740))</f>
        <v>0</v>
      </c>
    </row>
    <row r="1741" customFormat="false" ht="15" hidden="false" customHeight="false" outlineLevel="0" collapsed="false">
      <c r="A1741" s="21" t="n">
        <v>46293</v>
      </c>
      <c r="B1741" s="22" t="n">
        <v>11</v>
      </c>
      <c r="C1741" s="25" t="n">
        <v>268.92</v>
      </c>
      <c r="D1741" s="25" t="n">
        <v>21.72</v>
      </c>
      <c r="E1741" s="25" t="n">
        <v>0</v>
      </c>
      <c r="F1741" s="22" t="n">
        <f aca="false">WEEKDAY(A1741,2)</f>
        <v>1</v>
      </c>
      <c r="G1741" s="22" t="str">
        <f aca="false">IF(F1741=7,IF(B1741&gt;=23,"C","Sin turno"),IF(B1741&lt;7,"C",IF(B1741&lt;14,"A",IF(B1741&lt;21,"B",IF(B1741&lt;23,"Entre turnos",IF(F1741=6,"Sin turno","C"))))))</f>
        <v>A</v>
      </c>
      <c r="H1741" s="25" t="n">
        <f aca="false">IF(D1741="","",MAX(0,D1741-0.5*C1741))</f>
        <v>0</v>
      </c>
    </row>
    <row r="1742" customFormat="false" ht="15" hidden="false" customHeight="false" outlineLevel="0" collapsed="false">
      <c r="A1742" s="21" t="n">
        <v>46293</v>
      </c>
      <c r="B1742" s="22" t="n">
        <v>12</v>
      </c>
      <c r="C1742" s="25" t="n">
        <v>277.56</v>
      </c>
      <c r="D1742" s="25" t="n">
        <v>23.64</v>
      </c>
      <c r="E1742" s="25" t="n">
        <v>0</v>
      </c>
      <c r="F1742" s="22" t="n">
        <f aca="false">WEEKDAY(A1742,2)</f>
        <v>1</v>
      </c>
      <c r="G1742" s="22" t="str">
        <f aca="false">IF(F1742=7,IF(B1742&gt;=23,"C","Sin turno"),IF(B1742&lt;7,"C",IF(B1742&lt;14,"A",IF(B1742&lt;21,"B",IF(B1742&lt;23,"Entre turnos",IF(F1742=6,"Sin turno","C"))))))</f>
        <v>A</v>
      </c>
      <c r="H1742" s="25" t="n">
        <f aca="false">IF(D1742="","",MAX(0,D1742-0.5*C1742))</f>
        <v>0</v>
      </c>
    </row>
    <row r="1743" customFormat="false" ht="15" hidden="false" customHeight="false" outlineLevel="0" collapsed="false">
      <c r="A1743" s="21" t="n">
        <v>46293</v>
      </c>
      <c r="B1743" s="22" t="n">
        <v>13</v>
      </c>
      <c r="C1743" s="25" t="n">
        <v>291.72</v>
      </c>
      <c r="D1743" s="25" t="n">
        <v>22.68</v>
      </c>
      <c r="E1743" s="25" t="n">
        <v>0</v>
      </c>
      <c r="F1743" s="22" t="n">
        <f aca="false">WEEKDAY(A1743,2)</f>
        <v>1</v>
      </c>
      <c r="G1743" s="22" t="str">
        <f aca="false">IF(F1743=7,IF(B1743&gt;=23,"C","Sin turno"),IF(B1743&lt;7,"C",IF(B1743&lt;14,"A",IF(B1743&lt;21,"B",IF(B1743&lt;23,"Entre turnos",IF(F1743=6,"Sin turno","C"))))))</f>
        <v>A</v>
      </c>
      <c r="H1743" s="25" t="n">
        <f aca="false">IF(D1743="","",MAX(0,D1743-0.5*C1743))</f>
        <v>0</v>
      </c>
    </row>
    <row r="1744" customFormat="false" ht="15" hidden="false" customHeight="false" outlineLevel="0" collapsed="false">
      <c r="A1744" s="21" t="n">
        <v>46293</v>
      </c>
      <c r="B1744" s="22" t="n">
        <v>14</v>
      </c>
      <c r="C1744" s="25" t="n">
        <v>265.32</v>
      </c>
      <c r="D1744" s="25" t="n">
        <v>19.44</v>
      </c>
      <c r="E1744" s="25" t="n">
        <v>0</v>
      </c>
      <c r="F1744" s="22" t="n">
        <f aca="false">WEEKDAY(A1744,2)</f>
        <v>1</v>
      </c>
      <c r="G1744" s="22" t="str">
        <f aca="false">IF(F1744=7,IF(B1744&gt;=23,"C","Sin turno"),IF(B1744&lt;7,"C",IF(B1744&lt;14,"A",IF(B1744&lt;21,"B",IF(B1744&lt;23,"Entre turnos",IF(F1744=6,"Sin turno","C"))))))</f>
        <v>B</v>
      </c>
      <c r="H1744" s="25" t="n">
        <f aca="false">IF(D1744="","",MAX(0,D1744-0.5*C1744))</f>
        <v>0</v>
      </c>
    </row>
    <row r="1745" customFormat="false" ht="15" hidden="false" customHeight="false" outlineLevel="0" collapsed="false">
      <c r="A1745" s="21" t="n">
        <v>46293</v>
      </c>
      <c r="B1745" s="22" t="n">
        <v>15</v>
      </c>
      <c r="C1745" s="25" t="n">
        <v>253.08</v>
      </c>
      <c r="D1745" s="25" t="n">
        <v>20.16</v>
      </c>
      <c r="E1745" s="25" t="n">
        <v>0</v>
      </c>
      <c r="F1745" s="22" t="n">
        <f aca="false">WEEKDAY(A1745,2)</f>
        <v>1</v>
      </c>
      <c r="G1745" s="22" t="str">
        <f aca="false">IF(F1745=7,IF(B1745&gt;=23,"C","Sin turno"),IF(B1745&lt;7,"C",IF(B1745&lt;14,"A",IF(B1745&lt;21,"B",IF(B1745&lt;23,"Entre turnos",IF(F1745=6,"Sin turno","C"))))))</f>
        <v>B</v>
      </c>
      <c r="H1745" s="25" t="n">
        <f aca="false">IF(D1745="","",MAX(0,D1745-0.5*C1745))</f>
        <v>0</v>
      </c>
    </row>
    <row r="1746" customFormat="false" ht="15" hidden="false" customHeight="false" outlineLevel="0" collapsed="false">
      <c r="A1746" s="21" t="n">
        <v>46293</v>
      </c>
      <c r="B1746" s="22" t="n">
        <v>16</v>
      </c>
      <c r="C1746" s="25" t="n">
        <v>258.96</v>
      </c>
      <c r="D1746" s="25" t="n">
        <v>20.76</v>
      </c>
      <c r="E1746" s="25" t="n">
        <v>0.12</v>
      </c>
      <c r="F1746" s="22" t="n">
        <f aca="false">WEEKDAY(A1746,2)</f>
        <v>1</v>
      </c>
      <c r="G1746" s="22" t="str">
        <f aca="false">IF(F1746=7,IF(B1746&gt;=23,"C","Sin turno"),IF(B1746&lt;7,"C",IF(B1746&lt;14,"A",IF(B1746&lt;21,"B",IF(B1746&lt;23,"Entre turnos",IF(F1746=6,"Sin turno","C"))))))</f>
        <v>B</v>
      </c>
      <c r="H1746" s="25" t="n">
        <f aca="false">IF(D1746="","",MAX(0,D1746-0.5*C1746))</f>
        <v>0</v>
      </c>
    </row>
    <row r="1747" customFormat="false" ht="15" hidden="false" customHeight="false" outlineLevel="0" collapsed="false">
      <c r="A1747" s="21" t="n">
        <v>46293</v>
      </c>
      <c r="B1747" s="22" t="n">
        <v>17</v>
      </c>
      <c r="C1747" s="25" t="n">
        <v>206.28</v>
      </c>
      <c r="D1747" s="25" t="n">
        <v>23.64</v>
      </c>
      <c r="E1747" s="25" t="n">
        <v>0</v>
      </c>
      <c r="F1747" s="22" t="n">
        <f aca="false">WEEKDAY(A1747,2)</f>
        <v>1</v>
      </c>
      <c r="G1747" s="22" t="str">
        <f aca="false">IF(F1747=7,IF(B1747&gt;=23,"C","Sin turno"),IF(B1747&lt;7,"C",IF(B1747&lt;14,"A",IF(B1747&lt;21,"B",IF(B1747&lt;23,"Entre turnos",IF(F1747=6,"Sin turno","C"))))))</f>
        <v>B</v>
      </c>
      <c r="H1747" s="25" t="n">
        <f aca="false">IF(D1747="","",MAX(0,D1747-0.5*C1747))</f>
        <v>0</v>
      </c>
    </row>
    <row r="1748" customFormat="false" ht="15" hidden="false" customHeight="false" outlineLevel="0" collapsed="false">
      <c r="A1748" s="21" t="n">
        <v>46293</v>
      </c>
      <c r="B1748" s="22" t="n">
        <v>18</v>
      </c>
      <c r="C1748" s="25" t="n">
        <v>191.16</v>
      </c>
      <c r="D1748" s="25" t="n">
        <v>19.8</v>
      </c>
      <c r="E1748" s="25" t="n">
        <v>0</v>
      </c>
      <c r="F1748" s="22" t="n">
        <f aca="false">WEEKDAY(A1748,2)</f>
        <v>1</v>
      </c>
      <c r="G1748" s="22" t="str">
        <f aca="false">IF(F1748=7,IF(B1748&gt;=23,"C","Sin turno"),IF(B1748&lt;7,"C",IF(B1748&lt;14,"A",IF(B1748&lt;21,"B",IF(B1748&lt;23,"Entre turnos",IF(F1748=6,"Sin turno","C"))))))</f>
        <v>B</v>
      </c>
      <c r="H1748" s="25" t="n">
        <f aca="false">IF(D1748="","",MAX(0,D1748-0.5*C1748))</f>
        <v>0</v>
      </c>
    </row>
    <row r="1749" customFormat="false" ht="15" hidden="false" customHeight="false" outlineLevel="0" collapsed="false">
      <c r="A1749" s="21" t="n">
        <v>46293</v>
      </c>
      <c r="B1749" s="22" t="n">
        <v>19</v>
      </c>
      <c r="C1749" s="25" t="n">
        <v>167.4</v>
      </c>
      <c r="D1749" s="25" t="n">
        <v>22.2</v>
      </c>
      <c r="E1749" s="25" t="n">
        <v>0.6</v>
      </c>
      <c r="F1749" s="22" t="n">
        <f aca="false">WEEKDAY(A1749,2)</f>
        <v>1</v>
      </c>
      <c r="G1749" s="22" t="str">
        <f aca="false">IF(F1749=7,IF(B1749&gt;=23,"C","Sin turno"),IF(B1749&lt;7,"C",IF(B1749&lt;14,"A",IF(B1749&lt;21,"B",IF(B1749&lt;23,"Entre turnos",IF(F1749=6,"Sin turno","C"))))))</f>
        <v>B</v>
      </c>
      <c r="H1749" s="25" t="n">
        <f aca="false">IF(D1749="","",MAX(0,D1749-0.5*C1749))</f>
        <v>0</v>
      </c>
    </row>
    <row r="1750" customFormat="false" ht="15" hidden="false" customHeight="false" outlineLevel="0" collapsed="false">
      <c r="A1750" s="21" t="n">
        <v>46293</v>
      </c>
      <c r="B1750" s="22" t="n">
        <v>20</v>
      </c>
      <c r="C1750" s="25" t="n">
        <v>176.4</v>
      </c>
      <c r="D1750" s="25" t="n">
        <v>25.8</v>
      </c>
      <c r="E1750" s="25" t="n">
        <v>0.24</v>
      </c>
      <c r="F1750" s="22" t="n">
        <f aca="false">WEEKDAY(A1750,2)</f>
        <v>1</v>
      </c>
      <c r="G1750" s="22" t="str">
        <f aca="false">IF(F1750=7,IF(B1750&gt;=23,"C","Sin turno"),IF(B1750&lt;7,"C",IF(B1750&lt;14,"A",IF(B1750&lt;21,"B",IF(B1750&lt;23,"Entre turnos",IF(F1750=6,"Sin turno","C"))))))</f>
        <v>B</v>
      </c>
      <c r="H1750" s="25" t="n">
        <f aca="false">IF(D1750="","",MAX(0,D1750-0.5*C1750))</f>
        <v>0</v>
      </c>
    </row>
    <row r="1751" customFormat="false" ht="15" hidden="false" customHeight="false" outlineLevel="0" collapsed="false">
      <c r="A1751" s="21" t="n">
        <v>46293</v>
      </c>
      <c r="B1751" s="22" t="n">
        <v>21</v>
      </c>
      <c r="C1751" s="25" t="n">
        <v>151.92</v>
      </c>
      <c r="D1751" s="25" t="n">
        <v>22.44</v>
      </c>
      <c r="E1751" s="25" t="n">
        <v>0.12</v>
      </c>
      <c r="F1751" s="22" t="n">
        <f aca="false">WEEKDAY(A1751,2)</f>
        <v>1</v>
      </c>
      <c r="G1751" s="22" t="str">
        <f aca="false">IF(F1751=7,IF(B1751&gt;=23,"C","Sin turno"),IF(B1751&lt;7,"C",IF(B1751&lt;14,"A",IF(B1751&lt;21,"B",IF(B1751&lt;23,"Entre turnos",IF(F1751=6,"Sin turno","C"))))))</f>
        <v>Entre turnos</v>
      </c>
      <c r="H1751" s="25" t="n">
        <f aca="false">IF(D1751="","",MAX(0,D1751-0.5*C1751))</f>
        <v>0</v>
      </c>
    </row>
    <row r="1752" customFormat="false" ht="15" hidden="false" customHeight="false" outlineLevel="0" collapsed="false">
      <c r="A1752" s="21" t="n">
        <v>46293</v>
      </c>
      <c r="B1752" s="22" t="n">
        <v>22</v>
      </c>
      <c r="C1752" s="25" t="n">
        <v>128.76</v>
      </c>
      <c r="D1752" s="25" t="n">
        <v>18.12</v>
      </c>
      <c r="E1752" s="25" t="n">
        <v>0</v>
      </c>
      <c r="F1752" s="22" t="n">
        <f aca="false">WEEKDAY(A1752,2)</f>
        <v>1</v>
      </c>
      <c r="G1752" s="22" t="str">
        <f aca="false">IF(F1752=7,IF(B1752&gt;=23,"C","Sin turno"),IF(B1752&lt;7,"C",IF(B1752&lt;14,"A",IF(B1752&lt;21,"B",IF(B1752&lt;23,"Entre turnos",IF(F1752=6,"Sin turno","C"))))))</f>
        <v>Entre turnos</v>
      </c>
      <c r="H1752" s="25" t="n">
        <f aca="false">IF(D1752="","",MAX(0,D1752-0.5*C1752))</f>
        <v>0</v>
      </c>
    </row>
    <row r="1753" customFormat="false" ht="15" hidden="false" customHeight="false" outlineLevel="0" collapsed="false">
      <c r="A1753" s="21" t="n">
        <v>46293</v>
      </c>
      <c r="B1753" s="22" t="n">
        <v>23</v>
      </c>
      <c r="C1753" s="25" t="n">
        <v>110.16</v>
      </c>
      <c r="D1753" s="25" t="n">
        <v>16.8</v>
      </c>
      <c r="E1753" s="25" t="n">
        <v>1.08</v>
      </c>
      <c r="F1753" s="22" t="n">
        <f aca="false">WEEKDAY(A1753,2)</f>
        <v>1</v>
      </c>
      <c r="G1753" s="22" t="str">
        <f aca="false">IF(F1753=7,IF(B1753&gt;=23,"C","Sin turno"),IF(B1753&lt;7,"C",IF(B1753&lt;14,"A",IF(B1753&lt;21,"B",IF(B1753&lt;23,"Entre turnos",IF(F1753=6,"Sin turno","C"))))))</f>
        <v>C</v>
      </c>
      <c r="H1753" s="25" t="n">
        <f aca="false">IF(D1753="","",MAX(0,D1753-0.5*C1753))</f>
        <v>0</v>
      </c>
    </row>
    <row r="1754" customFormat="false" ht="15" hidden="false" customHeight="false" outlineLevel="0" collapsed="false">
      <c r="A1754" s="21" t="n">
        <v>46294</v>
      </c>
      <c r="B1754" s="22" t="n">
        <v>0</v>
      </c>
      <c r="C1754" s="25" t="n">
        <v>109.68</v>
      </c>
      <c r="D1754" s="25" t="n">
        <v>13.2</v>
      </c>
      <c r="E1754" s="25" t="n">
        <v>0.36</v>
      </c>
      <c r="F1754" s="22" t="n">
        <f aca="false">WEEKDAY(A1754,2)</f>
        <v>2</v>
      </c>
      <c r="G1754" s="22" t="str">
        <f aca="false">IF(F1754=7,IF(B1754&gt;=23,"C","Sin turno"),IF(B1754&lt;7,"C",IF(B1754&lt;14,"A",IF(B1754&lt;21,"B",IF(B1754&lt;23,"Entre turnos",IF(F1754=6,"Sin turno","C"))))))</f>
        <v>C</v>
      </c>
      <c r="H1754" s="25" t="n">
        <f aca="false">IF(D1754="","",MAX(0,D1754-0.5*C1754))</f>
        <v>0</v>
      </c>
    </row>
    <row r="1755" customFormat="false" ht="15" hidden="false" customHeight="false" outlineLevel="0" collapsed="false">
      <c r="A1755" s="21" t="n">
        <v>46294</v>
      </c>
      <c r="B1755" s="22" t="n">
        <v>1</v>
      </c>
      <c r="C1755" s="25" t="n">
        <v>102.72</v>
      </c>
      <c r="D1755" s="25" t="n">
        <v>12.48</v>
      </c>
      <c r="E1755" s="25" t="n">
        <v>0.12</v>
      </c>
      <c r="F1755" s="22" t="n">
        <f aca="false">WEEKDAY(A1755,2)</f>
        <v>2</v>
      </c>
      <c r="G1755" s="22" t="str">
        <f aca="false">IF(F1755=7,IF(B1755&gt;=23,"C","Sin turno"),IF(B1755&lt;7,"C",IF(B1755&lt;14,"A",IF(B1755&lt;21,"B",IF(B1755&lt;23,"Entre turnos",IF(F1755=6,"Sin turno","C"))))))</f>
        <v>C</v>
      </c>
      <c r="H1755" s="25" t="n">
        <f aca="false">IF(D1755="","",MAX(0,D1755-0.5*C1755))</f>
        <v>0</v>
      </c>
    </row>
    <row r="1756" customFormat="false" ht="15" hidden="false" customHeight="false" outlineLevel="0" collapsed="false">
      <c r="A1756" s="21" t="n">
        <v>46294</v>
      </c>
      <c r="B1756" s="22" t="n">
        <v>2</v>
      </c>
      <c r="C1756" s="25" t="n">
        <v>102.72</v>
      </c>
      <c r="D1756" s="25" t="n">
        <v>13.56</v>
      </c>
      <c r="E1756" s="25" t="n">
        <v>0</v>
      </c>
      <c r="F1756" s="22" t="n">
        <f aca="false">WEEKDAY(A1756,2)</f>
        <v>2</v>
      </c>
      <c r="G1756" s="22" t="str">
        <f aca="false">IF(F1756=7,IF(B1756&gt;=23,"C","Sin turno"),IF(B1756&lt;7,"C",IF(B1756&lt;14,"A",IF(B1756&lt;21,"B",IF(B1756&lt;23,"Entre turnos",IF(F1756=6,"Sin turno","C"))))))</f>
        <v>C</v>
      </c>
      <c r="H1756" s="25" t="n">
        <f aca="false">IF(D1756="","",MAX(0,D1756-0.5*C1756))</f>
        <v>0</v>
      </c>
    </row>
    <row r="1757" customFormat="false" ht="15" hidden="false" customHeight="false" outlineLevel="0" collapsed="false">
      <c r="A1757" s="21" t="n">
        <v>46294</v>
      </c>
      <c r="B1757" s="22" t="n">
        <v>3</v>
      </c>
      <c r="C1757" s="25" t="n">
        <v>101.76</v>
      </c>
      <c r="D1757" s="25" t="n">
        <v>12.6</v>
      </c>
      <c r="E1757" s="25" t="n">
        <v>0</v>
      </c>
      <c r="F1757" s="22" t="n">
        <f aca="false">WEEKDAY(A1757,2)</f>
        <v>2</v>
      </c>
      <c r="G1757" s="22" t="str">
        <f aca="false">IF(F1757=7,IF(B1757&gt;=23,"C","Sin turno"),IF(B1757&lt;7,"C",IF(B1757&lt;14,"A",IF(B1757&lt;21,"B",IF(B1757&lt;23,"Entre turnos",IF(F1757=6,"Sin turno","C"))))))</f>
        <v>C</v>
      </c>
      <c r="H1757" s="25" t="n">
        <f aca="false">IF(D1757="","",MAX(0,D1757-0.5*C1757))</f>
        <v>0</v>
      </c>
    </row>
    <row r="1758" customFormat="false" ht="15" hidden="false" customHeight="false" outlineLevel="0" collapsed="false">
      <c r="A1758" s="21" t="n">
        <v>46294</v>
      </c>
      <c r="B1758" s="22" t="n">
        <v>4</v>
      </c>
      <c r="C1758" s="25" t="n">
        <v>98.04</v>
      </c>
      <c r="D1758" s="25" t="n">
        <v>13.32</v>
      </c>
      <c r="E1758" s="25" t="n">
        <v>0.24</v>
      </c>
      <c r="F1758" s="22" t="n">
        <f aca="false">WEEKDAY(A1758,2)</f>
        <v>2</v>
      </c>
      <c r="G1758" s="22" t="str">
        <f aca="false">IF(F1758=7,IF(B1758&gt;=23,"C","Sin turno"),IF(B1758&lt;7,"C",IF(B1758&lt;14,"A",IF(B1758&lt;21,"B",IF(B1758&lt;23,"Entre turnos",IF(F1758=6,"Sin turno","C"))))))</f>
        <v>C</v>
      </c>
      <c r="H1758" s="25" t="n">
        <f aca="false">IF(D1758="","",MAX(0,D1758-0.5*C1758))</f>
        <v>0</v>
      </c>
    </row>
    <row r="1759" customFormat="false" ht="15" hidden="false" customHeight="false" outlineLevel="0" collapsed="false">
      <c r="A1759" s="21" t="n">
        <v>46294</v>
      </c>
      <c r="B1759" s="22" t="n">
        <v>5</v>
      </c>
      <c r="C1759" s="25" t="n">
        <v>108</v>
      </c>
      <c r="D1759" s="25" t="n">
        <v>13.56</v>
      </c>
      <c r="E1759" s="25" t="n">
        <v>0.12</v>
      </c>
      <c r="F1759" s="22" t="n">
        <f aca="false">WEEKDAY(A1759,2)</f>
        <v>2</v>
      </c>
      <c r="G1759" s="22" t="str">
        <f aca="false">IF(F1759=7,IF(B1759&gt;=23,"C","Sin turno"),IF(B1759&lt;7,"C",IF(B1759&lt;14,"A",IF(B1759&lt;21,"B",IF(B1759&lt;23,"Entre turnos",IF(F1759=6,"Sin turno","C"))))))</f>
        <v>C</v>
      </c>
      <c r="H1759" s="25" t="n">
        <f aca="false">IF(D1759="","",MAX(0,D1759-0.5*C1759))</f>
        <v>0</v>
      </c>
    </row>
    <row r="1760" customFormat="false" ht="15" hidden="false" customHeight="false" outlineLevel="0" collapsed="false">
      <c r="A1760" s="21" t="n">
        <v>46294</v>
      </c>
      <c r="B1760" s="22" t="n">
        <v>6</v>
      </c>
      <c r="C1760" s="25" t="n">
        <v>121.32</v>
      </c>
      <c r="D1760" s="25" t="n">
        <v>15.96</v>
      </c>
      <c r="E1760" s="25" t="n">
        <v>0</v>
      </c>
      <c r="F1760" s="22" t="n">
        <f aca="false">WEEKDAY(A1760,2)</f>
        <v>2</v>
      </c>
      <c r="G1760" s="22" t="str">
        <f aca="false">IF(F1760=7,IF(B1760&gt;=23,"C","Sin turno"),IF(B1760&lt;7,"C",IF(B1760&lt;14,"A",IF(B1760&lt;21,"B",IF(B1760&lt;23,"Entre turnos",IF(F1760=6,"Sin turno","C"))))))</f>
        <v>C</v>
      </c>
      <c r="H1760" s="25" t="n">
        <f aca="false">IF(D1760="","",MAX(0,D1760-0.5*C1760))</f>
        <v>0</v>
      </c>
    </row>
    <row r="1761" customFormat="false" ht="15" hidden="false" customHeight="false" outlineLevel="0" collapsed="false">
      <c r="A1761" s="21" t="n">
        <v>46294</v>
      </c>
      <c r="B1761" s="22" t="n">
        <v>7</v>
      </c>
      <c r="C1761" s="25" t="n">
        <v>244.92</v>
      </c>
      <c r="D1761" s="25" t="n">
        <v>23.76</v>
      </c>
      <c r="E1761" s="25" t="n">
        <v>0</v>
      </c>
      <c r="F1761" s="22" t="n">
        <f aca="false">WEEKDAY(A1761,2)</f>
        <v>2</v>
      </c>
      <c r="G1761" s="22" t="str">
        <f aca="false">IF(F1761=7,IF(B1761&gt;=23,"C","Sin turno"),IF(B1761&lt;7,"C",IF(B1761&lt;14,"A",IF(B1761&lt;21,"B",IF(B1761&lt;23,"Entre turnos",IF(F1761=6,"Sin turno","C"))))))</f>
        <v>A</v>
      </c>
      <c r="H1761" s="25" t="n">
        <f aca="false">IF(D1761="","",MAX(0,D1761-0.5*C1761))</f>
        <v>0</v>
      </c>
    </row>
    <row r="1762" customFormat="false" ht="15" hidden="false" customHeight="false" outlineLevel="0" collapsed="false">
      <c r="A1762" s="21" t="n">
        <v>46294</v>
      </c>
      <c r="B1762" s="22" t="n">
        <v>8</v>
      </c>
      <c r="C1762" s="25" t="n">
        <v>288.6</v>
      </c>
      <c r="D1762" s="25" t="n">
        <v>22.44</v>
      </c>
      <c r="E1762" s="25" t="n">
        <v>0</v>
      </c>
      <c r="F1762" s="22" t="n">
        <f aca="false">WEEKDAY(A1762,2)</f>
        <v>2</v>
      </c>
      <c r="G1762" s="22" t="str">
        <f aca="false">IF(F1762=7,IF(B1762&gt;=23,"C","Sin turno"),IF(B1762&lt;7,"C",IF(B1762&lt;14,"A",IF(B1762&lt;21,"B",IF(B1762&lt;23,"Entre turnos",IF(F1762=6,"Sin turno","C"))))))</f>
        <v>A</v>
      </c>
      <c r="H1762" s="25" t="n">
        <f aca="false">IF(D1762="","",MAX(0,D1762-0.5*C1762))</f>
        <v>0</v>
      </c>
    </row>
    <row r="1763" customFormat="false" ht="15" hidden="false" customHeight="false" outlineLevel="0" collapsed="false">
      <c r="A1763" s="21" t="n">
        <v>46294</v>
      </c>
      <c r="B1763" s="22" t="n">
        <v>9</v>
      </c>
      <c r="C1763" s="25" t="n">
        <v>289.08</v>
      </c>
      <c r="D1763" s="25" t="n">
        <v>18.72</v>
      </c>
      <c r="E1763" s="25" t="n">
        <v>0</v>
      </c>
      <c r="F1763" s="22" t="n">
        <f aca="false">WEEKDAY(A1763,2)</f>
        <v>2</v>
      </c>
      <c r="G1763" s="22" t="str">
        <f aca="false">IF(F1763=7,IF(B1763&gt;=23,"C","Sin turno"),IF(B1763&lt;7,"C",IF(B1763&lt;14,"A",IF(B1763&lt;21,"B",IF(B1763&lt;23,"Entre turnos",IF(F1763=6,"Sin turno","C"))))))</f>
        <v>A</v>
      </c>
      <c r="H1763" s="25" t="n">
        <f aca="false">IF(D1763="","",MAX(0,D1763-0.5*C1763))</f>
        <v>0</v>
      </c>
    </row>
    <row r="1764" customFormat="false" ht="15" hidden="false" customHeight="false" outlineLevel="0" collapsed="false">
      <c r="A1764" s="21" t="n">
        <v>46294</v>
      </c>
      <c r="B1764" s="22" t="n">
        <v>10</v>
      </c>
      <c r="C1764" s="25" t="n">
        <v>288.96</v>
      </c>
      <c r="D1764" s="25" t="n">
        <v>20.76</v>
      </c>
      <c r="E1764" s="25" t="n">
        <v>0</v>
      </c>
      <c r="F1764" s="22" t="n">
        <f aca="false">WEEKDAY(A1764,2)</f>
        <v>2</v>
      </c>
      <c r="G1764" s="22" t="str">
        <f aca="false">IF(F1764=7,IF(B1764&gt;=23,"C","Sin turno"),IF(B1764&lt;7,"C",IF(B1764&lt;14,"A",IF(B1764&lt;21,"B",IF(B1764&lt;23,"Entre turnos",IF(F1764=6,"Sin turno","C"))))))</f>
        <v>A</v>
      </c>
      <c r="H1764" s="25" t="n">
        <f aca="false">IF(D1764="","",MAX(0,D1764-0.5*C1764))</f>
        <v>0</v>
      </c>
    </row>
    <row r="1765" customFormat="false" ht="15" hidden="false" customHeight="false" outlineLevel="0" collapsed="false">
      <c r="A1765" s="21" t="n">
        <v>46294</v>
      </c>
      <c r="B1765" s="22" t="n">
        <v>11</v>
      </c>
      <c r="C1765" s="25" t="n">
        <v>279.12</v>
      </c>
      <c r="D1765" s="25" t="n">
        <v>23.04</v>
      </c>
      <c r="E1765" s="25" t="n">
        <v>0</v>
      </c>
      <c r="F1765" s="22" t="n">
        <f aca="false">WEEKDAY(A1765,2)</f>
        <v>2</v>
      </c>
      <c r="G1765" s="22" t="str">
        <f aca="false">IF(F1765=7,IF(B1765&gt;=23,"C","Sin turno"),IF(B1765&lt;7,"C",IF(B1765&lt;14,"A",IF(B1765&lt;21,"B",IF(B1765&lt;23,"Entre turnos",IF(F1765=6,"Sin turno","C"))))))</f>
        <v>A</v>
      </c>
      <c r="H1765" s="25" t="n">
        <f aca="false">IF(D1765="","",MAX(0,D1765-0.5*C1765))</f>
        <v>0</v>
      </c>
    </row>
    <row r="1766" customFormat="false" ht="15" hidden="false" customHeight="false" outlineLevel="0" collapsed="false">
      <c r="A1766" s="21" t="n">
        <v>46294</v>
      </c>
      <c r="B1766" s="22" t="n">
        <v>12</v>
      </c>
      <c r="C1766" s="25" t="n">
        <v>265.08</v>
      </c>
      <c r="D1766" s="25" t="n">
        <v>23.04</v>
      </c>
      <c r="E1766" s="25" t="n">
        <v>0</v>
      </c>
      <c r="F1766" s="22" t="n">
        <f aca="false">WEEKDAY(A1766,2)</f>
        <v>2</v>
      </c>
      <c r="G1766" s="22" t="str">
        <f aca="false">IF(F1766=7,IF(B1766&gt;=23,"C","Sin turno"),IF(B1766&lt;7,"C",IF(B1766&lt;14,"A",IF(B1766&lt;21,"B",IF(B1766&lt;23,"Entre turnos",IF(F1766=6,"Sin turno","C"))))))</f>
        <v>A</v>
      </c>
      <c r="H1766" s="25" t="n">
        <f aca="false">IF(D1766="","",MAX(0,D1766-0.5*C1766))</f>
        <v>0</v>
      </c>
    </row>
    <row r="1767" customFormat="false" ht="15" hidden="false" customHeight="false" outlineLevel="0" collapsed="false">
      <c r="A1767" s="21" t="n">
        <v>46294</v>
      </c>
      <c r="B1767" s="22" t="n">
        <v>13</v>
      </c>
      <c r="C1767" s="25" t="n">
        <v>234.96</v>
      </c>
      <c r="D1767" s="25" t="n">
        <v>24.24</v>
      </c>
      <c r="E1767" s="25" t="n">
        <v>0.12</v>
      </c>
      <c r="F1767" s="22" t="n">
        <f aca="false">WEEKDAY(A1767,2)</f>
        <v>2</v>
      </c>
      <c r="G1767" s="22" t="str">
        <f aca="false">IF(F1767=7,IF(B1767&gt;=23,"C","Sin turno"),IF(B1767&lt;7,"C",IF(B1767&lt;14,"A",IF(B1767&lt;21,"B",IF(B1767&lt;23,"Entre turnos",IF(F1767=6,"Sin turno","C"))))))</f>
        <v>A</v>
      </c>
      <c r="H1767" s="25" t="n">
        <f aca="false">IF(D1767="","",MAX(0,D1767-0.5*C1767))</f>
        <v>0</v>
      </c>
    </row>
    <row r="1768" customFormat="false" ht="15" hidden="false" customHeight="false" outlineLevel="0" collapsed="false">
      <c r="A1768" s="21" t="n">
        <v>46294</v>
      </c>
      <c r="B1768" s="22" t="n">
        <v>14</v>
      </c>
      <c r="C1768" s="25" t="n">
        <v>265.68</v>
      </c>
      <c r="D1768" s="25" t="n">
        <v>23.28</v>
      </c>
      <c r="E1768" s="25" t="n">
        <v>0</v>
      </c>
      <c r="F1768" s="22" t="n">
        <f aca="false">WEEKDAY(A1768,2)</f>
        <v>2</v>
      </c>
      <c r="G1768" s="22" t="str">
        <f aca="false">IF(F1768=7,IF(B1768&gt;=23,"C","Sin turno"),IF(B1768&lt;7,"C",IF(B1768&lt;14,"A",IF(B1768&lt;21,"B",IF(B1768&lt;23,"Entre turnos",IF(F1768=6,"Sin turno","C"))))))</f>
        <v>B</v>
      </c>
      <c r="H1768" s="25" t="n">
        <f aca="false">IF(D1768="","",MAX(0,D1768-0.5*C1768))</f>
        <v>0</v>
      </c>
    </row>
    <row r="1769" customFormat="false" ht="15" hidden="false" customHeight="false" outlineLevel="0" collapsed="false">
      <c r="A1769" s="21" t="n">
        <v>46294</v>
      </c>
      <c r="B1769" s="22" t="n">
        <v>15</v>
      </c>
      <c r="C1769" s="25" t="n">
        <v>222.84</v>
      </c>
      <c r="D1769" s="25" t="n">
        <v>25.08</v>
      </c>
      <c r="E1769" s="25" t="n">
        <v>0.12</v>
      </c>
      <c r="F1769" s="22" t="n">
        <f aca="false">WEEKDAY(A1769,2)</f>
        <v>2</v>
      </c>
      <c r="G1769" s="22" t="str">
        <f aca="false">IF(F1769=7,IF(B1769&gt;=23,"C","Sin turno"),IF(B1769&lt;7,"C",IF(B1769&lt;14,"A",IF(B1769&lt;21,"B",IF(B1769&lt;23,"Entre turnos",IF(F1769=6,"Sin turno","C"))))))</f>
        <v>B</v>
      </c>
      <c r="H1769" s="25" t="n">
        <f aca="false">IF(D1769="","",MAX(0,D1769-0.5*C1769))</f>
        <v>0</v>
      </c>
    </row>
    <row r="1770" customFormat="false" ht="15" hidden="false" customHeight="false" outlineLevel="0" collapsed="false">
      <c r="A1770" s="21" t="n">
        <v>46294</v>
      </c>
      <c r="B1770" s="22" t="n">
        <v>16</v>
      </c>
      <c r="C1770" s="25" t="n">
        <v>269.88</v>
      </c>
      <c r="D1770" s="25" t="n">
        <v>21.12</v>
      </c>
      <c r="E1770" s="25" t="n">
        <v>0.36</v>
      </c>
      <c r="F1770" s="22" t="n">
        <f aca="false">WEEKDAY(A1770,2)</f>
        <v>2</v>
      </c>
      <c r="G1770" s="22" t="str">
        <f aca="false">IF(F1770=7,IF(B1770&gt;=23,"C","Sin turno"),IF(B1770&lt;7,"C",IF(B1770&lt;14,"A",IF(B1770&lt;21,"B",IF(B1770&lt;23,"Entre turnos",IF(F1770=6,"Sin turno","C"))))))</f>
        <v>B</v>
      </c>
      <c r="H1770" s="25" t="n">
        <f aca="false">IF(D1770="","",MAX(0,D1770-0.5*C1770))</f>
        <v>0</v>
      </c>
    </row>
    <row r="1771" customFormat="false" ht="15" hidden="false" customHeight="false" outlineLevel="0" collapsed="false">
      <c r="A1771" s="21" t="n">
        <v>46294</v>
      </c>
      <c r="B1771" s="22" t="n">
        <v>17</v>
      </c>
      <c r="C1771" s="25" t="n">
        <v>250.8</v>
      </c>
      <c r="D1771" s="25" t="n">
        <v>26.76</v>
      </c>
      <c r="E1771" s="25" t="n">
        <v>0</v>
      </c>
      <c r="F1771" s="22" t="n">
        <f aca="false">WEEKDAY(A1771,2)</f>
        <v>2</v>
      </c>
      <c r="G1771" s="22" t="str">
        <f aca="false">IF(F1771=7,IF(B1771&gt;=23,"C","Sin turno"),IF(B1771&lt;7,"C",IF(B1771&lt;14,"A",IF(B1771&lt;21,"B",IF(B1771&lt;23,"Entre turnos",IF(F1771=6,"Sin turno","C"))))))</f>
        <v>B</v>
      </c>
      <c r="H1771" s="25" t="n">
        <f aca="false">IF(D1771="","",MAX(0,D1771-0.5*C1771))</f>
        <v>0</v>
      </c>
    </row>
    <row r="1772" customFormat="false" ht="15" hidden="false" customHeight="false" outlineLevel="0" collapsed="false">
      <c r="A1772" s="21" t="n">
        <v>46294</v>
      </c>
      <c r="B1772" s="22" t="n">
        <v>18</v>
      </c>
      <c r="C1772" s="25" t="n">
        <v>203.04</v>
      </c>
      <c r="D1772" s="25" t="n">
        <v>16.68</v>
      </c>
      <c r="E1772" s="25" t="n">
        <v>0.12</v>
      </c>
      <c r="F1772" s="22" t="n">
        <f aca="false">WEEKDAY(A1772,2)</f>
        <v>2</v>
      </c>
      <c r="G1772" s="22" t="str">
        <f aca="false">IF(F1772=7,IF(B1772&gt;=23,"C","Sin turno"),IF(B1772&lt;7,"C",IF(B1772&lt;14,"A",IF(B1772&lt;21,"B",IF(B1772&lt;23,"Entre turnos",IF(F1772=6,"Sin turno","C"))))))</f>
        <v>B</v>
      </c>
      <c r="H1772" s="25" t="n">
        <f aca="false">IF(D1772="","",MAX(0,D1772-0.5*C1772))</f>
        <v>0</v>
      </c>
    </row>
    <row r="1773" customFormat="false" ht="15" hidden="false" customHeight="false" outlineLevel="0" collapsed="false">
      <c r="A1773" s="21" t="n">
        <v>46294</v>
      </c>
      <c r="B1773" s="22" t="n">
        <v>19</v>
      </c>
      <c r="C1773" s="25" t="n">
        <v>196.8</v>
      </c>
      <c r="D1773" s="25" t="n">
        <v>20.52</v>
      </c>
      <c r="E1773" s="25" t="n">
        <v>0.6</v>
      </c>
      <c r="F1773" s="22" t="n">
        <f aca="false">WEEKDAY(A1773,2)</f>
        <v>2</v>
      </c>
      <c r="G1773" s="22" t="str">
        <f aca="false">IF(F1773=7,IF(B1773&gt;=23,"C","Sin turno"),IF(B1773&lt;7,"C",IF(B1773&lt;14,"A",IF(B1773&lt;21,"B",IF(B1773&lt;23,"Entre turnos",IF(F1773=6,"Sin turno","C"))))))</f>
        <v>B</v>
      </c>
      <c r="H1773" s="25" t="n">
        <f aca="false">IF(D1773="","",MAX(0,D1773-0.5*C1773))</f>
        <v>0</v>
      </c>
    </row>
    <row r="1774" customFormat="false" ht="15" hidden="false" customHeight="false" outlineLevel="0" collapsed="false">
      <c r="A1774" s="21" t="n">
        <v>46294</v>
      </c>
      <c r="B1774" s="22" t="n">
        <v>20</v>
      </c>
      <c r="C1774" s="25" t="n">
        <v>210.6</v>
      </c>
      <c r="D1774" s="25" t="n">
        <v>23.52</v>
      </c>
      <c r="E1774" s="25" t="n">
        <v>0.48</v>
      </c>
      <c r="F1774" s="22" t="n">
        <f aca="false">WEEKDAY(A1774,2)</f>
        <v>2</v>
      </c>
      <c r="G1774" s="22" t="str">
        <f aca="false">IF(F1774=7,IF(B1774&gt;=23,"C","Sin turno"),IF(B1774&lt;7,"C",IF(B1774&lt;14,"A",IF(B1774&lt;21,"B",IF(B1774&lt;23,"Entre turnos",IF(F1774=6,"Sin turno","C"))))))</f>
        <v>B</v>
      </c>
      <c r="H1774" s="25" t="n">
        <f aca="false">IF(D1774="","",MAX(0,D1774-0.5*C1774))</f>
        <v>0</v>
      </c>
    </row>
    <row r="1775" customFormat="false" ht="15" hidden="false" customHeight="false" outlineLevel="0" collapsed="false">
      <c r="A1775" s="21" t="n">
        <v>46294</v>
      </c>
      <c r="B1775" s="22" t="n">
        <v>21</v>
      </c>
      <c r="C1775" s="25" t="n">
        <v>140.88</v>
      </c>
      <c r="D1775" s="25" t="n">
        <v>17.64</v>
      </c>
      <c r="E1775" s="25" t="n">
        <v>0.12</v>
      </c>
      <c r="F1775" s="22" t="n">
        <f aca="false">WEEKDAY(A1775,2)</f>
        <v>2</v>
      </c>
      <c r="G1775" s="22" t="str">
        <f aca="false">IF(F1775=7,IF(B1775&gt;=23,"C","Sin turno"),IF(B1775&lt;7,"C",IF(B1775&lt;14,"A",IF(B1775&lt;21,"B",IF(B1775&lt;23,"Entre turnos",IF(F1775=6,"Sin turno","C"))))))</f>
        <v>Entre turnos</v>
      </c>
      <c r="H1775" s="25" t="n">
        <f aca="false">IF(D1775="","",MAX(0,D1775-0.5*C1775))</f>
        <v>0</v>
      </c>
    </row>
    <row r="1776" customFormat="false" ht="15" hidden="false" customHeight="false" outlineLevel="0" collapsed="false">
      <c r="A1776" s="21" t="n">
        <v>46294</v>
      </c>
      <c r="B1776" s="22" t="n">
        <v>22</v>
      </c>
      <c r="C1776" s="25" t="n">
        <v>106.2</v>
      </c>
      <c r="D1776" s="25" t="n">
        <v>14.28</v>
      </c>
      <c r="E1776" s="25" t="n">
        <v>1.2</v>
      </c>
      <c r="F1776" s="22" t="n">
        <f aca="false">WEEKDAY(A1776,2)</f>
        <v>2</v>
      </c>
      <c r="G1776" s="22" t="str">
        <f aca="false">IF(F1776=7,IF(B1776&gt;=23,"C","Sin turno"),IF(B1776&lt;7,"C",IF(B1776&lt;14,"A",IF(B1776&lt;21,"B",IF(B1776&lt;23,"Entre turnos",IF(F1776=6,"Sin turno","C"))))))</f>
        <v>Entre turnos</v>
      </c>
      <c r="H1776" s="25" t="n">
        <f aca="false">IF(D1776="","",MAX(0,D1776-0.5*C1776))</f>
        <v>0</v>
      </c>
    </row>
    <row r="1777" customFormat="false" ht="15" hidden="false" customHeight="false" outlineLevel="0" collapsed="false">
      <c r="A1777" s="21" t="n">
        <v>46294</v>
      </c>
      <c r="B1777" s="22" t="n">
        <v>23</v>
      </c>
      <c r="C1777" s="25" t="n">
        <v>88.2</v>
      </c>
      <c r="D1777" s="25" t="n">
        <v>19.68</v>
      </c>
      <c r="E1777" s="25" t="n">
        <v>0.6</v>
      </c>
      <c r="F1777" s="22" t="n">
        <f aca="false">WEEKDAY(A1777,2)</f>
        <v>2</v>
      </c>
      <c r="G1777" s="22" t="str">
        <f aca="false">IF(F1777=7,IF(B1777&gt;=23,"C","Sin turno"),IF(B1777&lt;7,"C",IF(B1777&lt;14,"A",IF(B1777&lt;21,"B",IF(B1777&lt;23,"Entre turnos",IF(F1777=6,"Sin turno","C"))))))</f>
        <v>C</v>
      </c>
      <c r="H1777" s="25" t="n">
        <f aca="false">IF(D1777="","",MAX(0,D1777-0.5*C1777))</f>
        <v>0</v>
      </c>
    </row>
    <row r="1778" customFormat="false" ht="15" hidden="false" customHeight="false" outlineLevel="0" collapsed="false">
      <c r="A1778" s="21" t="n">
        <v>46295</v>
      </c>
      <c r="B1778" s="22" t="n">
        <v>0</v>
      </c>
      <c r="C1778" s="25" t="n">
        <v>90.72</v>
      </c>
      <c r="D1778" s="25" t="n">
        <v>8.88</v>
      </c>
      <c r="E1778" s="25" t="n">
        <v>1.56</v>
      </c>
      <c r="F1778" s="22" t="n">
        <f aca="false">WEEKDAY(A1778,2)</f>
        <v>3</v>
      </c>
      <c r="G1778" s="22" t="str">
        <f aca="false">IF(F1778=7,IF(B1778&gt;=23,"C","Sin turno"),IF(B1778&lt;7,"C",IF(B1778&lt;14,"A",IF(B1778&lt;21,"B",IF(B1778&lt;23,"Entre turnos",IF(F1778=6,"Sin turno","C"))))))</f>
        <v>C</v>
      </c>
      <c r="H1778" s="25" t="n">
        <f aca="false">IF(D1778="","",MAX(0,D1778-0.5*C1778))</f>
        <v>0</v>
      </c>
    </row>
    <row r="1779" customFormat="false" ht="15" hidden="false" customHeight="false" outlineLevel="0" collapsed="false">
      <c r="A1779" s="21" t="n">
        <v>46295</v>
      </c>
      <c r="B1779" s="22" t="n">
        <v>1</v>
      </c>
      <c r="C1779" s="25" t="n">
        <v>89.28</v>
      </c>
      <c r="D1779" s="25" t="n">
        <v>7.92</v>
      </c>
      <c r="E1779" s="25" t="n">
        <v>1.56</v>
      </c>
      <c r="F1779" s="22" t="n">
        <f aca="false">WEEKDAY(A1779,2)</f>
        <v>3</v>
      </c>
      <c r="G1779" s="22" t="str">
        <f aca="false">IF(F1779=7,IF(B1779&gt;=23,"C","Sin turno"),IF(B1779&lt;7,"C",IF(B1779&lt;14,"A",IF(B1779&lt;21,"B",IF(B1779&lt;23,"Entre turnos",IF(F1779=6,"Sin turno","C"))))))</f>
        <v>C</v>
      </c>
      <c r="H1779" s="25" t="n">
        <f aca="false">IF(D1779="","",MAX(0,D1779-0.5*C1779))</f>
        <v>0</v>
      </c>
    </row>
    <row r="1780" customFormat="false" ht="15" hidden="false" customHeight="false" outlineLevel="0" collapsed="false">
      <c r="A1780" s="21" t="n">
        <v>46295</v>
      </c>
      <c r="B1780" s="22" t="n">
        <v>2</v>
      </c>
      <c r="C1780" s="25" t="n">
        <v>90.84</v>
      </c>
      <c r="D1780" s="25" t="n">
        <v>9.72</v>
      </c>
      <c r="E1780" s="25" t="n">
        <v>1.2</v>
      </c>
      <c r="F1780" s="22" t="n">
        <f aca="false">WEEKDAY(A1780,2)</f>
        <v>3</v>
      </c>
      <c r="G1780" s="22" t="str">
        <f aca="false">IF(F1780=7,IF(B1780&gt;=23,"C","Sin turno"),IF(B1780&lt;7,"C",IF(B1780&lt;14,"A",IF(B1780&lt;21,"B",IF(B1780&lt;23,"Entre turnos",IF(F1780=6,"Sin turno","C"))))))</f>
        <v>C</v>
      </c>
      <c r="H1780" s="25" t="n">
        <f aca="false">IF(D1780="","",MAX(0,D1780-0.5*C1780))</f>
        <v>0</v>
      </c>
    </row>
    <row r="1781" customFormat="false" ht="15" hidden="false" customHeight="false" outlineLevel="0" collapsed="false">
      <c r="A1781" s="21" t="n">
        <v>46295</v>
      </c>
      <c r="B1781" s="22" t="n">
        <v>3</v>
      </c>
      <c r="C1781" s="25" t="n">
        <v>90.24</v>
      </c>
      <c r="D1781" s="25" t="n">
        <v>8.76</v>
      </c>
      <c r="E1781" s="25" t="n">
        <v>1.2</v>
      </c>
      <c r="F1781" s="22" t="n">
        <f aca="false">WEEKDAY(A1781,2)</f>
        <v>3</v>
      </c>
      <c r="G1781" s="22" t="str">
        <f aca="false">IF(F1781=7,IF(B1781&gt;=23,"C","Sin turno"),IF(B1781&lt;7,"C",IF(B1781&lt;14,"A",IF(B1781&lt;21,"B",IF(B1781&lt;23,"Entre turnos",IF(F1781=6,"Sin turno","C"))))))</f>
        <v>C</v>
      </c>
      <c r="H1781" s="25" t="n">
        <f aca="false">IF(D1781="","",MAX(0,D1781-0.5*C1781))</f>
        <v>0</v>
      </c>
    </row>
    <row r="1782" customFormat="false" ht="15" hidden="false" customHeight="false" outlineLevel="0" collapsed="false">
      <c r="A1782" s="21" t="n">
        <v>46295</v>
      </c>
      <c r="B1782" s="22" t="n">
        <v>4</v>
      </c>
      <c r="C1782" s="25" t="n">
        <v>88.2</v>
      </c>
      <c r="D1782" s="25" t="n">
        <v>7.92</v>
      </c>
      <c r="E1782" s="25" t="n">
        <v>1.44</v>
      </c>
      <c r="F1782" s="22" t="n">
        <f aca="false">WEEKDAY(A1782,2)</f>
        <v>3</v>
      </c>
      <c r="G1782" s="22" t="str">
        <f aca="false">IF(F1782=7,IF(B1782&gt;=23,"C","Sin turno"),IF(B1782&lt;7,"C",IF(B1782&lt;14,"A",IF(B1782&lt;21,"B",IF(B1782&lt;23,"Entre turnos",IF(F1782=6,"Sin turno","C"))))))</f>
        <v>C</v>
      </c>
      <c r="H1782" s="25" t="n">
        <f aca="false">IF(D1782="","",MAX(0,D1782-0.5*C1782))</f>
        <v>0</v>
      </c>
    </row>
    <row r="1783" customFormat="false" ht="15" hidden="false" customHeight="false" outlineLevel="0" collapsed="false">
      <c r="A1783" s="21" t="n">
        <v>46295</v>
      </c>
      <c r="B1783" s="22" t="n">
        <v>5</v>
      </c>
      <c r="C1783" s="25" t="n">
        <v>96.6</v>
      </c>
      <c r="D1783" s="25" t="n">
        <v>8.76</v>
      </c>
      <c r="E1783" s="25" t="n">
        <v>1.32</v>
      </c>
      <c r="F1783" s="22" t="n">
        <f aca="false">WEEKDAY(A1783,2)</f>
        <v>3</v>
      </c>
      <c r="G1783" s="22" t="str">
        <f aca="false">IF(F1783=7,IF(B1783&gt;=23,"C","Sin turno"),IF(B1783&lt;7,"C",IF(B1783&lt;14,"A",IF(B1783&lt;21,"B",IF(B1783&lt;23,"Entre turnos",IF(F1783=6,"Sin turno","C"))))))</f>
        <v>C</v>
      </c>
      <c r="H1783" s="25" t="n">
        <f aca="false">IF(D1783="","",MAX(0,D1783-0.5*C1783))</f>
        <v>0</v>
      </c>
    </row>
    <row r="1784" customFormat="false" ht="15" hidden="false" customHeight="false" outlineLevel="0" collapsed="false">
      <c r="A1784" s="21" t="n">
        <v>46295</v>
      </c>
      <c r="B1784" s="22" t="n">
        <v>6</v>
      </c>
      <c r="C1784" s="25" t="n">
        <v>117.72</v>
      </c>
      <c r="D1784" s="25" t="n">
        <v>11.64</v>
      </c>
      <c r="E1784" s="25" t="n">
        <v>0.24</v>
      </c>
      <c r="F1784" s="22" t="n">
        <f aca="false">WEEKDAY(A1784,2)</f>
        <v>3</v>
      </c>
      <c r="G1784" s="22" t="str">
        <f aca="false">IF(F1784=7,IF(B1784&gt;=23,"C","Sin turno"),IF(B1784&lt;7,"C",IF(B1784&lt;14,"A",IF(B1784&lt;21,"B",IF(B1784&lt;23,"Entre turnos",IF(F1784=6,"Sin turno","C"))))))</f>
        <v>C</v>
      </c>
      <c r="H1784" s="25" t="n">
        <f aca="false">IF(D1784="","",MAX(0,D1784-0.5*C1784))</f>
        <v>0</v>
      </c>
    </row>
    <row r="1785" customFormat="false" ht="15" hidden="false" customHeight="false" outlineLevel="0" collapsed="false">
      <c r="A1785" s="21" t="n">
        <v>46295</v>
      </c>
      <c r="B1785" s="22" t="n">
        <v>7</v>
      </c>
      <c r="C1785" s="25" t="n">
        <v>150.72</v>
      </c>
      <c r="D1785" s="25" t="n">
        <v>21.72</v>
      </c>
      <c r="E1785" s="25" t="n">
        <v>0</v>
      </c>
      <c r="F1785" s="22" t="n">
        <f aca="false">WEEKDAY(A1785,2)</f>
        <v>3</v>
      </c>
      <c r="G1785" s="22" t="str">
        <f aca="false">IF(F1785=7,IF(B1785&gt;=23,"C","Sin turno"),IF(B1785&lt;7,"C",IF(B1785&lt;14,"A",IF(B1785&lt;21,"B",IF(B1785&lt;23,"Entre turnos",IF(F1785=6,"Sin turno","C"))))))</f>
        <v>A</v>
      </c>
      <c r="H1785" s="25" t="n">
        <f aca="false">IF(D1785="","",MAX(0,D1785-0.5*C1785))</f>
        <v>0</v>
      </c>
    </row>
    <row r="1786" customFormat="false" ht="15" hidden="false" customHeight="false" outlineLevel="0" collapsed="false">
      <c r="A1786" s="21" t="n">
        <v>46295</v>
      </c>
      <c r="B1786" s="22" t="n">
        <v>8</v>
      </c>
      <c r="C1786" s="25" t="n">
        <v>157.68</v>
      </c>
      <c r="D1786" s="25" t="n">
        <v>23.64</v>
      </c>
      <c r="E1786" s="25" t="n">
        <v>0.12</v>
      </c>
      <c r="F1786" s="22" t="n">
        <f aca="false">WEEKDAY(A1786,2)</f>
        <v>3</v>
      </c>
      <c r="G1786" s="22" t="str">
        <f aca="false">IF(F1786=7,IF(B1786&gt;=23,"C","Sin turno"),IF(B1786&lt;7,"C",IF(B1786&lt;14,"A",IF(B1786&lt;21,"B",IF(B1786&lt;23,"Entre turnos",IF(F1786=6,"Sin turno","C"))))))</f>
        <v>A</v>
      </c>
      <c r="H1786" s="25" t="n">
        <f aca="false">IF(D1786="","",MAX(0,D1786-0.5*C1786))</f>
        <v>0</v>
      </c>
    </row>
    <row r="1787" customFormat="false" ht="15" hidden="false" customHeight="false" outlineLevel="0" collapsed="false">
      <c r="A1787" s="21" t="n">
        <v>46295</v>
      </c>
      <c r="B1787" s="22" t="n">
        <v>9</v>
      </c>
      <c r="C1787" s="25" t="n">
        <v>164.04</v>
      </c>
      <c r="D1787" s="25" t="n">
        <v>22.92</v>
      </c>
      <c r="E1787" s="25" t="n">
        <v>0</v>
      </c>
      <c r="F1787" s="22" t="n">
        <f aca="false">WEEKDAY(A1787,2)</f>
        <v>3</v>
      </c>
      <c r="G1787" s="22" t="str">
        <f aca="false">IF(F1787=7,IF(B1787&gt;=23,"C","Sin turno"),IF(B1787&lt;7,"C",IF(B1787&lt;14,"A",IF(B1787&lt;21,"B",IF(B1787&lt;23,"Entre turnos",IF(F1787=6,"Sin turno","C"))))))</f>
        <v>A</v>
      </c>
      <c r="H1787" s="25" t="n">
        <f aca="false">IF(D1787="","",MAX(0,D1787-0.5*C1787))</f>
        <v>0</v>
      </c>
    </row>
    <row r="1788" customFormat="false" ht="15" hidden="false" customHeight="false" outlineLevel="0" collapsed="false">
      <c r="A1788" s="21" t="n">
        <v>46295</v>
      </c>
      <c r="B1788" s="22" t="n">
        <v>10</v>
      </c>
      <c r="C1788" s="25" t="n">
        <v>175.56</v>
      </c>
      <c r="D1788" s="25" t="n">
        <v>18.24</v>
      </c>
      <c r="E1788" s="25" t="n">
        <v>0</v>
      </c>
      <c r="F1788" s="22" t="n">
        <f aca="false">WEEKDAY(A1788,2)</f>
        <v>3</v>
      </c>
      <c r="G1788" s="22" t="str">
        <f aca="false">IF(F1788=7,IF(B1788&gt;=23,"C","Sin turno"),IF(B1788&lt;7,"C",IF(B1788&lt;14,"A",IF(B1788&lt;21,"B",IF(B1788&lt;23,"Entre turnos",IF(F1788=6,"Sin turno","C"))))))</f>
        <v>A</v>
      </c>
      <c r="H1788" s="25" t="n">
        <f aca="false">IF(D1788="","",MAX(0,D1788-0.5*C1788))</f>
        <v>0</v>
      </c>
    </row>
    <row r="1789" customFormat="false" ht="15" hidden="false" customHeight="false" outlineLevel="0" collapsed="false">
      <c r="A1789" s="21" t="n">
        <v>46295</v>
      </c>
      <c r="B1789" s="22" t="n">
        <v>11</v>
      </c>
      <c r="C1789" s="25" t="n">
        <v>179.76</v>
      </c>
      <c r="D1789" s="25" t="n">
        <v>18.84</v>
      </c>
      <c r="E1789" s="25" t="n">
        <v>0</v>
      </c>
      <c r="F1789" s="22" t="n">
        <f aca="false">WEEKDAY(A1789,2)</f>
        <v>3</v>
      </c>
      <c r="G1789" s="22" t="str">
        <f aca="false">IF(F1789=7,IF(B1789&gt;=23,"C","Sin turno"),IF(B1789&lt;7,"C",IF(B1789&lt;14,"A",IF(B1789&lt;21,"B",IF(B1789&lt;23,"Entre turnos",IF(F1789=6,"Sin turno","C"))))))</f>
        <v>A</v>
      </c>
      <c r="H1789" s="25" t="n">
        <f aca="false">IF(D1789="","",MAX(0,D1789-0.5*C1789))</f>
        <v>0</v>
      </c>
    </row>
    <row r="1790" customFormat="false" ht="15" hidden="false" customHeight="false" outlineLevel="0" collapsed="false">
      <c r="A1790" s="21" t="n">
        <v>46295</v>
      </c>
      <c r="B1790" s="22" t="n">
        <v>12</v>
      </c>
      <c r="C1790" s="25" t="n">
        <v>184.08</v>
      </c>
      <c r="D1790" s="25" t="n">
        <v>17.76</v>
      </c>
      <c r="E1790" s="25" t="n">
        <v>0.12</v>
      </c>
      <c r="F1790" s="22" t="n">
        <f aca="false">WEEKDAY(A1790,2)</f>
        <v>3</v>
      </c>
      <c r="G1790" s="22" t="str">
        <f aca="false">IF(F1790=7,IF(B1790&gt;=23,"C","Sin turno"),IF(B1790&lt;7,"C",IF(B1790&lt;14,"A",IF(B1790&lt;21,"B",IF(B1790&lt;23,"Entre turnos",IF(F1790=6,"Sin turno","C"))))))</f>
        <v>A</v>
      </c>
      <c r="H1790" s="25" t="n">
        <f aca="false">IF(D1790="","",MAX(0,D1790-0.5*C1790))</f>
        <v>0</v>
      </c>
    </row>
    <row r="1791" customFormat="false" ht="15" hidden="false" customHeight="false" outlineLevel="0" collapsed="false">
      <c r="A1791" s="21" t="n">
        <v>46295</v>
      </c>
      <c r="B1791" s="22" t="n">
        <v>13</v>
      </c>
      <c r="C1791" s="25" t="n">
        <v>194.88</v>
      </c>
      <c r="D1791" s="25" t="n">
        <v>17.28</v>
      </c>
      <c r="E1791" s="25" t="n">
        <v>0</v>
      </c>
      <c r="F1791" s="22" t="n">
        <f aca="false">WEEKDAY(A1791,2)</f>
        <v>3</v>
      </c>
      <c r="G1791" s="22" t="str">
        <f aca="false">IF(F1791=7,IF(B1791&gt;=23,"C","Sin turno"),IF(B1791&lt;7,"C",IF(B1791&lt;14,"A",IF(B1791&lt;21,"B",IF(B1791&lt;23,"Entre turnos",IF(F1791=6,"Sin turno","C"))))))</f>
        <v>A</v>
      </c>
      <c r="H1791" s="25" t="n">
        <f aca="false">IF(D1791="","",MAX(0,D1791-0.5*C1791))</f>
        <v>0</v>
      </c>
    </row>
    <row r="1792" customFormat="false" ht="15" hidden="false" customHeight="false" outlineLevel="0" collapsed="false">
      <c r="A1792" s="21" t="n">
        <v>46295</v>
      </c>
      <c r="B1792" s="22" t="n">
        <v>14</v>
      </c>
      <c r="C1792" s="25" t="n">
        <v>189.36</v>
      </c>
      <c r="D1792" s="25" t="n">
        <v>16.68</v>
      </c>
      <c r="E1792" s="25" t="n">
        <v>0.12</v>
      </c>
      <c r="F1792" s="22" t="n">
        <f aca="false">WEEKDAY(A1792,2)</f>
        <v>3</v>
      </c>
      <c r="G1792" s="22" t="str">
        <f aca="false">IF(F1792=7,IF(B1792&gt;=23,"C","Sin turno"),IF(B1792&lt;7,"C",IF(B1792&lt;14,"A",IF(B1792&lt;21,"B",IF(B1792&lt;23,"Entre turnos",IF(F1792=6,"Sin turno","C"))))))</f>
        <v>B</v>
      </c>
      <c r="H1792" s="25" t="n">
        <f aca="false">IF(D1792="","",MAX(0,D1792-0.5*C1792))</f>
        <v>0</v>
      </c>
    </row>
    <row r="1793" customFormat="false" ht="15" hidden="false" customHeight="false" outlineLevel="0" collapsed="false">
      <c r="A1793" s="21" t="n">
        <v>46295</v>
      </c>
      <c r="B1793" s="22" t="n">
        <v>15</v>
      </c>
      <c r="C1793" s="25" t="n">
        <v>176.76</v>
      </c>
      <c r="D1793" s="25" t="n">
        <v>17.76</v>
      </c>
      <c r="E1793" s="25" t="n">
        <v>0</v>
      </c>
      <c r="F1793" s="22" t="n">
        <f aca="false">WEEKDAY(A1793,2)</f>
        <v>3</v>
      </c>
      <c r="G1793" s="22" t="str">
        <f aca="false">IF(F1793=7,IF(B1793&gt;=23,"C","Sin turno"),IF(B1793&lt;7,"C",IF(B1793&lt;14,"A",IF(B1793&lt;21,"B",IF(B1793&lt;23,"Entre turnos",IF(F1793=6,"Sin turno","C"))))))</f>
        <v>B</v>
      </c>
      <c r="H1793" s="25" t="n">
        <f aca="false">IF(D1793="","",MAX(0,D1793-0.5*C1793))</f>
        <v>0</v>
      </c>
    </row>
    <row r="1794" customFormat="false" ht="15" hidden="false" customHeight="false" outlineLevel="0" collapsed="false">
      <c r="A1794" s="21" t="n">
        <v>46295</v>
      </c>
      <c r="B1794" s="22" t="n">
        <v>16</v>
      </c>
      <c r="C1794" s="25" t="n">
        <v>166.08</v>
      </c>
      <c r="D1794" s="25" t="n">
        <v>21.6</v>
      </c>
      <c r="E1794" s="25" t="n">
        <v>0</v>
      </c>
      <c r="F1794" s="22" t="n">
        <f aca="false">WEEKDAY(A1794,2)</f>
        <v>3</v>
      </c>
      <c r="G1794" s="22" t="str">
        <f aca="false">IF(F1794=7,IF(B1794&gt;=23,"C","Sin turno"),IF(B1794&lt;7,"C",IF(B1794&lt;14,"A",IF(B1794&lt;21,"B",IF(B1794&lt;23,"Entre turnos",IF(F1794=6,"Sin turno","C"))))))</f>
        <v>B</v>
      </c>
      <c r="H1794" s="25" t="n">
        <f aca="false">IF(D1794="","",MAX(0,D1794-0.5*C1794))</f>
        <v>0</v>
      </c>
    </row>
    <row r="1795" customFormat="false" ht="15" hidden="false" customHeight="false" outlineLevel="0" collapsed="false">
      <c r="A1795" s="21" t="n">
        <v>46295</v>
      </c>
      <c r="B1795" s="22" t="n">
        <v>17</v>
      </c>
      <c r="C1795" s="25" t="n">
        <v>124.44</v>
      </c>
      <c r="D1795" s="25" t="n">
        <v>9.6</v>
      </c>
      <c r="E1795" s="25" t="n">
        <v>0</v>
      </c>
      <c r="F1795" s="22" t="n">
        <f aca="false">WEEKDAY(A1795,2)</f>
        <v>3</v>
      </c>
      <c r="G1795" s="22" t="str">
        <f aca="false">IF(F1795=7,IF(B1795&gt;=23,"C","Sin turno"),IF(B1795&lt;7,"C",IF(B1795&lt;14,"A",IF(B1795&lt;21,"B",IF(B1795&lt;23,"Entre turnos",IF(F1795=6,"Sin turno","C"))))))</f>
        <v>B</v>
      </c>
      <c r="H1795" s="25" t="n">
        <f aca="false">IF(D1795="","",MAX(0,D1795-0.5*C1795))</f>
        <v>0</v>
      </c>
    </row>
    <row r="1796" customFormat="false" ht="15" hidden="false" customHeight="false" outlineLevel="0" collapsed="false">
      <c r="A1796" s="21" t="n">
        <v>46295</v>
      </c>
      <c r="B1796" s="22" t="n">
        <v>18</v>
      </c>
      <c r="C1796" s="25" t="n">
        <v>106.92</v>
      </c>
      <c r="D1796" s="25" t="n">
        <v>8.76</v>
      </c>
      <c r="E1796" s="25" t="n">
        <v>0.96</v>
      </c>
      <c r="F1796" s="22" t="n">
        <f aca="false">WEEKDAY(A1796,2)</f>
        <v>3</v>
      </c>
      <c r="G1796" s="22" t="str">
        <f aca="false">IF(F1796=7,IF(B1796&gt;=23,"C","Sin turno"),IF(B1796&lt;7,"C",IF(B1796&lt;14,"A",IF(B1796&lt;21,"B",IF(B1796&lt;23,"Entre turnos",IF(F1796=6,"Sin turno","C"))))))</f>
        <v>B</v>
      </c>
      <c r="H1796" s="25" t="n">
        <f aca="false">IF(D1796="","",MAX(0,D1796-0.5*C1796))</f>
        <v>0</v>
      </c>
    </row>
    <row r="1797" customFormat="false" ht="15" hidden="false" customHeight="false" outlineLevel="0" collapsed="false">
      <c r="A1797" s="21" t="n">
        <v>46295</v>
      </c>
      <c r="B1797" s="22" t="n">
        <v>19</v>
      </c>
      <c r="C1797" s="25" t="n">
        <v>110.64</v>
      </c>
      <c r="D1797" s="25" t="n">
        <v>23.4</v>
      </c>
      <c r="E1797" s="25" t="n">
        <v>0.36</v>
      </c>
      <c r="F1797" s="22" t="n">
        <f aca="false">WEEKDAY(A1797,2)</f>
        <v>3</v>
      </c>
      <c r="G1797" s="22" t="str">
        <f aca="false">IF(F1797=7,IF(B1797&gt;=23,"C","Sin turno"),IF(B1797&lt;7,"C",IF(B1797&lt;14,"A",IF(B1797&lt;21,"B",IF(B1797&lt;23,"Entre turnos",IF(F1797=6,"Sin turno","C"))))))</f>
        <v>B</v>
      </c>
      <c r="H1797" s="25" t="n">
        <f aca="false">IF(D1797="","",MAX(0,D1797-0.5*C1797))</f>
        <v>0</v>
      </c>
    </row>
    <row r="1798" customFormat="false" ht="15" hidden="false" customHeight="false" outlineLevel="0" collapsed="false">
      <c r="A1798" s="21" t="n">
        <v>46295</v>
      </c>
      <c r="B1798" s="22" t="n">
        <v>20</v>
      </c>
      <c r="C1798" s="25" t="n">
        <v>110.16</v>
      </c>
      <c r="D1798" s="25" t="n">
        <v>23.4</v>
      </c>
      <c r="E1798" s="25" t="n">
        <v>0.36</v>
      </c>
      <c r="F1798" s="22" t="n">
        <f aca="false">WEEKDAY(A1798,2)</f>
        <v>3</v>
      </c>
      <c r="G1798" s="22" t="str">
        <f aca="false">IF(F1798=7,IF(B1798&gt;=23,"C","Sin turno"),IF(B1798&lt;7,"C",IF(B1798&lt;14,"A",IF(B1798&lt;21,"B",IF(B1798&lt;23,"Entre turnos",IF(F1798=6,"Sin turno","C"))))))</f>
        <v>B</v>
      </c>
      <c r="H1798" s="25" t="n">
        <f aca="false">IF(D1798="","",MAX(0,D1798-0.5*C1798))</f>
        <v>0</v>
      </c>
    </row>
    <row r="1799" customFormat="false" ht="15" hidden="false" customHeight="false" outlineLevel="0" collapsed="false">
      <c r="A1799" s="21" t="n">
        <v>46295</v>
      </c>
      <c r="B1799" s="22" t="n">
        <v>21</v>
      </c>
      <c r="C1799" s="25" t="n">
        <v>93.24</v>
      </c>
      <c r="D1799" s="25" t="n">
        <v>25.2</v>
      </c>
      <c r="E1799" s="25" t="n">
        <v>0.24</v>
      </c>
      <c r="F1799" s="22" t="n">
        <f aca="false">WEEKDAY(A1799,2)</f>
        <v>3</v>
      </c>
      <c r="G1799" s="22" t="str">
        <f aca="false">IF(F1799=7,IF(B1799&gt;=23,"C","Sin turno"),IF(B1799&lt;7,"C",IF(B1799&lt;14,"A",IF(B1799&lt;21,"B",IF(B1799&lt;23,"Entre turnos",IF(F1799=6,"Sin turno","C"))))))</f>
        <v>Entre turnos</v>
      </c>
      <c r="H1799" s="25" t="n">
        <f aca="false">IF(D1799="","",MAX(0,D1799-0.5*C1799))</f>
        <v>0</v>
      </c>
    </row>
    <row r="1800" customFormat="false" ht="15" hidden="false" customHeight="false" outlineLevel="0" collapsed="false">
      <c r="A1800" s="21" t="n">
        <v>46295</v>
      </c>
      <c r="B1800" s="22" t="n">
        <v>22</v>
      </c>
      <c r="C1800" s="25" t="n">
        <v>88.32</v>
      </c>
      <c r="D1800" s="25" t="n">
        <v>22.2</v>
      </c>
      <c r="E1800" s="25" t="n">
        <v>0.36</v>
      </c>
      <c r="F1800" s="22" t="n">
        <f aca="false">WEEKDAY(A1800,2)</f>
        <v>3</v>
      </c>
      <c r="G1800" s="22" t="str">
        <f aca="false">IF(F1800=7,IF(B1800&gt;=23,"C","Sin turno"),IF(B1800&lt;7,"C",IF(B1800&lt;14,"A",IF(B1800&lt;21,"B",IF(B1800&lt;23,"Entre turnos",IF(F1800=6,"Sin turno","C"))))))</f>
        <v>Entre turnos</v>
      </c>
      <c r="H1800" s="25" t="n">
        <f aca="false">IF(D1800="","",MAX(0,D1800-0.5*C1800))</f>
        <v>0</v>
      </c>
    </row>
    <row r="1801" customFormat="false" ht="15" hidden="false" customHeight="false" outlineLevel="0" collapsed="false">
      <c r="A1801" s="21" t="n">
        <v>46295</v>
      </c>
      <c r="B1801" s="22" t="n">
        <v>23</v>
      </c>
      <c r="C1801" s="25" t="n">
        <v>87.84</v>
      </c>
      <c r="D1801" s="25" t="n">
        <v>22.68</v>
      </c>
      <c r="E1801" s="25" t="n">
        <v>0.6</v>
      </c>
      <c r="F1801" s="22" t="n">
        <f aca="false">WEEKDAY(A1801,2)</f>
        <v>3</v>
      </c>
      <c r="G1801" s="22" t="str">
        <f aca="false">IF(F1801=7,IF(B1801&gt;=23,"C","Sin turno"),IF(B1801&lt;7,"C",IF(B1801&lt;14,"A",IF(B1801&lt;21,"B",IF(B1801&lt;23,"Entre turnos",IF(F1801=6,"Sin turno","C"))))))</f>
        <v>C</v>
      </c>
      <c r="H1801" s="25" t="n">
        <f aca="false">IF(D1801="","",MAX(0,D1801-0.5*C1801))</f>
        <v>0</v>
      </c>
    </row>
    <row r="1802" customFormat="false" ht="15" hidden="false" customHeight="false" outlineLevel="0" collapsed="false">
      <c r="A1802" s="21" t="n">
        <v>46296</v>
      </c>
      <c r="B1802" s="22" t="n">
        <v>0</v>
      </c>
      <c r="C1802" s="25" t="n">
        <v>0</v>
      </c>
      <c r="D1802" s="25" t="n">
        <v>0</v>
      </c>
      <c r="E1802" s="25" t="n">
        <v>0</v>
      </c>
      <c r="F1802" s="22" t="n">
        <f aca="false">WEEKDAY(A1802,2)</f>
        <v>4</v>
      </c>
      <c r="G1802" s="22" t="str">
        <f aca="false">IF(F1802=7,IF(B1802&gt;=23,"C","Sin turno"),IF(B1802&lt;7,"C",IF(B1802&lt;14,"A",IF(B1802&lt;21,"B",IF(B1802&lt;23,"Entre turnos",IF(F1802=6,"Sin turno","C"))))))</f>
        <v>C</v>
      </c>
      <c r="H1802" s="25" t="n">
        <f aca="false">IF(D1802="","",MAX(0,D1802-0.5*C1802))</f>
        <v>0</v>
      </c>
    </row>
    <row r="1803" customFormat="false" ht="15" hidden="false" customHeight="false" outlineLevel="0" collapsed="false">
      <c r="A1803" s="21" t="n">
        <v>46296</v>
      </c>
      <c r="B1803" s="22" t="n">
        <v>1</v>
      </c>
      <c r="C1803" s="25" t="n">
        <v>95.16</v>
      </c>
      <c r="D1803" s="25" t="n">
        <v>16.8</v>
      </c>
      <c r="E1803" s="25" t="n">
        <v>1.08</v>
      </c>
      <c r="F1803" s="22" t="n">
        <f aca="false">WEEKDAY(A1803,2)</f>
        <v>4</v>
      </c>
      <c r="G1803" s="22" t="str">
        <f aca="false">IF(F1803=7,IF(B1803&gt;=23,"C","Sin turno"),IF(B1803&lt;7,"C",IF(B1803&lt;14,"A",IF(B1803&lt;21,"B",IF(B1803&lt;23,"Entre turnos",IF(F1803=6,"Sin turno","C"))))))</f>
        <v>C</v>
      </c>
      <c r="H1803" s="25" t="n">
        <f aca="false">IF(D1803="","",MAX(0,D1803-0.5*C1803))</f>
        <v>0</v>
      </c>
    </row>
    <row r="1804" customFormat="false" ht="15" hidden="false" customHeight="false" outlineLevel="0" collapsed="false">
      <c r="A1804" s="21" t="n">
        <v>46296</v>
      </c>
      <c r="B1804" s="22" t="n">
        <v>2</v>
      </c>
      <c r="C1804" s="25" t="n">
        <v>96</v>
      </c>
      <c r="D1804" s="25" t="n">
        <v>11.76</v>
      </c>
      <c r="E1804" s="25" t="n">
        <v>1.32</v>
      </c>
      <c r="F1804" s="22" t="n">
        <f aca="false">WEEKDAY(A1804,2)</f>
        <v>4</v>
      </c>
      <c r="G1804" s="22" t="str">
        <f aca="false">IF(F1804=7,IF(B1804&gt;=23,"C","Sin turno"),IF(B1804&lt;7,"C",IF(B1804&lt;14,"A",IF(B1804&lt;21,"B",IF(B1804&lt;23,"Entre turnos",IF(F1804=6,"Sin turno","C"))))))</f>
        <v>C</v>
      </c>
      <c r="H1804" s="25" t="n">
        <f aca="false">IF(D1804="","",MAX(0,D1804-0.5*C1804))</f>
        <v>0</v>
      </c>
    </row>
    <row r="1805" customFormat="false" ht="15" hidden="false" customHeight="false" outlineLevel="0" collapsed="false">
      <c r="A1805" s="21" t="n">
        <v>46296</v>
      </c>
      <c r="B1805" s="22" t="n">
        <v>3</v>
      </c>
      <c r="C1805" s="25" t="n">
        <v>98.52</v>
      </c>
      <c r="D1805" s="25" t="n">
        <v>8.76</v>
      </c>
      <c r="E1805" s="25" t="n">
        <v>1.44</v>
      </c>
      <c r="F1805" s="22" t="n">
        <f aca="false">WEEKDAY(A1805,2)</f>
        <v>4</v>
      </c>
      <c r="G1805" s="22" t="str">
        <f aca="false">IF(F1805=7,IF(B1805&gt;=23,"C","Sin turno"),IF(B1805&lt;7,"C",IF(B1805&lt;14,"A",IF(B1805&lt;21,"B",IF(B1805&lt;23,"Entre turnos",IF(F1805=6,"Sin turno","C"))))))</f>
        <v>C</v>
      </c>
      <c r="H1805" s="25" t="n">
        <f aca="false">IF(D1805="","",MAX(0,D1805-0.5*C1805))</f>
        <v>0</v>
      </c>
    </row>
    <row r="1806" customFormat="false" ht="15" hidden="false" customHeight="false" outlineLevel="0" collapsed="false">
      <c r="A1806" s="21" t="n">
        <v>46296</v>
      </c>
      <c r="B1806" s="22" t="n">
        <v>4</v>
      </c>
      <c r="C1806" s="25" t="n">
        <v>94.32</v>
      </c>
      <c r="D1806" s="25" t="n">
        <v>10.56</v>
      </c>
      <c r="E1806" s="25" t="n">
        <v>1.44</v>
      </c>
      <c r="F1806" s="22" t="n">
        <f aca="false">WEEKDAY(A1806,2)</f>
        <v>4</v>
      </c>
      <c r="G1806" s="22" t="str">
        <f aca="false">IF(F1806=7,IF(B1806&gt;=23,"C","Sin turno"),IF(B1806&lt;7,"C",IF(B1806&lt;14,"A",IF(B1806&lt;21,"B",IF(B1806&lt;23,"Entre turnos",IF(F1806=6,"Sin turno","C"))))))</f>
        <v>C</v>
      </c>
      <c r="H1806" s="25" t="n">
        <f aca="false">IF(D1806="","",MAX(0,D1806-0.5*C1806))</f>
        <v>0</v>
      </c>
    </row>
    <row r="1807" customFormat="false" ht="15" hidden="false" customHeight="false" outlineLevel="0" collapsed="false">
      <c r="A1807" s="21" t="n">
        <v>46296</v>
      </c>
      <c r="B1807" s="22" t="n">
        <v>5</v>
      </c>
      <c r="C1807" s="25" t="n">
        <v>104.76</v>
      </c>
      <c r="D1807" s="25" t="n">
        <v>18.24</v>
      </c>
      <c r="E1807" s="25" t="n">
        <v>0.84</v>
      </c>
      <c r="F1807" s="22" t="n">
        <f aca="false">WEEKDAY(A1807,2)</f>
        <v>4</v>
      </c>
      <c r="G1807" s="22" t="str">
        <f aca="false">IF(F1807=7,IF(B1807&gt;=23,"C","Sin turno"),IF(B1807&lt;7,"C",IF(B1807&lt;14,"A",IF(B1807&lt;21,"B",IF(B1807&lt;23,"Entre turnos",IF(F1807=6,"Sin turno","C"))))))</f>
        <v>C</v>
      </c>
      <c r="H1807" s="25" t="n">
        <f aca="false">IF(D1807="","",MAX(0,D1807-0.5*C1807))</f>
        <v>0</v>
      </c>
    </row>
    <row r="1808" customFormat="false" ht="15" hidden="false" customHeight="false" outlineLevel="0" collapsed="false">
      <c r="A1808" s="21" t="n">
        <v>46296</v>
      </c>
      <c r="B1808" s="22" t="n">
        <v>6</v>
      </c>
      <c r="C1808" s="25" t="n">
        <v>120.48</v>
      </c>
      <c r="D1808" s="25" t="n">
        <v>11.88</v>
      </c>
      <c r="E1808" s="25" t="n">
        <v>0.48</v>
      </c>
      <c r="F1808" s="22" t="n">
        <f aca="false">WEEKDAY(A1808,2)</f>
        <v>4</v>
      </c>
      <c r="G1808" s="22" t="str">
        <f aca="false">IF(F1808=7,IF(B1808&gt;=23,"C","Sin turno"),IF(B1808&lt;7,"C",IF(B1808&lt;14,"A",IF(B1808&lt;21,"B",IF(B1808&lt;23,"Entre turnos",IF(F1808=6,"Sin turno","C"))))))</f>
        <v>C</v>
      </c>
      <c r="H1808" s="25" t="n">
        <f aca="false">IF(D1808="","",MAX(0,D1808-0.5*C1808))</f>
        <v>0</v>
      </c>
    </row>
    <row r="1809" customFormat="false" ht="15" hidden="false" customHeight="false" outlineLevel="0" collapsed="false">
      <c r="A1809" s="21" t="n">
        <v>46296</v>
      </c>
      <c r="B1809" s="22" t="n">
        <v>7</v>
      </c>
      <c r="C1809" s="25" t="n">
        <v>220.8</v>
      </c>
      <c r="D1809" s="25" t="n">
        <v>24.48</v>
      </c>
      <c r="E1809" s="25" t="n">
        <v>0</v>
      </c>
      <c r="F1809" s="22" t="n">
        <f aca="false">WEEKDAY(A1809,2)</f>
        <v>4</v>
      </c>
      <c r="G1809" s="22" t="str">
        <f aca="false">IF(F1809=7,IF(B1809&gt;=23,"C","Sin turno"),IF(B1809&lt;7,"C",IF(B1809&lt;14,"A",IF(B1809&lt;21,"B",IF(B1809&lt;23,"Entre turnos",IF(F1809=6,"Sin turno","C"))))))</f>
        <v>A</v>
      </c>
      <c r="H1809" s="25" t="n">
        <f aca="false">IF(D1809="","",MAX(0,D1809-0.5*C1809))</f>
        <v>0</v>
      </c>
    </row>
    <row r="1810" customFormat="false" ht="15" hidden="false" customHeight="false" outlineLevel="0" collapsed="false">
      <c r="A1810" s="21" t="n">
        <v>46296</v>
      </c>
      <c r="B1810" s="22" t="n">
        <v>8</v>
      </c>
      <c r="C1810" s="25" t="n">
        <v>264.48</v>
      </c>
      <c r="D1810" s="25" t="n">
        <v>19.8</v>
      </c>
      <c r="E1810" s="25" t="n">
        <v>0</v>
      </c>
      <c r="F1810" s="22" t="n">
        <f aca="false">WEEKDAY(A1810,2)</f>
        <v>4</v>
      </c>
      <c r="G1810" s="22" t="str">
        <f aca="false">IF(F1810=7,IF(B1810&gt;=23,"C","Sin turno"),IF(B1810&lt;7,"C",IF(B1810&lt;14,"A",IF(B1810&lt;21,"B",IF(B1810&lt;23,"Entre turnos",IF(F1810=6,"Sin turno","C"))))))</f>
        <v>A</v>
      </c>
      <c r="H1810" s="25" t="n">
        <f aca="false">IF(D1810="","",MAX(0,D1810-0.5*C1810))</f>
        <v>0</v>
      </c>
    </row>
    <row r="1811" customFormat="false" ht="15" hidden="false" customHeight="false" outlineLevel="0" collapsed="false">
      <c r="A1811" s="21" t="n">
        <v>46296</v>
      </c>
      <c r="B1811" s="22" t="n">
        <v>9</v>
      </c>
      <c r="C1811" s="25" t="n">
        <v>282</v>
      </c>
      <c r="D1811" s="25" t="n">
        <v>21.12</v>
      </c>
      <c r="E1811" s="25" t="n">
        <v>0</v>
      </c>
      <c r="F1811" s="22" t="n">
        <f aca="false">WEEKDAY(A1811,2)</f>
        <v>4</v>
      </c>
      <c r="G1811" s="22" t="str">
        <f aca="false">IF(F1811=7,IF(B1811&gt;=23,"C","Sin turno"),IF(B1811&lt;7,"C",IF(B1811&lt;14,"A",IF(B1811&lt;21,"B",IF(B1811&lt;23,"Entre turnos",IF(F1811=6,"Sin turno","C"))))))</f>
        <v>A</v>
      </c>
      <c r="H1811" s="25" t="n">
        <f aca="false">IF(D1811="","",MAX(0,D1811-0.5*C1811))</f>
        <v>0</v>
      </c>
    </row>
    <row r="1812" customFormat="false" ht="15" hidden="false" customHeight="false" outlineLevel="0" collapsed="false">
      <c r="A1812" s="21" t="n">
        <v>46296</v>
      </c>
      <c r="B1812" s="22" t="n">
        <v>10</v>
      </c>
      <c r="C1812" s="25" t="n">
        <v>260.64</v>
      </c>
      <c r="D1812" s="25" t="n">
        <v>22.44</v>
      </c>
      <c r="E1812" s="25" t="n">
        <v>0</v>
      </c>
      <c r="F1812" s="22" t="n">
        <f aca="false">WEEKDAY(A1812,2)</f>
        <v>4</v>
      </c>
      <c r="G1812" s="22" t="str">
        <f aca="false">IF(F1812=7,IF(B1812&gt;=23,"C","Sin turno"),IF(B1812&lt;7,"C",IF(B1812&lt;14,"A",IF(B1812&lt;21,"B",IF(B1812&lt;23,"Entre turnos",IF(F1812=6,"Sin turno","C"))))))</f>
        <v>A</v>
      </c>
      <c r="H1812" s="25" t="n">
        <f aca="false">IF(D1812="","",MAX(0,D1812-0.5*C1812))</f>
        <v>0</v>
      </c>
    </row>
    <row r="1813" customFormat="false" ht="15" hidden="false" customHeight="false" outlineLevel="0" collapsed="false">
      <c r="A1813" s="21" t="n">
        <v>46296</v>
      </c>
      <c r="B1813" s="22" t="n">
        <v>11</v>
      </c>
      <c r="C1813" s="25" t="n">
        <v>251.4</v>
      </c>
      <c r="D1813" s="25" t="n">
        <v>21.12</v>
      </c>
      <c r="E1813" s="25" t="n">
        <v>0</v>
      </c>
      <c r="F1813" s="22" t="n">
        <f aca="false">WEEKDAY(A1813,2)</f>
        <v>4</v>
      </c>
      <c r="G1813" s="22" t="str">
        <f aca="false">IF(F1813=7,IF(B1813&gt;=23,"C","Sin turno"),IF(B1813&lt;7,"C",IF(B1813&lt;14,"A",IF(B1813&lt;21,"B",IF(B1813&lt;23,"Entre turnos",IF(F1813=6,"Sin turno","C"))))))</f>
        <v>A</v>
      </c>
      <c r="H1813" s="25" t="n">
        <f aca="false">IF(D1813="","",MAX(0,D1813-0.5*C1813))</f>
        <v>0</v>
      </c>
    </row>
    <row r="1814" customFormat="false" ht="15" hidden="false" customHeight="false" outlineLevel="0" collapsed="false">
      <c r="A1814" s="21" t="n">
        <v>46296</v>
      </c>
      <c r="B1814" s="22" t="n">
        <v>12</v>
      </c>
      <c r="C1814" s="25" t="n">
        <v>289.32</v>
      </c>
      <c r="D1814" s="25" t="n">
        <v>21.96</v>
      </c>
      <c r="E1814" s="25" t="n">
        <v>0.12</v>
      </c>
      <c r="F1814" s="22" t="n">
        <f aca="false">WEEKDAY(A1814,2)</f>
        <v>4</v>
      </c>
      <c r="G1814" s="22" t="str">
        <f aca="false">IF(F1814=7,IF(B1814&gt;=23,"C","Sin turno"),IF(B1814&lt;7,"C",IF(B1814&lt;14,"A",IF(B1814&lt;21,"B",IF(B1814&lt;23,"Entre turnos",IF(F1814=6,"Sin turno","C"))))))</f>
        <v>A</v>
      </c>
      <c r="H1814" s="25" t="n">
        <f aca="false">IF(D1814="","",MAX(0,D1814-0.5*C1814))</f>
        <v>0</v>
      </c>
    </row>
    <row r="1815" customFormat="false" ht="15" hidden="false" customHeight="false" outlineLevel="0" collapsed="false">
      <c r="A1815" s="21" t="n">
        <v>46296</v>
      </c>
      <c r="B1815" s="22" t="n">
        <v>13</v>
      </c>
      <c r="C1815" s="25" t="n">
        <v>279.72</v>
      </c>
      <c r="D1815" s="25" t="n">
        <v>18.12</v>
      </c>
      <c r="E1815" s="25" t="n">
        <v>0</v>
      </c>
      <c r="F1815" s="22" t="n">
        <f aca="false">WEEKDAY(A1815,2)</f>
        <v>4</v>
      </c>
      <c r="G1815" s="22" t="str">
        <f aca="false">IF(F1815=7,IF(B1815&gt;=23,"C","Sin turno"),IF(B1815&lt;7,"C",IF(B1815&lt;14,"A",IF(B1815&lt;21,"B",IF(B1815&lt;23,"Entre turnos",IF(F1815=6,"Sin turno","C"))))))</f>
        <v>A</v>
      </c>
      <c r="H1815" s="25" t="n">
        <f aca="false">IF(D1815="","",MAX(0,D1815-0.5*C1815))</f>
        <v>0</v>
      </c>
    </row>
    <row r="1816" customFormat="false" ht="15" hidden="false" customHeight="false" outlineLevel="0" collapsed="false">
      <c r="A1816" s="21" t="n">
        <v>46296</v>
      </c>
      <c r="B1816" s="22" t="n">
        <v>14</v>
      </c>
      <c r="C1816" s="25" t="n">
        <v>252.48</v>
      </c>
      <c r="D1816" s="25" t="n">
        <v>22.08</v>
      </c>
      <c r="E1816" s="25" t="n">
        <v>0</v>
      </c>
      <c r="F1816" s="22" t="n">
        <f aca="false">WEEKDAY(A1816,2)</f>
        <v>4</v>
      </c>
      <c r="G1816" s="22" t="str">
        <f aca="false">IF(F1816=7,IF(B1816&gt;=23,"C","Sin turno"),IF(B1816&lt;7,"C",IF(B1816&lt;14,"A",IF(B1816&lt;21,"B",IF(B1816&lt;23,"Entre turnos",IF(F1816=6,"Sin turno","C"))))))</f>
        <v>B</v>
      </c>
      <c r="H1816" s="25" t="n">
        <f aca="false">IF(D1816="","",MAX(0,D1816-0.5*C1816))</f>
        <v>0</v>
      </c>
    </row>
    <row r="1817" customFormat="false" ht="15" hidden="false" customHeight="false" outlineLevel="0" collapsed="false">
      <c r="A1817" s="21" t="n">
        <v>46296</v>
      </c>
      <c r="B1817" s="22" t="n">
        <v>15</v>
      </c>
      <c r="C1817" s="25" t="n">
        <v>254.28</v>
      </c>
      <c r="D1817" s="25" t="n">
        <v>24.24</v>
      </c>
      <c r="E1817" s="25" t="n">
        <v>0.12</v>
      </c>
      <c r="F1817" s="22" t="n">
        <f aca="false">WEEKDAY(A1817,2)</f>
        <v>4</v>
      </c>
      <c r="G1817" s="22" t="str">
        <f aca="false">IF(F1817=7,IF(B1817&gt;=23,"C","Sin turno"),IF(B1817&lt;7,"C",IF(B1817&lt;14,"A",IF(B1817&lt;21,"B",IF(B1817&lt;23,"Entre turnos",IF(F1817=6,"Sin turno","C"))))))</f>
        <v>B</v>
      </c>
      <c r="H1817" s="25" t="n">
        <f aca="false">IF(D1817="","",MAX(0,D1817-0.5*C1817))</f>
        <v>0</v>
      </c>
    </row>
    <row r="1818" customFormat="false" ht="15" hidden="false" customHeight="false" outlineLevel="0" collapsed="false">
      <c r="A1818" s="21" t="n">
        <v>46296</v>
      </c>
      <c r="B1818" s="22" t="n">
        <v>16</v>
      </c>
      <c r="C1818" s="25" t="n">
        <v>239.88</v>
      </c>
      <c r="D1818" s="25" t="n">
        <v>27.12</v>
      </c>
      <c r="E1818" s="25" t="n">
        <v>0</v>
      </c>
      <c r="F1818" s="22" t="n">
        <f aca="false">WEEKDAY(A1818,2)</f>
        <v>4</v>
      </c>
      <c r="G1818" s="22" t="str">
        <f aca="false">IF(F1818=7,IF(B1818&gt;=23,"C","Sin turno"),IF(B1818&lt;7,"C",IF(B1818&lt;14,"A",IF(B1818&lt;21,"B",IF(B1818&lt;23,"Entre turnos",IF(F1818=6,"Sin turno","C"))))))</f>
        <v>B</v>
      </c>
      <c r="H1818" s="25" t="n">
        <f aca="false">IF(D1818="","",MAX(0,D1818-0.5*C1818))</f>
        <v>0</v>
      </c>
    </row>
    <row r="1819" customFormat="false" ht="15" hidden="false" customHeight="false" outlineLevel="0" collapsed="false">
      <c r="A1819" s="21" t="n">
        <v>46296</v>
      </c>
      <c r="B1819" s="22" t="n">
        <v>17</v>
      </c>
      <c r="C1819" s="25" t="n">
        <v>203.76</v>
      </c>
      <c r="D1819" s="25" t="n">
        <v>18.6</v>
      </c>
      <c r="E1819" s="25" t="n">
        <v>0</v>
      </c>
      <c r="F1819" s="22" t="n">
        <f aca="false">WEEKDAY(A1819,2)</f>
        <v>4</v>
      </c>
      <c r="G1819" s="22" t="str">
        <f aca="false">IF(F1819=7,IF(B1819&gt;=23,"C","Sin turno"),IF(B1819&lt;7,"C",IF(B1819&lt;14,"A",IF(B1819&lt;21,"B",IF(B1819&lt;23,"Entre turnos",IF(F1819=6,"Sin turno","C"))))))</f>
        <v>B</v>
      </c>
      <c r="H1819" s="25" t="n">
        <f aca="false">IF(D1819="","",MAX(0,D1819-0.5*C1819))</f>
        <v>0</v>
      </c>
    </row>
    <row r="1820" customFormat="false" ht="15" hidden="false" customHeight="false" outlineLevel="0" collapsed="false">
      <c r="A1820" s="21" t="n">
        <v>46296</v>
      </c>
      <c r="B1820" s="22" t="n">
        <v>18</v>
      </c>
      <c r="C1820" s="25" t="n">
        <v>178.08</v>
      </c>
      <c r="D1820" s="25" t="n">
        <v>16.56</v>
      </c>
      <c r="E1820" s="25" t="n">
        <v>0.48</v>
      </c>
      <c r="F1820" s="22" t="n">
        <f aca="false">WEEKDAY(A1820,2)</f>
        <v>4</v>
      </c>
      <c r="G1820" s="22" t="str">
        <f aca="false">IF(F1820=7,IF(B1820&gt;=23,"C","Sin turno"),IF(B1820&lt;7,"C",IF(B1820&lt;14,"A",IF(B1820&lt;21,"B",IF(B1820&lt;23,"Entre turnos",IF(F1820=6,"Sin turno","C"))))))</f>
        <v>B</v>
      </c>
      <c r="H1820" s="25" t="n">
        <f aca="false">IF(D1820="","",MAX(0,D1820-0.5*C1820))</f>
        <v>0</v>
      </c>
    </row>
    <row r="1821" customFormat="false" ht="15" hidden="false" customHeight="false" outlineLevel="0" collapsed="false">
      <c r="A1821" s="21" t="n">
        <v>46296</v>
      </c>
      <c r="B1821" s="22" t="n">
        <v>19</v>
      </c>
      <c r="C1821" s="25" t="n">
        <v>200.28</v>
      </c>
      <c r="D1821" s="25" t="n">
        <v>19.68</v>
      </c>
      <c r="E1821" s="25" t="n">
        <v>0.36</v>
      </c>
      <c r="F1821" s="22" t="n">
        <f aca="false">WEEKDAY(A1821,2)</f>
        <v>4</v>
      </c>
      <c r="G1821" s="22" t="str">
        <f aca="false">IF(F1821=7,IF(B1821&gt;=23,"C","Sin turno"),IF(B1821&lt;7,"C",IF(B1821&lt;14,"A",IF(B1821&lt;21,"B",IF(B1821&lt;23,"Entre turnos",IF(F1821=6,"Sin turno","C"))))))</f>
        <v>B</v>
      </c>
      <c r="H1821" s="25" t="n">
        <f aca="false">IF(D1821="","",MAX(0,D1821-0.5*C1821))</f>
        <v>0</v>
      </c>
    </row>
    <row r="1822" customFormat="false" ht="15" hidden="false" customHeight="false" outlineLevel="0" collapsed="false">
      <c r="A1822" s="21" t="n">
        <v>46296</v>
      </c>
      <c r="B1822" s="22" t="n">
        <v>20</v>
      </c>
      <c r="C1822" s="25" t="n">
        <v>171</v>
      </c>
      <c r="D1822" s="25" t="n">
        <v>23.4</v>
      </c>
      <c r="E1822" s="25" t="n">
        <v>0.24</v>
      </c>
      <c r="F1822" s="22" t="n">
        <f aca="false">WEEKDAY(A1822,2)</f>
        <v>4</v>
      </c>
      <c r="G1822" s="22" t="str">
        <f aca="false">IF(F1822=7,IF(B1822&gt;=23,"C","Sin turno"),IF(B1822&lt;7,"C",IF(B1822&lt;14,"A",IF(B1822&lt;21,"B",IF(B1822&lt;23,"Entre turnos",IF(F1822=6,"Sin turno","C"))))))</f>
        <v>B</v>
      </c>
      <c r="H1822" s="25" t="n">
        <f aca="false">IF(D1822="","",MAX(0,D1822-0.5*C1822))</f>
        <v>0</v>
      </c>
    </row>
    <row r="1823" customFormat="false" ht="15" hidden="false" customHeight="false" outlineLevel="0" collapsed="false">
      <c r="A1823" s="21" t="n">
        <v>46296</v>
      </c>
      <c r="B1823" s="22" t="n">
        <v>21</v>
      </c>
      <c r="C1823" s="25" t="n">
        <v>157.32</v>
      </c>
      <c r="D1823" s="25" t="n">
        <v>22.68</v>
      </c>
      <c r="E1823" s="25" t="n">
        <v>0</v>
      </c>
      <c r="F1823" s="22" t="n">
        <f aca="false">WEEKDAY(A1823,2)</f>
        <v>4</v>
      </c>
      <c r="G1823" s="22" t="str">
        <f aca="false">IF(F1823=7,IF(B1823&gt;=23,"C","Sin turno"),IF(B1823&lt;7,"C",IF(B1823&lt;14,"A",IF(B1823&lt;21,"B",IF(B1823&lt;23,"Entre turnos",IF(F1823=6,"Sin turno","C"))))))</f>
        <v>Entre turnos</v>
      </c>
      <c r="H1823" s="25" t="n">
        <f aca="false">IF(D1823="","",MAX(0,D1823-0.5*C1823))</f>
        <v>0</v>
      </c>
    </row>
    <row r="1824" customFormat="false" ht="15" hidden="false" customHeight="false" outlineLevel="0" collapsed="false">
      <c r="A1824" s="21" t="n">
        <v>46296</v>
      </c>
      <c r="B1824" s="22" t="n">
        <v>22</v>
      </c>
      <c r="C1824" s="25" t="n">
        <v>117.72</v>
      </c>
      <c r="D1824" s="25" t="n">
        <v>15.36</v>
      </c>
      <c r="E1824" s="25" t="n">
        <v>0.12</v>
      </c>
      <c r="F1824" s="22" t="n">
        <f aca="false">WEEKDAY(A1824,2)</f>
        <v>4</v>
      </c>
      <c r="G1824" s="22" t="str">
        <f aca="false">IF(F1824=7,IF(B1824&gt;=23,"C","Sin turno"),IF(B1824&lt;7,"C",IF(B1824&lt;14,"A",IF(B1824&lt;21,"B",IF(B1824&lt;23,"Entre turnos",IF(F1824=6,"Sin turno","C"))))))</f>
        <v>Entre turnos</v>
      </c>
      <c r="H1824" s="25" t="n">
        <f aca="false">IF(D1824="","",MAX(0,D1824-0.5*C1824))</f>
        <v>0</v>
      </c>
    </row>
    <row r="1825" customFormat="false" ht="15" hidden="false" customHeight="false" outlineLevel="0" collapsed="false">
      <c r="A1825" s="21" t="n">
        <v>46296</v>
      </c>
      <c r="B1825" s="22" t="n">
        <v>23</v>
      </c>
      <c r="C1825" s="25" t="n">
        <v>93.84</v>
      </c>
      <c r="D1825" s="25" t="n">
        <v>16.56</v>
      </c>
      <c r="E1825" s="25" t="n">
        <v>0.48</v>
      </c>
      <c r="F1825" s="22" t="n">
        <f aca="false">WEEKDAY(A1825,2)</f>
        <v>4</v>
      </c>
      <c r="G1825" s="22" t="str">
        <f aca="false">IF(F1825=7,IF(B1825&gt;=23,"C","Sin turno"),IF(B1825&lt;7,"C",IF(B1825&lt;14,"A",IF(B1825&lt;21,"B",IF(B1825&lt;23,"Entre turnos",IF(F1825=6,"Sin turno","C"))))))</f>
        <v>C</v>
      </c>
      <c r="H1825" s="25" t="n">
        <f aca="false">IF(D1825="","",MAX(0,D1825-0.5*C1825))</f>
        <v>0</v>
      </c>
    </row>
    <row r="1826" customFormat="false" ht="15" hidden="false" customHeight="false" outlineLevel="0" collapsed="false">
      <c r="A1826" s="21" t="n">
        <v>46297</v>
      </c>
      <c r="B1826" s="22" t="n">
        <v>0</v>
      </c>
      <c r="C1826" s="25" t="n">
        <v>108.84</v>
      </c>
      <c r="D1826" s="25" t="n">
        <v>17.16</v>
      </c>
      <c r="E1826" s="25" t="n">
        <v>0.12</v>
      </c>
      <c r="F1826" s="22" t="n">
        <f aca="false">WEEKDAY(A1826,2)</f>
        <v>5</v>
      </c>
      <c r="G1826" s="22" t="str">
        <f aca="false">IF(F1826=7,IF(B1826&gt;=23,"C","Sin turno"),IF(B1826&lt;7,"C",IF(B1826&lt;14,"A",IF(B1826&lt;21,"B",IF(B1826&lt;23,"Entre turnos",IF(F1826=6,"Sin turno","C"))))))</f>
        <v>C</v>
      </c>
      <c r="H1826" s="25" t="n">
        <f aca="false">IF(D1826="","",MAX(0,D1826-0.5*C1826))</f>
        <v>0</v>
      </c>
    </row>
    <row r="1827" customFormat="false" ht="15" hidden="false" customHeight="false" outlineLevel="0" collapsed="false">
      <c r="A1827" s="21" t="n">
        <v>46297</v>
      </c>
      <c r="B1827" s="22" t="n">
        <v>1</v>
      </c>
      <c r="C1827" s="25" t="n">
        <v>97.68</v>
      </c>
      <c r="D1827" s="25" t="n">
        <v>13.68</v>
      </c>
      <c r="E1827" s="25" t="n">
        <v>0</v>
      </c>
      <c r="F1827" s="22" t="n">
        <f aca="false">WEEKDAY(A1827,2)</f>
        <v>5</v>
      </c>
      <c r="G1827" s="22" t="str">
        <f aca="false">IF(F1827=7,IF(B1827&gt;=23,"C","Sin turno"),IF(B1827&lt;7,"C",IF(B1827&lt;14,"A",IF(B1827&lt;21,"B",IF(B1827&lt;23,"Entre turnos",IF(F1827=6,"Sin turno","C"))))))</f>
        <v>C</v>
      </c>
      <c r="H1827" s="25" t="n">
        <f aca="false">IF(D1827="","",MAX(0,D1827-0.5*C1827))</f>
        <v>0</v>
      </c>
    </row>
    <row r="1828" customFormat="false" ht="15" hidden="false" customHeight="false" outlineLevel="0" collapsed="false">
      <c r="A1828" s="21" t="n">
        <v>46297</v>
      </c>
      <c r="B1828" s="22" t="n">
        <v>2</v>
      </c>
      <c r="C1828" s="25" t="n">
        <v>95.04</v>
      </c>
      <c r="D1828" s="25" t="n">
        <v>13.2</v>
      </c>
      <c r="E1828" s="25" t="n">
        <v>0</v>
      </c>
      <c r="F1828" s="22" t="n">
        <f aca="false">WEEKDAY(A1828,2)</f>
        <v>5</v>
      </c>
      <c r="G1828" s="22" t="str">
        <f aca="false">IF(F1828=7,IF(B1828&gt;=23,"C","Sin turno"),IF(B1828&lt;7,"C",IF(B1828&lt;14,"A",IF(B1828&lt;21,"B",IF(B1828&lt;23,"Entre turnos",IF(F1828=6,"Sin turno","C"))))))</f>
        <v>C</v>
      </c>
      <c r="H1828" s="25" t="n">
        <f aca="false">IF(D1828="","",MAX(0,D1828-0.5*C1828))</f>
        <v>0</v>
      </c>
    </row>
    <row r="1829" customFormat="false" ht="15" hidden="false" customHeight="false" outlineLevel="0" collapsed="false">
      <c r="A1829" s="21" t="n">
        <v>46297</v>
      </c>
      <c r="B1829" s="22" t="n">
        <v>3</v>
      </c>
      <c r="C1829" s="25" t="n">
        <v>97.56</v>
      </c>
      <c r="D1829" s="25" t="n">
        <v>14.16</v>
      </c>
      <c r="E1829" s="25" t="n">
        <v>0</v>
      </c>
      <c r="F1829" s="22" t="n">
        <f aca="false">WEEKDAY(A1829,2)</f>
        <v>5</v>
      </c>
      <c r="G1829" s="22" t="str">
        <f aca="false">IF(F1829=7,IF(B1829&gt;=23,"C","Sin turno"),IF(B1829&lt;7,"C",IF(B1829&lt;14,"A",IF(B1829&lt;21,"B",IF(B1829&lt;23,"Entre turnos",IF(F1829=6,"Sin turno","C"))))))</f>
        <v>C</v>
      </c>
      <c r="H1829" s="25" t="n">
        <f aca="false">IF(D1829="","",MAX(0,D1829-0.5*C1829))</f>
        <v>0</v>
      </c>
    </row>
    <row r="1830" customFormat="false" ht="15" hidden="false" customHeight="false" outlineLevel="0" collapsed="false">
      <c r="A1830" s="21" t="n">
        <v>46297</v>
      </c>
      <c r="B1830" s="22" t="n">
        <v>4</v>
      </c>
      <c r="C1830" s="25" t="n">
        <v>97.8</v>
      </c>
      <c r="D1830" s="25" t="n">
        <v>16.2</v>
      </c>
      <c r="E1830" s="25" t="n">
        <v>0</v>
      </c>
      <c r="F1830" s="22" t="n">
        <f aca="false">WEEKDAY(A1830,2)</f>
        <v>5</v>
      </c>
      <c r="G1830" s="22" t="str">
        <f aca="false">IF(F1830=7,IF(B1830&gt;=23,"C","Sin turno"),IF(B1830&lt;7,"C",IF(B1830&lt;14,"A",IF(B1830&lt;21,"B",IF(B1830&lt;23,"Entre turnos",IF(F1830=6,"Sin turno","C"))))))</f>
        <v>C</v>
      </c>
      <c r="H1830" s="25" t="n">
        <f aca="false">IF(D1830="","",MAX(0,D1830-0.5*C1830))</f>
        <v>0</v>
      </c>
    </row>
    <row r="1831" customFormat="false" ht="15" hidden="false" customHeight="false" outlineLevel="0" collapsed="false">
      <c r="A1831" s="21" t="n">
        <v>46297</v>
      </c>
      <c r="B1831" s="22" t="n">
        <v>5</v>
      </c>
      <c r="C1831" s="25" t="n">
        <v>97.8</v>
      </c>
      <c r="D1831" s="25" t="n">
        <v>14.28</v>
      </c>
      <c r="E1831" s="25" t="n">
        <v>0</v>
      </c>
      <c r="F1831" s="22" t="n">
        <f aca="false">WEEKDAY(A1831,2)</f>
        <v>5</v>
      </c>
      <c r="G1831" s="22" t="str">
        <f aca="false">IF(F1831=7,IF(B1831&gt;=23,"C","Sin turno"),IF(B1831&lt;7,"C",IF(B1831&lt;14,"A",IF(B1831&lt;21,"B",IF(B1831&lt;23,"Entre turnos",IF(F1831=6,"Sin turno","C"))))))</f>
        <v>C</v>
      </c>
      <c r="H1831" s="25" t="n">
        <f aca="false">IF(D1831="","",MAX(0,D1831-0.5*C1831))</f>
        <v>0</v>
      </c>
    </row>
    <row r="1832" customFormat="false" ht="15" hidden="false" customHeight="false" outlineLevel="0" collapsed="false">
      <c r="A1832" s="21" t="n">
        <v>46297</v>
      </c>
      <c r="B1832" s="22" t="n">
        <v>6</v>
      </c>
      <c r="C1832" s="25" t="n">
        <v>124.08</v>
      </c>
      <c r="D1832" s="25" t="n">
        <v>17.52</v>
      </c>
      <c r="E1832" s="25" t="n">
        <v>0.12</v>
      </c>
      <c r="F1832" s="22" t="n">
        <f aca="false">WEEKDAY(A1832,2)</f>
        <v>5</v>
      </c>
      <c r="G1832" s="22" t="str">
        <f aca="false">IF(F1832=7,IF(B1832&gt;=23,"C","Sin turno"),IF(B1832&lt;7,"C",IF(B1832&lt;14,"A",IF(B1832&lt;21,"B",IF(B1832&lt;23,"Entre turnos",IF(F1832=6,"Sin turno","C"))))))</f>
        <v>C</v>
      </c>
      <c r="H1832" s="25" t="n">
        <f aca="false">IF(D1832="","",MAX(0,D1832-0.5*C1832))</f>
        <v>0</v>
      </c>
    </row>
    <row r="1833" customFormat="false" ht="15" hidden="false" customHeight="false" outlineLevel="0" collapsed="false">
      <c r="A1833" s="21" t="n">
        <v>46297</v>
      </c>
      <c r="B1833" s="22" t="n">
        <v>7</v>
      </c>
      <c r="C1833" s="25" t="n">
        <v>259.32</v>
      </c>
      <c r="D1833" s="25" t="n">
        <v>22.08</v>
      </c>
      <c r="E1833" s="25" t="n">
        <v>0</v>
      </c>
      <c r="F1833" s="22" t="n">
        <f aca="false">WEEKDAY(A1833,2)</f>
        <v>5</v>
      </c>
      <c r="G1833" s="22" t="str">
        <f aca="false">IF(F1833=7,IF(B1833&gt;=23,"C","Sin turno"),IF(B1833&lt;7,"C",IF(B1833&lt;14,"A",IF(B1833&lt;21,"B",IF(B1833&lt;23,"Entre turnos",IF(F1833=6,"Sin turno","C"))))))</f>
        <v>A</v>
      </c>
      <c r="H1833" s="25" t="n">
        <f aca="false">IF(D1833="","",MAX(0,D1833-0.5*C1833))</f>
        <v>0</v>
      </c>
    </row>
    <row r="1834" customFormat="false" ht="15" hidden="false" customHeight="false" outlineLevel="0" collapsed="false">
      <c r="A1834" s="21" t="n">
        <v>46297</v>
      </c>
      <c r="B1834" s="22" t="n">
        <v>8</v>
      </c>
      <c r="C1834" s="25" t="n">
        <v>298.68</v>
      </c>
      <c r="D1834" s="25" t="n">
        <v>26.76</v>
      </c>
      <c r="E1834" s="25" t="n">
        <v>0</v>
      </c>
      <c r="F1834" s="22" t="n">
        <f aca="false">WEEKDAY(A1834,2)</f>
        <v>5</v>
      </c>
      <c r="G1834" s="22" t="str">
        <f aca="false">IF(F1834=7,IF(B1834&gt;=23,"C","Sin turno"),IF(B1834&lt;7,"C",IF(B1834&lt;14,"A",IF(B1834&lt;21,"B",IF(B1834&lt;23,"Entre turnos",IF(F1834=6,"Sin turno","C"))))))</f>
        <v>A</v>
      </c>
      <c r="H1834" s="25" t="n">
        <f aca="false">IF(D1834="","",MAX(0,D1834-0.5*C1834))</f>
        <v>0</v>
      </c>
    </row>
    <row r="1835" customFormat="false" ht="15" hidden="false" customHeight="false" outlineLevel="0" collapsed="false">
      <c r="A1835" s="21" t="n">
        <v>46297</v>
      </c>
      <c r="B1835" s="22" t="n">
        <v>9</v>
      </c>
      <c r="C1835" s="25" t="n">
        <v>296.16</v>
      </c>
      <c r="D1835" s="25" t="n">
        <v>24.96</v>
      </c>
      <c r="E1835" s="25" t="n">
        <v>0</v>
      </c>
      <c r="F1835" s="22" t="n">
        <f aca="false">WEEKDAY(A1835,2)</f>
        <v>5</v>
      </c>
      <c r="G1835" s="22" t="str">
        <f aca="false">IF(F1835=7,IF(B1835&gt;=23,"C","Sin turno"),IF(B1835&lt;7,"C",IF(B1835&lt;14,"A",IF(B1835&lt;21,"B",IF(B1835&lt;23,"Entre turnos",IF(F1835=6,"Sin turno","C"))))))</f>
        <v>A</v>
      </c>
      <c r="H1835" s="25" t="n">
        <f aca="false">IF(D1835="","",MAX(0,D1835-0.5*C1835))</f>
        <v>0</v>
      </c>
    </row>
    <row r="1836" customFormat="false" ht="15" hidden="false" customHeight="false" outlineLevel="0" collapsed="false">
      <c r="A1836" s="21" t="n">
        <v>46297</v>
      </c>
      <c r="B1836" s="22" t="n">
        <v>10</v>
      </c>
      <c r="C1836" s="25" t="n">
        <v>288.12</v>
      </c>
      <c r="D1836" s="25" t="n">
        <v>22.68</v>
      </c>
      <c r="E1836" s="25" t="n">
        <v>0.12</v>
      </c>
      <c r="F1836" s="22" t="n">
        <f aca="false">WEEKDAY(A1836,2)</f>
        <v>5</v>
      </c>
      <c r="G1836" s="22" t="str">
        <f aca="false">IF(F1836=7,IF(B1836&gt;=23,"C","Sin turno"),IF(B1836&lt;7,"C",IF(B1836&lt;14,"A",IF(B1836&lt;21,"B",IF(B1836&lt;23,"Entre turnos",IF(F1836=6,"Sin turno","C"))))))</f>
        <v>A</v>
      </c>
      <c r="H1836" s="25" t="n">
        <f aca="false">IF(D1836="","",MAX(0,D1836-0.5*C1836))</f>
        <v>0</v>
      </c>
    </row>
    <row r="1837" customFormat="false" ht="15" hidden="false" customHeight="false" outlineLevel="0" collapsed="false">
      <c r="A1837" s="21" t="n">
        <v>46297</v>
      </c>
      <c r="B1837" s="22" t="n">
        <v>11</v>
      </c>
      <c r="C1837" s="25" t="n">
        <v>276.84</v>
      </c>
      <c r="D1837" s="25" t="n">
        <v>23.64</v>
      </c>
      <c r="E1837" s="25" t="n">
        <v>0</v>
      </c>
      <c r="F1837" s="22" t="n">
        <f aca="false">WEEKDAY(A1837,2)</f>
        <v>5</v>
      </c>
      <c r="G1837" s="22" t="str">
        <f aca="false">IF(F1837=7,IF(B1837&gt;=23,"C","Sin turno"),IF(B1837&lt;7,"C",IF(B1837&lt;14,"A",IF(B1837&lt;21,"B",IF(B1837&lt;23,"Entre turnos",IF(F1837=6,"Sin turno","C"))))))</f>
        <v>A</v>
      </c>
      <c r="H1837" s="25" t="n">
        <f aca="false">IF(D1837="","",MAX(0,D1837-0.5*C1837))</f>
        <v>0</v>
      </c>
    </row>
    <row r="1838" customFormat="false" ht="15" hidden="false" customHeight="false" outlineLevel="0" collapsed="false">
      <c r="A1838" s="21" t="n">
        <v>46297</v>
      </c>
      <c r="B1838" s="22" t="n">
        <v>12</v>
      </c>
      <c r="C1838" s="25" t="n">
        <v>296.76</v>
      </c>
      <c r="D1838" s="25" t="n">
        <v>24.12</v>
      </c>
      <c r="E1838" s="25" t="n">
        <v>0</v>
      </c>
      <c r="F1838" s="22" t="n">
        <f aca="false">WEEKDAY(A1838,2)</f>
        <v>5</v>
      </c>
      <c r="G1838" s="22" t="str">
        <f aca="false">IF(F1838=7,IF(B1838&gt;=23,"C","Sin turno"),IF(B1838&lt;7,"C",IF(B1838&lt;14,"A",IF(B1838&lt;21,"B",IF(B1838&lt;23,"Entre turnos",IF(F1838=6,"Sin turno","C"))))))</f>
        <v>A</v>
      </c>
      <c r="H1838" s="25" t="n">
        <f aca="false">IF(D1838="","",MAX(0,D1838-0.5*C1838))</f>
        <v>0</v>
      </c>
    </row>
    <row r="1839" customFormat="false" ht="15" hidden="false" customHeight="false" outlineLevel="0" collapsed="false">
      <c r="A1839" s="21" t="n">
        <v>46297</v>
      </c>
      <c r="B1839" s="22" t="n">
        <v>13</v>
      </c>
      <c r="C1839" s="25" t="n">
        <v>296.76</v>
      </c>
      <c r="D1839" s="25" t="n">
        <v>23.76</v>
      </c>
      <c r="E1839" s="25" t="n">
        <v>0</v>
      </c>
      <c r="F1839" s="22" t="n">
        <f aca="false">WEEKDAY(A1839,2)</f>
        <v>5</v>
      </c>
      <c r="G1839" s="22" t="str">
        <f aca="false">IF(F1839=7,IF(B1839&gt;=23,"C","Sin turno"),IF(B1839&lt;7,"C",IF(B1839&lt;14,"A",IF(B1839&lt;21,"B",IF(B1839&lt;23,"Entre turnos",IF(F1839=6,"Sin turno","C"))))))</f>
        <v>A</v>
      </c>
      <c r="H1839" s="25" t="n">
        <f aca="false">IF(D1839="","",MAX(0,D1839-0.5*C1839))</f>
        <v>0</v>
      </c>
    </row>
    <row r="1840" customFormat="false" ht="15" hidden="false" customHeight="false" outlineLevel="0" collapsed="false">
      <c r="A1840" s="21" t="n">
        <v>46297</v>
      </c>
      <c r="B1840" s="22" t="n">
        <v>14</v>
      </c>
      <c r="C1840" s="25" t="n">
        <v>261.96</v>
      </c>
      <c r="D1840" s="25" t="n">
        <v>20.52</v>
      </c>
      <c r="E1840" s="25" t="n">
        <v>0</v>
      </c>
      <c r="F1840" s="22" t="n">
        <f aca="false">WEEKDAY(A1840,2)</f>
        <v>5</v>
      </c>
      <c r="G1840" s="22" t="str">
        <f aca="false">IF(F1840=7,IF(B1840&gt;=23,"C","Sin turno"),IF(B1840&lt;7,"C",IF(B1840&lt;14,"A",IF(B1840&lt;21,"B",IF(B1840&lt;23,"Entre turnos",IF(F1840=6,"Sin turno","C"))))))</f>
        <v>B</v>
      </c>
      <c r="H1840" s="25" t="n">
        <f aca="false">IF(D1840="","",MAX(0,D1840-0.5*C1840))</f>
        <v>0</v>
      </c>
    </row>
    <row r="1841" customFormat="false" ht="15" hidden="false" customHeight="false" outlineLevel="0" collapsed="false">
      <c r="A1841" s="21" t="n">
        <v>46297</v>
      </c>
      <c r="B1841" s="22" t="n">
        <v>15</v>
      </c>
      <c r="C1841" s="25" t="n">
        <v>258.24</v>
      </c>
      <c r="D1841" s="25" t="n">
        <v>16.56</v>
      </c>
      <c r="E1841" s="25" t="n">
        <v>0.12</v>
      </c>
      <c r="F1841" s="22" t="n">
        <f aca="false">WEEKDAY(A1841,2)</f>
        <v>5</v>
      </c>
      <c r="G1841" s="22" t="str">
        <f aca="false">IF(F1841=7,IF(B1841&gt;=23,"C","Sin turno"),IF(B1841&lt;7,"C",IF(B1841&lt;14,"A",IF(B1841&lt;21,"B",IF(B1841&lt;23,"Entre turnos",IF(F1841=6,"Sin turno","C"))))))</f>
        <v>B</v>
      </c>
      <c r="H1841" s="25" t="n">
        <f aca="false">IF(D1841="","",MAX(0,D1841-0.5*C1841))</f>
        <v>0</v>
      </c>
    </row>
    <row r="1842" customFormat="false" ht="15" hidden="false" customHeight="false" outlineLevel="0" collapsed="false">
      <c r="A1842" s="21" t="n">
        <v>46297</v>
      </c>
      <c r="B1842" s="22" t="n">
        <v>16</v>
      </c>
      <c r="C1842" s="25" t="n">
        <v>261.6</v>
      </c>
      <c r="D1842" s="25" t="n">
        <v>22.44</v>
      </c>
      <c r="E1842" s="25" t="n">
        <v>0</v>
      </c>
      <c r="F1842" s="22" t="n">
        <f aca="false">WEEKDAY(A1842,2)</f>
        <v>5</v>
      </c>
      <c r="G1842" s="22" t="str">
        <f aca="false">IF(F1842=7,IF(B1842&gt;=23,"C","Sin turno"),IF(B1842&lt;7,"C",IF(B1842&lt;14,"A",IF(B1842&lt;21,"B",IF(B1842&lt;23,"Entre turnos",IF(F1842=6,"Sin turno","C"))))))</f>
        <v>B</v>
      </c>
      <c r="H1842" s="25" t="n">
        <f aca="false">IF(D1842="","",MAX(0,D1842-0.5*C1842))</f>
        <v>0</v>
      </c>
    </row>
    <row r="1843" customFormat="false" ht="15" hidden="false" customHeight="false" outlineLevel="0" collapsed="false">
      <c r="A1843" s="21" t="n">
        <v>46297</v>
      </c>
      <c r="B1843" s="22" t="n">
        <v>17</v>
      </c>
      <c r="C1843" s="25" t="n">
        <v>205.44</v>
      </c>
      <c r="D1843" s="25" t="n">
        <v>16.68</v>
      </c>
      <c r="E1843" s="25" t="n">
        <v>0</v>
      </c>
      <c r="F1843" s="22" t="n">
        <f aca="false">WEEKDAY(A1843,2)</f>
        <v>5</v>
      </c>
      <c r="G1843" s="22" t="str">
        <f aca="false">IF(F1843=7,IF(B1843&gt;=23,"C","Sin turno"),IF(B1843&lt;7,"C",IF(B1843&lt;14,"A",IF(B1843&lt;21,"B",IF(B1843&lt;23,"Entre turnos",IF(F1843=6,"Sin turno","C"))))))</f>
        <v>B</v>
      </c>
      <c r="H1843" s="25" t="n">
        <f aca="false">IF(D1843="","",MAX(0,D1843-0.5*C1843))</f>
        <v>0</v>
      </c>
    </row>
    <row r="1844" customFormat="false" ht="15" hidden="false" customHeight="false" outlineLevel="0" collapsed="false">
      <c r="A1844" s="21" t="n">
        <v>46297</v>
      </c>
      <c r="B1844" s="22" t="n">
        <v>18</v>
      </c>
      <c r="C1844" s="25" t="n">
        <v>171.84</v>
      </c>
      <c r="D1844" s="25" t="n">
        <v>14.64</v>
      </c>
      <c r="E1844" s="25" t="n">
        <v>0.24</v>
      </c>
      <c r="F1844" s="22" t="n">
        <f aca="false">WEEKDAY(A1844,2)</f>
        <v>5</v>
      </c>
      <c r="G1844" s="22" t="str">
        <f aca="false">IF(F1844=7,IF(B1844&gt;=23,"C","Sin turno"),IF(B1844&lt;7,"C",IF(B1844&lt;14,"A",IF(B1844&lt;21,"B",IF(B1844&lt;23,"Entre turnos",IF(F1844=6,"Sin turno","C"))))))</f>
        <v>B</v>
      </c>
      <c r="H1844" s="25" t="n">
        <f aca="false">IF(D1844="","",MAX(0,D1844-0.5*C1844))</f>
        <v>0</v>
      </c>
    </row>
    <row r="1845" customFormat="false" ht="15" hidden="false" customHeight="false" outlineLevel="0" collapsed="false">
      <c r="A1845" s="21" t="n">
        <v>46297</v>
      </c>
      <c r="B1845" s="22" t="n">
        <v>19</v>
      </c>
      <c r="C1845" s="25" t="n">
        <v>185.4</v>
      </c>
      <c r="D1845" s="25" t="n">
        <v>16.8</v>
      </c>
      <c r="E1845" s="25" t="n">
        <v>0.48</v>
      </c>
      <c r="F1845" s="22" t="n">
        <f aca="false">WEEKDAY(A1845,2)</f>
        <v>5</v>
      </c>
      <c r="G1845" s="22" t="str">
        <f aca="false">IF(F1845=7,IF(B1845&gt;=23,"C","Sin turno"),IF(B1845&lt;7,"C",IF(B1845&lt;14,"A",IF(B1845&lt;21,"B",IF(B1845&lt;23,"Entre turnos",IF(F1845=6,"Sin turno","C"))))))</f>
        <v>B</v>
      </c>
      <c r="H1845" s="25" t="n">
        <f aca="false">IF(D1845="","",MAX(0,D1845-0.5*C1845))</f>
        <v>0</v>
      </c>
    </row>
    <row r="1846" customFormat="false" ht="15" hidden="false" customHeight="false" outlineLevel="0" collapsed="false">
      <c r="A1846" s="21" t="n">
        <v>46297</v>
      </c>
      <c r="B1846" s="22" t="n">
        <v>20</v>
      </c>
      <c r="C1846" s="25" t="n">
        <v>215.88</v>
      </c>
      <c r="D1846" s="25" t="n">
        <v>15.12</v>
      </c>
      <c r="E1846" s="25" t="n">
        <v>0.24</v>
      </c>
      <c r="F1846" s="22" t="n">
        <f aca="false">WEEKDAY(A1846,2)</f>
        <v>5</v>
      </c>
      <c r="G1846" s="22" t="str">
        <f aca="false">IF(F1846=7,IF(B1846&gt;=23,"C","Sin turno"),IF(B1846&lt;7,"C",IF(B1846&lt;14,"A",IF(B1846&lt;21,"B",IF(B1846&lt;23,"Entre turnos",IF(F1846=6,"Sin turno","C"))))))</f>
        <v>B</v>
      </c>
      <c r="H1846" s="25" t="n">
        <f aca="false">IF(D1846="","",MAX(0,D1846-0.5*C1846))</f>
        <v>0</v>
      </c>
    </row>
    <row r="1847" customFormat="false" ht="15" hidden="false" customHeight="false" outlineLevel="0" collapsed="false">
      <c r="A1847" s="21" t="n">
        <v>46297</v>
      </c>
      <c r="B1847" s="22" t="n">
        <v>21</v>
      </c>
      <c r="C1847" s="25" t="n">
        <v>162.12</v>
      </c>
      <c r="D1847" s="25" t="n">
        <v>19.08</v>
      </c>
      <c r="E1847" s="25" t="n">
        <v>0.36</v>
      </c>
      <c r="F1847" s="22" t="n">
        <f aca="false">WEEKDAY(A1847,2)</f>
        <v>5</v>
      </c>
      <c r="G1847" s="22" t="str">
        <f aca="false">IF(F1847=7,IF(B1847&gt;=23,"C","Sin turno"),IF(B1847&lt;7,"C",IF(B1847&lt;14,"A",IF(B1847&lt;21,"B",IF(B1847&lt;23,"Entre turnos",IF(F1847=6,"Sin turno","C"))))))</f>
        <v>Entre turnos</v>
      </c>
      <c r="H1847" s="25" t="n">
        <f aca="false">IF(D1847="","",MAX(0,D1847-0.5*C1847))</f>
        <v>0</v>
      </c>
    </row>
    <row r="1848" customFormat="false" ht="15" hidden="false" customHeight="false" outlineLevel="0" collapsed="false">
      <c r="A1848" s="21" t="n">
        <v>46297</v>
      </c>
      <c r="B1848" s="22" t="n">
        <v>22</v>
      </c>
      <c r="C1848" s="25" t="n">
        <v>125.64</v>
      </c>
      <c r="D1848" s="25" t="n">
        <v>15.48</v>
      </c>
      <c r="E1848" s="25" t="n">
        <v>0.12</v>
      </c>
      <c r="F1848" s="22" t="n">
        <f aca="false">WEEKDAY(A1848,2)</f>
        <v>5</v>
      </c>
      <c r="G1848" s="22" t="str">
        <f aca="false">IF(F1848=7,IF(B1848&gt;=23,"C","Sin turno"),IF(B1848&lt;7,"C",IF(B1848&lt;14,"A",IF(B1848&lt;21,"B",IF(B1848&lt;23,"Entre turnos",IF(F1848=6,"Sin turno","C"))))))</f>
        <v>Entre turnos</v>
      </c>
      <c r="H1848" s="25" t="n">
        <f aca="false">IF(D1848="","",MAX(0,D1848-0.5*C1848))</f>
        <v>0</v>
      </c>
    </row>
    <row r="1849" customFormat="false" ht="15" hidden="false" customHeight="false" outlineLevel="0" collapsed="false">
      <c r="A1849" s="21" t="n">
        <v>46297</v>
      </c>
      <c r="B1849" s="22" t="n">
        <v>23</v>
      </c>
      <c r="C1849" s="25" t="n">
        <v>102.24</v>
      </c>
      <c r="D1849" s="25" t="n">
        <v>17.28</v>
      </c>
      <c r="E1849" s="25" t="n">
        <v>0.84</v>
      </c>
      <c r="F1849" s="22" t="n">
        <f aca="false">WEEKDAY(A1849,2)</f>
        <v>5</v>
      </c>
      <c r="G1849" s="22" t="str">
        <f aca="false">IF(F1849=7,IF(B1849&gt;=23,"C","Sin turno"),IF(B1849&lt;7,"C",IF(B1849&lt;14,"A",IF(B1849&lt;21,"B",IF(B1849&lt;23,"Entre turnos",IF(F1849=6,"Sin turno","C"))))))</f>
        <v>C</v>
      </c>
      <c r="H1849" s="25" t="n">
        <f aca="false">IF(D1849="","",MAX(0,D1849-0.5*C1849))</f>
        <v>0</v>
      </c>
    </row>
    <row r="1850" customFormat="false" ht="15" hidden="false" customHeight="false" outlineLevel="0" collapsed="false">
      <c r="A1850" s="21" t="n">
        <v>46298</v>
      </c>
      <c r="B1850" s="22" t="n">
        <v>0</v>
      </c>
      <c r="C1850" s="25" t="n">
        <v>114</v>
      </c>
      <c r="D1850" s="25" t="n">
        <v>15.48</v>
      </c>
      <c r="E1850" s="25" t="n">
        <v>0.6</v>
      </c>
      <c r="F1850" s="22" t="n">
        <f aca="false">WEEKDAY(A1850,2)</f>
        <v>6</v>
      </c>
      <c r="G1850" s="22" t="str">
        <f aca="false">IF(F1850=7,IF(B1850&gt;=23,"C","Sin turno"),IF(B1850&lt;7,"C",IF(B1850&lt;14,"A",IF(B1850&lt;21,"B",IF(B1850&lt;23,"Entre turnos",IF(F1850=6,"Sin turno","C"))))))</f>
        <v>C</v>
      </c>
      <c r="H1850" s="25" t="n">
        <f aca="false">IF(D1850="","",MAX(0,D1850-0.5*C1850))</f>
        <v>0</v>
      </c>
    </row>
    <row r="1851" customFormat="false" ht="15" hidden="false" customHeight="false" outlineLevel="0" collapsed="false">
      <c r="A1851" s="21" t="n">
        <v>46298</v>
      </c>
      <c r="B1851" s="22" t="n">
        <v>1</v>
      </c>
      <c r="C1851" s="25" t="n">
        <v>113.04</v>
      </c>
      <c r="D1851" s="25" t="n">
        <v>17.4</v>
      </c>
      <c r="E1851" s="25" t="n">
        <v>0.48</v>
      </c>
      <c r="F1851" s="22" t="n">
        <f aca="false">WEEKDAY(A1851,2)</f>
        <v>6</v>
      </c>
      <c r="G1851" s="22" t="str">
        <f aca="false">IF(F1851=7,IF(B1851&gt;=23,"C","Sin turno"),IF(B1851&lt;7,"C",IF(B1851&lt;14,"A",IF(B1851&lt;21,"B",IF(B1851&lt;23,"Entre turnos",IF(F1851=6,"Sin turno","C"))))))</f>
        <v>C</v>
      </c>
      <c r="H1851" s="25" t="n">
        <f aca="false">IF(D1851="","",MAX(0,D1851-0.5*C1851))</f>
        <v>0</v>
      </c>
    </row>
    <row r="1852" customFormat="false" ht="15" hidden="false" customHeight="false" outlineLevel="0" collapsed="false">
      <c r="A1852" s="21" t="n">
        <v>46298</v>
      </c>
      <c r="B1852" s="22" t="n">
        <v>2</v>
      </c>
      <c r="C1852" s="25" t="n">
        <v>108.72</v>
      </c>
      <c r="D1852" s="25" t="n">
        <v>15.48</v>
      </c>
      <c r="E1852" s="25" t="n">
        <v>0.6</v>
      </c>
      <c r="F1852" s="22" t="n">
        <f aca="false">WEEKDAY(A1852,2)</f>
        <v>6</v>
      </c>
      <c r="G1852" s="22" t="str">
        <f aca="false">IF(F1852=7,IF(B1852&gt;=23,"C","Sin turno"),IF(B1852&lt;7,"C",IF(B1852&lt;14,"A",IF(B1852&lt;21,"B",IF(B1852&lt;23,"Entre turnos",IF(F1852=6,"Sin turno","C"))))))</f>
        <v>C</v>
      </c>
      <c r="H1852" s="25" t="n">
        <f aca="false">IF(D1852="","",MAX(0,D1852-0.5*C1852))</f>
        <v>0</v>
      </c>
    </row>
    <row r="1853" customFormat="false" ht="15" hidden="false" customHeight="false" outlineLevel="0" collapsed="false">
      <c r="A1853" s="21" t="n">
        <v>46298</v>
      </c>
      <c r="B1853" s="22" t="n">
        <v>3</v>
      </c>
      <c r="C1853" s="25" t="n">
        <v>102.84</v>
      </c>
      <c r="D1853" s="25" t="n">
        <v>14.04</v>
      </c>
      <c r="E1853" s="25" t="n">
        <v>1.08</v>
      </c>
      <c r="F1853" s="22" t="n">
        <f aca="false">WEEKDAY(A1853,2)</f>
        <v>6</v>
      </c>
      <c r="G1853" s="22" t="str">
        <f aca="false">IF(F1853=7,IF(B1853&gt;=23,"C","Sin turno"),IF(B1853&lt;7,"C",IF(B1853&lt;14,"A",IF(B1853&lt;21,"B",IF(B1853&lt;23,"Entre turnos",IF(F1853=6,"Sin turno","C"))))))</f>
        <v>C</v>
      </c>
      <c r="H1853" s="25" t="n">
        <f aca="false">IF(D1853="","",MAX(0,D1853-0.5*C1853))</f>
        <v>0</v>
      </c>
    </row>
    <row r="1854" customFormat="false" ht="15" hidden="false" customHeight="false" outlineLevel="0" collapsed="false">
      <c r="A1854" s="21" t="n">
        <v>46298</v>
      </c>
      <c r="B1854" s="22" t="n">
        <v>4</v>
      </c>
      <c r="C1854" s="25" t="n">
        <v>104.76</v>
      </c>
      <c r="D1854" s="25" t="n">
        <v>14.64</v>
      </c>
      <c r="E1854" s="25" t="n">
        <v>0.72</v>
      </c>
      <c r="F1854" s="22" t="n">
        <f aca="false">WEEKDAY(A1854,2)</f>
        <v>6</v>
      </c>
      <c r="G1854" s="22" t="str">
        <f aca="false">IF(F1854=7,IF(B1854&gt;=23,"C","Sin turno"),IF(B1854&lt;7,"C",IF(B1854&lt;14,"A",IF(B1854&lt;21,"B",IF(B1854&lt;23,"Entre turnos",IF(F1854=6,"Sin turno","C"))))))</f>
        <v>C</v>
      </c>
      <c r="H1854" s="25" t="n">
        <f aca="false">IF(D1854="","",MAX(0,D1854-0.5*C1854))</f>
        <v>0</v>
      </c>
    </row>
    <row r="1855" customFormat="false" ht="15" hidden="false" customHeight="false" outlineLevel="0" collapsed="false">
      <c r="A1855" s="21" t="n">
        <v>46298</v>
      </c>
      <c r="B1855" s="22" t="n">
        <v>5</v>
      </c>
      <c r="C1855" s="25" t="n">
        <v>108.72</v>
      </c>
      <c r="D1855" s="25" t="n">
        <v>15.24</v>
      </c>
      <c r="E1855" s="25" t="n">
        <v>0.72</v>
      </c>
      <c r="F1855" s="22" t="n">
        <f aca="false">WEEKDAY(A1855,2)</f>
        <v>6</v>
      </c>
      <c r="G1855" s="22" t="str">
        <f aca="false">IF(F1855=7,IF(B1855&gt;=23,"C","Sin turno"),IF(B1855&lt;7,"C",IF(B1855&lt;14,"A",IF(B1855&lt;21,"B",IF(B1855&lt;23,"Entre turnos",IF(F1855=6,"Sin turno","C"))))))</f>
        <v>C</v>
      </c>
      <c r="H1855" s="25" t="n">
        <f aca="false">IF(D1855="","",MAX(0,D1855-0.5*C1855))</f>
        <v>0</v>
      </c>
    </row>
    <row r="1856" customFormat="false" ht="15" hidden="false" customHeight="false" outlineLevel="0" collapsed="false">
      <c r="A1856" s="21" t="n">
        <v>46298</v>
      </c>
      <c r="B1856" s="22" t="n">
        <v>6</v>
      </c>
      <c r="C1856" s="25" t="n">
        <v>127.44</v>
      </c>
      <c r="D1856" s="25" t="n">
        <v>16.08</v>
      </c>
      <c r="E1856" s="25" t="n">
        <v>0.48</v>
      </c>
      <c r="F1856" s="22" t="n">
        <f aca="false">WEEKDAY(A1856,2)</f>
        <v>6</v>
      </c>
      <c r="G1856" s="22" t="str">
        <f aca="false">IF(F1856=7,IF(B1856&gt;=23,"C","Sin turno"),IF(B1856&lt;7,"C",IF(B1856&lt;14,"A",IF(B1856&lt;21,"B",IF(B1856&lt;23,"Entre turnos",IF(F1856=6,"Sin turno","C"))))))</f>
        <v>C</v>
      </c>
      <c r="H1856" s="25" t="n">
        <f aca="false">IF(D1856="","",MAX(0,D1856-0.5*C1856))</f>
        <v>0</v>
      </c>
    </row>
    <row r="1857" customFormat="false" ht="15" hidden="false" customHeight="false" outlineLevel="0" collapsed="false">
      <c r="A1857" s="21" t="n">
        <v>46298</v>
      </c>
      <c r="B1857" s="22" t="n">
        <v>7</v>
      </c>
      <c r="C1857" s="25" t="n">
        <v>192.96</v>
      </c>
      <c r="D1857" s="25" t="n">
        <v>17.52</v>
      </c>
      <c r="E1857" s="25" t="n">
        <v>0.12</v>
      </c>
      <c r="F1857" s="22" t="n">
        <f aca="false">WEEKDAY(A1857,2)</f>
        <v>6</v>
      </c>
      <c r="G1857" s="22" t="str">
        <f aca="false">IF(F1857=7,IF(B1857&gt;=23,"C","Sin turno"),IF(B1857&lt;7,"C",IF(B1857&lt;14,"A",IF(B1857&lt;21,"B",IF(B1857&lt;23,"Entre turnos",IF(F1857=6,"Sin turno","C"))))))</f>
        <v>A</v>
      </c>
      <c r="H1857" s="25" t="n">
        <f aca="false">IF(D1857="","",MAX(0,D1857-0.5*C1857))</f>
        <v>0</v>
      </c>
    </row>
    <row r="1858" customFormat="false" ht="15" hidden="false" customHeight="false" outlineLevel="0" collapsed="false">
      <c r="A1858" s="21" t="n">
        <v>46298</v>
      </c>
      <c r="B1858" s="22" t="n">
        <v>8</v>
      </c>
      <c r="C1858" s="25" t="n">
        <v>213.72</v>
      </c>
      <c r="D1858" s="25" t="n">
        <v>19.56</v>
      </c>
      <c r="E1858" s="25" t="n">
        <v>0</v>
      </c>
      <c r="F1858" s="22" t="n">
        <f aca="false">WEEKDAY(A1858,2)</f>
        <v>6</v>
      </c>
      <c r="G1858" s="22" t="str">
        <f aca="false">IF(F1858=7,IF(B1858&gt;=23,"C","Sin turno"),IF(B1858&lt;7,"C",IF(B1858&lt;14,"A",IF(B1858&lt;21,"B",IF(B1858&lt;23,"Entre turnos",IF(F1858=6,"Sin turno","C"))))))</f>
        <v>A</v>
      </c>
      <c r="H1858" s="25" t="n">
        <f aca="false">IF(D1858="","",MAX(0,D1858-0.5*C1858))</f>
        <v>0</v>
      </c>
    </row>
    <row r="1859" customFormat="false" ht="15" hidden="false" customHeight="false" outlineLevel="0" collapsed="false">
      <c r="A1859" s="21" t="n">
        <v>46298</v>
      </c>
      <c r="B1859" s="22" t="n">
        <v>9</v>
      </c>
      <c r="C1859" s="25" t="n">
        <v>240</v>
      </c>
      <c r="D1859" s="25" t="n">
        <v>16.2</v>
      </c>
      <c r="E1859" s="25" t="n">
        <v>0</v>
      </c>
      <c r="F1859" s="22" t="n">
        <f aca="false">WEEKDAY(A1859,2)</f>
        <v>6</v>
      </c>
      <c r="G1859" s="22" t="str">
        <f aca="false">IF(F1859=7,IF(B1859&gt;=23,"C","Sin turno"),IF(B1859&lt;7,"C",IF(B1859&lt;14,"A",IF(B1859&lt;21,"B",IF(B1859&lt;23,"Entre turnos",IF(F1859=6,"Sin turno","C"))))))</f>
        <v>A</v>
      </c>
      <c r="H1859" s="25" t="n">
        <f aca="false">IF(D1859="","",MAX(0,D1859-0.5*C1859))</f>
        <v>0</v>
      </c>
    </row>
    <row r="1860" customFormat="false" ht="15" hidden="false" customHeight="false" outlineLevel="0" collapsed="false">
      <c r="A1860" s="21" t="n">
        <v>46298</v>
      </c>
      <c r="B1860" s="22" t="n">
        <v>10</v>
      </c>
      <c r="C1860" s="25" t="n">
        <v>214.32</v>
      </c>
      <c r="D1860" s="25" t="n">
        <v>21.72</v>
      </c>
      <c r="E1860" s="25" t="n">
        <v>0</v>
      </c>
      <c r="F1860" s="22" t="n">
        <f aca="false">WEEKDAY(A1860,2)</f>
        <v>6</v>
      </c>
      <c r="G1860" s="22" t="str">
        <f aca="false">IF(F1860=7,IF(B1860&gt;=23,"C","Sin turno"),IF(B1860&lt;7,"C",IF(B1860&lt;14,"A",IF(B1860&lt;21,"B",IF(B1860&lt;23,"Entre turnos",IF(F1860=6,"Sin turno","C"))))))</f>
        <v>A</v>
      </c>
      <c r="H1860" s="25" t="n">
        <f aca="false">IF(D1860="","",MAX(0,D1860-0.5*C1860))</f>
        <v>0</v>
      </c>
    </row>
    <row r="1861" customFormat="false" ht="15" hidden="false" customHeight="false" outlineLevel="0" collapsed="false">
      <c r="A1861" s="21" t="n">
        <v>46298</v>
      </c>
      <c r="B1861" s="22" t="n">
        <v>11</v>
      </c>
      <c r="C1861" s="25" t="n">
        <v>211.32</v>
      </c>
      <c r="D1861" s="25" t="n">
        <v>18.96</v>
      </c>
      <c r="E1861" s="25" t="n">
        <v>0.12</v>
      </c>
      <c r="F1861" s="22" t="n">
        <f aca="false">WEEKDAY(A1861,2)</f>
        <v>6</v>
      </c>
      <c r="G1861" s="22" t="str">
        <f aca="false">IF(F1861=7,IF(B1861&gt;=23,"C","Sin turno"),IF(B1861&lt;7,"C",IF(B1861&lt;14,"A",IF(B1861&lt;21,"B",IF(B1861&lt;23,"Entre turnos",IF(F1861=6,"Sin turno","C"))))))</f>
        <v>A</v>
      </c>
      <c r="H1861" s="25" t="n">
        <f aca="false">IF(D1861="","",MAX(0,D1861-0.5*C1861))</f>
        <v>0</v>
      </c>
    </row>
    <row r="1862" customFormat="false" ht="15" hidden="false" customHeight="false" outlineLevel="0" collapsed="false">
      <c r="A1862" s="21" t="n">
        <v>46298</v>
      </c>
      <c r="B1862" s="22" t="n">
        <v>12</v>
      </c>
      <c r="C1862" s="25" t="n">
        <v>206.64</v>
      </c>
      <c r="D1862" s="25" t="n">
        <v>24.24</v>
      </c>
      <c r="E1862" s="25" t="n">
        <v>0</v>
      </c>
      <c r="F1862" s="22" t="n">
        <f aca="false">WEEKDAY(A1862,2)</f>
        <v>6</v>
      </c>
      <c r="G1862" s="22" t="str">
        <f aca="false">IF(F1862=7,IF(B1862&gt;=23,"C","Sin turno"),IF(B1862&lt;7,"C",IF(B1862&lt;14,"A",IF(B1862&lt;21,"B",IF(B1862&lt;23,"Entre turnos",IF(F1862=6,"Sin turno","C"))))))</f>
        <v>A</v>
      </c>
      <c r="H1862" s="25" t="n">
        <f aca="false">IF(D1862="","",MAX(0,D1862-0.5*C1862))</f>
        <v>0</v>
      </c>
    </row>
    <row r="1863" customFormat="false" ht="15" hidden="false" customHeight="false" outlineLevel="0" collapsed="false">
      <c r="A1863" s="21" t="n">
        <v>46298</v>
      </c>
      <c r="B1863" s="22" t="n">
        <v>13</v>
      </c>
      <c r="C1863" s="25" t="n">
        <v>224.64</v>
      </c>
      <c r="D1863" s="25" t="n">
        <v>24.48</v>
      </c>
      <c r="E1863" s="25" t="n">
        <v>0.12</v>
      </c>
      <c r="F1863" s="22" t="n">
        <f aca="false">WEEKDAY(A1863,2)</f>
        <v>6</v>
      </c>
      <c r="G1863" s="22" t="str">
        <f aca="false">IF(F1863=7,IF(B1863&gt;=23,"C","Sin turno"),IF(B1863&lt;7,"C",IF(B1863&lt;14,"A",IF(B1863&lt;21,"B",IF(B1863&lt;23,"Entre turnos",IF(F1863=6,"Sin turno","C"))))))</f>
        <v>A</v>
      </c>
      <c r="H1863" s="25" t="n">
        <f aca="false">IF(D1863="","",MAX(0,D1863-0.5*C1863))</f>
        <v>0</v>
      </c>
    </row>
    <row r="1864" customFormat="false" ht="15" hidden="false" customHeight="false" outlineLevel="0" collapsed="false">
      <c r="A1864" s="21" t="n">
        <v>46298</v>
      </c>
      <c r="B1864" s="22" t="n">
        <v>14</v>
      </c>
      <c r="C1864" s="25" t="n">
        <v>219.36</v>
      </c>
      <c r="D1864" s="25" t="n">
        <v>22.08</v>
      </c>
      <c r="E1864" s="25" t="n">
        <v>0.12</v>
      </c>
      <c r="F1864" s="22" t="n">
        <f aca="false">WEEKDAY(A1864,2)</f>
        <v>6</v>
      </c>
      <c r="G1864" s="22" t="str">
        <f aca="false">IF(F1864=7,IF(B1864&gt;=23,"C","Sin turno"),IF(B1864&lt;7,"C",IF(B1864&lt;14,"A",IF(B1864&lt;21,"B",IF(B1864&lt;23,"Entre turnos",IF(F1864=6,"Sin turno","C"))))))</f>
        <v>B</v>
      </c>
      <c r="H1864" s="25" t="n">
        <f aca="false">IF(D1864="","",MAX(0,D1864-0.5*C1864))</f>
        <v>0</v>
      </c>
    </row>
    <row r="1865" customFormat="false" ht="15" hidden="false" customHeight="false" outlineLevel="0" collapsed="false">
      <c r="A1865" s="21" t="n">
        <v>46298</v>
      </c>
      <c r="B1865" s="22" t="n">
        <v>15</v>
      </c>
      <c r="C1865" s="25" t="n">
        <v>206.52</v>
      </c>
      <c r="D1865" s="25" t="n">
        <v>26.76</v>
      </c>
      <c r="E1865" s="25" t="n">
        <v>0.12</v>
      </c>
      <c r="F1865" s="22" t="n">
        <f aca="false">WEEKDAY(A1865,2)</f>
        <v>6</v>
      </c>
      <c r="G1865" s="22" t="str">
        <f aca="false">IF(F1865=7,IF(B1865&gt;=23,"C","Sin turno"),IF(B1865&lt;7,"C",IF(B1865&lt;14,"A",IF(B1865&lt;21,"B",IF(B1865&lt;23,"Entre turnos",IF(F1865=6,"Sin turno","C"))))))</f>
        <v>B</v>
      </c>
      <c r="H1865" s="25" t="n">
        <f aca="false">IF(D1865="","",MAX(0,D1865-0.5*C1865))</f>
        <v>0</v>
      </c>
    </row>
    <row r="1866" customFormat="false" ht="15" hidden="false" customHeight="false" outlineLevel="0" collapsed="false">
      <c r="A1866" s="21" t="n">
        <v>46298</v>
      </c>
      <c r="B1866" s="22" t="n">
        <v>16</v>
      </c>
      <c r="C1866" s="25" t="n">
        <v>177.12</v>
      </c>
      <c r="D1866" s="25" t="n">
        <v>21.72</v>
      </c>
      <c r="E1866" s="25" t="n">
        <v>0.36</v>
      </c>
      <c r="F1866" s="22" t="n">
        <f aca="false">WEEKDAY(A1866,2)</f>
        <v>6</v>
      </c>
      <c r="G1866" s="22" t="str">
        <f aca="false">IF(F1866=7,IF(B1866&gt;=23,"C","Sin turno"),IF(B1866&lt;7,"C",IF(B1866&lt;14,"A",IF(B1866&lt;21,"B",IF(B1866&lt;23,"Entre turnos",IF(F1866=6,"Sin turno","C"))))))</f>
        <v>B</v>
      </c>
      <c r="H1866" s="25" t="n">
        <f aca="false">IF(D1866="","",MAX(0,D1866-0.5*C1866))</f>
        <v>0</v>
      </c>
    </row>
    <row r="1867" customFormat="false" ht="15" hidden="false" customHeight="false" outlineLevel="0" collapsed="false">
      <c r="A1867" s="21" t="n">
        <v>46298</v>
      </c>
      <c r="B1867" s="22" t="n">
        <v>17</v>
      </c>
      <c r="C1867" s="25" t="n">
        <v>172.08</v>
      </c>
      <c r="D1867" s="25" t="n">
        <v>23.28</v>
      </c>
      <c r="E1867" s="25" t="n">
        <v>0.36</v>
      </c>
      <c r="F1867" s="22" t="n">
        <f aca="false">WEEKDAY(A1867,2)</f>
        <v>6</v>
      </c>
      <c r="G1867" s="22" t="str">
        <f aca="false">IF(F1867=7,IF(B1867&gt;=23,"C","Sin turno"),IF(B1867&lt;7,"C",IF(B1867&lt;14,"A",IF(B1867&lt;21,"B",IF(B1867&lt;23,"Entre turnos",IF(F1867=6,"Sin turno","C"))))))</f>
        <v>B</v>
      </c>
      <c r="H1867" s="25" t="n">
        <f aca="false">IF(D1867="","",MAX(0,D1867-0.5*C1867))</f>
        <v>0</v>
      </c>
    </row>
    <row r="1868" customFormat="false" ht="15" hidden="false" customHeight="false" outlineLevel="0" collapsed="false">
      <c r="A1868" s="21" t="n">
        <v>46298</v>
      </c>
      <c r="B1868" s="22" t="n">
        <v>18</v>
      </c>
      <c r="C1868" s="25" t="n">
        <v>141.96</v>
      </c>
      <c r="D1868" s="25" t="n">
        <v>19.8</v>
      </c>
      <c r="E1868" s="25" t="n">
        <v>0.12</v>
      </c>
      <c r="F1868" s="22" t="n">
        <f aca="false">WEEKDAY(A1868,2)</f>
        <v>6</v>
      </c>
      <c r="G1868" s="22" t="str">
        <f aca="false">IF(F1868=7,IF(B1868&gt;=23,"C","Sin turno"),IF(B1868&lt;7,"C",IF(B1868&lt;14,"A",IF(B1868&lt;21,"B",IF(B1868&lt;23,"Entre turnos",IF(F1868=6,"Sin turno","C"))))))</f>
        <v>B</v>
      </c>
      <c r="H1868" s="25" t="n">
        <f aca="false">IF(D1868="","",MAX(0,D1868-0.5*C1868))</f>
        <v>0</v>
      </c>
    </row>
    <row r="1869" customFormat="false" ht="15" hidden="false" customHeight="false" outlineLevel="0" collapsed="false">
      <c r="A1869" s="21" t="n">
        <v>46298</v>
      </c>
      <c r="B1869" s="22" t="n">
        <v>19</v>
      </c>
      <c r="C1869" s="25" t="n">
        <v>143.52</v>
      </c>
      <c r="D1869" s="25" t="n">
        <v>19.08</v>
      </c>
      <c r="E1869" s="25" t="n">
        <v>0.24</v>
      </c>
      <c r="F1869" s="22" t="n">
        <f aca="false">WEEKDAY(A1869,2)</f>
        <v>6</v>
      </c>
      <c r="G1869" s="22" t="str">
        <f aca="false">IF(F1869=7,IF(B1869&gt;=23,"C","Sin turno"),IF(B1869&lt;7,"C",IF(B1869&lt;14,"A",IF(B1869&lt;21,"B",IF(B1869&lt;23,"Entre turnos",IF(F1869=6,"Sin turno","C"))))))</f>
        <v>B</v>
      </c>
      <c r="H1869" s="25" t="n">
        <f aca="false">IF(D1869="","",MAX(0,D1869-0.5*C1869))</f>
        <v>0</v>
      </c>
    </row>
    <row r="1870" customFormat="false" ht="15" hidden="false" customHeight="false" outlineLevel="0" collapsed="false">
      <c r="A1870" s="21" t="n">
        <v>46298</v>
      </c>
      <c r="B1870" s="22" t="n">
        <v>20</v>
      </c>
      <c r="C1870" s="25" t="n">
        <v>131.28</v>
      </c>
      <c r="D1870" s="25" t="n">
        <v>12.48</v>
      </c>
      <c r="E1870" s="25" t="n">
        <v>0.6</v>
      </c>
      <c r="F1870" s="22" t="n">
        <f aca="false">WEEKDAY(A1870,2)</f>
        <v>6</v>
      </c>
      <c r="G1870" s="22" t="str">
        <f aca="false">IF(F1870=7,IF(B1870&gt;=23,"C","Sin turno"),IF(B1870&lt;7,"C",IF(B1870&lt;14,"A",IF(B1870&lt;21,"B",IF(B1870&lt;23,"Entre turnos",IF(F1870=6,"Sin turno","C"))))))</f>
        <v>B</v>
      </c>
      <c r="H1870" s="25" t="n">
        <f aca="false">IF(D1870="","",MAX(0,D1870-0.5*C1870))</f>
        <v>0</v>
      </c>
    </row>
    <row r="1871" customFormat="false" ht="15" hidden="false" customHeight="false" outlineLevel="0" collapsed="false">
      <c r="A1871" s="21" t="n">
        <v>46298</v>
      </c>
      <c r="B1871" s="22" t="n">
        <v>21</v>
      </c>
      <c r="C1871" s="25" t="n">
        <v>81</v>
      </c>
      <c r="D1871" s="25" t="n">
        <v>18.96</v>
      </c>
      <c r="E1871" s="25" t="n">
        <v>0.36</v>
      </c>
      <c r="F1871" s="22" t="n">
        <f aca="false">WEEKDAY(A1871,2)</f>
        <v>6</v>
      </c>
      <c r="G1871" s="22" t="str">
        <f aca="false">IF(F1871=7,IF(B1871&gt;=23,"C","Sin turno"),IF(B1871&lt;7,"C",IF(B1871&lt;14,"A",IF(B1871&lt;21,"B",IF(B1871&lt;23,"Entre turnos",IF(F1871=6,"Sin turno","C"))))))</f>
        <v>Entre turnos</v>
      </c>
      <c r="H1871" s="25" t="n">
        <f aca="false">IF(D1871="","",MAX(0,D1871-0.5*C1871))</f>
        <v>0</v>
      </c>
    </row>
    <row r="1872" customFormat="false" ht="15" hidden="false" customHeight="false" outlineLevel="0" collapsed="false">
      <c r="A1872" s="21" t="n">
        <v>46298</v>
      </c>
      <c r="B1872" s="22" t="n">
        <v>22</v>
      </c>
      <c r="C1872" s="25" t="n">
        <v>49.92</v>
      </c>
      <c r="D1872" s="25" t="n">
        <v>19.08</v>
      </c>
      <c r="E1872" s="25" t="n">
        <v>0</v>
      </c>
      <c r="F1872" s="22" t="n">
        <f aca="false">WEEKDAY(A1872,2)</f>
        <v>6</v>
      </c>
      <c r="G1872" s="22" t="str">
        <f aca="false">IF(F1872=7,IF(B1872&gt;=23,"C","Sin turno"),IF(B1872&lt;7,"C",IF(B1872&lt;14,"A",IF(B1872&lt;21,"B",IF(B1872&lt;23,"Entre turnos",IF(F1872=6,"Sin turno","C"))))))</f>
        <v>Entre turnos</v>
      </c>
      <c r="H1872" s="25" t="n">
        <f aca="false">IF(D1872="","",MAX(0,D1872-0.5*C1872))</f>
        <v>0</v>
      </c>
    </row>
    <row r="1873" customFormat="false" ht="15" hidden="false" customHeight="false" outlineLevel="0" collapsed="false">
      <c r="A1873" s="21" t="n">
        <v>46298</v>
      </c>
      <c r="B1873" s="22" t="n">
        <v>23</v>
      </c>
      <c r="C1873" s="25" t="n">
        <v>44.52</v>
      </c>
      <c r="D1873" s="25" t="n">
        <v>19.56</v>
      </c>
      <c r="E1873" s="25" t="n">
        <v>0</v>
      </c>
      <c r="F1873" s="22" t="n">
        <f aca="false">WEEKDAY(A1873,2)</f>
        <v>6</v>
      </c>
      <c r="G1873" s="22" t="str">
        <f aca="false">IF(F1873=7,IF(B1873&gt;=23,"C","Sin turno"),IF(B1873&lt;7,"C",IF(B1873&lt;14,"A",IF(B1873&lt;21,"B",IF(B1873&lt;23,"Entre turnos",IF(F1873=6,"Sin turno","C"))))))</f>
        <v>Sin turno</v>
      </c>
      <c r="H1873" s="25" t="n">
        <f aca="false">IF(D1873="","",MAX(0,D1873-0.5*C1873))</f>
        <v>0</v>
      </c>
    </row>
    <row r="1874" customFormat="false" ht="15" hidden="false" customHeight="false" outlineLevel="0" collapsed="false">
      <c r="A1874" s="21" t="n">
        <v>46299</v>
      </c>
      <c r="B1874" s="22" t="n">
        <v>0</v>
      </c>
      <c r="C1874" s="25" t="n">
        <v>43.8</v>
      </c>
      <c r="D1874" s="25" t="n">
        <v>19.68</v>
      </c>
      <c r="E1874" s="25" t="n">
        <v>0</v>
      </c>
      <c r="F1874" s="22" t="n">
        <f aca="false">WEEKDAY(A1874,2)</f>
        <v>7</v>
      </c>
      <c r="G1874" s="22" t="str">
        <f aca="false">IF(F1874=7,IF(B1874&gt;=23,"C","Sin turno"),IF(B1874&lt;7,"C",IF(B1874&lt;14,"A",IF(B1874&lt;21,"B",IF(B1874&lt;23,"Entre turnos",IF(F1874=6,"Sin turno","C"))))))</f>
        <v>Sin turno</v>
      </c>
      <c r="H1874" s="25" t="n">
        <f aca="false">IF(D1874="","",MAX(0,D1874-0.5*C1874))</f>
        <v>0</v>
      </c>
    </row>
    <row r="1875" customFormat="false" ht="15" hidden="false" customHeight="false" outlineLevel="0" collapsed="false">
      <c r="A1875" s="21" t="n">
        <v>46299</v>
      </c>
      <c r="B1875" s="22" t="n">
        <v>1</v>
      </c>
      <c r="C1875" s="25" t="n">
        <v>43.44</v>
      </c>
      <c r="D1875" s="25" t="n">
        <v>19.2</v>
      </c>
      <c r="E1875" s="25" t="n">
        <v>0</v>
      </c>
      <c r="F1875" s="22" t="n">
        <f aca="false">WEEKDAY(A1875,2)</f>
        <v>7</v>
      </c>
      <c r="G1875" s="22" t="str">
        <f aca="false">IF(F1875=7,IF(B1875&gt;=23,"C","Sin turno"),IF(B1875&lt;7,"C",IF(B1875&lt;14,"A",IF(B1875&lt;21,"B",IF(B1875&lt;23,"Entre turnos",IF(F1875=6,"Sin turno","C"))))))</f>
        <v>Sin turno</v>
      </c>
      <c r="H1875" s="25" t="n">
        <f aca="false">IF(D1875="","",MAX(0,D1875-0.5*C1875))</f>
        <v>0</v>
      </c>
    </row>
    <row r="1876" customFormat="false" ht="15" hidden="false" customHeight="false" outlineLevel="0" collapsed="false">
      <c r="A1876" s="21" t="n">
        <v>46299</v>
      </c>
      <c r="B1876" s="22" t="n">
        <v>2</v>
      </c>
      <c r="C1876" s="25" t="n">
        <v>42.96</v>
      </c>
      <c r="D1876" s="25" t="n">
        <v>19.56</v>
      </c>
      <c r="E1876" s="25" t="n">
        <v>0</v>
      </c>
      <c r="F1876" s="22" t="n">
        <f aca="false">WEEKDAY(A1876,2)</f>
        <v>7</v>
      </c>
      <c r="G1876" s="22" t="str">
        <f aca="false">IF(F1876=7,IF(B1876&gt;=23,"C","Sin turno"),IF(B1876&lt;7,"C",IF(B1876&lt;14,"A",IF(B1876&lt;21,"B",IF(B1876&lt;23,"Entre turnos",IF(F1876=6,"Sin turno","C"))))))</f>
        <v>Sin turno</v>
      </c>
      <c r="H1876" s="25" t="n">
        <f aca="false">IF(D1876="","",MAX(0,D1876-0.5*C1876))</f>
        <v>0</v>
      </c>
    </row>
    <row r="1877" customFormat="false" ht="15" hidden="false" customHeight="false" outlineLevel="0" collapsed="false">
      <c r="A1877" s="21" t="n">
        <v>46299</v>
      </c>
      <c r="B1877" s="22" t="n">
        <v>3</v>
      </c>
      <c r="C1877" s="25" t="n">
        <v>42.72</v>
      </c>
      <c r="D1877" s="25" t="n">
        <v>19.8</v>
      </c>
      <c r="E1877" s="25" t="n">
        <v>0</v>
      </c>
      <c r="F1877" s="22" t="n">
        <f aca="false">WEEKDAY(A1877,2)</f>
        <v>7</v>
      </c>
      <c r="G1877" s="22" t="str">
        <f aca="false">IF(F1877=7,IF(B1877&gt;=23,"C","Sin turno"),IF(B1877&lt;7,"C",IF(B1877&lt;14,"A",IF(B1877&lt;21,"B",IF(B1877&lt;23,"Entre turnos",IF(F1877=6,"Sin turno","C"))))))</f>
        <v>Sin turno</v>
      </c>
      <c r="H1877" s="25" t="n">
        <f aca="false">IF(D1877="","",MAX(0,D1877-0.5*C1877))</f>
        <v>0</v>
      </c>
    </row>
    <row r="1878" customFormat="false" ht="15" hidden="false" customHeight="false" outlineLevel="0" collapsed="false">
      <c r="A1878" s="21" t="n">
        <v>46299</v>
      </c>
      <c r="B1878" s="22" t="n">
        <v>4</v>
      </c>
      <c r="C1878" s="25" t="n">
        <v>42.72</v>
      </c>
      <c r="D1878" s="25" t="n">
        <v>19.32</v>
      </c>
      <c r="E1878" s="25" t="n">
        <v>0</v>
      </c>
      <c r="F1878" s="22" t="n">
        <f aca="false">WEEKDAY(A1878,2)</f>
        <v>7</v>
      </c>
      <c r="G1878" s="22" t="str">
        <f aca="false">IF(F1878=7,IF(B1878&gt;=23,"C","Sin turno"),IF(B1878&lt;7,"C",IF(B1878&lt;14,"A",IF(B1878&lt;21,"B",IF(B1878&lt;23,"Entre turnos",IF(F1878=6,"Sin turno","C"))))))</f>
        <v>Sin turno</v>
      </c>
      <c r="H1878" s="25" t="n">
        <f aca="false">IF(D1878="","",MAX(0,D1878-0.5*C1878))</f>
        <v>0</v>
      </c>
    </row>
    <row r="1879" customFormat="false" ht="15" hidden="false" customHeight="false" outlineLevel="0" collapsed="false">
      <c r="A1879" s="21" t="n">
        <v>46299</v>
      </c>
      <c r="B1879" s="22" t="n">
        <v>5</v>
      </c>
      <c r="C1879" s="25" t="n">
        <v>42.24</v>
      </c>
      <c r="D1879" s="25" t="n">
        <v>19.56</v>
      </c>
      <c r="E1879" s="25" t="n">
        <v>0</v>
      </c>
      <c r="F1879" s="22" t="n">
        <f aca="false">WEEKDAY(A1879,2)</f>
        <v>7</v>
      </c>
      <c r="G1879" s="22" t="str">
        <f aca="false">IF(F1879=7,IF(B1879&gt;=23,"C","Sin turno"),IF(B1879&lt;7,"C",IF(B1879&lt;14,"A",IF(B1879&lt;21,"B",IF(B1879&lt;23,"Entre turnos",IF(F1879=6,"Sin turno","C"))))))</f>
        <v>Sin turno</v>
      </c>
      <c r="H1879" s="25" t="n">
        <f aca="false">IF(D1879="","",MAX(0,D1879-0.5*C1879))</f>
        <v>0</v>
      </c>
    </row>
    <row r="1880" customFormat="false" ht="15" hidden="false" customHeight="false" outlineLevel="0" collapsed="false">
      <c r="A1880" s="21" t="n">
        <v>46299</v>
      </c>
      <c r="B1880" s="22" t="n">
        <v>6</v>
      </c>
      <c r="C1880" s="25" t="n">
        <v>42.48</v>
      </c>
      <c r="D1880" s="25" t="n">
        <v>20.16</v>
      </c>
      <c r="E1880" s="25" t="n">
        <v>0</v>
      </c>
      <c r="F1880" s="22" t="n">
        <f aca="false">WEEKDAY(A1880,2)</f>
        <v>7</v>
      </c>
      <c r="G1880" s="22" t="str">
        <f aca="false">IF(F1880=7,IF(B1880&gt;=23,"C","Sin turno"),IF(B1880&lt;7,"C",IF(B1880&lt;14,"A",IF(B1880&lt;21,"B",IF(B1880&lt;23,"Entre turnos",IF(F1880=6,"Sin turno","C"))))))</f>
        <v>Sin turno</v>
      </c>
      <c r="H1880" s="25" t="n">
        <f aca="false">IF(D1880="","",MAX(0,D1880-0.5*C1880))</f>
        <v>0</v>
      </c>
    </row>
    <row r="1881" customFormat="false" ht="15" hidden="false" customHeight="false" outlineLevel="0" collapsed="false">
      <c r="A1881" s="21" t="n">
        <v>46299</v>
      </c>
      <c r="B1881" s="22" t="n">
        <v>7</v>
      </c>
      <c r="C1881" s="25" t="n">
        <v>45.96</v>
      </c>
      <c r="D1881" s="25" t="n">
        <v>20.04</v>
      </c>
      <c r="E1881" s="25" t="n">
        <v>0</v>
      </c>
      <c r="F1881" s="22" t="n">
        <f aca="false">WEEKDAY(A1881,2)</f>
        <v>7</v>
      </c>
      <c r="G1881" s="22" t="str">
        <f aca="false">IF(F1881=7,IF(B1881&gt;=23,"C","Sin turno"),IF(B1881&lt;7,"C",IF(B1881&lt;14,"A",IF(B1881&lt;21,"B",IF(B1881&lt;23,"Entre turnos",IF(F1881=6,"Sin turno","C"))))))</f>
        <v>Sin turno</v>
      </c>
      <c r="H1881" s="25" t="n">
        <f aca="false">IF(D1881="","",MAX(0,D1881-0.5*C1881))</f>
        <v>0</v>
      </c>
    </row>
    <row r="1882" customFormat="false" ht="15" hidden="false" customHeight="false" outlineLevel="0" collapsed="false">
      <c r="A1882" s="21" t="n">
        <v>46299</v>
      </c>
      <c r="B1882" s="22" t="n">
        <v>8</v>
      </c>
      <c r="C1882" s="25" t="n">
        <v>48</v>
      </c>
      <c r="D1882" s="25" t="n">
        <v>19.56</v>
      </c>
      <c r="E1882" s="25" t="n">
        <v>0</v>
      </c>
      <c r="F1882" s="22" t="n">
        <f aca="false">WEEKDAY(A1882,2)</f>
        <v>7</v>
      </c>
      <c r="G1882" s="22" t="str">
        <f aca="false">IF(F1882=7,IF(B1882&gt;=23,"C","Sin turno"),IF(B1882&lt;7,"C",IF(B1882&lt;14,"A",IF(B1882&lt;21,"B",IF(B1882&lt;23,"Entre turnos",IF(F1882=6,"Sin turno","C"))))))</f>
        <v>Sin turno</v>
      </c>
      <c r="H1882" s="25" t="n">
        <f aca="false">IF(D1882="","",MAX(0,D1882-0.5*C1882))</f>
        <v>0</v>
      </c>
    </row>
    <row r="1883" customFormat="false" ht="15" hidden="false" customHeight="false" outlineLevel="0" collapsed="false">
      <c r="A1883" s="21" t="n">
        <v>46299</v>
      </c>
      <c r="B1883" s="22" t="n">
        <v>9</v>
      </c>
      <c r="C1883" s="25" t="n">
        <v>56.52</v>
      </c>
      <c r="D1883" s="25" t="n">
        <v>19.92</v>
      </c>
      <c r="E1883" s="25" t="n">
        <v>0</v>
      </c>
      <c r="F1883" s="22" t="n">
        <f aca="false">WEEKDAY(A1883,2)</f>
        <v>7</v>
      </c>
      <c r="G1883" s="22" t="str">
        <f aca="false">IF(F1883=7,IF(B1883&gt;=23,"C","Sin turno"),IF(B1883&lt;7,"C",IF(B1883&lt;14,"A",IF(B1883&lt;21,"B",IF(B1883&lt;23,"Entre turnos",IF(F1883=6,"Sin turno","C"))))))</f>
        <v>Sin turno</v>
      </c>
      <c r="H1883" s="25" t="n">
        <f aca="false">IF(D1883="","",MAX(0,D1883-0.5*C1883))</f>
        <v>0</v>
      </c>
    </row>
    <row r="1884" customFormat="false" ht="15" hidden="false" customHeight="false" outlineLevel="0" collapsed="false">
      <c r="A1884" s="21" t="n">
        <v>46299</v>
      </c>
      <c r="B1884" s="22" t="n">
        <v>10</v>
      </c>
      <c r="C1884" s="25" t="n">
        <v>66.96</v>
      </c>
      <c r="D1884" s="25" t="n">
        <v>21.36</v>
      </c>
      <c r="E1884" s="25" t="n">
        <v>0</v>
      </c>
      <c r="F1884" s="22" t="n">
        <f aca="false">WEEKDAY(A1884,2)</f>
        <v>7</v>
      </c>
      <c r="G1884" s="22" t="str">
        <f aca="false">IF(F1884=7,IF(B1884&gt;=23,"C","Sin turno"),IF(B1884&lt;7,"C",IF(B1884&lt;14,"A",IF(B1884&lt;21,"B",IF(B1884&lt;23,"Entre turnos",IF(F1884=6,"Sin turno","C"))))))</f>
        <v>Sin turno</v>
      </c>
      <c r="H1884" s="25" t="n">
        <f aca="false">IF(D1884="","",MAX(0,D1884-0.5*C1884))</f>
        <v>0</v>
      </c>
    </row>
    <row r="1885" customFormat="false" ht="15" hidden="false" customHeight="false" outlineLevel="0" collapsed="false">
      <c r="A1885" s="21" t="n">
        <v>46299</v>
      </c>
      <c r="B1885" s="22" t="n">
        <v>11</v>
      </c>
      <c r="C1885" s="25" t="n">
        <v>69.48</v>
      </c>
      <c r="D1885" s="25" t="n">
        <v>22.2</v>
      </c>
      <c r="E1885" s="25" t="n">
        <v>0</v>
      </c>
      <c r="F1885" s="22" t="n">
        <f aca="false">WEEKDAY(A1885,2)</f>
        <v>7</v>
      </c>
      <c r="G1885" s="22" t="str">
        <f aca="false">IF(F1885=7,IF(B1885&gt;=23,"C","Sin turno"),IF(B1885&lt;7,"C",IF(B1885&lt;14,"A",IF(B1885&lt;21,"B",IF(B1885&lt;23,"Entre turnos",IF(F1885=6,"Sin turno","C"))))))</f>
        <v>Sin turno</v>
      </c>
      <c r="H1885" s="25" t="n">
        <f aca="false">IF(D1885="","",MAX(0,D1885-0.5*C1885))</f>
        <v>0</v>
      </c>
    </row>
    <row r="1886" customFormat="false" ht="15" hidden="false" customHeight="false" outlineLevel="0" collapsed="false">
      <c r="A1886" s="21" t="n">
        <v>46299</v>
      </c>
      <c r="B1886" s="22" t="n">
        <v>12</v>
      </c>
      <c r="C1886" s="25" t="n">
        <v>59.52</v>
      </c>
      <c r="D1886" s="25" t="n">
        <v>20.64</v>
      </c>
      <c r="E1886" s="25" t="n">
        <v>0</v>
      </c>
      <c r="F1886" s="22" t="n">
        <f aca="false">WEEKDAY(A1886,2)</f>
        <v>7</v>
      </c>
      <c r="G1886" s="22" t="str">
        <f aca="false">IF(F1886=7,IF(B1886&gt;=23,"C","Sin turno"),IF(B1886&lt;7,"C",IF(B1886&lt;14,"A",IF(B1886&lt;21,"B",IF(B1886&lt;23,"Entre turnos",IF(F1886=6,"Sin turno","C"))))))</f>
        <v>Sin turno</v>
      </c>
      <c r="H1886" s="25" t="n">
        <f aca="false">IF(D1886="","",MAX(0,D1886-0.5*C1886))</f>
        <v>0</v>
      </c>
    </row>
    <row r="1887" customFormat="false" ht="15" hidden="false" customHeight="false" outlineLevel="0" collapsed="false">
      <c r="A1887" s="21" t="n">
        <v>46299</v>
      </c>
      <c r="B1887" s="22" t="n">
        <v>13</v>
      </c>
      <c r="C1887" s="25" t="n">
        <v>56.52</v>
      </c>
      <c r="D1887" s="25" t="n">
        <v>21.48</v>
      </c>
      <c r="E1887" s="25" t="n">
        <v>0</v>
      </c>
      <c r="F1887" s="22" t="n">
        <f aca="false">WEEKDAY(A1887,2)</f>
        <v>7</v>
      </c>
      <c r="G1887" s="22" t="str">
        <f aca="false">IF(F1887=7,IF(B1887&gt;=23,"C","Sin turno"),IF(B1887&lt;7,"C",IF(B1887&lt;14,"A",IF(B1887&lt;21,"B",IF(B1887&lt;23,"Entre turnos",IF(F1887=6,"Sin turno","C"))))))</f>
        <v>Sin turno</v>
      </c>
      <c r="H1887" s="25" t="n">
        <f aca="false">IF(D1887="","",MAX(0,D1887-0.5*C1887))</f>
        <v>0</v>
      </c>
    </row>
    <row r="1888" customFormat="false" ht="15" hidden="false" customHeight="false" outlineLevel="0" collapsed="false">
      <c r="A1888" s="21" t="n">
        <v>46299</v>
      </c>
      <c r="B1888" s="22" t="n">
        <v>14</v>
      </c>
      <c r="C1888" s="25" t="n">
        <v>54.36</v>
      </c>
      <c r="D1888" s="25" t="n">
        <v>21.84</v>
      </c>
      <c r="E1888" s="25" t="n">
        <v>0</v>
      </c>
      <c r="F1888" s="22" t="n">
        <f aca="false">WEEKDAY(A1888,2)</f>
        <v>7</v>
      </c>
      <c r="G1888" s="22" t="str">
        <f aca="false">IF(F1888=7,IF(B1888&gt;=23,"C","Sin turno"),IF(B1888&lt;7,"C",IF(B1888&lt;14,"A",IF(B1888&lt;21,"B",IF(B1888&lt;23,"Entre turnos",IF(F1888=6,"Sin turno","C"))))))</f>
        <v>Sin turno</v>
      </c>
      <c r="H1888" s="25" t="n">
        <f aca="false">IF(D1888="","",MAX(0,D1888-0.5*C1888))</f>
        <v>0</v>
      </c>
    </row>
    <row r="1889" customFormat="false" ht="15" hidden="false" customHeight="false" outlineLevel="0" collapsed="false">
      <c r="A1889" s="21" t="n">
        <v>46299</v>
      </c>
      <c r="B1889" s="22" t="n">
        <v>15</v>
      </c>
      <c r="C1889" s="25" t="n">
        <v>52.92</v>
      </c>
      <c r="D1889" s="25" t="n">
        <v>21.84</v>
      </c>
      <c r="E1889" s="25" t="n">
        <v>0</v>
      </c>
      <c r="F1889" s="22" t="n">
        <f aca="false">WEEKDAY(A1889,2)</f>
        <v>7</v>
      </c>
      <c r="G1889" s="22" t="str">
        <f aca="false">IF(F1889=7,IF(B1889&gt;=23,"C","Sin turno"),IF(B1889&lt;7,"C",IF(B1889&lt;14,"A",IF(B1889&lt;21,"B",IF(B1889&lt;23,"Entre turnos",IF(F1889=6,"Sin turno","C"))))))</f>
        <v>Sin turno</v>
      </c>
      <c r="H1889" s="25" t="n">
        <f aca="false">IF(D1889="","",MAX(0,D1889-0.5*C1889))</f>
        <v>0</v>
      </c>
    </row>
    <row r="1890" customFormat="false" ht="15" hidden="false" customHeight="false" outlineLevel="0" collapsed="false">
      <c r="A1890" s="21" t="n">
        <v>46299</v>
      </c>
      <c r="B1890" s="22" t="n">
        <v>16</v>
      </c>
      <c r="C1890" s="25" t="n">
        <v>49.08</v>
      </c>
      <c r="D1890" s="25" t="n">
        <v>21.84</v>
      </c>
      <c r="E1890" s="25" t="n">
        <v>0</v>
      </c>
      <c r="F1890" s="22" t="n">
        <f aca="false">WEEKDAY(A1890,2)</f>
        <v>7</v>
      </c>
      <c r="G1890" s="22" t="str">
        <f aca="false">IF(F1890=7,IF(B1890&gt;=23,"C","Sin turno"),IF(B1890&lt;7,"C",IF(B1890&lt;14,"A",IF(B1890&lt;21,"B",IF(B1890&lt;23,"Entre turnos",IF(F1890=6,"Sin turno","C"))))))</f>
        <v>Sin turno</v>
      </c>
      <c r="H1890" s="25" t="n">
        <f aca="false">IF(D1890="","",MAX(0,D1890-0.5*C1890))</f>
        <v>0</v>
      </c>
    </row>
    <row r="1891" customFormat="false" ht="15" hidden="false" customHeight="false" outlineLevel="0" collapsed="false">
      <c r="A1891" s="21" t="n">
        <v>46299</v>
      </c>
      <c r="B1891" s="22" t="n">
        <v>17</v>
      </c>
      <c r="C1891" s="25" t="n">
        <v>45.24</v>
      </c>
      <c r="D1891" s="25" t="n">
        <v>21.24</v>
      </c>
      <c r="E1891" s="25" t="n">
        <v>0</v>
      </c>
      <c r="F1891" s="22" t="n">
        <f aca="false">WEEKDAY(A1891,2)</f>
        <v>7</v>
      </c>
      <c r="G1891" s="22" t="str">
        <f aca="false">IF(F1891=7,IF(B1891&gt;=23,"C","Sin turno"),IF(B1891&lt;7,"C",IF(B1891&lt;14,"A",IF(B1891&lt;21,"B",IF(B1891&lt;23,"Entre turnos",IF(F1891=6,"Sin turno","C"))))))</f>
        <v>Sin turno</v>
      </c>
      <c r="H1891" s="25" t="n">
        <f aca="false">IF(D1891="","",MAX(0,D1891-0.5*C1891))</f>
        <v>0</v>
      </c>
    </row>
    <row r="1892" customFormat="false" ht="15" hidden="false" customHeight="false" outlineLevel="0" collapsed="false">
      <c r="A1892" s="21" t="n">
        <v>46299</v>
      </c>
      <c r="B1892" s="22" t="n">
        <v>18</v>
      </c>
      <c r="C1892" s="25" t="n">
        <v>42.24</v>
      </c>
      <c r="D1892" s="25" t="n">
        <v>19.44</v>
      </c>
      <c r="E1892" s="25" t="n">
        <v>0</v>
      </c>
      <c r="F1892" s="22" t="n">
        <f aca="false">WEEKDAY(A1892,2)</f>
        <v>7</v>
      </c>
      <c r="G1892" s="22" t="str">
        <f aca="false">IF(F1892=7,IF(B1892&gt;=23,"C","Sin turno"),IF(B1892&lt;7,"C",IF(B1892&lt;14,"A",IF(B1892&lt;21,"B",IF(B1892&lt;23,"Entre turnos",IF(F1892=6,"Sin turno","C"))))))</f>
        <v>Sin turno</v>
      </c>
      <c r="H1892" s="25" t="n">
        <f aca="false">IF(D1892="","",MAX(0,D1892-0.5*C1892))</f>
        <v>0</v>
      </c>
    </row>
    <row r="1893" customFormat="false" ht="15" hidden="false" customHeight="false" outlineLevel="0" collapsed="false">
      <c r="A1893" s="21" t="n">
        <v>46299</v>
      </c>
      <c r="B1893" s="22" t="n">
        <v>19</v>
      </c>
      <c r="C1893" s="25" t="n">
        <v>42</v>
      </c>
      <c r="D1893" s="25" t="n">
        <v>19.32</v>
      </c>
      <c r="E1893" s="25" t="n">
        <v>0</v>
      </c>
      <c r="F1893" s="22" t="n">
        <f aca="false">WEEKDAY(A1893,2)</f>
        <v>7</v>
      </c>
      <c r="G1893" s="22" t="str">
        <f aca="false">IF(F1893=7,IF(B1893&gt;=23,"C","Sin turno"),IF(B1893&lt;7,"C",IF(B1893&lt;14,"A",IF(B1893&lt;21,"B",IF(B1893&lt;23,"Entre turnos",IF(F1893=6,"Sin turno","C"))))))</f>
        <v>Sin turno</v>
      </c>
      <c r="H1893" s="25" t="n">
        <f aca="false">IF(D1893="","",MAX(0,D1893-0.5*C1893))</f>
        <v>0</v>
      </c>
    </row>
    <row r="1894" customFormat="false" ht="15" hidden="false" customHeight="false" outlineLevel="0" collapsed="false">
      <c r="A1894" s="21" t="n">
        <v>46299</v>
      </c>
      <c r="B1894" s="22" t="n">
        <v>20</v>
      </c>
      <c r="C1894" s="25" t="n">
        <v>41.4</v>
      </c>
      <c r="D1894" s="25" t="n">
        <v>19.44</v>
      </c>
      <c r="E1894" s="25" t="n">
        <v>0</v>
      </c>
      <c r="F1894" s="22" t="n">
        <f aca="false">WEEKDAY(A1894,2)</f>
        <v>7</v>
      </c>
      <c r="G1894" s="22" t="str">
        <f aca="false">IF(F1894=7,IF(B1894&gt;=23,"C","Sin turno"),IF(B1894&lt;7,"C",IF(B1894&lt;14,"A",IF(B1894&lt;21,"B",IF(B1894&lt;23,"Entre turnos",IF(F1894=6,"Sin turno","C"))))))</f>
        <v>Sin turno</v>
      </c>
      <c r="H1894" s="25" t="n">
        <f aca="false">IF(D1894="","",MAX(0,D1894-0.5*C1894))</f>
        <v>0</v>
      </c>
    </row>
    <row r="1895" customFormat="false" ht="15" hidden="false" customHeight="false" outlineLevel="0" collapsed="false">
      <c r="A1895" s="21" t="n">
        <v>46299</v>
      </c>
      <c r="B1895" s="22" t="n">
        <v>21</v>
      </c>
      <c r="C1895" s="25" t="n">
        <v>42.24</v>
      </c>
      <c r="D1895" s="25" t="n">
        <v>19.92</v>
      </c>
      <c r="E1895" s="25" t="n">
        <v>0</v>
      </c>
      <c r="F1895" s="22" t="n">
        <f aca="false">WEEKDAY(A1895,2)</f>
        <v>7</v>
      </c>
      <c r="G1895" s="22" t="str">
        <f aca="false">IF(F1895=7,IF(B1895&gt;=23,"C","Sin turno"),IF(B1895&lt;7,"C",IF(B1895&lt;14,"A",IF(B1895&lt;21,"B",IF(B1895&lt;23,"Entre turnos",IF(F1895=6,"Sin turno","C"))))))</f>
        <v>Sin turno</v>
      </c>
      <c r="H1895" s="25" t="n">
        <f aca="false">IF(D1895="","",MAX(0,D1895-0.5*C1895))</f>
        <v>0</v>
      </c>
    </row>
    <row r="1896" customFormat="false" ht="15" hidden="false" customHeight="false" outlineLevel="0" collapsed="false">
      <c r="A1896" s="21" t="n">
        <v>46299</v>
      </c>
      <c r="B1896" s="22" t="n">
        <v>22</v>
      </c>
      <c r="C1896" s="25" t="n">
        <v>42.36</v>
      </c>
      <c r="D1896" s="25" t="n">
        <v>20.04</v>
      </c>
      <c r="E1896" s="25" t="n">
        <v>0</v>
      </c>
      <c r="F1896" s="22" t="n">
        <f aca="false">WEEKDAY(A1896,2)</f>
        <v>7</v>
      </c>
      <c r="G1896" s="22" t="str">
        <f aca="false">IF(F1896=7,IF(B1896&gt;=23,"C","Sin turno"),IF(B1896&lt;7,"C",IF(B1896&lt;14,"A",IF(B1896&lt;21,"B",IF(B1896&lt;23,"Entre turnos",IF(F1896=6,"Sin turno","C"))))))</f>
        <v>Sin turno</v>
      </c>
      <c r="H1896" s="25" t="n">
        <f aca="false">IF(D1896="","",MAX(0,D1896-0.5*C1896))</f>
        <v>0</v>
      </c>
    </row>
    <row r="1897" customFormat="false" ht="15" hidden="false" customHeight="false" outlineLevel="0" collapsed="false">
      <c r="A1897" s="21" t="n">
        <v>46299</v>
      </c>
      <c r="B1897" s="22" t="n">
        <v>23</v>
      </c>
      <c r="C1897" s="25" t="n">
        <v>65.76</v>
      </c>
      <c r="D1897" s="25" t="n">
        <v>21.72</v>
      </c>
      <c r="E1897" s="25" t="n">
        <v>0</v>
      </c>
      <c r="F1897" s="22" t="n">
        <f aca="false">WEEKDAY(A1897,2)</f>
        <v>7</v>
      </c>
      <c r="G1897" s="22" t="str">
        <f aca="false">IF(F1897=7,IF(B1897&gt;=23,"C","Sin turno"),IF(B1897&lt;7,"C",IF(B1897&lt;14,"A",IF(B1897&lt;21,"B",IF(B1897&lt;23,"Entre turnos",IF(F1897=6,"Sin turno","C"))))))</f>
        <v>C</v>
      </c>
      <c r="H1897" s="25" t="n">
        <f aca="false">IF(D1897="","",MAX(0,D1897-0.5*C1897))</f>
        <v>0</v>
      </c>
    </row>
    <row r="1898" customFormat="false" ht="15" hidden="false" customHeight="false" outlineLevel="0" collapsed="false">
      <c r="A1898" s="21" t="n">
        <v>46300</v>
      </c>
      <c r="B1898" s="22" t="n">
        <v>0</v>
      </c>
      <c r="C1898" s="25" t="n">
        <v>79.8</v>
      </c>
      <c r="D1898" s="25" t="n">
        <v>25.8</v>
      </c>
      <c r="E1898" s="25" t="n">
        <v>0.6</v>
      </c>
      <c r="F1898" s="22" t="n">
        <f aca="false">WEEKDAY(A1898,2)</f>
        <v>1</v>
      </c>
      <c r="G1898" s="22" t="str">
        <f aca="false">IF(F1898=7,IF(B1898&gt;=23,"C","Sin turno"),IF(B1898&lt;7,"C",IF(B1898&lt;14,"A",IF(B1898&lt;21,"B",IF(B1898&lt;23,"Entre turnos",IF(F1898=6,"Sin turno","C"))))))</f>
        <v>C</v>
      </c>
      <c r="H1898" s="25" t="n">
        <f aca="false">IF(D1898="","",MAX(0,D1898-0.5*C1898))</f>
        <v>0</v>
      </c>
    </row>
    <row r="1899" customFormat="false" ht="15" hidden="false" customHeight="false" outlineLevel="0" collapsed="false">
      <c r="A1899" s="21" t="n">
        <v>46300</v>
      </c>
      <c r="B1899" s="22" t="n">
        <v>1</v>
      </c>
      <c r="C1899" s="25" t="n">
        <v>77.16</v>
      </c>
      <c r="D1899" s="25" t="n">
        <v>26.76</v>
      </c>
      <c r="E1899" s="25" t="n">
        <v>0.48</v>
      </c>
      <c r="F1899" s="22" t="n">
        <f aca="false">WEEKDAY(A1899,2)</f>
        <v>1</v>
      </c>
      <c r="G1899" s="22" t="str">
        <f aca="false">IF(F1899=7,IF(B1899&gt;=23,"C","Sin turno"),IF(B1899&lt;7,"C",IF(B1899&lt;14,"A",IF(B1899&lt;21,"B",IF(B1899&lt;23,"Entre turnos",IF(F1899=6,"Sin turno","C"))))))</f>
        <v>C</v>
      </c>
      <c r="H1899" s="25" t="n">
        <f aca="false">IF(D1899="","",MAX(0,D1899-0.5*C1899))</f>
        <v>0</v>
      </c>
    </row>
    <row r="1900" customFormat="false" ht="15" hidden="false" customHeight="false" outlineLevel="0" collapsed="false">
      <c r="A1900" s="21" t="n">
        <v>46300</v>
      </c>
      <c r="B1900" s="22" t="n">
        <v>2</v>
      </c>
      <c r="C1900" s="25" t="n">
        <v>80.64</v>
      </c>
      <c r="D1900" s="25" t="n">
        <v>25.44</v>
      </c>
      <c r="E1900" s="25" t="n">
        <v>0.6</v>
      </c>
      <c r="F1900" s="22" t="n">
        <f aca="false">WEEKDAY(A1900,2)</f>
        <v>1</v>
      </c>
      <c r="G1900" s="22" t="str">
        <f aca="false">IF(F1900=7,IF(B1900&gt;=23,"C","Sin turno"),IF(B1900&lt;7,"C",IF(B1900&lt;14,"A",IF(B1900&lt;21,"B",IF(B1900&lt;23,"Entre turnos",IF(F1900=6,"Sin turno","C"))))))</f>
        <v>C</v>
      </c>
      <c r="H1900" s="25" t="n">
        <f aca="false">IF(D1900="","",MAX(0,D1900-0.5*C1900))</f>
        <v>0</v>
      </c>
    </row>
    <row r="1901" customFormat="false" ht="15" hidden="false" customHeight="false" outlineLevel="0" collapsed="false">
      <c r="A1901" s="21" t="n">
        <v>46300</v>
      </c>
      <c r="B1901" s="22" t="n">
        <v>3</v>
      </c>
      <c r="C1901" s="25" t="n">
        <v>75.72</v>
      </c>
      <c r="D1901" s="25" t="n">
        <v>22.2</v>
      </c>
      <c r="E1901" s="25" t="n">
        <v>0.72</v>
      </c>
      <c r="F1901" s="22" t="n">
        <f aca="false">WEEKDAY(A1901,2)</f>
        <v>1</v>
      </c>
      <c r="G1901" s="22" t="str">
        <f aca="false">IF(F1901=7,IF(B1901&gt;=23,"C","Sin turno"),IF(B1901&lt;7,"C",IF(B1901&lt;14,"A",IF(B1901&lt;21,"B",IF(B1901&lt;23,"Entre turnos",IF(F1901=6,"Sin turno","C"))))))</f>
        <v>C</v>
      </c>
      <c r="H1901" s="25" t="n">
        <f aca="false">IF(D1901="","",MAX(0,D1901-0.5*C1901))</f>
        <v>0</v>
      </c>
    </row>
    <row r="1902" customFormat="false" ht="15" hidden="false" customHeight="false" outlineLevel="0" collapsed="false">
      <c r="A1902" s="21" t="n">
        <v>46300</v>
      </c>
      <c r="B1902" s="22" t="n">
        <v>4</v>
      </c>
      <c r="C1902" s="25" t="n">
        <v>106.8</v>
      </c>
      <c r="D1902" s="25" t="n">
        <v>10.68</v>
      </c>
      <c r="E1902" s="25" t="n">
        <v>1.56</v>
      </c>
      <c r="F1902" s="22" t="n">
        <f aca="false">WEEKDAY(A1902,2)</f>
        <v>1</v>
      </c>
      <c r="G1902" s="22" t="str">
        <f aca="false">IF(F1902=7,IF(B1902&gt;=23,"C","Sin turno"),IF(B1902&lt;7,"C",IF(B1902&lt;14,"A",IF(B1902&lt;21,"B",IF(B1902&lt;23,"Entre turnos",IF(F1902=6,"Sin turno","C"))))))</f>
        <v>C</v>
      </c>
      <c r="H1902" s="25" t="n">
        <f aca="false">IF(D1902="","",MAX(0,D1902-0.5*C1902))</f>
        <v>0</v>
      </c>
    </row>
    <row r="1903" customFormat="false" ht="15" hidden="false" customHeight="false" outlineLevel="0" collapsed="false">
      <c r="A1903" s="21" t="n">
        <v>46300</v>
      </c>
      <c r="B1903" s="22" t="n">
        <v>5</v>
      </c>
      <c r="C1903" s="25" t="n">
        <v>114.6</v>
      </c>
      <c r="D1903" s="25" t="n">
        <v>18.24</v>
      </c>
      <c r="E1903" s="25" t="n">
        <v>0.84</v>
      </c>
      <c r="F1903" s="22" t="n">
        <f aca="false">WEEKDAY(A1903,2)</f>
        <v>1</v>
      </c>
      <c r="G1903" s="22" t="str">
        <f aca="false">IF(F1903=7,IF(B1903&gt;=23,"C","Sin turno"),IF(B1903&lt;7,"C",IF(B1903&lt;14,"A",IF(B1903&lt;21,"B",IF(B1903&lt;23,"Entre turnos",IF(F1903=6,"Sin turno","C"))))))</f>
        <v>C</v>
      </c>
      <c r="H1903" s="25" t="n">
        <f aca="false">IF(D1903="","",MAX(0,D1903-0.5*C1903))</f>
        <v>0</v>
      </c>
    </row>
    <row r="1904" customFormat="false" ht="15" hidden="false" customHeight="false" outlineLevel="0" collapsed="false">
      <c r="A1904" s="21" t="n">
        <v>46300</v>
      </c>
      <c r="B1904" s="22" t="n">
        <v>6</v>
      </c>
      <c r="C1904" s="25" t="n">
        <v>116.52</v>
      </c>
      <c r="D1904" s="25" t="n">
        <v>10.2</v>
      </c>
      <c r="E1904" s="25" t="n">
        <v>0.6</v>
      </c>
      <c r="F1904" s="22" t="n">
        <f aca="false">WEEKDAY(A1904,2)</f>
        <v>1</v>
      </c>
      <c r="G1904" s="22" t="str">
        <f aca="false">IF(F1904=7,IF(B1904&gt;=23,"C","Sin turno"),IF(B1904&lt;7,"C",IF(B1904&lt;14,"A",IF(B1904&lt;21,"B",IF(B1904&lt;23,"Entre turnos",IF(F1904=6,"Sin turno","C"))))))</f>
        <v>C</v>
      </c>
      <c r="H1904" s="25" t="n">
        <f aca="false">IF(D1904="","",MAX(0,D1904-0.5*C1904))</f>
        <v>0</v>
      </c>
    </row>
    <row r="1905" customFormat="false" ht="15" hidden="false" customHeight="false" outlineLevel="0" collapsed="false">
      <c r="A1905" s="21" t="n">
        <v>46300</v>
      </c>
      <c r="B1905" s="22" t="n">
        <v>7</v>
      </c>
      <c r="C1905" s="25" t="n">
        <v>196.56</v>
      </c>
      <c r="D1905" s="25" t="n">
        <v>16.68</v>
      </c>
      <c r="E1905" s="25" t="n">
        <v>0.12</v>
      </c>
      <c r="F1905" s="22" t="n">
        <f aca="false">WEEKDAY(A1905,2)</f>
        <v>1</v>
      </c>
      <c r="G1905" s="22" t="str">
        <f aca="false">IF(F1905=7,IF(B1905&gt;=23,"C","Sin turno"),IF(B1905&lt;7,"C",IF(B1905&lt;14,"A",IF(B1905&lt;21,"B",IF(B1905&lt;23,"Entre turnos",IF(F1905=6,"Sin turno","C"))))))</f>
        <v>A</v>
      </c>
      <c r="H1905" s="25" t="n">
        <f aca="false">IF(D1905="","",MAX(0,D1905-0.5*C1905))</f>
        <v>0</v>
      </c>
    </row>
    <row r="1906" customFormat="false" ht="15" hidden="false" customHeight="false" outlineLevel="0" collapsed="false">
      <c r="A1906" s="21" t="n">
        <v>46300</v>
      </c>
      <c r="B1906" s="22" t="n">
        <v>8</v>
      </c>
      <c r="C1906" s="25" t="n">
        <v>267.12</v>
      </c>
      <c r="D1906" s="25" t="n">
        <v>18.84</v>
      </c>
      <c r="E1906" s="25" t="n">
        <v>0.12</v>
      </c>
      <c r="F1906" s="22" t="n">
        <f aca="false">WEEKDAY(A1906,2)</f>
        <v>1</v>
      </c>
      <c r="G1906" s="22" t="str">
        <f aca="false">IF(F1906=7,IF(B1906&gt;=23,"C","Sin turno"),IF(B1906&lt;7,"C",IF(B1906&lt;14,"A",IF(B1906&lt;21,"B",IF(B1906&lt;23,"Entre turnos",IF(F1906=6,"Sin turno","C"))))))</f>
        <v>A</v>
      </c>
      <c r="H1906" s="25" t="n">
        <f aca="false">IF(D1906="","",MAX(0,D1906-0.5*C1906))</f>
        <v>0</v>
      </c>
    </row>
    <row r="1907" customFormat="false" ht="15" hidden="false" customHeight="false" outlineLevel="0" collapsed="false">
      <c r="A1907" s="21" t="n">
        <v>46300</v>
      </c>
      <c r="B1907" s="22" t="n">
        <v>9</v>
      </c>
      <c r="C1907" s="25" t="n">
        <v>266.64</v>
      </c>
      <c r="D1907" s="25" t="n">
        <v>22.92</v>
      </c>
      <c r="E1907" s="25" t="n">
        <v>0</v>
      </c>
      <c r="F1907" s="22" t="n">
        <f aca="false">WEEKDAY(A1907,2)</f>
        <v>1</v>
      </c>
      <c r="G1907" s="22" t="str">
        <f aca="false">IF(F1907=7,IF(B1907&gt;=23,"C","Sin turno"),IF(B1907&lt;7,"C",IF(B1907&lt;14,"A",IF(B1907&lt;21,"B",IF(B1907&lt;23,"Entre turnos",IF(F1907=6,"Sin turno","C"))))))</f>
        <v>A</v>
      </c>
      <c r="H1907" s="25" t="n">
        <f aca="false">IF(D1907="","",MAX(0,D1907-0.5*C1907))</f>
        <v>0</v>
      </c>
    </row>
    <row r="1908" customFormat="false" ht="15" hidden="false" customHeight="false" outlineLevel="0" collapsed="false">
      <c r="A1908" s="21" t="n">
        <v>46300</v>
      </c>
      <c r="B1908" s="22" t="n">
        <v>10</v>
      </c>
      <c r="C1908" s="25" t="n">
        <v>255.24</v>
      </c>
      <c r="D1908" s="25" t="n">
        <v>18.24</v>
      </c>
      <c r="E1908" s="25" t="n">
        <v>0</v>
      </c>
      <c r="F1908" s="22" t="n">
        <f aca="false">WEEKDAY(A1908,2)</f>
        <v>1</v>
      </c>
      <c r="G1908" s="22" t="str">
        <f aca="false">IF(F1908=7,IF(B1908&gt;=23,"C","Sin turno"),IF(B1908&lt;7,"C",IF(B1908&lt;14,"A",IF(B1908&lt;21,"B",IF(B1908&lt;23,"Entre turnos",IF(F1908=6,"Sin turno","C"))))))</f>
        <v>A</v>
      </c>
      <c r="H1908" s="25" t="n">
        <f aca="false">IF(D1908="","",MAX(0,D1908-0.5*C1908))</f>
        <v>0</v>
      </c>
    </row>
    <row r="1909" customFormat="false" ht="15" hidden="false" customHeight="false" outlineLevel="0" collapsed="false">
      <c r="A1909" s="21" t="n">
        <v>46300</v>
      </c>
      <c r="B1909" s="22" t="n">
        <v>11</v>
      </c>
      <c r="C1909" s="25" t="n">
        <v>271.44</v>
      </c>
      <c r="D1909" s="25" t="n">
        <v>21.84</v>
      </c>
      <c r="E1909" s="25" t="n">
        <v>0</v>
      </c>
      <c r="F1909" s="22" t="n">
        <f aca="false">WEEKDAY(A1909,2)</f>
        <v>1</v>
      </c>
      <c r="G1909" s="22" t="str">
        <f aca="false">IF(F1909=7,IF(B1909&gt;=23,"C","Sin turno"),IF(B1909&lt;7,"C",IF(B1909&lt;14,"A",IF(B1909&lt;21,"B",IF(B1909&lt;23,"Entre turnos",IF(F1909=6,"Sin turno","C"))))))</f>
        <v>A</v>
      </c>
      <c r="H1909" s="25" t="n">
        <f aca="false">IF(D1909="","",MAX(0,D1909-0.5*C1909))</f>
        <v>0</v>
      </c>
    </row>
    <row r="1910" customFormat="false" ht="15" hidden="false" customHeight="false" outlineLevel="0" collapsed="false">
      <c r="A1910" s="21" t="n">
        <v>46300</v>
      </c>
      <c r="B1910" s="22" t="n">
        <v>12</v>
      </c>
      <c r="C1910" s="25" t="n">
        <v>295.08</v>
      </c>
      <c r="D1910" s="25" t="n">
        <v>23.16</v>
      </c>
      <c r="E1910" s="25" t="n">
        <v>0</v>
      </c>
      <c r="F1910" s="22" t="n">
        <f aca="false">WEEKDAY(A1910,2)</f>
        <v>1</v>
      </c>
      <c r="G1910" s="22" t="str">
        <f aca="false">IF(F1910=7,IF(B1910&gt;=23,"C","Sin turno"),IF(B1910&lt;7,"C",IF(B1910&lt;14,"A",IF(B1910&lt;21,"B",IF(B1910&lt;23,"Entre turnos",IF(F1910=6,"Sin turno","C"))))))</f>
        <v>A</v>
      </c>
      <c r="H1910" s="25" t="n">
        <f aca="false">IF(D1910="","",MAX(0,D1910-0.5*C1910))</f>
        <v>0</v>
      </c>
    </row>
    <row r="1911" customFormat="false" ht="15" hidden="false" customHeight="false" outlineLevel="0" collapsed="false">
      <c r="A1911" s="21" t="n">
        <v>46300</v>
      </c>
      <c r="B1911" s="22" t="n">
        <v>13</v>
      </c>
      <c r="C1911" s="25" t="n">
        <v>285.24</v>
      </c>
      <c r="D1911" s="25" t="n">
        <v>26.04</v>
      </c>
      <c r="E1911" s="25" t="n">
        <v>0</v>
      </c>
      <c r="F1911" s="22" t="n">
        <f aca="false">WEEKDAY(A1911,2)</f>
        <v>1</v>
      </c>
      <c r="G1911" s="22" t="str">
        <f aca="false">IF(F1911=7,IF(B1911&gt;=23,"C","Sin turno"),IF(B1911&lt;7,"C",IF(B1911&lt;14,"A",IF(B1911&lt;21,"B",IF(B1911&lt;23,"Entre turnos",IF(F1911=6,"Sin turno","C"))))))</f>
        <v>A</v>
      </c>
      <c r="H1911" s="25" t="n">
        <f aca="false">IF(D1911="","",MAX(0,D1911-0.5*C1911))</f>
        <v>0</v>
      </c>
    </row>
    <row r="1912" customFormat="false" ht="15" hidden="false" customHeight="false" outlineLevel="0" collapsed="false">
      <c r="A1912" s="21" t="n">
        <v>46300</v>
      </c>
      <c r="B1912" s="22" t="n">
        <v>14</v>
      </c>
      <c r="C1912" s="25" t="n">
        <v>269.88</v>
      </c>
      <c r="D1912" s="25" t="n">
        <v>25.56</v>
      </c>
      <c r="E1912" s="25" t="n">
        <v>0</v>
      </c>
      <c r="F1912" s="22" t="n">
        <f aca="false">WEEKDAY(A1912,2)</f>
        <v>1</v>
      </c>
      <c r="G1912" s="22" t="str">
        <f aca="false">IF(F1912=7,IF(B1912&gt;=23,"C","Sin turno"),IF(B1912&lt;7,"C",IF(B1912&lt;14,"A",IF(B1912&lt;21,"B",IF(B1912&lt;23,"Entre turnos",IF(F1912=6,"Sin turno","C"))))))</f>
        <v>B</v>
      </c>
      <c r="H1912" s="25" t="n">
        <f aca="false">IF(D1912="","",MAX(0,D1912-0.5*C1912))</f>
        <v>0</v>
      </c>
    </row>
    <row r="1913" customFormat="false" ht="15" hidden="false" customHeight="false" outlineLevel="0" collapsed="false">
      <c r="A1913" s="21" t="n">
        <v>46300</v>
      </c>
      <c r="B1913" s="22" t="n">
        <v>15</v>
      </c>
      <c r="C1913" s="25" t="n">
        <v>285.36</v>
      </c>
      <c r="D1913" s="25" t="n">
        <v>24.96</v>
      </c>
      <c r="E1913" s="25" t="n">
        <v>0</v>
      </c>
      <c r="F1913" s="22" t="n">
        <f aca="false">WEEKDAY(A1913,2)</f>
        <v>1</v>
      </c>
      <c r="G1913" s="22" t="str">
        <f aca="false">IF(F1913=7,IF(B1913&gt;=23,"C","Sin turno"),IF(B1913&lt;7,"C",IF(B1913&lt;14,"A",IF(B1913&lt;21,"B",IF(B1913&lt;23,"Entre turnos",IF(F1913=6,"Sin turno","C"))))))</f>
        <v>B</v>
      </c>
      <c r="H1913" s="25" t="n">
        <f aca="false">IF(D1913="","",MAX(0,D1913-0.5*C1913))</f>
        <v>0</v>
      </c>
    </row>
    <row r="1914" customFormat="false" ht="15" hidden="false" customHeight="false" outlineLevel="0" collapsed="false">
      <c r="A1914" s="21" t="n">
        <v>46300</v>
      </c>
      <c r="B1914" s="22" t="n">
        <v>16</v>
      </c>
      <c r="C1914" s="25" t="n">
        <v>266.04</v>
      </c>
      <c r="D1914" s="25" t="n">
        <v>20.16</v>
      </c>
      <c r="E1914" s="25" t="n">
        <v>0</v>
      </c>
      <c r="F1914" s="22" t="n">
        <f aca="false">WEEKDAY(A1914,2)</f>
        <v>1</v>
      </c>
      <c r="G1914" s="22" t="str">
        <f aca="false">IF(F1914=7,IF(B1914&gt;=23,"C","Sin turno"),IF(B1914&lt;7,"C",IF(B1914&lt;14,"A",IF(B1914&lt;21,"B",IF(B1914&lt;23,"Entre turnos",IF(F1914=6,"Sin turno","C"))))))</f>
        <v>B</v>
      </c>
      <c r="H1914" s="25" t="n">
        <f aca="false">IF(D1914="","",MAX(0,D1914-0.5*C1914))</f>
        <v>0</v>
      </c>
    </row>
    <row r="1915" customFormat="false" ht="15" hidden="false" customHeight="false" outlineLevel="0" collapsed="false">
      <c r="A1915" s="21" t="n">
        <v>46300</v>
      </c>
      <c r="B1915" s="22" t="n">
        <v>17</v>
      </c>
      <c r="C1915" s="25" t="n">
        <v>242.52</v>
      </c>
      <c r="D1915" s="25" t="n">
        <v>20.16</v>
      </c>
      <c r="E1915" s="25" t="n">
        <v>0.12</v>
      </c>
      <c r="F1915" s="22" t="n">
        <f aca="false">WEEKDAY(A1915,2)</f>
        <v>1</v>
      </c>
      <c r="G1915" s="22" t="str">
        <f aca="false">IF(F1915=7,IF(B1915&gt;=23,"C","Sin turno"),IF(B1915&lt;7,"C",IF(B1915&lt;14,"A",IF(B1915&lt;21,"B",IF(B1915&lt;23,"Entre turnos",IF(F1915=6,"Sin turno","C"))))))</f>
        <v>B</v>
      </c>
      <c r="H1915" s="25" t="n">
        <f aca="false">IF(D1915="","",MAX(0,D1915-0.5*C1915))</f>
        <v>0</v>
      </c>
    </row>
    <row r="1916" customFormat="false" ht="15" hidden="false" customHeight="false" outlineLevel="0" collapsed="false">
      <c r="A1916" s="21" t="n">
        <v>46300</v>
      </c>
      <c r="B1916" s="22" t="n">
        <v>18</v>
      </c>
      <c r="C1916" s="25" t="n">
        <v>209.52</v>
      </c>
      <c r="D1916" s="25" t="n">
        <v>27.72</v>
      </c>
      <c r="E1916" s="25" t="n">
        <v>0</v>
      </c>
      <c r="F1916" s="22" t="n">
        <f aca="false">WEEKDAY(A1916,2)</f>
        <v>1</v>
      </c>
      <c r="G1916" s="22" t="str">
        <f aca="false">IF(F1916=7,IF(B1916&gt;=23,"C","Sin turno"),IF(B1916&lt;7,"C",IF(B1916&lt;14,"A",IF(B1916&lt;21,"B",IF(B1916&lt;23,"Entre turnos",IF(F1916=6,"Sin turno","C"))))))</f>
        <v>B</v>
      </c>
      <c r="H1916" s="25" t="n">
        <f aca="false">IF(D1916="","",MAX(0,D1916-0.5*C1916))</f>
        <v>0</v>
      </c>
    </row>
    <row r="1917" customFormat="false" ht="15" hidden="false" customHeight="false" outlineLevel="0" collapsed="false">
      <c r="A1917" s="21" t="n">
        <v>46300</v>
      </c>
      <c r="B1917" s="22" t="n">
        <v>19</v>
      </c>
      <c r="C1917" s="25" t="n">
        <v>217.8</v>
      </c>
      <c r="D1917" s="25" t="n">
        <v>28.08</v>
      </c>
      <c r="E1917" s="25" t="n">
        <v>0</v>
      </c>
      <c r="F1917" s="22" t="n">
        <f aca="false">WEEKDAY(A1917,2)</f>
        <v>1</v>
      </c>
      <c r="G1917" s="22" t="str">
        <f aca="false">IF(F1917=7,IF(B1917&gt;=23,"C","Sin turno"),IF(B1917&lt;7,"C",IF(B1917&lt;14,"A",IF(B1917&lt;21,"B",IF(B1917&lt;23,"Entre turnos",IF(F1917=6,"Sin turno","C"))))))</f>
        <v>B</v>
      </c>
      <c r="H1917" s="25" t="n">
        <f aca="false">IF(D1917="","",MAX(0,D1917-0.5*C1917))</f>
        <v>0</v>
      </c>
    </row>
    <row r="1918" customFormat="false" ht="15" hidden="false" customHeight="false" outlineLevel="0" collapsed="false">
      <c r="A1918" s="21" t="n">
        <v>46300</v>
      </c>
      <c r="B1918" s="22" t="n">
        <v>20</v>
      </c>
      <c r="C1918" s="25" t="n">
        <v>215.52</v>
      </c>
      <c r="D1918" s="25" t="n">
        <v>27.12</v>
      </c>
      <c r="E1918" s="25" t="n">
        <v>0</v>
      </c>
      <c r="F1918" s="22" t="n">
        <f aca="false">WEEKDAY(A1918,2)</f>
        <v>1</v>
      </c>
      <c r="G1918" s="22" t="str">
        <f aca="false">IF(F1918=7,IF(B1918&gt;=23,"C","Sin turno"),IF(B1918&lt;7,"C",IF(B1918&lt;14,"A",IF(B1918&lt;21,"B",IF(B1918&lt;23,"Entre turnos",IF(F1918=6,"Sin turno","C"))))))</f>
        <v>B</v>
      </c>
      <c r="H1918" s="25" t="n">
        <f aca="false">IF(D1918="","",MAX(0,D1918-0.5*C1918))</f>
        <v>0</v>
      </c>
    </row>
    <row r="1919" customFormat="false" ht="15" hidden="false" customHeight="false" outlineLevel="0" collapsed="false">
      <c r="A1919" s="21" t="n">
        <v>46300</v>
      </c>
      <c r="B1919" s="22" t="n">
        <v>21</v>
      </c>
      <c r="C1919" s="25" t="n">
        <v>145.44</v>
      </c>
      <c r="D1919" s="25" t="n">
        <v>20.52</v>
      </c>
      <c r="E1919" s="25" t="n">
        <v>0.24</v>
      </c>
      <c r="F1919" s="22" t="n">
        <f aca="false">WEEKDAY(A1919,2)</f>
        <v>1</v>
      </c>
      <c r="G1919" s="22" t="str">
        <f aca="false">IF(F1919=7,IF(B1919&gt;=23,"C","Sin turno"),IF(B1919&lt;7,"C",IF(B1919&lt;14,"A",IF(B1919&lt;21,"B",IF(B1919&lt;23,"Entre turnos",IF(F1919=6,"Sin turno","C"))))))</f>
        <v>Entre turnos</v>
      </c>
      <c r="H1919" s="25" t="n">
        <f aca="false">IF(D1919="","",MAX(0,D1919-0.5*C1919))</f>
        <v>0</v>
      </c>
    </row>
    <row r="1920" customFormat="false" ht="15" hidden="false" customHeight="false" outlineLevel="0" collapsed="false">
      <c r="A1920" s="21" t="n">
        <v>46300</v>
      </c>
      <c r="B1920" s="22" t="n">
        <v>22</v>
      </c>
      <c r="C1920" s="25" t="n">
        <v>102</v>
      </c>
      <c r="D1920" s="25" t="n">
        <v>18.96</v>
      </c>
      <c r="E1920" s="25" t="n">
        <v>0</v>
      </c>
      <c r="F1920" s="22" t="n">
        <f aca="false">WEEKDAY(A1920,2)</f>
        <v>1</v>
      </c>
      <c r="G1920" s="22" t="str">
        <f aca="false">IF(F1920=7,IF(B1920&gt;=23,"C","Sin turno"),IF(B1920&lt;7,"C",IF(B1920&lt;14,"A",IF(B1920&lt;21,"B",IF(B1920&lt;23,"Entre turnos",IF(F1920=6,"Sin turno","C"))))))</f>
        <v>Entre turnos</v>
      </c>
      <c r="H1920" s="25" t="n">
        <f aca="false">IF(D1920="","",MAX(0,D1920-0.5*C1920))</f>
        <v>0</v>
      </c>
    </row>
    <row r="1921" customFormat="false" ht="15" hidden="false" customHeight="false" outlineLevel="0" collapsed="false">
      <c r="A1921" s="21" t="n">
        <v>46300</v>
      </c>
      <c r="B1921" s="22" t="n">
        <v>23</v>
      </c>
      <c r="C1921" s="25" t="n">
        <v>103.68</v>
      </c>
      <c r="D1921" s="25" t="n">
        <v>20.16</v>
      </c>
      <c r="E1921" s="25" t="n">
        <v>0.12</v>
      </c>
      <c r="F1921" s="22" t="n">
        <f aca="false">WEEKDAY(A1921,2)</f>
        <v>1</v>
      </c>
      <c r="G1921" s="22" t="str">
        <f aca="false">IF(F1921=7,IF(B1921&gt;=23,"C","Sin turno"),IF(B1921&lt;7,"C",IF(B1921&lt;14,"A",IF(B1921&lt;21,"B",IF(B1921&lt;23,"Entre turnos",IF(F1921=6,"Sin turno","C"))))))</f>
        <v>C</v>
      </c>
      <c r="H1921" s="25" t="n">
        <f aca="false">IF(D1921="","",MAX(0,D1921-0.5*C1921))</f>
        <v>0</v>
      </c>
    </row>
    <row r="1922" customFormat="false" ht="15" hidden="false" customHeight="false" outlineLevel="0" collapsed="false">
      <c r="A1922" s="21" t="n">
        <v>46301</v>
      </c>
      <c r="B1922" s="22" t="n">
        <v>0</v>
      </c>
      <c r="C1922" s="25" t="n">
        <v>114.6</v>
      </c>
      <c r="D1922" s="25" t="n">
        <v>24.24</v>
      </c>
      <c r="E1922" s="25" t="n">
        <v>0.12</v>
      </c>
      <c r="F1922" s="22" t="n">
        <f aca="false">WEEKDAY(A1922,2)</f>
        <v>2</v>
      </c>
      <c r="G1922" s="22" t="str">
        <f aca="false">IF(F1922=7,IF(B1922&gt;=23,"C","Sin turno"),IF(B1922&lt;7,"C",IF(B1922&lt;14,"A",IF(B1922&lt;21,"B",IF(B1922&lt;23,"Entre turnos",IF(F1922=6,"Sin turno","C"))))))</f>
        <v>C</v>
      </c>
      <c r="H1922" s="25" t="n">
        <f aca="false">IF(D1922="","",MAX(0,D1922-0.5*C1922))</f>
        <v>0</v>
      </c>
    </row>
    <row r="1923" customFormat="false" ht="15" hidden="false" customHeight="false" outlineLevel="0" collapsed="false">
      <c r="A1923" s="21" t="n">
        <v>46301</v>
      </c>
      <c r="B1923" s="22" t="n">
        <v>1</v>
      </c>
      <c r="C1923" s="25" t="n">
        <v>116.4</v>
      </c>
      <c r="D1923" s="25" t="n">
        <v>25.44</v>
      </c>
      <c r="E1923" s="25" t="n">
        <v>0</v>
      </c>
      <c r="F1923" s="22" t="n">
        <f aca="false">WEEKDAY(A1923,2)</f>
        <v>2</v>
      </c>
      <c r="G1923" s="22" t="str">
        <f aca="false">IF(F1923=7,IF(B1923&gt;=23,"C","Sin turno"),IF(B1923&lt;7,"C",IF(B1923&lt;14,"A",IF(B1923&lt;21,"B",IF(B1923&lt;23,"Entre turnos",IF(F1923=6,"Sin turno","C"))))))</f>
        <v>C</v>
      </c>
      <c r="H1923" s="25" t="n">
        <f aca="false">IF(D1923="","",MAX(0,D1923-0.5*C1923))</f>
        <v>0</v>
      </c>
    </row>
    <row r="1924" customFormat="false" ht="15" hidden="false" customHeight="false" outlineLevel="0" collapsed="false">
      <c r="A1924" s="21" t="n">
        <v>46301</v>
      </c>
      <c r="B1924" s="22" t="n">
        <v>2</v>
      </c>
      <c r="C1924" s="25" t="n">
        <v>116.76</v>
      </c>
      <c r="D1924" s="25" t="n">
        <v>24.36</v>
      </c>
      <c r="E1924" s="25" t="n">
        <v>0</v>
      </c>
      <c r="F1924" s="22" t="n">
        <f aca="false">WEEKDAY(A1924,2)</f>
        <v>2</v>
      </c>
      <c r="G1924" s="22" t="str">
        <f aca="false">IF(F1924=7,IF(B1924&gt;=23,"C","Sin turno"),IF(B1924&lt;7,"C",IF(B1924&lt;14,"A",IF(B1924&lt;21,"B",IF(B1924&lt;23,"Entre turnos",IF(F1924=6,"Sin turno","C"))))))</f>
        <v>C</v>
      </c>
      <c r="H1924" s="25" t="n">
        <f aca="false">IF(D1924="","",MAX(0,D1924-0.5*C1924))</f>
        <v>0</v>
      </c>
    </row>
    <row r="1925" customFormat="false" ht="15" hidden="false" customHeight="false" outlineLevel="0" collapsed="false">
      <c r="A1925" s="21" t="n">
        <v>46301</v>
      </c>
      <c r="B1925" s="22" t="n">
        <v>3</v>
      </c>
      <c r="C1925" s="25" t="n">
        <v>114.84</v>
      </c>
      <c r="D1925" s="25" t="n">
        <v>22.56</v>
      </c>
      <c r="E1925" s="25" t="n">
        <v>0.12</v>
      </c>
      <c r="F1925" s="22" t="n">
        <f aca="false">WEEKDAY(A1925,2)</f>
        <v>2</v>
      </c>
      <c r="G1925" s="22" t="str">
        <f aca="false">IF(F1925=7,IF(B1925&gt;=23,"C","Sin turno"),IF(B1925&lt;7,"C",IF(B1925&lt;14,"A",IF(B1925&lt;21,"B",IF(B1925&lt;23,"Entre turnos",IF(F1925=6,"Sin turno","C"))))))</f>
        <v>C</v>
      </c>
      <c r="H1925" s="25" t="n">
        <f aca="false">IF(D1925="","",MAX(0,D1925-0.5*C1925))</f>
        <v>0</v>
      </c>
    </row>
    <row r="1926" customFormat="false" ht="15" hidden="false" customHeight="false" outlineLevel="0" collapsed="false">
      <c r="A1926" s="21" t="n">
        <v>46301</v>
      </c>
      <c r="B1926" s="22" t="n">
        <v>4</v>
      </c>
      <c r="C1926" s="25" t="n">
        <v>116.64</v>
      </c>
      <c r="D1926" s="25" t="n">
        <v>23.16</v>
      </c>
      <c r="E1926" s="25" t="n">
        <v>0</v>
      </c>
      <c r="F1926" s="22" t="n">
        <f aca="false">WEEKDAY(A1926,2)</f>
        <v>2</v>
      </c>
      <c r="G1926" s="22" t="str">
        <f aca="false">IF(F1926=7,IF(B1926&gt;=23,"C","Sin turno"),IF(B1926&lt;7,"C",IF(B1926&lt;14,"A",IF(B1926&lt;21,"B",IF(B1926&lt;23,"Entre turnos",IF(F1926=6,"Sin turno","C"))))))</f>
        <v>C</v>
      </c>
      <c r="H1926" s="25" t="n">
        <f aca="false">IF(D1926="","",MAX(0,D1926-0.5*C1926))</f>
        <v>0</v>
      </c>
    </row>
    <row r="1927" customFormat="false" ht="15" hidden="false" customHeight="false" outlineLevel="0" collapsed="false">
      <c r="A1927" s="21" t="n">
        <v>46301</v>
      </c>
      <c r="B1927" s="22" t="n">
        <v>5</v>
      </c>
      <c r="C1927" s="25" t="n">
        <v>124.56</v>
      </c>
      <c r="D1927" s="25" t="n">
        <v>22.8</v>
      </c>
      <c r="E1927" s="25" t="n">
        <v>0.12</v>
      </c>
      <c r="F1927" s="22" t="n">
        <f aca="false">WEEKDAY(A1927,2)</f>
        <v>2</v>
      </c>
      <c r="G1927" s="22" t="str">
        <f aca="false">IF(F1927=7,IF(B1927&gt;=23,"C","Sin turno"),IF(B1927&lt;7,"C",IF(B1927&lt;14,"A",IF(B1927&lt;21,"B",IF(B1927&lt;23,"Entre turnos",IF(F1927=6,"Sin turno","C"))))))</f>
        <v>C</v>
      </c>
      <c r="H1927" s="25" t="n">
        <f aca="false">IF(D1927="","",MAX(0,D1927-0.5*C1927))</f>
        <v>0</v>
      </c>
    </row>
    <row r="1928" customFormat="false" ht="15" hidden="false" customHeight="false" outlineLevel="0" collapsed="false">
      <c r="A1928" s="21" t="n">
        <v>46301</v>
      </c>
      <c r="B1928" s="22" t="n">
        <v>6</v>
      </c>
      <c r="C1928" s="25" t="n">
        <v>154.32</v>
      </c>
      <c r="D1928" s="25" t="n">
        <v>12.72</v>
      </c>
      <c r="E1928" s="25" t="n">
        <v>0.12</v>
      </c>
      <c r="F1928" s="22" t="n">
        <f aca="false">WEEKDAY(A1928,2)</f>
        <v>2</v>
      </c>
      <c r="G1928" s="22" t="str">
        <f aca="false">IF(F1928=7,IF(B1928&gt;=23,"C","Sin turno"),IF(B1928&lt;7,"C",IF(B1928&lt;14,"A",IF(B1928&lt;21,"B",IF(B1928&lt;23,"Entre turnos",IF(F1928=6,"Sin turno","C"))))))</f>
        <v>C</v>
      </c>
      <c r="H1928" s="25" t="n">
        <f aca="false">IF(D1928="","",MAX(0,D1928-0.5*C1928))</f>
        <v>0</v>
      </c>
    </row>
    <row r="1929" customFormat="false" ht="15" hidden="false" customHeight="false" outlineLevel="0" collapsed="false">
      <c r="A1929" s="21" t="n">
        <v>46301</v>
      </c>
      <c r="B1929" s="22" t="n">
        <v>7</v>
      </c>
      <c r="C1929" s="25" t="n">
        <v>239.88</v>
      </c>
      <c r="D1929" s="25" t="n">
        <v>24.12</v>
      </c>
      <c r="E1929" s="25" t="n">
        <v>0.12</v>
      </c>
      <c r="F1929" s="22" t="n">
        <f aca="false">WEEKDAY(A1929,2)</f>
        <v>2</v>
      </c>
      <c r="G1929" s="22" t="str">
        <f aca="false">IF(F1929=7,IF(B1929&gt;=23,"C","Sin turno"),IF(B1929&lt;7,"C",IF(B1929&lt;14,"A",IF(B1929&lt;21,"B",IF(B1929&lt;23,"Entre turnos",IF(F1929=6,"Sin turno","C"))))))</f>
        <v>A</v>
      </c>
      <c r="H1929" s="25" t="n">
        <f aca="false">IF(D1929="","",MAX(0,D1929-0.5*C1929))</f>
        <v>0</v>
      </c>
    </row>
    <row r="1930" customFormat="false" ht="15" hidden="false" customHeight="false" outlineLevel="0" collapsed="false">
      <c r="A1930" s="21" t="n">
        <v>46301</v>
      </c>
      <c r="B1930" s="22" t="n">
        <v>8</v>
      </c>
      <c r="C1930" s="25" t="n">
        <v>259.32</v>
      </c>
      <c r="D1930" s="25" t="n">
        <v>21.48</v>
      </c>
      <c r="E1930" s="25" t="n">
        <v>0.12</v>
      </c>
      <c r="F1930" s="22" t="n">
        <f aca="false">WEEKDAY(A1930,2)</f>
        <v>2</v>
      </c>
      <c r="G1930" s="22" t="str">
        <f aca="false">IF(F1930=7,IF(B1930&gt;=23,"C","Sin turno"),IF(B1930&lt;7,"C",IF(B1930&lt;14,"A",IF(B1930&lt;21,"B",IF(B1930&lt;23,"Entre turnos",IF(F1930=6,"Sin turno","C"))))))</f>
        <v>A</v>
      </c>
      <c r="H1930" s="25" t="n">
        <f aca="false">IF(D1930="","",MAX(0,D1930-0.5*C1930))</f>
        <v>0</v>
      </c>
    </row>
    <row r="1931" customFormat="false" ht="15" hidden="false" customHeight="false" outlineLevel="0" collapsed="false">
      <c r="A1931" s="21" t="n">
        <v>46301</v>
      </c>
      <c r="B1931" s="22" t="n">
        <v>9</v>
      </c>
      <c r="C1931" s="25" t="n">
        <v>259.92</v>
      </c>
      <c r="D1931" s="25" t="n">
        <v>19.56</v>
      </c>
      <c r="E1931" s="25" t="n">
        <v>0</v>
      </c>
      <c r="F1931" s="22" t="n">
        <f aca="false">WEEKDAY(A1931,2)</f>
        <v>2</v>
      </c>
      <c r="G1931" s="22" t="str">
        <f aca="false">IF(F1931=7,IF(B1931&gt;=23,"C","Sin turno"),IF(B1931&lt;7,"C",IF(B1931&lt;14,"A",IF(B1931&lt;21,"B",IF(B1931&lt;23,"Entre turnos",IF(F1931=6,"Sin turno","C"))))))</f>
        <v>A</v>
      </c>
      <c r="H1931" s="25" t="n">
        <f aca="false">IF(D1931="","",MAX(0,D1931-0.5*C1931))</f>
        <v>0</v>
      </c>
    </row>
    <row r="1932" customFormat="false" ht="15" hidden="false" customHeight="false" outlineLevel="0" collapsed="false">
      <c r="A1932" s="21" t="n">
        <v>46301</v>
      </c>
      <c r="B1932" s="22" t="n">
        <v>10</v>
      </c>
      <c r="C1932" s="25" t="n">
        <v>255.96</v>
      </c>
      <c r="D1932" s="25" t="n">
        <v>24.12</v>
      </c>
      <c r="E1932" s="25" t="n">
        <v>0</v>
      </c>
      <c r="F1932" s="22" t="n">
        <f aca="false">WEEKDAY(A1932,2)</f>
        <v>2</v>
      </c>
      <c r="G1932" s="22" t="str">
        <f aca="false">IF(F1932=7,IF(B1932&gt;=23,"C","Sin turno"),IF(B1932&lt;7,"C",IF(B1932&lt;14,"A",IF(B1932&lt;21,"B",IF(B1932&lt;23,"Entre turnos",IF(F1932=6,"Sin turno","C"))))))</f>
        <v>A</v>
      </c>
      <c r="H1932" s="25" t="n">
        <f aca="false">IF(D1932="","",MAX(0,D1932-0.5*C1932))</f>
        <v>0</v>
      </c>
    </row>
    <row r="1933" customFormat="false" ht="15" hidden="false" customHeight="false" outlineLevel="0" collapsed="false">
      <c r="A1933" s="21" t="n">
        <v>46301</v>
      </c>
      <c r="B1933" s="22" t="n">
        <v>11</v>
      </c>
      <c r="C1933" s="25" t="n">
        <v>253.2</v>
      </c>
      <c r="D1933" s="25" t="n">
        <v>23.28</v>
      </c>
      <c r="E1933" s="25" t="n">
        <v>0.12</v>
      </c>
      <c r="F1933" s="22" t="n">
        <f aca="false">WEEKDAY(A1933,2)</f>
        <v>2</v>
      </c>
      <c r="G1933" s="22" t="str">
        <f aca="false">IF(F1933=7,IF(B1933&gt;=23,"C","Sin turno"),IF(B1933&lt;7,"C",IF(B1933&lt;14,"A",IF(B1933&lt;21,"B",IF(B1933&lt;23,"Entre turnos",IF(F1933=6,"Sin turno","C"))))))</f>
        <v>A</v>
      </c>
      <c r="H1933" s="25" t="n">
        <f aca="false">IF(D1933="","",MAX(0,D1933-0.5*C1933))</f>
        <v>0</v>
      </c>
    </row>
    <row r="1934" customFormat="false" ht="15" hidden="false" customHeight="false" outlineLevel="0" collapsed="false">
      <c r="A1934" s="21" t="n">
        <v>46301</v>
      </c>
      <c r="B1934" s="22" t="n">
        <v>12</v>
      </c>
      <c r="C1934" s="25" t="n">
        <v>289.08</v>
      </c>
      <c r="D1934" s="25" t="n">
        <v>25.2</v>
      </c>
      <c r="E1934" s="25" t="n">
        <v>0.12</v>
      </c>
      <c r="F1934" s="22" t="n">
        <f aca="false">WEEKDAY(A1934,2)</f>
        <v>2</v>
      </c>
      <c r="G1934" s="22" t="str">
        <f aca="false">IF(F1934=7,IF(B1934&gt;=23,"C","Sin turno"),IF(B1934&lt;7,"C",IF(B1934&lt;14,"A",IF(B1934&lt;21,"B",IF(B1934&lt;23,"Entre turnos",IF(F1934=6,"Sin turno","C"))))))</f>
        <v>A</v>
      </c>
      <c r="H1934" s="25" t="n">
        <f aca="false">IF(D1934="","",MAX(0,D1934-0.5*C1934))</f>
        <v>0</v>
      </c>
    </row>
    <row r="1935" customFormat="false" ht="15" hidden="false" customHeight="false" outlineLevel="0" collapsed="false">
      <c r="A1935" s="21" t="n">
        <v>46301</v>
      </c>
      <c r="B1935" s="22" t="n">
        <v>13</v>
      </c>
      <c r="C1935" s="25" t="n">
        <v>263.28</v>
      </c>
      <c r="D1935" s="25" t="n">
        <v>21</v>
      </c>
      <c r="E1935" s="25" t="n">
        <v>0.12</v>
      </c>
      <c r="F1935" s="22" t="n">
        <f aca="false">WEEKDAY(A1935,2)</f>
        <v>2</v>
      </c>
      <c r="G1935" s="22" t="str">
        <f aca="false">IF(F1935=7,IF(B1935&gt;=23,"C","Sin turno"),IF(B1935&lt;7,"C",IF(B1935&lt;14,"A",IF(B1935&lt;21,"B",IF(B1935&lt;23,"Entre turnos",IF(F1935=6,"Sin turno","C"))))))</f>
        <v>A</v>
      </c>
      <c r="H1935" s="25" t="n">
        <f aca="false">IF(D1935="","",MAX(0,D1935-0.5*C1935))</f>
        <v>0</v>
      </c>
    </row>
    <row r="1936" customFormat="false" ht="15" hidden="false" customHeight="false" outlineLevel="0" collapsed="false">
      <c r="A1936" s="21" t="n">
        <v>46301</v>
      </c>
      <c r="B1936" s="22" t="n">
        <v>14</v>
      </c>
      <c r="C1936" s="25" t="n">
        <v>262.08</v>
      </c>
      <c r="D1936" s="25" t="n">
        <v>19.2</v>
      </c>
      <c r="E1936" s="25" t="n">
        <v>0</v>
      </c>
      <c r="F1936" s="22" t="n">
        <f aca="false">WEEKDAY(A1936,2)</f>
        <v>2</v>
      </c>
      <c r="G1936" s="22" t="str">
        <f aca="false">IF(F1936=7,IF(B1936&gt;=23,"C","Sin turno"),IF(B1936&lt;7,"C",IF(B1936&lt;14,"A",IF(B1936&lt;21,"B",IF(B1936&lt;23,"Entre turnos",IF(F1936=6,"Sin turno","C"))))))</f>
        <v>B</v>
      </c>
      <c r="H1936" s="25" t="n">
        <f aca="false">IF(D1936="","",MAX(0,D1936-0.5*C1936))</f>
        <v>0</v>
      </c>
    </row>
    <row r="1937" customFormat="false" ht="15" hidden="false" customHeight="false" outlineLevel="0" collapsed="false">
      <c r="A1937" s="21" t="n">
        <v>46301</v>
      </c>
      <c r="B1937" s="22" t="n">
        <v>15</v>
      </c>
      <c r="C1937" s="25" t="n">
        <v>263.28</v>
      </c>
      <c r="D1937" s="25" t="n">
        <v>19.68</v>
      </c>
      <c r="E1937" s="25" t="n">
        <v>0</v>
      </c>
      <c r="F1937" s="22" t="n">
        <f aca="false">WEEKDAY(A1937,2)</f>
        <v>2</v>
      </c>
      <c r="G1937" s="22" t="str">
        <f aca="false">IF(F1937=7,IF(B1937&gt;=23,"C","Sin turno"),IF(B1937&lt;7,"C",IF(B1937&lt;14,"A",IF(B1937&lt;21,"B",IF(B1937&lt;23,"Entre turnos",IF(F1937=6,"Sin turno","C"))))))</f>
        <v>B</v>
      </c>
      <c r="H1937" s="25" t="n">
        <f aca="false">IF(D1937="","",MAX(0,D1937-0.5*C1937))</f>
        <v>0</v>
      </c>
    </row>
    <row r="1938" customFormat="false" ht="15" hidden="false" customHeight="false" outlineLevel="0" collapsed="false">
      <c r="A1938" s="21" t="n">
        <v>46301</v>
      </c>
      <c r="B1938" s="22" t="n">
        <v>16</v>
      </c>
      <c r="C1938" s="25" t="n">
        <v>264</v>
      </c>
      <c r="D1938" s="25" t="n">
        <v>23.04</v>
      </c>
      <c r="E1938" s="25" t="n">
        <v>0.12</v>
      </c>
      <c r="F1938" s="22" t="n">
        <f aca="false">WEEKDAY(A1938,2)</f>
        <v>2</v>
      </c>
      <c r="G1938" s="22" t="str">
        <f aca="false">IF(F1938=7,IF(B1938&gt;=23,"C","Sin turno"),IF(B1938&lt;7,"C",IF(B1938&lt;14,"A",IF(B1938&lt;21,"B",IF(B1938&lt;23,"Entre turnos",IF(F1938=6,"Sin turno","C"))))))</f>
        <v>B</v>
      </c>
      <c r="H1938" s="25" t="n">
        <f aca="false">IF(D1938="","",MAX(0,D1938-0.5*C1938))</f>
        <v>0</v>
      </c>
    </row>
    <row r="1939" customFormat="false" ht="15" hidden="false" customHeight="false" outlineLevel="0" collapsed="false">
      <c r="A1939" s="21" t="n">
        <v>46301</v>
      </c>
      <c r="B1939" s="22" t="n">
        <v>17</v>
      </c>
      <c r="C1939" s="25" t="n">
        <v>251.4</v>
      </c>
      <c r="D1939" s="25" t="n">
        <v>23.16</v>
      </c>
      <c r="E1939" s="25" t="n">
        <v>0.12</v>
      </c>
      <c r="F1939" s="22" t="n">
        <f aca="false">WEEKDAY(A1939,2)</f>
        <v>2</v>
      </c>
      <c r="G1939" s="22" t="str">
        <f aca="false">IF(F1939=7,IF(B1939&gt;=23,"C","Sin turno"),IF(B1939&lt;7,"C",IF(B1939&lt;14,"A",IF(B1939&lt;21,"B",IF(B1939&lt;23,"Entre turnos",IF(F1939=6,"Sin turno","C"))))))</f>
        <v>B</v>
      </c>
      <c r="H1939" s="25" t="n">
        <f aca="false">IF(D1939="","",MAX(0,D1939-0.5*C1939))</f>
        <v>0</v>
      </c>
    </row>
    <row r="1940" customFormat="false" ht="15" hidden="false" customHeight="false" outlineLevel="0" collapsed="false">
      <c r="A1940" s="21" t="n">
        <v>46301</v>
      </c>
      <c r="B1940" s="22" t="n">
        <v>18</v>
      </c>
      <c r="C1940" s="25" t="n">
        <v>178.32</v>
      </c>
      <c r="D1940" s="25" t="n">
        <v>16.56</v>
      </c>
      <c r="E1940" s="25" t="n">
        <v>0.12</v>
      </c>
      <c r="F1940" s="22" t="n">
        <f aca="false">WEEKDAY(A1940,2)</f>
        <v>2</v>
      </c>
      <c r="G1940" s="22" t="str">
        <f aca="false">IF(F1940=7,IF(B1940&gt;=23,"C","Sin turno"),IF(B1940&lt;7,"C",IF(B1940&lt;14,"A",IF(B1940&lt;21,"B",IF(B1940&lt;23,"Entre turnos",IF(F1940=6,"Sin turno","C"))))))</f>
        <v>B</v>
      </c>
      <c r="H1940" s="25" t="n">
        <f aca="false">IF(D1940="","",MAX(0,D1940-0.5*C1940))</f>
        <v>0</v>
      </c>
    </row>
    <row r="1941" customFormat="false" ht="15" hidden="false" customHeight="false" outlineLevel="0" collapsed="false">
      <c r="A1941" s="21" t="n">
        <v>46301</v>
      </c>
      <c r="B1941" s="22" t="n">
        <v>19</v>
      </c>
      <c r="C1941" s="25" t="n">
        <v>178.32</v>
      </c>
      <c r="D1941" s="25" t="n">
        <v>15.36</v>
      </c>
      <c r="E1941" s="25" t="n">
        <v>0</v>
      </c>
      <c r="F1941" s="22" t="n">
        <f aca="false">WEEKDAY(A1941,2)</f>
        <v>2</v>
      </c>
      <c r="G1941" s="22" t="str">
        <f aca="false">IF(F1941=7,IF(B1941&gt;=23,"C","Sin turno"),IF(B1941&lt;7,"C",IF(B1941&lt;14,"A",IF(B1941&lt;21,"B",IF(B1941&lt;23,"Entre turnos",IF(F1941=6,"Sin turno","C"))))))</f>
        <v>B</v>
      </c>
      <c r="H1941" s="25" t="n">
        <f aca="false">IF(D1941="","",MAX(0,D1941-0.5*C1941))</f>
        <v>0</v>
      </c>
    </row>
    <row r="1942" customFormat="false" ht="15" hidden="false" customHeight="false" outlineLevel="0" collapsed="false">
      <c r="A1942" s="21" t="n">
        <v>46301</v>
      </c>
      <c r="B1942" s="22" t="n">
        <v>20</v>
      </c>
      <c r="C1942" s="25" t="n">
        <v>158.04</v>
      </c>
      <c r="D1942" s="25" t="n">
        <v>19.68</v>
      </c>
      <c r="E1942" s="25" t="n">
        <v>0.72</v>
      </c>
      <c r="F1942" s="22" t="n">
        <f aca="false">WEEKDAY(A1942,2)</f>
        <v>2</v>
      </c>
      <c r="G1942" s="22" t="str">
        <f aca="false">IF(F1942=7,IF(B1942&gt;=23,"C","Sin turno"),IF(B1942&lt;7,"C",IF(B1942&lt;14,"A",IF(B1942&lt;21,"B",IF(B1942&lt;23,"Entre turnos",IF(F1942=6,"Sin turno","C"))))))</f>
        <v>B</v>
      </c>
      <c r="H1942" s="25" t="n">
        <f aca="false">IF(D1942="","",MAX(0,D1942-0.5*C1942))</f>
        <v>0</v>
      </c>
    </row>
    <row r="1943" customFormat="false" ht="15" hidden="false" customHeight="false" outlineLevel="0" collapsed="false">
      <c r="A1943" s="21" t="n">
        <v>46301</v>
      </c>
      <c r="B1943" s="22" t="n">
        <v>21</v>
      </c>
      <c r="C1943" s="25" t="n">
        <v>113.28</v>
      </c>
      <c r="D1943" s="25" t="n">
        <v>14.52</v>
      </c>
      <c r="E1943" s="25" t="n">
        <v>0.24</v>
      </c>
      <c r="F1943" s="22" t="n">
        <f aca="false">WEEKDAY(A1943,2)</f>
        <v>2</v>
      </c>
      <c r="G1943" s="22" t="str">
        <f aca="false">IF(F1943=7,IF(B1943&gt;=23,"C","Sin turno"),IF(B1943&lt;7,"C",IF(B1943&lt;14,"A",IF(B1943&lt;21,"B",IF(B1943&lt;23,"Entre turnos",IF(F1943=6,"Sin turno","C"))))))</f>
        <v>Entre turnos</v>
      </c>
      <c r="H1943" s="25" t="n">
        <f aca="false">IF(D1943="","",MAX(0,D1943-0.5*C1943))</f>
        <v>0</v>
      </c>
    </row>
    <row r="1944" customFormat="false" ht="15" hidden="false" customHeight="false" outlineLevel="0" collapsed="false">
      <c r="A1944" s="21" t="n">
        <v>46301</v>
      </c>
      <c r="B1944" s="22" t="n">
        <v>22</v>
      </c>
      <c r="C1944" s="25" t="n">
        <v>99.24</v>
      </c>
      <c r="D1944" s="25" t="n">
        <v>9.48</v>
      </c>
      <c r="E1944" s="25" t="n">
        <v>0.6</v>
      </c>
      <c r="F1944" s="22" t="n">
        <f aca="false">WEEKDAY(A1944,2)</f>
        <v>2</v>
      </c>
      <c r="G1944" s="22" t="str">
        <f aca="false">IF(F1944=7,IF(B1944&gt;=23,"C","Sin turno"),IF(B1944&lt;7,"C",IF(B1944&lt;14,"A",IF(B1944&lt;21,"B",IF(B1944&lt;23,"Entre turnos",IF(F1944=6,"Sin turno","C"))))))</f>
        <v>Entre turnos</v>
      </c>
      <c r="H1944" s="25" t="n">
        <f aca="false">IF(D1944="","",MAX(0,D1944-0.5*C1944))</f>
        <v>0</v>
      </c>
    </row>
    <row r="1945" customFormat="false" ht="15" hidden="false" customHeight="false" outlineLevel="0" collapsed="false">
      <c r="A1945" s="21" t="n">
        <v>46301</v>
      </c>
      <c r="B1945" s="22" t="n">
        <v>23</v>
      </c>
      <c r="C1945" s="25" t="n">
        <v>91.92</v>
      </c>
      <c r="D1945" s="25" t="n">
        <v>10.56</v>
      </c>
      <c r="E1945" s="25" t="n">
        <v>0.84</v>
      </c>
      <c r="F1945" s="22" t="n">
        <f aca="false">WEEKDAY(A1945,2)</f>
        <v>2</v>
      </c>
      <c r="G1945" s="22" t="str">
        <f aca="false">IF(F1945=7,IF(B1945&gt;=23,"C","Sin turno"),IF(B1945&lt;7,"C",IF(B1945&lt;14,"A",IF(B1945&lt;21,"B",IF(B1945&lt;23,"Entre turnos",IF(F1945=6,"Sin turno","C"))))))</f>
        <v>C</v>
      </c>
      <c r="H1945" s="25" t="n">
        <f aca="false">IF(D1945="","",MAX(0,D1945-0.5*C1945))</f>
        <v>0</v>
      </c>
    </row>
    <row r="1946" customFormat="false" ht="15" hidden="false" customHeight="false" outlineLevel="0" collapsed="false">
      <c r="A1946" s="21" t="n">
        <v>46302</v>
      </c>
      <c r="B1946" s="22" t="n">
        <v>0</v>
      </c>
      <c r="C1946" s="25" t="n">
        <v>99.6</v>
      </c>
      <c r="D1946" s="25" t="n">
        <v>12.84</v>
      </c>
      <c r="E1946" s="25" t="n">
        <v>0.48</v>
      </c>
      <c r="F1946" s="22" t="n">
        <f aca="false">WEEKDAY(A1946,2)</f>
        <v>3</v>
      </c>
      <c r="G1946" s="22" t="str">
        <f aca="false">IF(F1946=7,IF(B1946&gt;=23,"C","Sin turno"),IF(B1946&lt;7,"C",IF(B1946&lt;14,"A",IF(B1946&lt;21,"B",IF(B1946&lt;23,"Entre turnos",IF(F1946=6,"Sin turno","C"))))))</f>
        <v>C</v>
      </c>
      <c r="H1946" s="25" t="n">
        <f aca="false">IF(D1946="","",MAX(0,D1946-0.5*C1946))</f>
        <v>0</v>
      </c>
    </row>
    <row r="1947" customFormat="false" ht="15" hidden="false" customHeight="false" outlineLevel="0" collapsed="false">
      <c r="A1947" s="21" t="n">
        <v>46302</v>
      </c>
      <c r="B1947" s="22" t="n">
        <v>1</v>
      </c>
      <c r="C1947" s="25" t="n">
        <v>100.2</v>
      </c>
      <c r="D1947" s="25"/>
      <c r="E1947" s="25"/>
      <c r="F1947" s="22" t="n">
        <f aca="false">WEEKDAY(A1947,2)</f>
        <v>3</v>
      </c>
      <c r="G1947" s="22" t="str">
        <f aca="false">IF(F1947=7,IF(B1947&gt;=23,"C","Sin turno"),IF(B1947&lt;7,"C",IF(B1947&lt;14,"A",IF(B1947&lt;21,"B",IF(B1947&lt;23,"Entre turnos",IF(F1947=6,"Sin turno","C"))))))</f>
        <v>C</v>
      </c>
      <c r="H1947" s="25" t="str">
        <f aca="false">IF(D1947="","",MAX(0,D1947-0.5*C1947))</f>
        <v/>
      </c>
    </row>
    <row r="1948" customFormat="false" ht="15" hidden="false" customHeight="false" outlineLevel="0" collapsed="false">
      <c r="A1948" s="21" t="n">
        <v>46302</v>
      </c>
      <c r="B1948" s="22" t="n">
        <v>2</v>
      </c>
      <c r="C1948" s="25" t="n">
        <v>99.48</v>
      </c>
      <c r="D1948" s="25"/>
      <c r="E1948" s="25"/>
      <c r="F1948" s="22" t="n">
        <f aca="false">WEEKDAY(A1948,2)</f>
        <v>3</v>
      </c>
      <c r="G1948" s="22" t="str">
        <f aca="false">IF(F1948=7,IF(B1948&gt;=23,"C","Sin turno"),IF(B1948&lt;7,"C",IF(B1948&lt;14,"A",IF(B1948&lt;21,"B",IF(B1948&lt;23,"Entre turnos",IF(F1948=6,"Sin turno","C"))))))</f>
        <v>C</v>
      </c>
      <c r="H1948" s="25" t="str">
        <f aca="false">IF(D1948="","",MAX(0,D1948-0.5*C1948))</f>
        <v/>
      </c>
    </row>
    <row r="1949" customFormat="false" ht="15" hidden="false" customHeight="false" outlineLevel="0" collapsed="false">
      <c r="A1949" s="21" t="n">
        <v>46302</v>
      </c>
      <c r="B1949" s="22" t="n">
        <v>3</v>
      </c>
      <c r="C1949" s="25" t="n">
        <v>98.64</v>
      </c>
      <c r="D1949" s="25"/>
      <c r="E1949" s="25"/>
      <c r="F1949" s="22" t="n">
        <f aca="false">WEEKDAY(A1949,2)</f>
        <v>3</v>
      </c>
      <c r="G1949" s="22" t="str">
        <f aca="false">IF(F1949=7,IF(B1949&gt;=23,"C","Sin turno"),IF(B1949&lt;7,"C",IF(B1949&lt;14,"A",IF(B1949&lt;21,"B",IF(B1949&lt;23,"Entre turnos",IF(F1949=6,"Sin turno","C"))))))</f>
        <v>C</v>
      </c>
      <c r="H1949" s="25" t="str">
        <f aca="false">IF(D1949="","",MAX(0,D1949-0.5*C1949))</f>
        <v/>
      </c>
    </row>
    <row r="1950" customFormat="false" ht="15" hidden="false" customHeight="false" outlineLevel="0" collapsed="false">
      <c r="A1950" s="21" t="n">
        <v>46302</v>
      </c>
      <c r="B1950" s="22" t="n">
        <v>4</v>
      </c>
      <c r="C1950" s="25" t="n">
        <v>99.72</v>
      </c>
      <c r="D1950" s="25"/>
      <c r="E1950" s="25"/>
      <c r="F1950" s="22" t="n">
        <f aca="false">WEEKDAY(A1950,2)</f>
        <v>3</v>
      </c>
      <c r="G1950" s="22" t="str">
        <f aca="false">IF(F1950=7,IF(B1950&gt;=23,"C","Sin turno"),IF(B1950&lt;7,"C",IF(B1950&lt;14,"A",IF(B1950&lt;21,"B",IF(B1950&lt;23,"Entre turnos",IF(F1950=6,"Sin turno","C"))))))</f>
        <v>C</v>
      </c>
      <c r="H1950" s="25" t="str">
        <f aca="false">IF(D1950="","",MAX(0,D1950-0.5*C1950))</f>
        <v/>
      </c>
    </row>
    <row r="1951" customFormat="false" ht="15" hidden="false" customHeight="false" outlineLevel="0" collapsed="false">
      <c r="A1951" s="21" t="n">
        <v>46302</v>
      </c>
      <c r="B1951" s="22" t="n">
        <v>5</v>
      </c>
      <c r="C1951" s="25" t="n">
        <v>105.24</v>
      </c>
      <c r="D1951" s="25"/>
      <c r="E1951" s="25"/>
      <c r="F1951" s="22" t="n">
        <f aca="false">WEEKDAY(A1951,2)</f>
        <v>3</v>
      </c>
      <c r="G1951" s="22" t="str">
        <f aca="false">IF(F1951=7,IF(B1951&gt;=23,"C","Sin turno"),IF(B1951&lt;7,"C",IF(B1951&lt;14,"A",IF(B1951&lt;21,"B",IF(B1951&lt;23,"Entre turnos",IF(F1951=6,"Sin turno","C"))))))</f>
        <v>C</v>
      </c>
      <c r="H1951" s="25" t="str">
        <f aca="false">IF(D1951="","",MAX(0,D1951-0.5*C1951))</f>
        <v/>
      </c>
    </row>
    <row r="1952" customFormat="false" ht="15" hidden="false" customHeight="false" outlineLevel="0" collapsed="false">
      <c r="A1952" s="21" t="n">
        <v>46302</v>
      </c>
      <c r="B1952" s="22" t="n">
        <v>6</v>
      </c>
      <c r="C1952" s="25" t="n">
        <v>138.12</v>
      </c>
      <c r="D1952" s="25"/>
      <c r="E1952" s="25"/>
      <c r="F1952" s="22" t="n">
        <f aca="false">WEEKDAY(A1952,2)</f>
        <v>3</v>
      </c>
      <c r="G1952" s="22" t="str">
        <f aca="false">IF(F1952=7,IF(B1952&gt;=23,"C","Sin turno"),IF(B1952&lt;7,"C",IF(B1952&lt;14,"A",IF(B1952&lt;21,"B",IF(B1952&lt;23,"Entre turnos",IF(F1952=6,"Sin turno","C"))))))</f>
        <v>C</v>
      </c>
      <c r="H1952" s="25" t="str">
        <f aca="false">IF(D1952="","",MAX(0,D1952-0.5*C1952))</f>
        <v/>
      </c>
    </row>
    <row r="1953" customFormat="false" ht="15" hidden="false" customHeight="false" outlineLevel="0" collapsed="false">
      <c r="A1953" s="21" t="n">
        <v>46302</v>
      </c>
      <c r="B1953" s="22" t="n">
        <v>7</v>
      </c>
      <c r="C1953" s="25" t="n">
        <v>209.28</v>
      </c>
      <c r="D1953" s="25"/>
      <c r="E1953" s="25"/>
      <c r="F1953" s="22" t="n">
        <f aca="false">WEEKDAY(A1953,2)</f>
        <v>3</v>
      </c>
      <c r="G1953" s="22" t="str">
        <f aca="false">IF(F1953=7,IF(B1953&gt;=23,"C","Sin turno"),IF(B1953&lt;7,"C",IF(B1953&lt;14,"A",IF(B1953&lt;21,"B",IF(B1953&lt;23,"Entre turnos",IF(F1953=6,"Sin turno","C"))))))</f>
        <v>A</v>
      </c>
      <c r="H1953" s="25" t="str">
        <f aca="false">IF(D1953="","",MAX(0,D1953-0.5*C1953))</f>
        <v/>
      </c>
    </row>
    <row r="1954" customFormat="false" ht="15" hidden="false" customHeight="false" outlineLevel="0" collapsed="false">
      <c r="A1954" s="21" t="n">
        <v>46302</v>
      </c>
      <c r="B1954" s="22" t="n">
        <v>8</v>
      </c>
      <c r="C1954" s="25" t="n">
        <v>229.32</v>
      </c>
      <c r="D1954" s="25"/>
      <c r="E1954" s="25"/>
      <c r="F1954" s="22" t="n">
        <f aca="false">WEEKDAY(A1954,2)</f>
        <v>3</v>
      </c>
      <c r="G1954" s="22" t="str">
        <f aca="false">IF(F1954=7,IF(B1954&gt;=23,"C","Sin turno"),IF(B1954&lt;7,"C",IF(B1954&lt;14,"A",IF(B1954&lt;21,"B",IF(B1954&lt;23,"Entre turnos",IF(F1954=6,"Sin turno","C"))))))</f>
        <v>A</v>
      </c>
      <c r="H1954" s="25" t="str">
        <f aca="false">IF(D1954="","",MAX(0,D1954-0.5*C1954))</f>
        <v/>
      </c>
    </row>
    <row r="1955" customFormat="false" ht="15" hidden="false" customHeight="false" outlineLevel="0" collapsed="false">
      <c r="A1955" s="21" t="n">
        <v>46302</v>
      </c>
      <c r="B1955" s="22" t="n">
        <v>9</v>
      </c>
      <c r="C1955" s="25" t="n">
        <v>235.2</v>
      </c>
      <c r="D1955" s="25"/>
      <c r="E1955" s="25"/>
      <c r="F1955" s="22" t="n">
        <f aca="false">WEEKDAY(A1955,2)</f>
        <v>3</v>
      </c>
      <c r="G1955" s="22" t="str">
        <f aca="false">IF(F1955=7,IF(B1955&gt;=23,"C","Sin turno"),IF(B1955&lt;7,"C",IF(B1955&lt;14,"A",IF(B1955&lt;21,"B",IF(B1955&lt;23,"Entre turnos",IF(F1955=6,"Sin turno","C"))))))</f>
        <v>A</v>
      </c>
      <c r="H1955" s="25" t="str">
        <f aca="false">IF(D1955="","",MAX(0,D1955-0.5*C1955))</f>
        <v/>
      </c>
    </row>
    <row r="1956" customFormat="false" ht="15" hidden="false" customHeight="false" outlineLevel="0" collapsed="false">
      <c r="A1956" s="21" t="n">
        <v>46302</v>
      </c>
      <c r="B1956" s="22" t="n">
        <v>10</v>
      </c>
      <c r="C1956" s="25" t="n">
        <v>227.52</v>
      </c>
      <c r="D1956" s="25"/>
      <c r="E1956" s="25"/>
      <c r="F1956" s="22" t="n">
        <f aca="false">WEEKDAY(A1956,2)</f>
        <v>3</v>
      </c>
      <c r="G1956" s="22" t="str">
        <f aca="false">IF(F1956=7,IF(B1956&gt;=23,"C","Sin turno"),IF(B1956&lt;7,"C",IF(B1956&lt;14,"A",IF(B1956&lt;21,"B",IF(B1956&lt;23,"Entre turnos",IF(F1956=6,"Sin turno","C"))))))</f>
        <v>A</v>
      </c>
      <c r="H1956" s="25" t="str">
        <f aca="false">IF(D1956="","",MAX(0,D1956-0.5*C1956))</f>
        <v/>
      </c>
    </row>
    <row r="1957" customFormat="false" ht="15" hidden="false" customHeight="false" outlineLevel="0" collapsed="false">
      <c r="A1957" s="21" t="n">
        <v>46302</v>
      </c>
      <c r="B1957" s="22" t="n">
        <v>11</v>
      </c>
      <c r="C1957" s="25" t="n">
        <v>244.32</v>
      </c>
      <c r="D1957" s="25"/>
      <c r="E1957" s="25"/>
      <c r="F1957" s="22" t="n">
        <f aca="false">WEEKDAY(A1957,2)</f>
        <v>3</v>
      </c>
      <c r="G1957" s="22" t="str">
        <f aca="false">IF(F1957=7,IF(B1957&gt;=23,"C","Sin turno"),IF(B1957&lt;7,"C",IF(B1957&lt;14,"A",IF(B1957&lt;21,"B",IF(B1957&lt;23,"Entre turnos",IF(F1957=6,"Sin turno","C"))))))</f>
        <v>A</v>
      </c>
      <c r="H1957" s="25" t="str">
        <f aca="false">IF(D1957="","",MAX(0,D1957-0.5*C1957))</f>
        <v/>
      </c>
    </row>
    <row r="1958" customFormat="false" ht="15" hidden="false" customHeight="false" outlineLevel="0" collapsed="false">
      <c r="A1958" s="21" t="n">
        <v>46302</v>
      </c>
      <c r="B1958" s="22" t="n">
        <v>12</v>
      </c>
      <c r="C1958" s="25" t="n">
        <v>265.44</v>
      </c>
      <c r="D1958" s="25"/>
      <c r="E1958" s="25"/>
      <c r="F1958" s="22" t="n">
        <f aca="false">WEEKDAY(A1958,2)</f>
        <v>3</v>
      </c>
      <c r="G1958" s="22" t="str">
        <f aca="false">IF(F1958=7,IF(B1958&gt;=23,"C","Sin turno"),IF(B1958&lt;7,"C",IF(B1958&lt;14,"A",IF(B1958&lt;21,"B",IF(B1958&lt;23,"Entre turnos",IF(F1958=6,"Sin turno","C"))))))</f>
        <v>A</v>
      </c>
      <c r="H1958" s="25" t="str">
        <f aca="false">IF(D1958="","",MAX(0,D1958-0.5*C1958))</f>
        <v/>
      </c>
    </row>
    <row r="1959" customFormat="false" ht="15" hidden="false" customHeight="false" outlineLevel="0" collapsed="false">
      <c r="A1959" s="21" t="n">
        <v>46302</v>
      </c>
      <c r="B1959" s="22" t="n">
        <v>13</v>
      </c>
      <c r="C1959" s="25" t="n">
        <v>260.16</v>
      </c>
      <c r="D1959" s="25"/>
      <c r="E1959" s="25"/>
      <c r="F1959" s="22" t="n">
        <f aca="false">WEEKDAY(A1959,2)</f>
        <v>3</v>
      </c>
      <c r="G1959" s="22" t="str">
        <f aca="false">IF(F1959=7,IF(B1959&gt;=23,"C","Sin turno"),IF(B1959&lt;7,"C",IF(B1959&lt;14,"A",IF(B1959&lt;21,"B",IF(B1959&lt;23,"Entre turnos",IF(F1959=6,"Sin turno","C"))))))</f>
        <v>A</v>
      </c>
      <c r="H1959" s="25" t="str">
        <f aca="false">IF(D1959="","",MAX(0,D1959-0.5*C1959))</f>
        <v/>
      </c>
    </row>
    <row r="1960" customFormat="false" ht="15" hidden="false" customHeight="false" outlineLevel="0" collapsed="false">
      <c r="A1960" s="21" t="n">
        <v>46302</v>
      </c>
      <c r="B1960" s="22" t="n">
        <v>14</v>
      </c>
      <c r="C1960" s="25" t="n">
        <v>250.32</v>
      </c>
      <c r="D1960" s="25"/>
      <c r="E1960" s="25"/>
      <c r="F1960" s="22" t="n">
        <f aca="false">WEEKDAY(A1960,2)</f>
        <v>3</v>
      </c>
      <c r="G1960" s="22" t="str">
        <f aca="false">IF(F1960=7,IF(B1960&gt;=23,"C","Sin turno"),IF(B1960&lt;7,"C",IF(B1960&lt;14,"A",IF(B1960&lt;21,"B",IF(B1960&lt;23,"Entre turnos",IF(F1960=6,"Sin turno","C"))))))</f>
        <v>B</v>
      </c>
      <c r="H1960" s="25" t="str">
        <f aca="false">IF(D1960="","",MAX(0,D1960-0.5*C1960))</f>
        <v/>
      </c>
    </row>
    <row r="1961" customFormat="false" ht="15" hidden="false" customHeight="false" outlineLevel="0" collapsed="false">
      <c r="A1961" s="21" t="n">
        <v>46302</v>
      </c>
      <c r="B1961" s="22" t="n">
        <v>15</v>
      </c>
      <c r="C1961" s="25" t="n">
        <v>266.4</v>
      </c>
      <c r="D1961" s="25"/>
      <c r="E1961" s="25"/>
      <c r="F1961" s="22" t="n">
        <f aca="false">WEEKDAY(A1961,2)</f>
        <v>3</v>
      </c>
      <c r="G1961" s="22" t="str">
        <f aca="false">IF(F1961=7,IF(B1961&gt;=23,"C","Sin turno"),IF(B1961&lt;7,"C",IF(B1961&lt;14,"A",IF(B1961&lt;21,"B",IF(B1961&lt;23,"Entre turnos",IF(F1961=6,"Sin turno","C"))))))</f>
        <v>B</v>
      </c>
      <c r="H1961" s="25" t="str">
        <f aca="false">IF(D1961="","",MAX(0,D1961-0.5*C1961))</f>
        <v/>
      </c>
    </row>
    <row r="1962" customFormat="false" ht="15" hidden="false" customHeight="false" outlineLevel="0" collapsed="false">
      <c r="A1962" s="21" t="n">
        <v>46302</v>
      </c>
      <c r="B1962" s="22" t="n">
        <v>16</v>
      </c>
      <c r="C1962" s="25" t="n">
        <v>276.36</v>
      </c>
      <c r="D1962" s="25"/>
      <c r="E1962" s="25"/>
      <c r="F1962" s="22" t="n">
        <f aca="false">WEEKDAY(A1962,2)</f>
        <v>3</v>
      </c>
      <c r="G1962" s="22" t="str">
        <f aca="false">IF(F1962=7,IF(B1962&gt;=23,"C","Sin turno"),IF(B1962&lt;7,"C",IF(B1962&lt;14,"A",IF(B1962&lt;21,"B",IF(B1962&lt;23,"Entre turnos",IF(F1962=6,"Sin turno","C"))))))</f>
        <v>B</v>
      </c>
      <c r="H1962" s="25" t="str">
        <f aca="false">IF(D1962="","",MAX(0,D1962-0.5*C1962))</f>
        <v/>
      </c>
    </row>
    <row r="1963" customFormat="false" ht="15" hidden="false" customHeight="false" outlineLevel="0" collapsed="false">
      <c r="A1963" s="21" t="n">
        <v>46302</v>
      </c>
      <c r="B1963" s="22" t="n">
        <v>17</v>
      </c>
      <c r="C1963" s="25" t="n">
        <v>210.96</v>
      </c>
      <c r="D1963" s="25"/>
      <c r="E1963" s="25"/>
      <c r="F1963" s="22" t="n">
        <f aca="false">WEEKDAY(A1963,2)</f>
        <v>3</v>
      </c>
      <c r="G1963" s="22" t="str">
        <f aca="false">IF(F1963=7,IF(B1963&gt;=23,"C","Sin turno"),IF(B1963&lt;7,"C",IF(B1963&lt;14,"A",IF(B1963&lt;21,"B",IF(B1963&lt;23,"Entre turnos",IF(F1963=6,"Sin turno","C"))))))</f>
        <v>B</v>
      </c>
      <c r="H1963" s="25" t="str">
        <f aca="false">IF(D1963="","",MAX(0,D1963-0.5*C1963))</f>
        <v/>
      </c>
    </row>
    <row r="1964" customFormat="false" ht="15" hidden="false" customHeight="false" outlineLevel="0" collapsed="false">
      <c r="A1964" s="21" t="n">
        <v>46302</v>
      </c>
      <c r="B1964" s="22" t="n">
        <v>18</v>
      </c>
      <c r="C1964" s="25" t="n">
        <v>183.36</v>
      </c>
      <c r="D1964" s="25"/>
      <c r="E1964" s="25"/>
      <c r="F1964" s="22" t="n">
        <f aca="false">WEEKDAY(A1964,2)</f>
        <v>3</v>
      </c>
      <c r="G1964" s="22" t="str">
        <f aca="false">IF(F1964=7,IF(B1964&gt;=23,"C","Sin turno"),IF(B1964&lt;7,"C",IF(B1964&lt;14,"A",IF(B1964&lt;21,"B",IF(B1964&lt;23,"Entre turnos",IF(F1964=6,"Sin turno","C"))))))</f>
        <v>B</v>
      </c>
      <c r="H1964" s="25" t="str">
        <f aca="false">IF(D1964="","",MAX(0,D1964-0.5*C1964))</f>
        <v/>
      </c>
    </row>
    <row r="1965" customFormat="false" ht="15" hidden="false" customHeight="false" outlineLevel="0" collapsed="false">
      <c r="A1965" s="21" t="n">
        <v>46302</v>
      </c>
      <c r="B1965" s="22" t="n">
        <v>19</v>
      </c>
      <c r="C1965" s="25" t="n">
        <v>181.2</v>
      </c>
      <c r="D1965" s="25"/>
      <c r="E1965" s="25"/>
      <c r="F1965" s="22" t="n">
        <f aca="false">WEEKDAY(A1965,2)</f>
        <v>3</v>
      </c>
      <c r="G1965" s="22" t="str">
        <f aca="false">IF(F1965=7,IF(B1965&gt;=23,"C","Sin turno"),IF(B1965&lt;7,"C",IF(B1965&lt;14,"A",IF(B1965&lt;21,"B",IF(B1965&lt;23,"Entre turnos",IF(F1965=6,"Sin turno","C"))))))</f>
        <v>B</v>
      </c>
      <c r="H1965" s="25" t="str">
        <f aca="false">IF(D1965="","",MAX(0,D1965-0.5*C1965))</f>
        <v/>
      </c>
    </row>
    <row r="1966" customFormat="false" ht="15" hidden="false" customHeight="false" outlineLevel="0" collapsed="false">
      <c r="A1966" s="21" t="n">
        <v>46302</v>
      </c>
      <c r="B1966" s="22" t="n">
        <v>20</v>
      </c>
      <c r="C1966" s="25" t="n">
        <v>169.92</v>
      </c>
      <c r="D1966" s="25"/>
      <c r="E1966" s="25"/>
      <c r="F1966" s="22" t="n">
        <f aca="false">WEEKDAY(A1966,2)</f>
        <v>3</v>
      </c>
      <c r="G1966" s="22" t="str">
        <f aca="false">IF(F1966=7,IF(B1966&gt;=23,"C","Sin turno"),IF(B1966&lt;7,"C",IF(B1966&lt;14,"A",IF(B1966&lt;21,"B",IF(B1966&lt;23,"Entre turnos",IF(F1966=6,"Sin turno","C"))))))</f>
        <v>B</v>
      </c>
      <c r="H1966" s="25" t="str">
        <f aca="false">IF(D1966="","",MAX(0,D1966-0.5*C1966))</f>
        <v/>
      </c>
    </row>
    <row r="1967" customFormat="false" ht="15" hidden="false" customHeight="false" outlineLevel="0" collapsed="false">
      <c r="A1967" s="21" t="n">
        <v>46302</v>
      </c>
      <c r="B1967" s="22" t="n">
        <v>21</v>
      </c>
      <c r="C1967" s="25" t="n">
        <v>120.48</v>
      </c>
      <c r="D1967" s="25"/>
      <c r="E1967" s="25"/>
      <c r="F1967" s="22" t="n">
        <f aca="false">WEEKDAY(A1967,2)</f>
        <v>3</v>
      </c>
      <c r="G1967" s="22" t="str">
        <f aca="false">IF(F1967=7,IF(B1967&gt;=23,"C","Sin turno"),IF(B1967&lt;7,"C",IF(B1967&lt;14,"A",IF(B1967&lt;21,"B",IF(B1967&lt;23,"Entre turnos",IF(F1967=6,"Sin turno","C"))))))</f>
        <v>Entre turnos</v>
      </c>
      <c r="H1967" s="25" t="str">
        <f aca="false">IF(D1967="","",MAX(0,D1967-0.5*C1967))</f>
        <v/>
      </c>
    </row>
    <row r="1968" customFormat="false" ht="15" hidden="false" customHeight="false" outlineLevel="0" collapsed="false">
      <c r="A1968" s="21" t="n">
        <v>46302</v>
      </c>
      <c r="B1968" s="22" t="n">
        <v>22</v>
      </c>
      <c r="C1968" s="25" t="n">
        <v>87.96</v>
      </c>
      <c r="D1968" s="25"/>
      <c r="E1968" s="25"/>
      <c r="F1968" s="22" t="n">
        <f aca="false">WEEKDAY(A1968,2)</f>
        <v>3</v>
      </c>
      <c r="G1968" s="22" t="str">
        <f aca="false">IF(F1968=7,IF(B1968&gt;=23,"C","Sin turno"),IF(B1968&lt;7,"C",IF(B1968&lt;14,"A",IF(B1968&lt;21,"B",IF(B1968&lt;23,"Entre turnos",IF(F1968=6,"Sin turno","C"))))))</f>
        <v>Entre turnos</v>
      </c>
      <c r="H1968" s="25" t="str">
        <f aca="false">IF(D1968="","",MAX(0,D1968-0.5*C1968))</f>
        <v/>
      </c>
    </row>
    <row r="1969" customFormat="false" ht="15" hidden="false" customHeight="false" outlineLevel="0" collapsed="false">
      <c r="A1969" s="21" t="n">
        <v>46302</v>
      </c>
      <c r="B1969" s="22" t="n">
        <v>23</v>
      </c>
      <c r="C1969" s="25" t="n">
        <v>84.48</v>
      </c>
      <c r="D1969" s="25"/>
      <c r="E1969" s="25"/>
      <c r="F1969" s="22" t="n">
        <f aca="false">WEEKDAY(A1969,2)</f>
        <v>3</v>
      </c>
      <c r="G1969" s="22" t="str">
        <f aca="false">IF(F1969=7,IF(B1969&gt;=23,"C","Sin turno"),IF(B1969&lt;7,"C",IF(B1969&lt;14,"A",IF(B1969&lt;21,"B",IF(B1969&lt;23,"Entre turnos",IF(F1969=6,"Sin turno","C"))))))</f>
        <v>C</v>
      </c>
      <c r="H1969" s="25" t="str">
        <f aca="false">IF(D1969="","",MAX(0,D1969-0.5*C1969))</f>
        <v/>
      </c>
    </row>
    <row r="1970" customFormat="false" ht="15" hidden="false" customHeight="false" outlineLevel="0" collapsed="false">
      <c r="A1970" s="21" t="n">
        <v>46303</v>
      </c>
      <c r="B1970" s="22" t="n">
        <v>0</v>
      </c>
      <c r="C1970" s="25" t="n">
        <v>95.76</v>
      </c>
      <c r="D1970" s="25"/>
      <c r="E1970" s="25"/>
      <c r="F1970" s="22" t="n">
        <f aca="false">WEEKDAY(A1970,2)</f>
        <v>4</v>
      </c>
      <c r="G1970" s="22" t="str">
        <f aca="false">IF(F1970=7,IF(B1970&gt;=23,"C","Sin turno"),IF(B1970&lt;7,"C",IF(B1970&lt;14,"A",IF(B1970&lt;21,"B",IF(B1970&lt;23,"Entre turnos",IF(F1970=6,"Sin turno","C"))))))</f>
        <v>C</v>
      </c>
      <c r="H1970" s="25" t="str">
        <f aca="false">IF(D1970="","",MAX(0,D1970-0.5*C1970))</f>
        <v/>
      </c>
    </row>
    <row r="1971" customFormat="false" ht="15" hidden="false" customHeight="false" outlineLevel="0" collapsed="false">
      <c r="A1971" s="21" t="n">
        <v>46303</v>
      </c>
      <c r="B1971" s="22" t="n">
        <v>1</v>
      </c>
      <c r="C1971" s="25" t="n">
        <v>92.88</v>
      </c>
      <c r="D1971" s="25"/>
      <c r="E1971" s="25"/>
      <c r="F1971" s="22" t="n">
        <f aca="false">WEEKDAY(A1971,2)</f>
        <v>4</v>
      </c>
      <c r="G1971" s="22" t="str">
        <f aca="false">IF(F1971=7,IF(B1971&gt;=23,"C","Sin turno"),IF(B1971&lt;7,"C",IF(B1971&lt;14,"A",IF(B1971&lt;21,"B",IF(B1971&lt;23,"Entre turnos",IF(F1971=6,"Sin turno","C"))))))</f>
        <v>C</v>
      </c>
      <c r="H1971" s="25" t="str">
        <f aca="false">IF(D1971="","",MAX(0,D1971-0.5*C1971))</f>
        <v/>
      </c>
    </row>
    <row r="1972" customFormat="false" ht="15" hidden="false" customHeight="false" outlineLevel="0" collapsed="false">
      <c r="A1972" s="21" t="n">
        <v>46303</v>
      </c>
      <c r="B1972" s="22" t="n">
        <v>2</v>
      </c>
      <c r="C1972" s="25" t="n">
        <v>96.96</v>
      </c>
      <c r="D1972" s="25"/>
      <c r="E1972" s="25"/>
      <c r="F1972" s="22" t="n">
        <f aca="false">WEEKDAY(A1972,2)</f>
        <v>4</v>
      </c>
      <c r="G1972" s="22" t="str">
        <f aca="false">IF(F1972=7,IF(B1972&gt;=23,"C","Sin turno"),IF(B1972&lt;7,"C",IF(B1972&lt;14,"A",IF(B1972&lt;21,"B",IF(B1972&lt;23,"Entre turnos",IF(F1972=6,"Sin turno","C"))))))</f>
        <v>C</v>
      </c>
      <c r="H1972" s="25" t="str">
        <f aca="false">IF(D1972="","",MAX(0,D1972-0.5*C1972))</f>
        <v/>
      </c>
    </row>
    <row r="1973" customFormat="false" ht="15" hidden="false" customHeight="false" outlineLevel="0" collapsed="false">
      <c r="A1973" s="21" t="n">
        <v>46303</v>
      </c>
      <c r="B1973" s="22" t="n">
        <v>3</v>
      </c>
      <c r="C1973" s="25" t="n">
        <v>99.36</v>
      </c>
      <c r="D1973" s="25"/>
      <c r="E1973" s="25"/>
      <c r="F1973" s="22" t="n">
        <f aca="false">WEEKDAY(A1973,2)</f>
        <v>4</v>
      </c>
      <c r="G1973" s="22" t="str">
        <f aca="false">IF(F1973=7,IF(B1973&gt;=23,"C","Sin turno"),IF(B1973&lt;7,"C",IF(B1973&lt;14,"A",IF(B1973&lt;21,"B",IF(B1973&lt;23,"Entre turnos",IF(F1973=6,"Sin turno","C"))))))</f>
        <v>C</v>
      </c>
      <c r="H1973" s="25" t="str">
        <f aca="false">IF(D1973="","",MAX(0,D1973-0.5*C1973))</f>
        <v/>
      </c>
    </row>
    <row r="1974" customFormat="false" ht="15" hidden="false" customHeight="false" outlineLevel="0" collapsed="false">
      <c r="A1974" s="21" t="n">
        <v>46303</v>
      </c>
      <c r="B1974" s="22" t="n">
        <v>4</v>
      </c>
      <c r="C1974" s="25" t="n">
        <v>103.32</v>
      </c>
      <c r="D1974" s="25"/>
      <c r="E1974" s="25"/>
      <c r="F1974" s="22" t="n">
        <f aca="false">WEEKDAY(A1974,2)</f>
        <v>4</v>
      </c>
      <c r="G1974" s="22" t="str">
        <f aca="false">IF(F1974=7,IF(B1974&gt;=23,"C","Sin turno"),IF(B1974&lt;7,"C",IF(B1974&lt;14,"A",IF(B1974&lt;21,"B",IF(B1974&lt;23,"Entre turnos",IF(F1974=6,"Sin turno","C"))))))</f>
        <v>C</v>
      </c>
      <c r="H1974" s="25" t="str">
        <f aca="false">IF(D1974="","",MAX(0,D1974-0.5*C1974))</f>
        <v/>
      </c>
    </row>
    <row r="1975" customFormat="false" ht="15" hidden="false" customHeight="false" outlineLevel="0" collapsed="false">
      <c r="A1975" s="21" t="n">
        <v>46303</v>
      </c>
      <c r="B1975" s="22" t="n">
        <v>5</v>
      </c>
      <c r="C1975" s="25" t="n">
        <v>109.92</v>
      </c>
      <c r="D1975" s="25"/>
      <c r="E1975" s="25"/>
      <c r="F1975" s="22" t="n">
        <f aca="false">WEEKDAY(A1975,2)</f>
        <v>4</v>
      </c>
      <c r="G1975" s="22" t="str">
        <f aca="false">IF(F1975=7,IF(B1975&gt;=23,"C","Sin turno"),IF(B1975&lt;7,"C",IF(B1975&lt;14,"A",IF(B1975&lt;21,"B",IF(B1975&lt;23,"Entre turnos",IF(F1975=6,"Sin turno","C"))))))</f>
        <v>C</v>
      </c>
      <c r="H1975" s="25" t="str">
        <f aca="false">IF(D1975="","",MAX(0,D1975-0.5*C1975))</f>
        <v/>
      </c>
    </row>
    <row r="1976" customFormat="false" ht="15" hidden="false" customHeight="false" outlineLevel="0" collapsed="false">
      <c r="A1976" s="21" t="n">
        <v>46303</v>
      </c>
      <c r="B1976" s="22" t="n">
        <v>6</v>
      </c>
      <c r="C1976" s="25" t="n">
        <v>134.16</v>
      </c>
      <c r="D1976" s="25"/>
      <c r="E1976" s="25"/>
      <c r="F1976" s="22" t="n">
        <f aca="false">WEEKDAY(A1976,2)</f>
        <v>4</v>
      </c>
      <c r="G1976" s="22" t="str">
        <f aca="false">IF(F1976=7,IF(B1976&gt;=23,"C","Sin turno"),IF(B1976&lt;7,"C",IF(B1976&lt;14,"A",IF(B1976&lt;21,"B",IF(B1976&lt;23,"Entre turnos",IF(F1976=6,"Sin turno","C"))))))</f>
        <v>C</v>
      </c>
      <c r="H1976" s="25" t="str">
        <f aca="false">IF(D1976="","",MAX(0,D1976-0.5*C1976))</f>
        <v/>
      </c>
    </row>
    <row r="1977" customFormat="false" ht="15" hidden="false" customHeight="false" outlineLevel="0" collapsed="false">
      <c r="A1977" s="21" t="n">
        <v>46303</v>
      </c>
      <c r="B1977" s="22" t="n">
        <v>7</v>
      </c>
      <c r="C1977" s="25" t="n">
        <v>216.72</v>
      </c>
      <c r="D1977" s="25"/>
      <c r="E1977" s="25"/>
      <c r="F1977" s="22" t="n">
        <f aca="false">WEEKDAY(A1977,2)</f>
        <v>4</v>
      </c>
      <c r="G1977" s="22" t="str">
        <f aca="false">IF(F1977=7,IF(B1977&gt;=23,"C","Sin turno"),IF(B1977&lt;7,"C",IF(B1977&lt;14,"A",IF(B1977&lt;21,"B",IF(B1977&lt;23,"Entre turnos",IF(F1977=6,"Sin turno","C"))))))</f>
        <v>A</v>
      </c>
      <c r="H1977" s="25" t="str">
        <f aca="false">IF(D1977="","",MAX(0,D1977-0.5*C1977))</f>
        <v/>
      </c>
    </row>
    <row r="1978" customFormat="false" ht="15" hidden="false" customHeight="false" outlineLevel="0" collapsed="false">
      <c r="A1978" s="21" t="n">
        <v>46303</v>
      </c>
      <c r="B1978" s="22" t="n">
        <v>8</v>
      </c>
      <c r="C1978" s="25" t="n">
        <v>252.84</v>
      </c>
      <c r="D1978" s="25"/>
      <c r="E1978" s="25"/>
      <c r="F1978" s="22" t="n">
        <f aca="false">WEEKDAY(A1978,2)</f>
        <v>4</v>
      </c>
      <c r="G1978" s="22" t="str">
        <f aca="false">IF(F1978=7,IF(B1978&gt;=23,"C","Sin turno"),IF(B1978&lt;7,"C",IF(B1978&lt;14,"A",IF(B1978&lt;21,"B",IF(B1978&lt;23,"Entre turnos",IF(F1978=6,"Sin turno","C"))))))</f>
        <v>A</v>
      </c>
      <c r="H1978" s="25" t="str">
        <f aca="false">IF(D1978="","",MAX(0,D1978-0.5*C1978))</f>
        <v/>
      </c>
    </row>
    <row r="1979" customFormat="false" ht="15" hidden="false" customHeight="false" outlineLevel="0" collapsed="false">
      <c r="A1979" s="21" t="n">
        <v>46303</v>
      </c>
      <c r="B1979" s="22" t="n">
        <v>9</v>
      </c>
      <c r="C1979" s="25" t="n">
        <v>259.56</v>
      </c>
      <c r="D1979" s="25"/>
      <c r="E1979" s="25"/>
      <c r="F1979" s="22" t="n">
        <f aca="false">WEEKDAY(A1979,2)</f>
        <v>4</v>
      </c>
      <c r="G1979" s="22" t="str">
        <f aca="false">IF(F1979=7,IF(B1979&gt;=23,"C","Sin turno"),IF(B1979&lt;7,"C",IF(B1979&lt;14,"A",IF(B1979&lt;21,"B",IF(B1979&lt;23,"Entre turnos",IF(F1979=6,"Sin turno","C"))))))</f>
        <v>A</v>
      </c>
      <c r="H1979" s="25" t="str">
        <f aca="false">IF(D1979="","",MAX(0,D1979-0.5*C1979))</f>
        <v/>
      </c>
    </row>
    <row r="1980" customFormat="false" ht="15" hidden="false" customHeight="false" outlineLevel="0" collapsed="false">
      <c r="A1980" s="21" t="n">
        <v>46303</v>
      </c>
      <c r="B1980" s="22" t="n">
        <v>10</v>
      </c>
      <c r="C1980" s="25" t="n">
        <v>259.68</v>
      </c>
      <c r="D1980" s="25"/>
      <c r="E1980" s="25"/>
      <c r="F1980" s="22" t="n">
        <f aca="false">WEEKDAY(A1980,2)</f>
        <v>4</v>
      </c>
      <c r="G1980" s="22" t="str">
        <f aca="false">IF(F1980=7,IF(B1980&gt;=23,"C","Sin turno"),IF(B1980&lt;7,"C",IF(B1980&lt;14,"A",IF(B1980&lt;21,"B",IF(B1980&lt;23,"Entre turnos",IF(F1980=6,"Sin turno","C"))))))</f>
        <v>A</v>
      </c>
      <c r="H1980" s="25" t="str">
        <f aca="false">IF(D1980="","",MAX(0,D1980-0.5*C1980))</f>
        <v/>
      </c>
    </row>
    <row r="1981" customFormat="false" ht="15" hidden="false" customHeight="false" outlineLevel="0" collapsed="false">
      <c r="A1981" s="21" t="n">
        <v>46303</v>
      </c>
      <c r="B1981" s="22" t="n">
        <v>11</v>
      </c>
      <c r="C1981" s="25" t="n">
        <v>259.8</v>
      </c>
      <c r="D1981" s="25"/>
      <c r="E1981" s="25"/>
      <c r="F1981" s="22" t="n">
        <f aca="false">WEEKDAY(A1981,2)</f>
        <v>4</v>
      </c>
      <c r="G1981" s="22" t="str">
        <f aca="false">IF(F1981=7,IF(B1981&gt;=23,"C","Sin turno"),IF(B1981&lt;7,"C",IF(B1981&lt;14,"A",IF(B1981&lt;21,"B",IF(B1981&lt;23,"Entre turnos",IF(F1981=6,"Sin turno","C"))))))</f>
        <v>A</v>
      </c>
      <c r="H1981" s="25" t="str">
        <f aca="false">IF(D1981="","",MAX(0,D1981-0.5*C1981))</f>
        <v/>
      </c>
    </row>
    <row r="1982" customFormat="false" ht="15" hidden="false" customHeight="false" outlineLevel="0" collapsed="false">
      <c r="A1982" s="21" t="n">
        <v>46303</v>
      </c>
      <c r="B1982" s="22" t="n">
        <v>12</v>
      </c>
      <c r="C1982" s="25" t="n">
        <v>302.76</v>
      </c>
      <c r="D1982" s="25"/>
      <c r="E1982" s="25"/>
      <c r="F1982" s="22" t="n">
        <f aca="false">WEEKDAY(A1982,2)</f>
        <v>4</v>
      </c>
      <c r="G1982" s="22" t="str">
        <f aca="false">IF(F1982=7,IF(B1982&gt;=23,"C","Sin turno"),IF(B1982&lt;7,"C",IF(B1982&lt;14,"A",IF(B1982&lt;21,"B",IF(B1982&lt;23,"Entre turnos",IF(F1982=6,"Sin turno","C"))))))</f>
        <v>A</v>
      </c>
      <c r="H1982" s="25" t="str">
        <f aca="false">IF(D1982="","",MAX(0,D1982-0.5*C1982))</f>
        <v/>
      </c>
    </row>
    <row r="1983" customFormat="false" ht="15" hidden="false" customHeight="false" outlineLevel="0" collapsed="false">
      <c r="A1983" s="21" t="n">
        <v>46303</v>
      </c>
      <c r="B1983" s="22" t="n">
        <v>13</v>
      </c>
      <c r="C1983" s="25" t="n">
        <v>285.84</v>
      </c>
      <c r="D1983" s="25"/>
      <c r="E1983" s="25"/>
      <c r="F1983" s="22" t="n">
        <f aca="false">WEEKDAY(A1983,2)</f>
        <v>4</v>
      </c>
      <c r="G1983" s="22" t="str">
        <f aca="false">IF(F1983=7,IF(B1983&gt;=23,"C","Sin turno"),IF(B1983&lt;7,"C",IF(B1983&lt;14,"A",IF(B1983&lt;21,"B",IF(B1983&lt;23,"Entre turnos",IF(F1983=6,"Sin turno","C"))))))</f>
        <v>A</v>
      </c>
      <c r="H1983" s="25" t="str">
        <f aca="false">IF(D1983="","",MAX(0,D1983-0.5*C1983))</f>
        <v/>
      </c>
    </row>
    <row r="1984" customFormat="false" ht="15" hidden="false" customHeight="false" outlineLevel="0" collapsed="false">
      <c r="A1984" s="21" t="n">
        <v>46303</v>
      </c>
      <c r="B1984" s="22" t="n">
        <v>14</v>
      </c>
      <c r="C1984" s="25" t="n">
        <v>278.88</v>
      </c>
      <c r="D1984" s="25"/>
      <c r="E1984" s="25"/>
      <c r="F1984" s="22" t="n">
        <f aca="false">WEEKDAY(A1984,2)</f>
        <v>4</v>
      </c>
      <c r="G1984" s="22" t="str">
        <f aca="false">IF(F1984=7,IF(B1984&gt;=23,"C","Sin turno"),IF(B1984&lt;7,"C",IF(B1984&lt;14,"A",IF(B1984&lt;21,"B",IF(B1984&lt;23,"Entre turnos",IF(F1984=6,"Sin turno","C"))))))</f>
        <v>B</v>
      </c>
      <c r="H1984" s="25" t="str">
        <f aca="false">IF(D1984="","",MAX(0,D1984-0.5*C1984))</f>
        <v/>
      </c>
    </row>
    <row r="1985" customFormat="false" ht="15" hidden="false" customHeight="false" outlineLevel="0" collapsed="false">
      <c r="A1985" s="21" t="n">
        <v>46303</v>
      </c>
      <c r="B1985" s="22" t="n">
        <v>15</v>
      </c>
      <c r="C1985" s="25" t="n">
        <v>268.68</v>
      </c>
      <c r="D1985" s="25"/>
      <c r="E1985" s="25"/>
      <c r="F1985" s="22" t="n">
        <f aca="false">WEEKDAY(A1985,2)</f>
        <v>4</v>
      </c>
      <c r="G1985" s="22" t="str">
        <f aca="false">IF(F1985=7,IF(B1985&gt;=23,"C","Sin turno"),IF(B1985&lt;7,"C",IF(B1985&lt;14,"A",IF(B1985&lt;21,"B",IF(B1985&lt;23,"Entre turnos",IF(F1985=6,"Sin turno","C"))))))</f>
        <v>B</v>
      </c>
      <c r="H1985" s="25" t="str">
        <f aca="false">IF(D1985="","",MAX(0,D1985-0.5*C1985))</f>
        <v/>
      </c>
    </row>
    <row r="1986" customFormat="false" ht="15" hidden="false" customHeight="false" outlineLevel="0" collapsed="false">
      <c r="A1986" s="21" t="n">
        <v>46303</v>
      </c>
      <c r="B1986" s="22" t="n">
        <v>16</v>
      </c>
      <c r="C1986" s="25" t="n">
        <v>253.68</v>
      </c>
      <c r="D1986" s="25"/>
      <c r="E1986" s="25"/>
      <c r="F1986" s="22" t="n">
        <f aca="false">WEEKDAY(A1986,2)</f>
        <v>4</v>
      </c>
      <c r="G1986" s="22" t="str">
        <f aca="false">IF(F1986=7,IF(B1986&gt;=23,"C","Sin turno"),IF(B1986&lt;7,"C",IF(B1986&lt;14,"A",IF(B1986&lt;21,"B",IF(B1986&lt;23,"Entre turnos",IF(F1986=6,"Sin turno","C"))))))</f>
        <v>B</v>
      </c>
      <c r="H1986" s="25" t="str">
        <f aca="false">IF(D1986="","",MAX(0,D1986-0.5*C1986))</f>
        <v/>
      </c>
    </row>
    <row r="1987" customFormat="false" ht="15" hidden="false" customHeight="false" outlineLevel="0" collapsed="false">
      <c r="A1987" s="21" t="n">
        <v>46303</v>
      </c>
      <c r="B1987" s="22" t="n">
        <v>17</v>
      </c>
      <c r="C1987" s="25" t="n">
        <v>210.48</v>
      </c>
      <c r="D1987" s="25"/>
      <c r="E1987" s="25"/>
      <c r="F1987" s="22" t="n">
        <f aca="false">WEEKDAY(A1987,2)</f>
        <v>4</v>
      </c>
      <c r="G1987" s="22" t="str">
        <f aca="false">IF(F1987=7,IF(B1987&gt;=23,"C","Sin turno"),IF(B1987&lt;7,"C",IF(B1987&lt;14,"A",IF(B1987&lt;21,"B",IF(B1987&lt;23,"Entre turnos",IF(F1987=6,"Sin turno","C"))))))</f>
        <v>B</v>
      </c>
      <c r="H1987" s="25" t="str">
        <f aca="false">IF(D1987="","",MAX(0,D1987-0.5*C1987))</f>
        <v/>
      </c>
    </row>
    <row r="1988" customFormat="false" ht="15" hidden="false" customHeight="false" outlineLevel="0" collapsed="false">
      <c r="A1988" s="21" t="n">
        <v>46303</v>
      </c>
      <c r="B1988" s="22" t="n">
        <v>18</v>
      </c>
      <c r="C1988" s="25" t="n">
        <v>183.84</v>
      </c>
      <c r="D1988" s="25"/>
      <c r="E1988" s="25"/>
      <c r="F1988" s="22" t="n">
        <f aca="false">WEEKDAY(A1988,2)</f>
        <v>4</v>
      </c>
      <c r="G1988" s="22" t="str">
        <f aca="false">IF(F1988=7,IF(B1988&gt;=23,"C","Sin turno"),IF(B1988&lt;7,"C",IF(B1988&lt;14,"A",IF(B1988&lt;21,"B",IF(B1988&lt;23,"Entre turnos",IF(F1988=6,"Sin turno","C"))))))</f>
        <v>B</v>
      </c>
      <c r="H1988" s="25" t="str">
        <f aca="false">IF(D1988="","",MAX(0,D1988-0.5*C1988))</f>
        <v/>
      </c>
    </row>
    <row r="1989" customFormat="false" ht="15" hidden="false" customHeight="false" outlineLevel="0" collapsed="false">
      <c r="A1989" s="21" t="n">
        <v>46303</v>
      </c>
      <c r="B1989" s="22" t="n">
        <v>19</v>
      </c>
      <c r="C1989" s="25" t="n">
        <v>190.2</v>
      </c>
      <c r="D1989" s="25"/>
      <c r="E1989" s="25"/>
      <c r="F1989" s="22" t="n">
        <f aca="false">WEEKDAY(A1989,2)</f>
        <v>4</v>
      </c>
      <c r="G1989" s="22" t="str">
        <f aca="false">IF(F1989=7,IF(B1989&gt;=23,"C","Sin turno"),IF(B1989&lt;7,"C",IF(B1989&lt;14,"A",IF(B1989&lt;21,"B",IF(B1989&lt;23,"Entre turnos",IF(F1989=6,"Sin turno","C"))))))</f>
        <v>B</v>
      </c>
      <c r="H1989" s="25" t="str">
        <f aca="false">IF(D1989="","",MAX(0,D1989-0.5*C1989))</f>
        <v/>
      </c>
    </row>
    <row r="1990" customFormat="false" ht="15" hidden="false" customHeight="false" outlineLevel="0" collapsed="false">
      <c r="A1990" s="21" t="n">
        <v>46303</v>
      </c>
      <c r="B1990" s="22" t="n">
        <v>20</v>
      </c>
      <c r="C1990" s="25" t="n">
        <v>186.84</v>
      </c>
      <c r="D1990" s="25"/>
      <c r="E1990" s="25"/>
      <c r="F1990" s="22" t="n">
        <f aca="false">WEEKDAY(A1990,2)</f>
        <v>4</v>
      </c>
      <c r="G1990" s="22" t="str">
        <f aca="false">IF(F1990=7,IF(B1990&gt;=23,"C","Sin turno"),IF(B1990&lt;7,"C",IF(B1990&lt;14,"A",IF(B1990&lt;21,"B",IF(B1990&lt;23,"Entre turnos",IF(F1990=6,"Sin turno","C"))))))</f>
        <v>B</v>
      </c>
      <c r="H1990" s="25" t="str">
        <f aca="false">IF(D1990="","",MAX(0,D1990-0.5*C1990))</f>
        <v/>
      </c>
    </row>
    <row r="1991" customFormat="false" ht="15" hidden="false" customHeight="false" outlineLevel="0" collapsed="false">
      <c r="A1991" s="21" t="n">
        <v>46303</v>
      </c>
      <c r="B1991" s="22" t="n">
        <v>21</v>
      </c>
      <c r="C1991" s="25" t="n">
        <v>129.96</v>
      </c>
      <c r="D1991" s="25"/>
      <c r="E1991" s="25"/>
      <c r="F1991" s="22" t="n">
        <f aca="false">WEEKDAY(A1991,2)</f>
        <v>4</v>
      </c>
      <c r="G1991" s="22" t="str">
        <f aca="false">IF(F1991=7,IF(B1991&gt;=23,"C","Sin turno"),IF(B1991&lt;7,"C",IF(B1991&lt;14,"A",IF(B1991&lt;21,"B",IF(B1991&lt;23,"Entre turnos",IF(F1991=6,"Sin turno","C"))))))</f>
        <v>Entre turnos</v>
      </c>
      <c r="H1991" s="25" t="str">
        <f aca="false">IF(D1991="","",MAX(0,D1991-0.5*C1991))</f>
        <v/>
      </c>
    </row>
    <row r="1992" customFormat="false" ht="15" hidden="false" customHeight="false" outlineLevel="0" collapsed="false">
      <c r="A1992" s="21" t="n">
        <v>46303</v>
      </c>
      <c r="B1992" s="22" t="n">
        <v>22</v>
      </c>
      <c r="C1992" s="25" t="n">
        <v>93.36</v>
      </c>
      <c r="D1992" s="25"/>
      <c r="E1992" s="25"/>
      <c r="F1992" s="22" t="n">
        <f aca="false">WEEKDAY(A1992,2)</f>
        <v>4</v>
      </c>
      <c r="G1992" s="22" t="str">
        <f aca="false">IF(F1992=7,IF(B1992&gt;=23,"C","Sin turno"),IF(B1992&lt;7,"C",IF(B1992&lt;14,"A",IF(B1992&lt;21,"B",IF(B1992&lt;23,"Entre turnos",IF(F1992=6,"Sin turno","C"))))))</f>
        <v>Entre turnos</v>
      </c>
      <c r="H1992" s="25" t="str">
        <f aca="false">IF(D1992="","",MAX(0,D1992-0.5*C1992))</f>
        <v/>
      </c>
    </row>
    <row r="1993" customFormat="false" ht="15" hidden="false" customHeight="false" outlineLevel="0" collapsed="false">
      <c r="A1993" s="21" t="n">
        <v>46303</v>
      </c>
      <c r="B1993" s="22" t="n">
        <v>23</v>
      </c>
      <c r="C1993" s="25" t="n">
        <v>90.12</v>
      </c>
      <c r="D1993" s="25"/>
      <c r="E1993" s="25"/>
      <c r="F1993" s="22" t="n">
        <f aca="false">WEEKDAY(A1993,2)</f>
        <v>4</v>
      </c>
      <c r="G1993" s="22" t="str">
        <f aca="false">IF(F1993=7,IF(B1993&gt;=23,"C","Sin turno"),IF(B1993&lt;7,"C",IF(B1993&lt;14,"A",IF(B1993&lt;21,"B",IF(B1993&lt;23,"Entre turnos",IF(F1993=6,"Sin turno","C"))))))</f>
        <v>C</v>
      </c>
      <c r="H1993" s="25" t="str">
        <f aca="false">IF(D1993="","",MAX(0,D1993-0.5*C1993))</f>
        <v/>
      </c>
    </row>
    <row r="1994" customFormat="false" ht="15" hidden="false" customHeight="false" outlineLevel="0" collapsed="false">
      <c r="A1994" s="21" t="n">
        <v>46304</v>
      </c>
      <c r="B1994" s="22" t="n">
        <v>0</v>
      </c>
      <c r="C1994" s="25" t="n">
        <v>107.88</v>
      </c>
      <c r="D1994" s="25"/>
      <c r="E1994" s="25"/>
      <c r="F1994" s="22" t="n">
        <f aca="false">WEEKDAY(A1994,2)</f>
        <v>5</v>
      </c>
      <c r="G1994" s="22" t="str">
        <f aca="false">IF(F1994=7,IF(B1994&gt;=23,"C","Sin turno"),IF(B1994&lt;7,"C",IF(B1994&lt;14,"A",IF(B1994&lt;21,"B",IF(B1994&lt;23,"Entre turnos",IF(F1994=6,"Sin turno","C"))))))</f>
        <v>C</v>
      </c>
      <c r="H1994" s="25" t="str">
        <f aca="false">IF(D1994="","",MAX(0,D1994-0.5*C1994))</f>
        <v/>
      </c>
    </row>
    <row r="1995" customFormat="false" ht="15" hidden="false" customHeight="false" outlineLevel="0" collapsed="false">
      <c r="A1995" s="21" t="n">
        <v>46304</v>
      </c>
      <c r="B1995" s="22" t="n">
        <v>1</v>
      </c>
      <c r="C1995" s="25" t="n">
        <v>104.28</v>
      </c>
      <c r="D1995" s="25"/>
      <c r="E1995" s="25"/>
      <c r="F1995" s="22" t="n">
        <f aca="false">WEEKDAY(A1995,2)</f>
        <v>5</v>
      </c>
      <c r="G1995" s="22" t="str">
        <f aca="false">IF(F1995=7,IF(B1995&gt;=23,"C","Sin turno"),IF(B1995&lt;7,"C",IF(B1995&lt;14,"A",IF(B1995&lt;21,"B",IF(B1995&lt;23,"Entre turnos",IF(F1995=6,"Sin turno","C"))))))</f>
        <v>C</v>
      </c>
      <c r="H1995" s="25" t="str">
        <f aca="false">IF(D1995="","",MAX(0,D1995-0.5*C1995))</f>
        <v/>
      </c>
    </row>
    <row r="1996" customFormat="false" ht="15" hidden="false" customHeight="false" outlineLevel="0" collapsed="false">
      <c r="A1996" s="21" t="n">
        <v>46304</v>
      </c>
      <c r="B1996" s="22" t="n">
        <v>2</v>
      </c>
      <c r="C1996" s="25" t="n">
        <v>106.08</v>
      </c>
      <c r="D1996" s="25"/>
      <c r="E1996" s="25"/>
      <c r="F1996" s="22" t="n">
        <f aca="false">WEEKDAY(A1996,2)</f>
        <v>5</v>
      </c>
      <c r="G1996" s="22" t="str">
        <f aca="false">IF(F1996=7,IF(B1996&gt;=23,"C","Sin turno"),IF(B1996&lt;7,"C",IF(B1996&lt;14,"A",IF(B1996&lt;21,"B",IF(B1996&lt;23,"Entre turnos",IF(F1996=6,"Sin turno","C"))))))</f>
        <v>C</v>
      </c>
      <c r="H1996" s="25" t="str">
        <f aca="false">IF(D1996="","",MAX(0,D1996-0.5*C1996))</f>
        <v/>
      </c>
    </row>
    <row r="1997" customFormat="false" ht="15" hidden="false" customHeight="false" outlineLevel="0" collapsed="false">
      <c r="A1997" s="21" t="n">
        <v>46304</v>
      </c>
      <c r="B1997" s="22" t="n">
        <v>3</v>
      </c>
      <c r="C1997" s="25" t="n">
        <v>106.44</v>
      </c>
      <c r="D1997" s="25"/>
      <c r="E1997" s="25"/>
      <c r="F1997" s="22" t="n">
        <f aca="false">WEEKDAY(A1997,2)</f>
        <v>5</v>
      </c>
      <c r="G1997" s="22" t="str">
        <f aca="false">IF(F1997=7,IF(B1997&gt;=23,"C","Sin turno"),IF(B1997&lt;7,"C",IF(B1997&lt;14,"A",IF(B1997&lt;21,"B",IF(B1997&lt;23,"Entre turnos",IF(F1997=6,"Sin turno","C"))))))</f>
        <v>C</v>
      </c>
      <c r="H1997" s="25" t="str">
        <f aca="false">IF(D1997="","",MAX(0,D1997-0.5*C1997))</f>
        <v/>
      </c>
    </row>
    <row r="1998" customFormat="false" ht="15" hidden="false" customHeight="false" outlineLevel="0" collapsed="false">
      <c r="A1998" s="21" t="n">
        <v>46304</v>
      </c>
      <c r="B1998" s="22" t="n">
        <v>4</v>
      </c>
      <c r="C1998" s="25" t="n">
        <v>99.84</v>
      </c>
      <c r="D1998" s="25"/>
      <c r="E1998" s="25"/>
      <c r="F1998" s="22" t="n">
        <f aca="false">WEEKDAY(A1998,2)</f>
        <v>5</v>
      </c>
      <c r="G1998" s="22" t="str">
        <f aca="false">IF(F1998=7,IF(B1998&gt;=23,"C","Sin turno"),IF(B1998&lt;7,"C",IF(B1998&lt;14,"A",IF(B1998&lt;21,"B",IF(B1998&lt;23,"Entre turnos",IF(F1998=6,"Sin turno","C"))))))</f>
        <v>C</v>
      </c>
      <c r="H1998" s="25" t="str">
        <f aca="false">IF(D1998="","",MAX(0,D1998-0.5*C1998))</f>
        <v/>
      </c>
    </row>
    <row r="1999" customFormat="false" ht="15" hidden="false" customHeight="false" outlineLevel="0" collapsed="false">
      <c r="A1999" s="21" t="n">
        <v>46304</v>
      </c>
      <c r="B1999" s="22" t="n">
        <v>5</v>
      </c>
      <c r="C1999" s="25" t="n">
        <v>116.76</v>
      </c>
      <c r="D1999" s="25"/>
      <c r="E1999" s="25"/>
      <c r="F1999" s="22" t="n">
        <f aca="false">WEEKDAY(A1999,2)</f>
        <v>5</v>
      </c>
      <c r="G1999" s="22" t="str">
        <f aca="false">IF(F1999=7,IF(B1999&gt;=23,"C","Sin turno"),IF(B1999&lt;7,"C",IF(B1999&lt;14,"A",IF(B1999&lt;21,"B",IF(B1999&lt;23,"Entre turnos",IF(F1999=6,"Sin turno","C"))))))</f>
        <v>C</v>
      </c>
      <c r="H1999" s="25" t="str">
        <f aca="false">IF(D1999="","",MAX(0,D1999-0.5*C1999))</f>
        <v/>
      </c>
    </row>
    <row r="2000" customFormat="false" ht="15" hidden="false" customHeight="false" outlineLevel="0" collapsed="false">
      <c r="A2000" s="21" t="n">
        <v>46304</v>
      </c>
      <c r="B2000" s="22" t="n">
        <v>6</v>
      </c>
      <c r="C2000" s="25" t="n">
        <v>144.84</v>
      </c>
      <c r="D2000" s="25"/>
      <c r="E2000" s="25"/>
      <c r="F2000" s="22" t="n">
        <f aca="false">WEEKDAY(A2000,2)</f>
        <v>5</v>
      </c>
      <c r="G2000" s="22" t="str">
        <f aca="false">IF(F2000=7,IF(B2000&gt;=23,"C","Sin turno"),IF(B2000&lt;7,"C",IF(B2000&lt;14,"A",IF(B2000&lt;21,"B",IF(B2000&lt;23,"Entre turnos",IF(F2000=6,"Sin turno","C"))))))</f>
        <v>C</v>
      </c>
      <c r="H2000" s="25" t="str">
        <f aca="false">IF(D2000="","",MAX(0,D2000-0.5*C2000))</f>
        <v/>
      </c>
    </row>
    <row r="2001" customFormat="false" ht="15" hidden="false" customHeight="false" outlineLevel="0" collapsed="false">
      <c r="A2001" s="21" t="n">
        <v>46304</v>
      </c>
      <c r="B2001" s="22" t="n">
        <v>7</v>
      </c>
      <c r="C2001" s="25" t="n">
        <v>258.96</v>
      </c>
      <c r="D2001" s="25"/>
      <c r="E2001" s="25"/>
      <c r="F2001" s="22" t="n">
        <f aca="false">WEEKDAY(A2001,2)</f>
        <v>5</v>
      </c>
      <c r="G2001" s="22" t="str">
        <f aca="false">IF(F2001=7,IF(B2001&gt;=23,"C","Sin turno"),IF(B2001&lt;7,"C",IF(B2001&lt;14,"A",IF(B2001&lt;21,"B",IF(B2001&lt;23,"Entre turnos",IF(F2001=6,"Sin turno","C"))))))</f>
        <v>A</v>
      </c>
      <c r="H2001" s="25" t="str">
        <f aca="false">IF(D2001="","",MAX(0,D2001-0.5*C2001))</f>
        <v/>
      </c>
    </row>
    <row r="2002" customFormat="false" ht="15" hidden="false" customHeight="false" outlineLevel="0" collapsed="false">
      <c r="A2002" s="21" t="n">
        <v>46304</v>
      </c>
      <c r="B2002" s="22" t="n">
        <v>8</v>
      </c>
      <c r="C2002" s="25" t="n">
        <v>289.68</v>
      </c>
      <c r="D2002" s="25"/>
      <c r="E2002" s="25"/>
      <c r="F2002" s="22" t="n">
        <f aca="false">WEEKDAY(A2002,2)</f>
        <v>5</v>
      </c>
      <c r="G2002" s="22" t="str">
        <f aca="false">IF(F2002=7,IF(B2002&gt;=23,"C","Sin turno"),IF(B2002&lt;7,"C",IF(B2002&lt;14,"A",IF(B2002&lt;21,"B",IF(B2002&lt;23,"Entre turnos",IF(F2002=6,"Sin turno","C"))))))</f>
        <v>A</v>
      </c>
      <c r="H2002" s="25" t="str">
        <f aca="false">IF(D2002="","",MAX(0,D2002-0.5*C2002))</f>
        <v/>
      </c>
    </row>
    <row r="2003" customFormat="false" ht="15" hidden="false" customHeight="false" outlineLevel="0" collapsed="false">
      <c r="A2003" s="21" t="n">
        <v>46304</v>
      </c>
      <c r="B2003" s="22" t="n">
        <v>9</v>
      </c>
      <c r="C2003" s="25" t="n">
        <v>292.32</v>
      </c>
      <c r="D2003" s="25"/>
      <c r="E2003" s="25"/>
      <c r="F2003" s="22" t="n">
        <f aca="false">WEEKDAY(A2003,2)</f>
        <v>5</v>
      </c>
      <c r="G2003" s="22" t="str">
        <f aca="false">IF(F2003=7,IF(B2003&gt;=23,"C","Sin turno"),IF(B2003&lt;7,"C",IF(B2003&lt;14,"A",IF(B2003&lt;21,"B",IF(B2003&lt;23,"Entre turnos",IF(F2003=6,"Sin turno","C"))))))</f>
        <v>A</v>
      </c>
      <c r="H2003" s="25" t="str">
        <f aca="false">IF(D2003="","",MAX(0,D2003-0.5*C2003))</f>
        <v/>
      </c>
    </row>
    <row r="2004" customFormat="false" ht="15" hidden="false" customHeight="false" outlineLevel="0" collapsed="false">
      <c r="A2004" s="21" t="n">
        <v>46304</v>
      </c>
      <c r="B2004" s="22" t="n">
        <v>10</v>
      </c>
      <c r="C2004" s="25" t="n">
        <v>285.72</v>
      </c>
      <c r="D2004" s="25"/>
      <c r="E2004" s="25"/>
      <c r="F2004" s="22" t="n">
        <f aca="false">WEEKDAY(A2004,2)</f>
        <v>5</v>
      </c>
      <c r="G2004" s="22" t="str">
        <f aca="false">IF(F2004=7,IF(B2004&gt;=23,"C","Sin turno"),IF(B2004&lt;7,"C",IF(B2004&lt;14,"A",IF(B2004&lt;21,"B",IF(B2004&lt;23,"Entre turnos",IF(F2004=6,"Sin turno","C"))))))</f>
        <v>A</v>
      </c>
      <c r="H2004" s="25" t="str">
        <f aca="false">IF(D2004="","",MAX(0,D2004-0.5*C2004))</f>
        <v/>
      </c>
    </row>
    <row r="2005" customFormat="false" ht="15" hidden="false" customHeight="false" outlineLevel="0" collapsed="false">
      <c r="A2005" s="21" t="n">
        <v>46304</v>
      </c>
      <c r="B2005" s="22" t="n">
        <v>11</v>
      </c>
      <c r="C2005" s="25" t="n">
        <v>271.08</v>
      </c>
      <c r="D2005" s="25"/>
      <c r="E2005" s="25"/>
      <c r="F2005" s="22" t="n">
        <f aca="false">WEEKDAY(A2005,2)</f>
        <v>5</v>
      </c>
      <c r="G2005" s="22" t="str">
        <f aca="false">IF(F2005=7,IF(B2005&gt;=23,"C","Sin turno"),IF(B2005&lt;7,"C",IF(B2005&lt;14,"A",IF(B2005&lt;21,"B",IF(B2005&lt;23,"Entre turnos",IF(F2005=6,"Sin turno","C"))))))</f>
        <v>A</v>
      </c>
      <c r="H2005" s="25" t="str">
        <f aca="false">IF(D2005="","",MAX(0,D2005-0.5*C2005))</f>
        <v/>
      </c>
    </row>
    <row r="2006" customFormat="false" ht="15" hidden="false" customHeight="false" outlineLevel="0" collapsed="false">
      <c r="A2006" s="21" t="n">
        <v>46304</v>
      </c>
      <c r="B2006" s="22" t="n">
        <v>12</v>
      </c>
      <c r="C2006" s="25" t="n">
        <v>288.12</v>
      </c>
      <c r="D2006" s="25"/>
      <c r="E2006" s="25"/>
      <c r="F2006" s="22" t="n">
        <f aca="false">WEEKDAY(A2006,2)</f>
        <v>5</v>
      </c>
      <c r="G2006" s="22" t="str">
        <f aca="false">IF(F2006=7,IF(B2006&gt;=23,"C","Sin turno"),IF(B2006&lt;7,"C",IF(B2006&lt;14,"A",IF(B2006&lt;21,"B",IF(B2006&lt;23,"Entre turnos",IF(F2006=6,"Sin turno","C"))))))</f>
        <v>A</v>
      </c>
      <c r="H2006" s="25" t="str">
        <f aca="false">IF(D2006="","",MAX(0,D2006-0.5*C2006))</f>
        <v/>
      </c>
    </row>
    <row r="2007" customFormat="false" ht="15" hidden="false" customHeight="false" outlineLevel="0" collapsed="false">
      <c r="A2007" s="21" t="n">
        <v>46304</v>
      </c>
      <c r="B2007" s="22" t="n">
        <v>13</v>
      </c>
      <c r="C2007" s="25" t="n">
        <v>295.92</v>
      </c>
      <c r="D2007" s="25"/>
      <c r="E2007" s="25"/>
      <c r="F2007" s="22" t="n">
        <f aca="false">WEEKDAY(A2007,2)</f>
        <v>5</v>
      </c>
      <c r="G2007" s="22" t="str">
        <f aca="false">IF(F2007=7,IF(B2007&gt;=23,"C","Sin turno"),IF(B2007&lt;7,"C",IF(B2007&lt;14,"A",IF(B2007&lt;21,"B",IF(B2007&lt;23,"Entre turnos",IF(F2007=6,"Sin turno","C"))))))</f>
        <v>A</v>
      </c>
      <c r="H2007" s="25" t="str">
        <f aca="false">IF(D2007="","",MAX(0,D2007-0.5*C2007))</f>
        <v/>
      </c>
    </row>
    <row r="2008" customFormat="false" ht="15" hidden="false" customHeight="false" outlineLevel="0" collapsed="false">
      <c r="A2008" s="21" t="n">
        <v>46304</v>
      </c>
      <c r="B2008" s="22" t="n">
        <v>14</v>
      </c>
      <c r="C2008" s="25" t="n">
        <v>288.84</v>
      </c>
      <c r="D2008" s="25"/>
      <c r="E2008" s="25"/>
      <c r="F2008" s="22" t="n">
        <f aca="false">WEEKDAY(A2008,2)</f>
        <v>5</v>
      </c>
      <c r="G2008" s="22" t="str">
        <f aca="false">IF(F2008=7,IF(B2008&gt;=23,"C","Sin turno"),IF(B2008&lt;7,"C",IF(B2008&lt;14,"A",IF(B2008&lt;21,"B",IF(B2008&lt;23,"Entre turnos",IF(F2008=6,"Sin turno","C"))))))</f>
        <v>B</v>
      </c>
      <c r="H2008" s="25" t="str">
        <f aca="false">IF(D2008="","",MAX(0,D2008-0.5*C2008))</f>
        <v/>
      </c>
    </row>
    <row r="2009" customFormat="false" ht="15" hidden="false" customHeight="false" outlineLevel="0" collapsed="false">
      <c r="A2009" s="21" t="n">
        <v>46304</v>
      </c>
      <c r="B2009" s="22" t="n">
        <v>15</v>
      </c>
      <c r="C2009" s="25" t="n">
        <v>301.2</v>
      </c>
      <c r="D2009" s="25"/>
      <c r="E2009" s="25"/>
      <c r="F2009" s="22" t="n">
        <f aca="false">WEEKDAY(A2009,2)</f>
        <v>5</v>
      </c>
      <c r="G2009" s="22" t="str">
        <f aca="false">IF(F2009=7,IF(B2009&gt;=23,"C","Sin turno"),IF(B2009&lt;7,"C",IF(B2009&lt;14,"A",IF(B2009&lt;21,"B",IF(B2009&lt;23,"Entre turnos",IF(F2009=6,"Sin turno","C"))))))</f>
        <v>B</v>
      </c>
      <c r="H2009" s="25" t="str">
        <f aca="false">IF(D2009="","",MAX(0,D2009-0.5*C2009))</f>
        <v/>
      </c>
    </row>
    <row r="2010" customFormat="false" ht="15" hidden="false" customHeight="false" outlineLevel="0" collapsed="false">
      <c r="A2010" s="21" t="n">
        <v>46304</v>
      </c>
      <c r="B2010" s="22" t="n">
        <v>16</v>
      </c>
      <c r="C2010" s="25" t="n">
        <v>295.2</v>
      </c>
      <c r="D2010" s="25"/>
      <c r="E2010" s="25"/>
      <c r="F2010" s="22" t="n">
        <f aca="false">WEEKDAY(A2010,2)</f>
        <v>5</v>
      </c>
      <c r="G2010" s="22" t="str">
        <f aca="false">IF(F2010=7,IF(B2010&gt;=23,"C","Sin turno"),IF(B2010&lt;7,"C",IF(B2010&lt;14,"A",IF(B2010&lt;21,"B",IF(B2010&lt;23,"Entre turnos",IF(F2010=6,"Sin turno","C"))))))</f>
        <v>B</v>
      </c>
      <c r="H2010" s="25" t="str">
        <f aca="false">IF(D2010="","",MAX(0,D2010-0.5*C2010))</f>
        <v/>
      </c>
    </row>
    <row r="2011" customFormat="false" ht="15" hidden="false" customHeight="false" outlineLevel="0" collapsed="false">
      <c r="A2011" s="21" t="n">
        <v>46304</v>
      </c>
      <c r="B2011" s="22" t="n">
        <v>17</v>
      </c>
      <c r="C2011" s="25" t="n">
        <v>241.08</v>
      </c>
      <c r="D2011" s="25"/>
      <c r="E2011" s="25"/>
      <c r="F2011" s="22" t="n">
        <f aca="false">WEEKDAY(A2011,2)</f>
        <v>5</v>
      </c>
      <c r="G2011" s="22" t="str">
        <f aca="false">IF(F2011=7,IF(B2011&gt;=23,"C","Sin turno"),IF(B2011&lt;7,"C",IF(B2011&lt;14,"A",IF(B2011&lt;21,"B",IF(B2011&lt;23,"Entre turnos",IF(F2011=6,"Sin turno","C"))))))</f>
        <v>B</v>
      </c>
      <c r="H2011" s="25" t="str">
        <f aca="false">IF(D2011="","",MAX(0,D2011-0.5*C2011))</f>
        <v/>
      </c>
    </row>
    <row r="2012" customFormat="false" ht="15" hidden="false" customHeight="false" outlineLevel="0" collapsed="false">
      <c r="A2012" s="21" t="n">
        <v>46304</v>
      </c>
      <c r="B2012" s="22" t="n">
        <v>18</v>
      </c>
      <c r="C2012" s="25" t="n">
        <v>191.04</v>
      </c>
      <c r="D2012" s="25"/>
      <c r="E2012" s="25"/>
      <c r="F2012" s="22" t="n">
        <f aca="false">WEEKDAY(A2012,2)</f>
        <v>5</v>
      </c>
      <c r="G2012" s="22" t="str">
        <f aca="false">IF(F2012=7,IF(B2012&gt;=23,"C","Sin turno"),IF(B2012&lt;7,"C",IF(B2012&lt;14,"A",IF(B2012&lt;21,"B",IF(B2012&lt;23,"Entre turnos",IF(F2012=6,"Sin turno","C"))))))</f>
        <v>B</v>
      </c>
      <c r="H2012" s="25" t="str">
        <f aca="false">IF(D2012="","",MAX(0,D2012-0.5*C2012))</f>
        <v/>
      </c>
    </row>
    <row r="2013" customFormat="false" ht="15" hidden="false" customHeight="false" outlineLevel="0" collapsed="false">
      <c r="A2013" s="21" t="n">
        <v>46304</v>
      </c>
      <c r="B2013" s="22" t="n">
        <v>19</v>
      </c>
      <c r="C2013" s="25" t="n">
        <v>198.12</v>
      </c>
      <c r="D2013" s="25"/>
      <c r="E2013" s="25"/>
      <c r="F2013" s="22" t="n">
        <f aca="false">WEEKDAY(A2013,2)</f>
        <v>5</v>
      </c>
      <c r="G2013" s="22" t="str">
        <f aca="false">IF(F2013=7,IF(B2013&gt;=23,"C","Sin turno"),IF(B2013&lt;7,"C",IF(B2013&lt;14,"A",IF(B2013&lt;21,"B",IF(B2013&lt;23,"Entre turnos",IF(F2013=6,"Sin turno","C"))))))</f>
        <v>B</v>
      </c>
      <c r="H2013" s="25" t="str">
        <f aca="false">IF(D2013="","",MAX(0,D2013-0.5*C2013))</f>
        <v/>
      </c>
    </row>
    <row r="2014" customFormat="false" ht="15" hidden="false" customHeight="false" outlineLevel="0" collapsed="false">
      <c r="A2014" s="21" t="n">
        <v>46304</v>
      </c>
      <c r="B2014" s="22" t="n">
        <v>20</v>
      </c>
      <c r="C2014" s="25" t="n">
        <v>201.36</v>
      </c>
      <c r="D2014" s="25"/>
      <c r="E2014" s="25"/>
      <c r="F2014" s="22" t="n">
        <f aca="false">WEEKDAY(A2014,2)</f>
        <v>5</v>
      </c>
      <c r="G2014" s="22" t="str">
        <f aca="false">IF(F2014=7,IF(B2014&gt;=23,"C","Sin turno"),IF(B2014&lt;7,"C",IF(B2014&lt;14,"A",IF(B2014&lt;21,"B",IF(B2014&lt;23,"Entre turnos",IF(F2014=6,"Sin turno","C"))))))</f>
        <v>B</v>
      </c>
      <c r="H2014" s="25" t="str">
        <f aca="false">IF(D2014="","",MAX(0,D2014-0.5*C2014))</f>
        <v/>
      </c>
    </row>
    <row r="2015" customFormat="false" ht="15" hidden="false" customHeight="false" outlineLevel="0" collapsed="false">
      <c r="A2015" s="21" t="n">
        <v>46304</v>
      </c>
      <c r="B2015" s="22" t="n">
        <v>21</v>
      </c>
      <c r="C2015" s="25" t="n">
        <v>127.68</v>
      </c>
      <c r="D2015" s="25"/>
      <c r="E2015" s="25"/>
      <c r="F2015" s="22" t="n">
        <f aca="false">WEEKDAY(A2015,2)</f>
        <v>5</v>
      </c>
      <c r="G2015" s="22" t="str">
        <f aca="false">IF(F2015=7,IF(B2015&gt;=23,"C","Sin turno"),IF(B2015&lt;7,"C",IF(B2015&lt;14,"A",IF(B2015&lt;21,"B",IF(B2015&lt;23,"Entre turnos",IF(F2015=6,"Sin turno","C"))))))</f>
        <v>Entre turnos</v>
      </c>
      <c r="H2015" s="25" t="str">
        <f aca="false">IF(D2015="","",MAX(0,D2015-0.5*C2015))</f>
        <v/>
      </c>
    </row>
    <row r="2016" customFormat="false" ht="15" hidden="false" customHeight="false" outlineLevel="0" collapsed="false">
      <c r="A2016" s="21" t="n">
        <v>46304</v>
      </c>
      <c r="B2016" s="22" t="n">
        <v>22</v>
      </c>
      <c r="C2016" s="25" t="n">
        <v>89.88</v>
      </c>
      <c r="D2016" s="25"/>
      <c r="E2016" s="25"/>
      <c r="F2016" s="22" t="n">
        <f aca="false">WEEKDAY(A2016,2)</f>
        <v>5</v>
      </c>
      <c r="G2016" s="22" t="str">
        <f aca="false">IF(F2016=7,IF(B2016&gt;=23,"C","Sin turno"),IF(B2016&lt;7,"C",IF(B2016&lt;14,"A",IF(B2016&lt;21,"B",IF(B2016&lt;23,"Entre turnos",IF(F2016=6,"Sin turno","C"))))))</f>
        <v>Entre turnos</v>
      </c>
      <c r="H2016" s="25" t="str">
        <f aca="false">IF(D2016="","",MAX(0,D2016-0.5*C2016))</f>
        <v/>
      </c>
    </row>
    <row r="2017" customFormat="false" ht="15" hidden="false" customHeight="false" outlineLevel="0" collapsed="false">
      <c r="A2017" s="21" t="n">
        <v>46304</v>
      </c>
      <c r="B2017" s="22" t="n">
        <v>23</v>
      </c>
      <c r="C2017" s="25" t="n">
        <v>92.04</v>
      </c>
      <c r="D2017" s="25"/>
      <c r="E2017" s="25"/>
      <c r="F2017" s="22" t="n">
        <f aca="false">WEEKDAY(A2017,2)</f>
        <v>5</v>
      </c>
      <c r="G2017" s="22" t="str">
        <f aca="false">IF(F2017=7,IF(B2017&gt;=23,"C","Sin turno"),IF(B2017&lt;7,"C",IF(B2017&lt;14,"A",IF(B2017&lt;21,"B",IF(B2017&lt;23,"Entre turnos",IF(F2017=6,"Sin turno","C"))))))</f>
        <v>C</v>
      </c>
      <c r="H2017" s="25" t="str">
        <f aca="false">IF(D2017="","",MAX(0,D2017-0.5*C2017))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7"/>
  </cols>
  <sheetData>
    <row r="1" customFormat="false" ht="15" hidden="false" customHeight="false" outlineLevel="0" collapsed="false">
      <c r="A1" s="10" t="s">
        <v>39</v>
      </c>
      <c r="B1" s="10" t="s">
        <v>11</v>
      </c>
      <c r="C1" s="10" t="s">
        <v>302</v>
      </c>
      <c r="D1" s="10" t="s">
        <v>396</v>
      </c>
      <c r="E1" s="10" t="s">
        <v>397</v>
      </c>
      <c r="G1" s="2" t="s">
        <v>398</v>
      </c>
    </row>
    <row r="2" customFormat="false" ht="15" hidden="false" customHeight="false" outlineLevel="0" collapsed="false">
      <c r="A2" s="21" t="n">
        <v>46027</v>
      </c>
      <c r="B2" s="22" t="s">
        <v>362</v>
      </c>
      <c r="C2" s="22" t="n">
        <v>1</v>
      </c>
      <c r="D2" s="41" t="n">
        <v>3354.2</v>
      </c>
      <c r="E2" s="22" t="n">
        <f aca="false">MONTH(A2)</f>
        <v>1</v>
      </c>
    </row>
    <row r="3" customFormat="false" ht="15" hidden="false" customHeight="false" outlineLevel="0" collapsed="false">
      <c r="A3" s="21" t="n">
        <v>46027</v>
      </c>
      <c r="B3" s="22" t="s">
        <v>186</v>
      </c>
      <c r="C3" s="22" t="n">
        <v>1</v>
      </c>
      <c r="D3" s="41" t="n">
        <v>4428.3</v>
      </c>
      <c r="E3" s="22" t="n">
        <f aca="false">MONTH(A3)</f>
        <v>1</v>
      </c>
    </row>
    <row r="4" customFormat="false" ht="15" hidden="false" customHeight="false" outlineLevel="0" collapsed="false">
      <c r="A4" s="21" t="n">
        <v>46027</v>
      </c>
      <c r="B4" s="22" t="s">
        <v>186</v>
      </c>
      <c r="C4" s="22" t="n">
        <v>2</v>
      </c>
      <c r="D4" s="41" t="n">
        <v>11579.75</v>
      </c>
      <c r="E4" s="22" t="n">
        <f aca="false">MONTH(A4)</f>
        <v>1</v>
      </c>
    </row>
    <row r="5" customFormat="false" ht="15" hidden="false" customHeight="false" outlineLevel="0" collapsed="false">
      <c r="A5" s="21" t="n">
        <v>46027</v>
      </c>
      <c r="B5" s="22" t="s">
        <v>375</v>
      </c>
      <c r="C5" s="22" t="n">
        <v>1</v>
      </c>
      <c r="D5" s="41" t="n">
        <v>8087.899</v>
      </c>
      <c r="E5" s="22" t="n">
        <f aca="false">MONTH(A5)</f>
        <v>1</v>
      </c>
    </row>
    <row r="6" customFormat="false" ht="15" hidden="false" customHeight="false" outlineLevel="0" collapsed="false">
      <c r="A6" s="21" t="n">
        <v>46027</v>
      </c>
      <c r="B6" s="22" t="s">
        <v>187</v>
      </c>
      <c r="C6" s="22" t="n">
        <v>1</v>
      </c>
      <c r="D6" s="41" t="n">
        <v>1843.92</v>
      </c>
      <c r="E6" s="22" t="n">
        <f aca="false">MONTH(A6)</f>
        <v>1</v>
      </c>
    </row>
    <row r="7" customFormat="false" ht="15" hidden="false" customHeight="false" outlineLevel="0" collapsed="false">
      <c r="A7" s="21" t="n">
        <v>46027</v>
      </c>
      <c r="B7" s="22" t="s">
        <v>189</v>
      </c>
      <c r="C7" s="22" t="n">
        <v>1</v>
      </c>
      <c r="D7" s="41" t="n">
        <v>16229.925</v>
      </c>
      <c r="E7" s="22" t="n">
        <f aca="false">MONTH(A7)</f>
        <v>1</v>
      </c>
    </row>
    <row r="8" customFormat="false" ht="15" hidden="false" customHeight="false" outlineLevel="0" collapsed="false">
      <c r="A8" s="21" t="n">
        <v>46027</v>
      </c>
      <c r="B8" s="22" t="s">
        <v>189</v>
      </c>
      <c r="C8" s="22" t="n">
        <v>2</v>
      </c>
      <c r="D8" s="41" t="n">
        <v>14393.475</v>
      </c>
      <c r="E8" s="22" t="n">
        <f aca="false">MONTH(A8)</f>
        <v>1</v>
      </c>
    </row>
    <row r="9" customFormat="false" ht="15" hidden="false" customHeight="false" outlineLevel="0" collapsed="false">
      <c r="A9" s="21" t="n">
        <v>46027</v>
      </c>
      <c r="B9" s="22" t="s">
        <v>359</v>
      </c>
      <c r="C9" s="22" t="n">
        <v>1</v>
      </c>
      <c r="D9" s="41" t="n">
        <v>2975.319</v>
      </c>
      <c r="E9" s="22" t="n">
        <f aca="false">MONTH(A9)</f>
        <v>1</v>
      </c>
    </row>
    <row r="10" customFormat="false" ht="15" hidden="false" customHeight="false" outlineLevel="0" collapsed="false">
      <c r="A10" s="21" t="n">
        <v>46028</v>
      </c>
      <c r="B10" s="22" t="s">
        <v>362</v>
      </c>
      <c r="C10" s="22" t="n">
        <v>1</v>
      </c>
      <c r="D10" s="41" t="n">
        <v>6820</v>
      </c>
      <c r="E10" s="22" t="n">
        <f aca="false">MONTH(A10)</f>
        <v>1</v>
      </c>
    </row>
    <row r="11" customFormat="false" ht="15" hidden="false" customHeight="false" outlineLevel="0" collapsed="false">
      <c r="A11" s="21" t="n">
        <v>46028</v>
      </c>
      <c r="B11" s="22" t="s">
        <v>186</v>
      </c>
      <c r="C11" s="22" t="n">
        <v>1</v>
      </c>
      <c r="D11" s="41" t="n">
        <v>12725</v>
      </c>
      <c r="E11" s="22" t="n">
        <f aca="false">MONTH(A11)</f>
        <v>1</v>
      </c>
    </row>
    <row r="12" customFormat="false" ht="15" hidden="false" customHeight="false" outlineLevel="0" collapsed="false">
      <c r="A12" s="21" t="n">
        <v>46028</v>
      </c>
      <c r="B12" s="22" t="s">
        <v>186</v>
      </c>
      <c r="C12" s="22" t="n">
        <v>2</v>
      </c>
      <c r="D12" s="41" t="n">
        <v>12890</v>
      </c>
      <c r="E12" s="22" t="n">
        <f aca="false">MONTH(A12)</f>
        <v>1</v>
      </c>
    </row>
    <row r="13" customFormat="false" ht="15" hidden="false" customHeight="false" outlineLevel="0" collapsed="false">
      <c r="A13" s="21" t="n">
        <v>46028</v>
      </c>
      <c r="B13" s="22" t="s">
        <v>375</v>
      </c>
      <c r="C13" s="22" t="n">
        <v>1</v>
      </c>
      <c r="D13" s="41" t="n">
        <v>12848.564</v>
      </c>
      <c r="E13" s="22" t="n">
        <f aca="false">MONTH(A13)</f>
        <v>1</v>
      </c>
    </row>
    <row r="14" customFormat="false" ht="15" hidden="false" customHeight="false" outlineLevel="0" collapsed="false">
      <c r="A14" s="21" t="n">
        <v>46028</v>
      </c>
      <c r="B14" s="22" t="s">
        <v>187</v>
      </c>
      <c r="C14" s="22" t="n">
        <v>1</v>
      </c>
      <c r="D14" s="41" t="n">
        <v>1746.602</v>
      </c>
      <c r="E14" s="22" t="n">
        <f aca="false">MONTH(A14)</f>
        <v>1</v>
      </c>
    </row>
    <row r="15" customFormat="false" ht="15" hidden="false" customHeight="false" outlineLevel="0" collapsed="false">
      <c r="A15" s="21" t="n">
        <v>46028</v>
      </c>
      <c r="B15" s="22" t="s">
        <v>189</v>
      </c>
      <c r="C15" s="22" t="n">
        <v>1</v>
      </c>
      <c r="D15" s="41" t="n">
        <v>15347.475</v>
      </c>
      <c r="E15" s="22" t="n">
        <f aca="false">MONTH(A15)</f>
        <v>1</v>
      </c>
    </row>
    <row r="16" customFormat="false" ht="15" hidden="false" customHeight="false" outlineLevel="0" collapsed="false">
      <c r="A16" s="21" t="n">
        <v>46028</v>
      </c>
      <c r="B16" s="22" t="s">
        <v>189</v>
      </c>
      <c r="C16" s="22" t="n">
        <v>2</v>
      </c>
      <c r="D16" s="41" t="n">
        <v>13415.625</v>
      </c>
      <c r="E16" s="22" t="n">
        <f aca="false">MONTH(A16)</f>
        <v>1</v>
      </c>
    </row>
    <row r="17" customFormat="false" ht="15" hidden="false" customHeight="false" outlineLevel="0" collapsed="false">
      <c r="A17" s="21" t="n">
        <v>46028</v>
      </c>
      <c r="B17" s="22" t="s">
        <v>359</v>
      </c>
      <c r="C17" s="22" t="n">
        <v>1</v>
      </c>
      <c r="D17" s="41" t="n">
        <v>3600.09</v>
      </c>
      <c r="E17" s="22" t="n">
        <f aca="false">MONTH(A17)</f>
        <v>1</v>
      </c>
    </row>
    <row r="18" customFormat="false" ht="15" hidden="false" customHeight="false" outlineLevel="0" collapsed="false">
      <c r="A18" s="21" t="n">
        <v>46029</v>
      </c>
      <c r="B18" s="22" t="s">
        <v>362</v>
      </c>
      <c r="C18" s="22" t="n">
        <v>1</v>
      </c>
      <c r="D18" s="41" t="n">
        <v>6169</v>
      </c>
      <c r="E18" s="22" t="n">
        <f aca="false">MONTH(A18)</f>
        <v>1</v>
      </c>
    </row>
    <row r="19" customFormat="false" ht="15" hidden="false" customHeight="false" outlineLevel="0" collapsed="false">
      <c r="A19" s="21" t="n">
        <v>46029</v>
      </c>
      <c r="B19" s="22" t="s">
        <v>186</v>
      </c>
      <c r="C19" s="22" t="n">
        <v>1</v>
      </c>
      <c r="D19" s="41" t="n">
        <v>8915.95</v>
      </c>
      <c r="E19" s="22" t="n">
        <f aca="false">MONTH(A19)</f>
        <v>1</v>
      </c>
    </row>
    <row r="20" customFormat="false" ht="15" hidden="false" customHeight="false" outlineLevel="0" collapsed="false">
      <c r="A20" s="21" t="n">
        <v>46029</v>
      </c>
      <c r="B20" s="22" t="s">
        <v>186</v>
      </c>
      <c r="C20" s="22" t="n">
        <v>2</v>
      </c>
      <c r="D20" s="41" t="n">
        <v>8258.525</v>
      </c>
      <c r="E20" s="22" t="n">
        <f aca="false">MONTH(A20)</f>
        <v>1</v>
      </c>
    </row>
    <row r="21" customFormat="false" ht="15" hidden="false" customHeight="false" outlineLevel="0" collapsed="false">
      <c r="A21" s="21" t="n">
        <v>46029</v>
      </c>
      <c r="B21" s="22" t="s">
        <v>375</v>
      </c>
      <c r="C21" s="22" t="n">
        <v>1</v>
      </c>
      <c r="D21" s="41" t="n">
        <v>13434.492</v>
      </c>
      <c r="E21" s="22" t="n">
        <f aca="false">MONTH(A21)</f>
        <v>1</v>
      </c>
    </row>
    <row r="22" customFormat="false" ht="15" hidden="false" customHeight="false" outlineLevel="0" collapsed="false">
      <c r="A22" s="21" t="n">
        <v>46029</v>
      </c>
      <c r="B22" s="22" t="s">
        <v>187</v>
      </c>
      <c r="C22" s="22" t="n">
        <v>1</v>
      </c>
      <c r="D22" s="41" t="n">
        <v>2133.313</v>
      </c>
      <c r="E22" s="22" t="n">
        <f aca="false">MONTH(A22)</f>
        <v>1</v>
      </c>
    </row>
    <row r="23" customFormat="false" ht="15" hidden="false" customHeight="false" outlineLevel="0" collapsed="false">
      <c r="A23" s="21" t="n">
        <v>46029</v>
      </c>
      <c r="B23" s="22" t="s">
        <v>189</v>
      </c>
      <c r="C23" s="22" t="n">
        <v>1</v>
      </c>
      <c r="D23" s="41" t="n">
        <v>7036.526</v>
      </c>
      <c r="E23" s="22" t="n">
        <f aca="false">MONTH(A23)</f>
        <v>1</v>
      </c>
    </row>
    <row r="24" customFormat="false" ht="15" hidden="false" customHeight="false" outlineLevel="0" collapsed="false">
      <c r="A24" s="21" t="n">
        <v>46029</v>
      </c>
      <c r="B24" s="22" t="s">
        <v>189</v>
      </c>
      <c r="C24" s="22" t="n">
        <v>2</v>
      </c>
      <c r="D24" s="41" t="n">
        <v>9004.488</v>
      </c>
      <c r="E24" s="22" t="n">
        <f aca="false">MONTH(A24)</f>
        <v>1</v>
      </c>
    </row>
    <row r="25" customFormat="false" ht="15" hidden="false" customHeight="false" outlineLevel="0" collapsed="false">
      <c r="A25" s="21" t="n">
        <v>46029</v>
      </c>
      <c r="B25" s="22" t="s">
        <v>359</v>
      </c>
      <c r="C25" s="22" t="n">
        <v>1</v>
      </c>
      <c r="D25" s="41" t="n">
        <v>2618.121</v>
      </c>
      <c r="E25" s="22" t="n">
        <f aca="false">MONTH(A25)</f>
        <v>1</v>
      </c>
    </row>
    <row r="26" customFormat="false" ht="15" hidden="false" customHeight="false" outlineLevel="0" collapsed="false">
      <c r="A26" s="21" t="n">
        <v>46030</v>
      </c>
      <c r="B26" s="22" t="s">
        <v>362</v>
      </c>
      <c r="C26" s="22" t="n">
        <v>1</v>
      </c>
      <c r="D26" s="41" t="n">
        <v>5404.602</v>
      </c>
      <c r="E26" s="22" t="n">
        <f aca="false">MONTH(A26)</f>
        <v>1</v>
      </c>
    </row>
    <row r="27" customFormat="false" ht="15" hidden="false" customHeight="false" outlineLevel="0" collapsed="false">
      <c r="A27" s="21" t="n">
        <v>46030</v>
      </c>
      <c r="B27" s="22" t="s">
        <v>186</v>
      </c>
      <c r="C27" s="22" t="n">
        <v>1</v>
      </c>
      <c r="D27" s="41" t="n">
        <v>4575.725</v>
      </c>
      <c r="E27" s="22" t="n">
        <f aca="false">MONTH(A27)</f>
        <v>1</v>
      </c>
    </row>
    <row r="28" customFormat="false" ht="15" hidden="false" customHeight="false" outlineLevel="0" collapsed="false">
      <c r="A28" s="21" t="n">
        <v>46030</v>
      </c>
      <c r="B28" s="22" t="s">
        <v>186</v>
      </c>
      <c r="C28" s="22" t="n">
        <v>2</v>
      </c>
      <c r="D28" s="41" t="n">
        <v>6947.616</v>
      </c>
      <c r="E28" s="22" t="n">
        <f aca="false">MONTH(A28)</f>
        <v>1</v>
      </c>
    </row>
    <row r="29" customFormat="false" ht="15" hidden="false" customHeight="false" outlineLevel="0" collapsed="false">
      <c r="A29" s="21" t="n">
        <v>46030</v>
      </c>
      <c r="B29" s="22" t="s">
        <v>375</v>
      </c>
      <c r="C29" s="22" t="n">
        <v>1</v>
      </c>
      <c r="D29" s="41" t="n">
        <v>10609.482</v>
      </c>
      <c r="E29" s="22" t="n">
        <f aca="false">MONTH(A29)</f>
        <v>1</v>
      </c>
    </row>
    <row r="30" customFormat="false" ht="15" hidden="false" customHeight="false" outlineLevel="0" collapsed="false">
      <c r="A30" s="21" t="n">
        <v>46030</v>
      </c>
      <c r="B30" s="22" t="s">
        <v>358</v>
      </c>
      <c r="C30" s="22" t="n">
        <v>1</v>
      </c>
      <c r="D30" s="41" t="n">
        <v>425.082</v>
      </c>
      <c r="E30" s="22" t="n">
        <f aca="false">MONTH(A30)</f>
        <v>1</v>
      </c>
    </row>
    <row r="31" customFormat="false" ht="15" hidden="false" customHeight="false" outlineLevel="0" collapsed="false">
      <c r="A31" s="21" t="n">
        <v>46030</v>
      </c>
      <c r="B31" s="22" t="s">
        <v>187</v>
      </c>
      <c r="C31" s="22" t="n">
        <v>1</v>
      </c>
      <c r="D31" s="41" t="n">
        <v>2504.658</v>
      </c>
      <c r="E31" s="22" t="n">
        <f aca="false">MONTH(A31)</f>
        <v>1</v>
      </c>
    </row>
    <row r="32" customFormat="false" ht="15" hidden="false" customHeight="false" outlineLevel="0" collapsed="false">
      <c r="A32" s="21" t="n">
        <v>46030</v>
      </c>
      <c r="B32" s="22" t="s">
        <v>189</v>
      </c>
      <c r="C32" s="22" t="n">
        <v>1</v>
      </c>
      <c r="D32" s="41" t="n">
        <v>9330.122</v>
      </c>
      <c r="E32" s="22" t="n">
        <f aca="false">MONTH(A32)</f>
        <v>1</v>
      </c>
    </row>
    <row r="33" customFormat="false" ht="15" hidden="false" customHeight="false" outlineLevel="0" collapsed="false">
      <c r="A33" s="21" t="n">
        <v>46030</v>
      </c>
      <c r="B33" s="22" t="s">
        <v>189</v>
      </c>
      <c r="C33" s="22" t="n">
        <v>2</v>
      </c>
      <c r="D33" s="41" t="n">
        <v>8508.958</v>
      </c>
      <c r="E33" s="22" t="n">
        <f aca="false">MONTH(A33)</f>
        <v>1</v>
      </c>
    </row>
    <row r="34" customFormat="false" ht="15" hidden="false" customHeight="false" outlineLevel="0" collapsed="false">
      <c r="A34" s="21" t="n">
        <v>46030</v>
      </c>
      <c r="B34" s="22" t="s">
        <v>359</v>
      </c>
      <c r="C34" s="22" t="n">
        <v>1</v>
      </c>
      <c r="D34" s="41" t="n">
        <v>2937.683</v>
      </c>
      <c r="E34" s="22" t="n">
        <f aca="false">MONTH(A34)</f>
        <v>1</v>
      </c>
    </row>
    <row r="35" customFormat="false" ht="15" hidden="false" customHeight="false" outlineLevel="0" collapsed="false">
      <c r="A35" s="21" t="n">
        <v>46031</v>
      </c>
      <c r="B35" s="22" t="s">
        <v>362</v>
      </c>
      <c r="C35" s="22" t="n">
        <v>1</v>
      </c>
      <c r="D35" s="41" t="n">
        <v>4523.148</v>
      </c>
      <c r="E35" s="22" t="n">
        <f aca="false">MONTH(A35)</f>
        <v>1</v>
      </c>
    </row>
    <row r="36" customFormat="false" ht="15" hidden="false" customHeight="false" outlineLevel="0" collapsed="false">
      <c r="A36" s="21" t="n">
        <v>46031</v>
      </c>
      <c r="B36" s="22" t="s">
        <v>186</v>
      </c>
      <c r="C36" s="22" t="n">
        <v>1</v>
      </c>
      <c r="D36" s="41" t="n">
        <v>8299.2</v>
      </c>
      <c r="E36" s="22" t="n">
        <f aca="false">MONTH(A36)</f>
        <v>1</v>
      </c>
    </row>
    <row r="37" customFormat="false" ht="15" hidden="false" customHeight="false" outlineLevel="0" collapsed="false">
      <c r="A37" s="21" t="n">
        <v>46031</v>
      </c>
      <c r="B37" s="22" t="s">
        <v>186</v>
      </c>
      <c r="C37" s="22" t="n">
        <v>2</v>
      </c>
      <c r="D37" s="41" t="n">
        <v>9982.752</v>
      </c>
      <c r="E37" s="22" t="n">
        <f aca="false">MONTH(A37)</f>
        <v>1</v>
      </c>
    </row>
    <row r="38" customFormat="false" ht="15" hidden="false" customHeight="false" outlineLevel="0" collapsed="false">
      <c r="A38" s="21" t="n">
        <v>46031</v>
      </c>
      <c r="B38" s="22" t="s">
        <v>375</v>
      </c>
      <c r="C38" s="22" t="n">
        <v>1</v>
      </c>
      <c r="D38" s="41" t="n">
        <v>12063.839</v>
      </c>
      <c r="E38" s="22" t="n">
        <f aca="false">MONTH(A38)</f>
        <v>1</v>
      </c>
    </row>
    <row r="39" customFormat="false" ht="15" hidden="false" customHeight="false" outlineLevel="0" collapsed="false">
      <c r="A39" s="21" t="n">
        <v>46031</v>
      </c>
      <c r="B39" s="22" t="s">
        <v>358</v>
      </c>
      <c r="C39" s="22" t="n">
        <v>1</v>
      </c>
      <c r="D39" s="41" t="n">
        <v>354.235</v>
      </c>
      <c r="E39" s="22" t="n">
        <f aca="false">MONTH(A39)</f>
        <v>1</v>
      </c>
    </row>
    <row r="40" customFormat="false" ht="15" hidden="false" customHeight="false" outlineLevel="0" collapsed="false">
      <c r="A40" s="21" t="n">
        <v>46031</v>
      </c>
      <c r="B40" s="22" t="s">
        <v>187</v>
      </c>
      <c r="C40" s="22" t="n">
        <v>1</v>
      </c>
      <c r="D40" s="41" t="n">
        <v>2151.24</v>
      </c>
      <c r="E40" s="22" t="n">
        <f aca="false">MONTH(A40)</f>
        <v>1</v>
      </c>
    </row>
    <row r="41" customFormat="false" ht="15" hidden="false" customHeight="false" outlineLevel="0" collapsed="false">
      <c r="A41" s="21" t="n">
        <v>46031</v>
      </c>
      <c r="B41" s="22" t="s">
        <v>189</v>
      </c>
      <c r="C41" s="22" t="n">
        <v>1</v>
      </c>
      <c r="D41" s="41" t="n">
        <v>8112.534</v>
      </c>
      <c r="E41" s="22" t="n">
        <f aca="false">MONTH(A41)</f>
        <v>1</v>
      </c>
    </row>
    <row r="42" customFormat="false" ht="15" hidden="false" customHeight="false" outlineLevel="0" collapsed="false">
      <c r="A42" s="21" t="n">
        <v>46031</v>
      </c>
      <c r="B42" s="22" t="s">
        <v>189</v>
      </c>
      <c r="C42" s="22" t="n">
        <v>2</v>
      </c>
      <c r="D42" s="41" t="n">
        <v>9032.804</v>
      </c>
      <c r="E42" s="22" t="n">
        <f aca="false">MONTH(A42)</f>
        <v>1</v>
      </c>
    </row>
    <row r="43" customFormat="false" ht="15" hidden="false" customHeight="false" outlineLevel="0" collapsed="false">
      <c r="A43" s="21" t="n">
        <v>46031</v>
      </c>
      <c r="B43" s="22" t="s">
        <v>359</v>
      </c>
      <c r="C43" s="22" t="n">
        <v>1</v>
      </c>
      <c r="D43" s="41" t="n">
        <v>3818.919</v>
      </c>
      <c r="E43" s="22" t="n">
        <f aca="false">MONTH(A43)</f>
        <v>1</v>
      </c>
    </row>
    <row r="44" customFormat="false" ht="15" hidden="false" customHeight="false" outlineLevel="0" collapsed="false">
      <c r="A44" s="21" t="n">
        <v>46032</v>
      </c>
      <c r="B44" s="22" t="s">
        <v>362</v>
      </c>
      <c r="C44" s="22" t="n">
        <v>1</v>
      </c>
      <c r="D44" s="41" t="n">
        <v>3392.361</v>
      </c>
      <c r="E44" s="22" t="n">
        <f aca="false">MONTH(A44)</f>
        <v>1</v>
      </c>
    </row>
    <row r="45" customFormat="false" ht="15" hidden="false" customHeight="false" outlineLevel="0" collapsed="false">
      <c r="A45" s="21" t="n">
        <v>46032</v>
      </c>
      <c r="B45" s="22" t="s">
        <v>186</v>
      </c>
      <c r="C45" s="22" t="n">
        <v>1</v>
      </c>
      <c r="D45" s="41" t="n">
        <v>2632.032</v>
      </c>
      <c r="E45" s="22" t="n">
        <f aca="false">MONTH(A45)</f>
        <v>1</v>
      </c>
    </row>
    <row r="46" customFormat="false" ht="15" hidden="false" customHeight="false" outlineLevel="0" collapsed="false">
      <c r="A46" s="21" t="n">
        <v>46032</v>
      </c>
      <c r="B46" s="22" t="s">
        <v>186</v>
      </c>
      <c r="C46" s="22" t="n">
        <v>2</v>
      </c>
      <c r="D46" s="41" t="n">
        <v>3663.504</v>
      </c>
      <c r="E46" s="22" t="n">
        <f aca="false">MONTH(A46)</f>
        <v>1</v>
      </c>
    </row>
    <row r="47" customFormat="false" ht="15" hidden="false" customHeight="false" outlineLevel="0" collapsed="false">
      <c r="A47" s="21" t="n">
        <v>46032</v>
      </c>
      <c r="B47" s="22" t="s">
        <v>375</v>
      </c>
      <c r="C47" s="22" t="n">
        <v>1</v>
      </c>
      <c r="D47" s="41" t="n">
        <v>3201.678</v>
      </c>
      <c r="E47" s="22" t="n">
        <f aca="false">MONTH(A47)</f>
        <v>1</v>
      </c>
    </row>
    <row r="48" customFormat="false" ht="15" hidden="false" customHeight="false" outlineLevel="0" collapsed="false">
      <c r="A48" s="21" t="n">
        <v>46032</v>
      </c>
      <c r="B48" s="22" t="s">
        <v>187</v>
      </c>
      <c r="C48" s="22" t="n">
        <v>1</v>
      </c>
      <c r="D48" s="41" t="n">
        <v>645.372</v>
      </c>
      <c r="E48" s="22" t="n">
        <f aca="false">MONTH(A48)</f>
        <v>1</v>
      </c>
    </row>
    <row r="49" customFormat="false" ht="15" hidden="false" customHeight="false" outlineLevel="0" collapsed="false">
      <c r="A49" s="21" t="n">
        <v>46032</v>
      </c>
      <c r="B49" s="22" t="s">
        <v>189</v>
      </c>
      <c r="C49" s="22" t="n">
        <v>1</v>
      </c>
      <c r="D49" s="41" t="n">
        <v>2236.964</v>
      </c>
      <c r="E49" s="22" t="n">
        <f aca="false">MONTH(A49)</f>
        <v>1</v>
      </c>
    </row>
    <row r="50" customFormat="false" ht="15" hidden="false" customHeight="false" outlineLevel="0" collapsed="false">
      <c r="A50" s="21" t="n">
        <v>46032</v>
      </c>
      <c r="B50" s="22" t="s">
        <v>189</v>
      </c>
      <c r="C50" s="22" t="n">
        <v>2</v>
      </c>
      <c r="D50" s="41" t="n">
        <v>2845.758</v>
      </c>
      <c r="E50" s="22" t="n">
        <f aca="false">MONTH(A50)</f>
        <v>1</v>
      </c>
    </row>
    <row r="51" customFormat="false" ht="15" hidden="false" customHeight="false" outlineLevel="0" collapsed="false">
      <c r="A51" s="21" t="n">
        <v>46032</v>
      </c>
      <c r="B51" s="22" t="s">
        <v>359</v>
      </c>
      <c r="C51" s="22" t="n">
        <v>1</v>
      </c>
      <c r="D51" s="41" t="n">
        <v>1284.738</v>
      </c>
      <c r="E51" s="22" t="n">
        <f aca="false">MONTH(A51)</f>
        <v>1</v>
      </c>
    </row>
    <row r="52" customFormat="false" ht="15" hidden="false" customHeight="false" outlineLevel="0" collapsed="false">
      <c r="A52" s="21" t="n">
        <v>46035</v>
      </c>
      <c r="B52" s="22" t="s">
        <v>186</v>
      </c>
      <c r="C52" s="22" t="n">
        <v>2</v>
      </c>
      <c r="D52" s="41" t="n">
        <v>6711.883</v>
      </c>
      <c r="E52" s="22" t="n">
        <f aca="false">MONTH(A52)</f>
        <v>1</v>
      </c>
    </row>
    <row r="53" customFormat="false" ht="15" hidden="false" customHeight="false" outlineLevel="0" collapsed="false">
      <c r="A53" s="21" t="n">
        <v>46035</v>
      </c>
      <c r="B53" s="22" t="s">
        <v>375</v>
      </c>
      <c r="C53" s="22" t="n">
        <v>1</v>
      </c>
      <c r="D53" s="41" t="n">
        <v>12576.526</v>
      </c>
      <c r="E53" s="22" t="n">
        <f aca="false">MONTH(A53)</f>
        <v>1</v>
      </c>
    </row>
    <row r="54" customFormat="false" ht="15" hidden="false" customHeight="false" outlineLevel="0" collapsed="false">
      <c r="A54" s="21" t="n">
        <v>46035</v>
      </c>
      <c r="B54" s="22" t="s">
        <v>375</v>
      </c>
      <c r="C54" s="22" t="n">
        <v>2</v>
      </c>
      <c r="D54" s="41" t="n">
        <v>9887.535</v>
      </c>
      <c r="E54" s="22" t="n">
        <f aca="false">MONTH(A54)</f>
        <v>1</v>
      </c>
    </row>
    <row r="55" customFormat="false" ht="15" hidden="false" customHeight="false" outlineLevel="0" collapsed="false">
      <c r="A55" s="21" t="n">
        <v>46035</v>
      </c>
      <c r="B55" s="22" t="s">
        <v>187</v>
      </c>
      <c r="C55" s="22" t="n">
        <v>1</v>
      </c>
      <c r="D55" s="41" t="n">
        <v>2292.095</v>
      </c>
      <c r="E55" s="22" t="n">
        <f aca="false">MONTH(A55)</f>
        <v>1</v>
      </c>
    </row>
    <row r="56" customFormat="false" ht="15" hidden="false" customHeight="false" outlineLevel="0" collapsed="false">
      <c r="A56" s="21" t="n">
        <v>46035</v>
      </c>
      <c r="B56" s="22" t="s">
        <v>187</v>
      </c>
      <c r="C56" s="22" t="n">
        <v>2</v>
      </c>
      <c r="D56" s="41" t="n">
        <v>2161.484</v>
      </c>
      <c r="E56" s="22" t="n">
        <f aca="false">MONTH(A56)</f>
        <v>1</v>
      </c>
    </row>
    <row r="57" customFormat="false" ht="15" hidden="false" customHeight="false" outlineLevel="0" collapsed="false">
      <c r="A57" s="21" t="n">
        <v>46035</v>
      </c>
      <c r="B57" s="22" t="s">
        <v>189</v>
      </c>
      <c r="C57" s="22" t="n">
        <v>2</v>
      </c>
      <c r="D57" s="41" t="n">
        <v>8962.014</v>
      </c>
      <c r="E57" s="22" t="n">
        <f aca="false">MONTH(A57)</f>
        <v>1</v>
      </c>
    </row>
    <row r="58" customFormat="false" ht="15" hidden="false" customHeight="false" outlineLevel="0" collapsed="false">
      <c r="A58" s="21" t="n">
        <v>46035</v>
      </c>
      <c r="B58" s="22" t="s">
        <v>359</v>
      </c>
      <c r="C58" s="22" t="n">
        <v>1</v>
      </c>
      <c r="D58" s="41" t="n">
        <v>3494.205</v>
      </c>
      <c r="E58" s="22" t="n">
        <f aca="false">MONTH(A58)</f>
        <v>1</v>
      </c>
    </row>
    <row r="59" customFormat="false" ht="15" hidden="false" customHeight="false" outlineLevel="0" collapsed="false">
      <c r="A59" s="21" t="n">
        <v>46036</v>
      </c>
      <c r="B59" s="22" t="s">
        <v>186</v>
      </c>
      <c r="C59" s="22" t="n">
        <v>1</v>
      </c>
      <c r="D59" s="41" t="n">
        <v>6926.909</v>
      </c>
      <c r="E59" s="22" t="n">
        <f aca="false">MONTH(A59)</f>
        <v>1</v>
      </c>
    </row>
    <row r="60" customFormat="false" ht="15" hidden="false" customHeight="false" outlineLevel="0" collapsed="false">
      <c r="A60" s="21" t="n">
        <v>46036</v>
      </c>
      <c r="B60" s="22" t="s">
        <v>186</v>
      </c>
      <c r="C60" s="22" t="n">
        <v>2</v>
      </c>
      <c r="D60" s="41" t="n">
        <v>6082.164</v>
      </c>
      <c r="E60" s="22" t="n">
        <f aca="false">MONTH(A60)</f>
        <v>1</v>
      </c>
    </row>
    <row r="61" customFormat="false" ht="15" hidden="false" customHeight="false" outlineLevel="0" collapsed="false">
      <c r="A61" s="21" t="n">
        <v>46036</v>
      </c>
      <c r="B61" s="22" t="s">
        <v>374</v>
      </c>
      <c r="C61" s="22" t="n">
        <v>1</v>
      </c>
      <c r="D61" s="41" t="n">
        <v>4674.432</v>
      </c>
      <c r="E61" s="22" t="n">
        <f aca="false">MONTH(A61)</f>
        <v>1</v>
      </c>
    </row>
    <row r="62" customFormat="false" ht="15" hidden="false" customHeight="false" outlineLevel="0" collapsed="false">
      <c r="A62" s="21" t="n">
        <v>46036</v>
      </c>
      <c r="B62" s="22" t="s">
        <v>375</v>
      </c>
      <c r="C62" s="22" t="n">
        <v>1</v>
      </c>
      <c r="D62" s="41" t="n">
        <v>11509.3</v>
      </c>
      <c r="E62" s="22" t="n">
        <f aca="false">MONTH(A62)</f>
        <v>1</v>
      </c>
    </row>
    <row r="63" customFormat="false" ht="15" hidden="false" customHeight="false" outlineLevel="0" collapsed="false">
      <c r="A63" s="21" t="n">
        <v>46036</v>
      </c>
      <c r="B63" s="22" t="s">
        <v>375</v>
      </c>
      <c r="C63" s="22" t="n">
        <v>2</v>
      </c>
      <c r="D63" s="41" t="n">
        <v>12095.228</v>
      </c>
      <c r="E63" s="22" t="n">
        <f aca="false">MONTH(A63)</f>
        <v>1</v>
      </c>
    </row>
    <row r="64" customFormat="false" ht="15" hidden="false" customHeight="false" outlineLevel="0" collapsed="false">
      <c r="A64" s="21" t="n">
        <v>46036</v>
      </c>
      <c r="B64" s="22" t="s">
        <v>187</v>
      </c>
      <c r="C64" s="22" t="n">
        <v>1</v>
      </c>
      <c r="D64" s="41" t="n">
        <v>2445.755</v>
      </c>
      <c r="E64" s="22" t="n">
        <f aca="false">MONTH(A64)</f>
        <v>1</v>
      </c>
    </row>
    <row r="65" customFormat="false" ht="15" hidden="false" customHeight="false" outlineLevel="0" collapsed="false">
      <c r="A65" s="21" t="n">
        <v>46036</v>
      </c>
      <c r="B65" s="22" t="s">
        <v>187</v>
      </c>
      <c r="C65" s="22" t="n">
        <v>2</v>
      </c>
      <c r="D65" s="41" t="n">
        <v>2282.896</v>
      </c>
      <c r="E65" s="22" t="n">
        <f aca="false">MONTH(A65)</f>
        <v>1</v>
      </c>
    </row>
    <row r="66" customFormat="false" ht="15" hidden="false" customHeight="false" outlineLevel="0" collapsed="false">
      <c r="A66" s="21" t="n">
        <v>46036</v>
      </c>
      <c r="B66" s="22" t="s">
        <v>189</v>
      </c>
      <c r="C66" s="22" t="n">
        <v>2</v>
      </c>
      <c r="D66" s="41" t="n">
        <v>7319.686</v>
      </c>
      <c r="E66" s="22" t="n">
        <f aca="false">MONTH(A66)</f>
        <v>1</v>
      </c>
    </row>
    <row r="67" customFormat="false" ht="15" hidden="false" customHeight="false" outlineLevel="0" collapsed="false">
      <c r="A67" s="21" t="n">
        <v>46036</v>
      </c>
      <c r="B67" s="22" t="s">
        <v>359</v>
      </c>
      <c r="C67" s="22" t="n">
        <v>1</v>
      </c>
      <c r="D67" s="41" t="n">
        <v>1553.44</v>
      </c>
      <c r="E67" s="22" t="n">
        <f aca="false">MONTH(A67)</f>
        <v>1</v>
      </c>
    </row>
    <row r="68" customFormat="false" ht="15" hidden="false" customHeight="false" outlineLevel="0" collapsed="false">
      <c r="A68" s="21" t="n">
        <v>46037</v>
      </c>
      <c r="B68" s="22" t="s">
        <v>186</v>
      </c>
      <c r="C68" s="22" t="n">
        <v>1</v>
      </c>
      <c r="D68" s="41" t="n">
        <v>5713.548</v>
      </c>
      <c r="E68" s="22" t="n">
        <f aca="false">MONTH(A68)</f>
        <v>1</v>
      </c>
    </row>
    <row r="69" customFormat="false" ht="15" hidden="false" customHeight="false" outlineLevel="0" collapsed="false">
      <c r="A69" s="21" t="n">
        <v>46037</v>
      </c>
      <c r="B69" s="22" t="s">
        <v>186</v>
      </c>
      <c r="C69" s="22" t="n">
        <v>2</v>
      </c>
      <c r="D69" s="41" t="n">
        <v>5360.291</v>
      </c>
      <c r="E69" s="22" t="n">
        <f aca="false">MONTH(A69)</f>
        <v>1</v>
      </c>
    </row>
    <row r="70" customFormat="false" ht="15" hidden="false" customHeight="false" outlineLevel="0" collapsed="false">
      <c r="A70" s="21" t="n">
        <v>46037</v>
      </c>
      <c r="B70" s="22" t="s">
        <v>374</v>
      </c>
      <c r="C70" s="22" t="n">
        <v>1</v>
      </c>
      <c r="D70" s="41" t="n">
        <v>4184.88</v>
      </c>
      <c r="E70" s="22" t="n">
        <f aca="false">MONTH(A70)</f>
        <v>1</v>
      </c>
    </row>
    <row r="71" customFormat="false" ht="15" hidden="false" customHeight="false" outlineLevel="0" collapsed="false">
      <c r="A71" s="21" t="n">
        <v>46037</v>
      </c>
      <c r="B71" s="22" t="s">
        <v>374</v>
      </c>
      <c r="C71" s="22" t="n">
        <v>2</v>
      </c>
      <c r="D71" s="41" t="n">
        <v>2021.376</v>
      </c>
      <c r="E71" s="22" t="n">
        <f aca="false">MONTH(A71)</f>
        <v>1</v>
      </c>
    </row>
    <row r="72" customFormat="false" ht="15" hidden="false" customHeight="false" outlineLevel="0" collapsed="false">
      <c r="A72" s="21" t="n">
        <v>46037</v>
      </c>
      <c r="B72" s="22" t="s">
        <v>375</v>
      </c>
      <c r="C72" s="22" t="n">
        <v>1</v>
      </c>
      <c r="D72" s="41" t="n">
        <v>11383.744</v>
      </c>
      <c r="E72" s="22" t="n">
        <f aca="false">MONTH(A72)</f>
        <v>1</v>
      </c>
    </row>
    <row r="73" customFormat="false" ht="15" hidden="false" customHeight="false" outlineLevel="0" collapsed="false">
      <c r="A73" s="21" t="n">
        <v>46037</v>
      </c>
      <c r="B73" s="22" t="s">
        <v>375</v>
      </c>
      <c r="C73" s="22" t="n">
        <v>2</v>
      </c>
      <c r="D73" s="41" t="n">
        <v>11885.968</v>
      </c>
      <c r="E73" s="22" t="n">
        <f aca="false">MONTH(A73)</f>
        <v>1</v>
      </c>
    </row>
    <row r="74" customFormat="false" ht="15" hidden="false" customHeight="false" outlineLevel="0" collapsed="false">
      <c r="A74" s="21" t="n">
        <v>46037</v>
      </c>
      <c r="B74" s="22" t="s">
        <v>187</v>
      </c>
      <c r="C74" s="22" t="n">
        <v>1</v>
      </c>
      <c r="D74" s="41" t="n">
        <v>1977.232</v>
      </c>
      <c r="E74" s="22" t="n">
        <f aca="false">MONTH(A74)</f>
        <v>1</v>
      </c>
    </row>
    <row r="75" customFormat="false" ht="15" hidden="false" customHeight="false" outlineLevel="0" collapsed="false">
      <c r="A75" s="21" t="n">
        <v>46037</v>
      </c>
      <c r="B75" s="22" t="s">
        <v>187</v>
      </c>
      <c r="C75" s="22" t="n">
        <v>2</v>
      </c>
      <c r="D75" s="41" t="n">
        <v>2392.848</v>
      </c>
      <c r="E75" s="22" t="n">
        <f aca="false">MONTH(A75)</f>
        <v>1</v>
      </c>
    </row>
    <row r="76" customFormat="false" ht="15" hidden="false" customHeight="false" outlineLevel="0" collapsed="false">
      <c r="A76" s="21" t="n">
        <v>46037</v>
      </c>
      <c r="B76" s="22" t="s">
        <v>189</v>
      </c>
      <c r="C76" s="22" t="n">
        <v>1</v>
      </c>
      <c r="D76" s="41" t="n">
        <v>8763.802</v>
      </c>
      <c r="E76" s="22" t="n">
        <f aca="false">MONTH(A76)</f>
        <v>1</v>
      </c>
    </row>
    <row r="77" customFormat="false" ht="15" hidden="false" customHeight="false" outlineLevel="0" collapsed="false">
      <c r="A77" s="21" t="n">
        <v>46037</v>
      </c>
      <c r="B77" s="22" t="s">
        <v>189</v>
      </c>
      <c r="C77" s="22" t="n">
        <v>2</v>
      </c>
      <c r="D77" s="41" t="n">
        <v>8523.116</v>
      </c>
      <c r="E77" s="22" t="n">
        <f aca="false">MONTH(A77)</f>
        <v>1</v>
      </c>
    </row>
    <row r="78" customFormat="false" ht="15" hidden="false" customHeight="false" outlineLevel="0" collapsed="false">
      <c r="A78" s="21" t="n">
        <v>46037</v>
      </c>
      <c r="B78" s="22" t="s">
        <v>359</v>
      </c>
      <c r="C78" s="22" t="n">
        <v>1</v>
      </c>
      <c r="D78" s="41" t="n">
        <v>4450.08</v>
      </c>
      <c r="E78" s="22" t="n">
        <f aca="false">MONTH(A78)</f>
        <v>1</v>
      </c>
    </row>
    <row r="79" customFormat="false" ht="15" hidden="false" customHeight="false" outlineLevel="0" collapsed="false">
      <c r="A79" s="21" t="n">
        <v>46038</v>
      </c>
      <c r="B79" s="22" t="s">
        <v>186</v>
      </c>
      <c r="C79" s="22" t="n">
        <v>1</v>
      </c>
      <c r="D79" s="41" t="n">
        <v>5421.727</v>
      </c>
      <c r="E79" s="22" t="n">
        <f aca="false">MONTH(A79)</f>
        <v>1</v>
      </c>
    </row>
    <row r="80" customFormat="false" ht="15" hidden="false" customHeight="false" outlineLevel="0" collapsed="false">
      <c r="A80" s="21" t="n">
        <v>46038</v>
      </c>
      <c r="B80" s="22" t="s">
        <v>186</v>
      </c>
      <c r="C80" s="22" t="n">
        <v>2</v>
      </c>
      <c r="D80" s="41" t="n">
        <v>6097.523</v>
      </c>
      <c r="E80" s="22" t="n">
        <f aca="false">MONTH(A80)</f>
        <v>1</v>
      </c>
    </row>
    <row r="81" customFormat="false" ht="15" hidden="false" customHeight="false" outlineLevel="0" collapsed="false">
      <c r="A81" s="21" t="n">
        <v>46038</v>
      </c>
      <c r="B81" s="22" t="s">
        <v>374</v>
      </c>
      <c r="C81" s="22" t="n">
        <v>1</v>
      </c>
      <c r="D81" s="41" t="n">
        <v>6190.464</v>
      </c>
      <c r="E81" s="22" t="n">
        <f aca="false">MONTH(A81)</f>
        <v>1</v>
      </c>
    </row>
    <row r="82" customFormat="false" ht="15" hidden="false" customHeight="false" outlineLevel="0" collapsed="false">
      <c r="A82" s="21" t="n">
        <v>46038</v>
      </c>
      <c r="B82" s="22" t="s">
        <v>375</v>
      </c>
      <c r="C82" s="22" t="n">
        <v>1</v>
      </c>
      <c r="D82" s="41" t="n">
        <v>11969.672</v>
      </c>
      <c r="E82" s="22" t="n">
        <f aca="false">MONTH(A82)</f>
        <v>1</v>
      </c>
    </row>
    <row r="83" customFormat="false" ht="15" hidden="false" customHeight="false" outlineLevel="0" collapsed="false">
      <c r="A83" s="21" t="n">
        <v>46038</v>
      </c>
      <c r="B83" s="22" t="s">
        <v>375</v>
      </c>
      <c r="C83" s="22" t="n">
        <v>2</v>
      </c>
      <c r="D83" s="41" t="n">
        <v>920.744</v>
      </c>
      <c r="E83" s="22" t="n">
        <f aca="false">MONTH(A83)</f>
        <v>1</v>
      </c>
    </row>
    <row r="84" customFormat="false" ht="15" hidden="false" customHeight="false" outlineLevel="0" collapsed="false">
      <c r="A84" s="21" t="n">
        <v>46038</v>
      </c>
      <c r="B84" s="22" t="s">
        <v>187</v>
      </c>
      <c r="C84" s="22" t="n">
        <v>1</v>
      </c>
      <c r="D84" s="41" t="n">
        <v>2435.632</v>
      </c>
      <c r="E84" s="22" t="n">
        <f aca="false">MONTH(A84)</f>
        <v>1</v>
      </c>
    </row>
    <row r="85" customFormat="false" ht="15" hidden="false" customHeight="false" outlineLevel="0" collapsed="false">
      <c r="A85" s="21" t="n">
        <v>46038</v>
      </c>
      <c r="B85" s="22" t="s">
        <v>187</v>
      </c>
      <c r="C85" s="22" t="n">
        <v>2</v>
      </c>
      <c r="D85" s="41" t="n">
        <v>2671.888</v>
      </c>
      <c r="E85" s="22" t="n">
        <f aca="false">MONTH(A85)</f>
        <v>1</v>
      </c>
    </row>
    <row r="86" customFormat="false" ht="15" hidden="false" customHeight="false" outlineLevel="0" collapsed="false">
      <c r="A86" s="21" t="n">
        <v>46038</v>
      </c>
      <c r="B86" s="22" t="s">
        <v>189</v>
      </c>
      <c r="C86" s="22" t="n">
        <v>1</v>
      </c>
      <c r="D86" s="41" t="n">
        <v>8636.38</v>
      </c>
      <c r="E86" s="22" t="n">
        <f aca="false">MONTH(A86)</f>
        <v>1</v>
      </c>
    </row>
    <row r="87" customFormat="false" ht="15" hidden="false" customHeight="false" outlineLevel="0" collapsed="false">
      <c r="A87" s="21" t="n">
        <v>46038</v>
      </c>
      <c r="B87" s="22" t="s">
        <v>189</v>
      </c>
      <c r="C87" s="22" t="n">
        <v>2</v>
      </c>
      <c r="D87" s="41" t="n">
        <v>8848.75</v>
      </c>
      <c r="E87" s="22" t="n">
        <f aca="false">MONTH(A87)</f>
        <v>1</v>
      </c>
    </row>
    <row r="88" customFormat="false" ht="15" hidden="false" customHeight="false" outlineLevel="0" collapsed="false">
      <c r="A88" s="21" t="n">
        <v>46038</v>
      </c>
      <c r="B88" s="22" t="s">
        <v>359</v>
      </c>
      <c r="C88" s="22" t="n">
        <v>1</v>
      </c>
      <c r="D88" s="41" t="n">
        <v>3492.32</v>
      </c>
      <c r="E88" s="22" t="n">
        <f aca="false">MONTH(A88)</f>
        <v>1</v>
      </c>
    </row>
    <row r="89" customFormat="false" ht="15" hidden="false" customHeight="false" outlineLevel="0" collapsed="false">
      <c r="A89" s="21" t="n">
        <v>46039</v>
      </c>
      <c r="B89" s="22" t="s">
        <v>186</v>
      </c>
      <c r="C89" s="22" t="n">
        <v>1</v>
      </c>
      <c r="D89" s="41" t="n">
        <v>3947.4</v>
      </c>
      <c r="E89" s="22" t="n">
        <f aca="false">MONTH(A89)</f>
        <v>1</v>
      </c>
    </row>
    <row r="90" customFormat="false" ht="15" hidden="false" customHeight="false" outlineLevel="0" collapsed="false">
      <c r="A90" s="21" t="n">
        <v>46039</v>
      </c>
      <c r="B90" s="22" t="s">
        <v>186</v>
      </c>
      <c r="C90" s="22" t="n">
        <v>2</v>
      </c>
      <c r="D90" s="41" t="n">
        <v>8594.932</v>
      </c>
      <c r="E90" s="22" t="n">
        <f aca="false">MONTH(A90)</f>
        <v>1</v>
      </c>
    </row>
    <row r="91" customFormat="false" ht="15" hidden="false" customHeight="false" outlineLevel="0" collapsed="false">
      <c r="A91" s="21" t="n">
        <v>46039</v>
      </c>
      <c r="B91" s="22" t="s">
        <v>374</v>
      </c>
      <c r="C91" s="22" t="n">
        <v>1</v>
      </c>
      <c r="D91" s="41" t="n">
        <v>7066.92</v>
      </c>
      <c r="E91" s="22" t="n">
        <f aca="false">MONTH(A91)</f>
        <v>1</v>
      </c>
    </row>
    <row r="92" customFormat="false" ht="15" hidden="false" customHeight="false" outlineLevel="0" collapsed="false">
      <c r="A92" s="21" t="n">
        <v>46039</v>
      </c>
      <c r="B92" s="22" t="s">
        <v>375</v>
      </c>
      <c r="C92" s="22" t="n">
        <v>1</v>
      </c>
      <c r="D92" s="41" t="n">
        <v>6811.03</v>
      </c>
      <c r="E92" s="22" t="n">
        <f aca="false">MONTH(A92)</f>
        <v>1</v>
      </c>
    </row>
    <row r="93" customFormat="false" ht="15" hidden="false" customHeight="false" outlineLevel="0" collapsed="false">
      <c r="A93" s="21" t="n">
        <v>46039</v>
      </c>
      <c r="B93" s="22" t="s">
        <v>375</v>
      </c>
      <c r="C93" s="22" t="n">
        <v>2</v>
      </c>
      <c r="D93" s="41" t="n">
        <v>15716.773</v>
      </c>
      <c r="E93" s="22" t="n">
        <f aca="false">MONTH(A93)</f>
        <v>1</v>
      </c>
    </row>
    <row r="94" customFormat="false" ht="15" hidden="false" customHeight="false" outlineLevel="0" collapsed="false">
      <c r="A94" s="21" t="n">
        <v>46039</v>
      </c>
      <c r="B94" s="22" t="s">
        <v>187</v>
      </c>
      <c r="C94" s="22" t="n">
        <v>1</v>
      </c>
      <c r="D94" s="41" t="n">
        <v>1928.433</v>
      </c>
      <c r="E94" s="22" t="n">
        <f aca="false">MONTH(A94)</f>
        <v>1</v>
      </c>
    </row>
    <row r="95" customFormat="false" ht="15" hidden="false" customHeight="false" outlineLevel="0" collapsed="false">
      <c r="A95" s="21" t="n">
        <v>46039</v>
      </c>
      <c r="B95" s="22" t="s">
        <v>187</v>
      </c>
      <c r="C95" s="22" t="n">
        <v>2</v>
      </c>
      <c r="D95" s="41" t="n">
        <v>1362.452</v>
      </c>
      <c r="E95" s="22" t="n">
        <f aca="false">MONTH(A95)</f>
        <v>1</v>
      </c>
    </row>
    <row r="96" customFormat="false" ht="15" hidden="false" customHeight="false" outlineLevel="0" collapsed="false">
      <c r="A96" s="21" t="n">
        <v>46039</v>
      </c>
      <c r="B96" s="22" t="s">
        <v>189</v>
      </c>
      <c r="C96" s="22" t="n">
        <v>1</v>
      </c>
      <c r="D96" s="41" t="n">
        <v>6187.046</v>
      </c>
      <c r="E96" s="22" t="n">
        <f aca="false">MONTH(A96)</f>
        <v>1</v>
      </c>
    </row>
    <row r="97" customFormat="false" ht="15" hidden="false" customHeight="false" outlineLevel="0" collapsed="false">
      <c r="A97" s="21" t="n">
        <v>46039</v>
      </c>
      <c r="B97" s="22" t="s">
        <v>189</v>
      </c>
      <c r="C97" s="22" t="n">
        <v>2</v>
      </c>
      <c r="D97" s="41" t="n">
        <v>7008.21</v>
      </c>
      <c r="E97" s="22" t="n">
        <f aca="false">MONTH(A97)</f>
        <v>1</v>
      </c>
    </row>
    <row r="98" customFormat="false" ht="15" hidden="false" customHeight="false" outlineLevel="0" collapsed="false">
      <c r="A98" s="21" t="n">
        <v>46039</v>
      </c>
      <c r="B98" s="22" t="s">
        <v>359</v>
      </c>
      <c r="C98" s="22" t="n">
        <v>1</v>
      </c>
      <c r="D98" s="41" t="n">
        <v>3679.2</v>
      </c>
      <c r="E98" s="22" t="n">
        <f aca="false">MONTH(A98)</f>
        <v>1</v>
      </c>
    </row>
    <row r="99" customFormat="false" ht="15" hidden="false" customHeight="false" outlineLevel="0" collapsed="false">
      <c r="A99" s="21" t="n">
        <v>46041</v>
      </c>
      <c r="B99" s="22" t="s">
        <v>361</v>
      </c>
      <c r="C99" s="22" t="n">
        <v>2</v>
      </c>
      <c r="D99" s="41" t="n">
        <v>3848.46</v>
      </c>
      <c r="E99" s="22" t="n">
        <f aca="false">MONTH(A99)</f>
        <v>1</v>
      </c>
    </row>
    <row r="100" customFormat="false" ht="15" hidden="false" customHeight="false" outlineLevel="0" collapsed="false">
      <c r="A100" s="21" t="n">
        <v>46041</v>
      </c>
      <c r="B100" s="22" t="s">
        <v>186</v>
      </c>
      <c r="C100" s="22" t="n">
        <v>1</v>
      </c>
      <c r="D100" s="41" t="n">
        <v>10507.518</v>
      </c>
      <c r="E100" s="22" t="n">
        <f aca="false">MONTH(A100)</f>
        <v>1</v>
      </c>
    </row>
    <row r="101" customFormat="false" ht="15" hidden="false" customHeight="false" outlineLevel="0" collapsed="false">
      <c r="A101" s="21" t="n">
        <v>46041</v>
      </c>
      <c r="B101" s="22" t="s">
        <v>188</v>
      </c>
      <c r="C101" s="22" t="n">
        <v>1</v>
      </c>
      <c r="D101" s="41" t="n">
        <v>1401.4</v>
      </c>
      <c r="E101" s="22" t="n">
        <f aca="false">MONTH(A101)</f>
        <v>1</v>
      </c>
    </row>
    <row r="102" customFormat="false" ht="15" hidden="false" customHeight="false" outlineLevel="0" collapsed="false">
      <c r="A102" s="21" t="n">
        <v>46041</v>
      </c>
      <c r="B102" s="22" t="s">
        <v>374</v>
      </c>
      <c r="C102" s="22" t="n">
        <v>1</v>
      </c>
      <c r="D102" s="41" t="n">
        <v>7401.03</v>
      </c>
      <c r="E102" s="22" t="n">
        <f aca="false">MONTH(A102)</f>
        <v>1</v>
      </c>
    </row>
    <row r="103" customFormat="false" ht="15" hidden="false" customHeight="false" outlineLevel="0" collapsed="false">
      <c r="A103" s="21" t="n">
        <v>46041</v>
      </c>
      <c r="B103" s="22" t="s">
        <v>375</v>
      </c>
      <c r="C103" s="22" t="n">
        <v>1</v>
      </c>
      <c r="D103" s="41" t="n">
        <v>12452.619</v>
      </c>
      <c r="E103" s="22" t="n">
        <f aca="false">MONTH(A103)</f>
        <v>1</v>
      </c>
    </row>
    <row r="104" customFormat="false" ht="15" hidden="false" customHeight="false" outlineLevel="0" collapsed="false">
      <c r="A104" s="21" t="n">
        <v>46041</v>
      </c>
      <c r="B104" s="22" t="s">
        <v>187</v>
      </c>
      <c r="C104" s="22" t="n">
        <v>1</v>
      </c>
      <c r="D104" s="41" t="n">
        <v>1879.774</v>
      </c>
      <c r="E104" s="22" t="n">
        <f aca="false">MONTH(A104)</f>
        <v>1</v>
      </c>
    </row>
    <row r="105" customFormat="false" ht="15" hidden="false" customHeight="false" outlineLevel="0" collapsed="false">
      <c r="A105" s="21" t="n">
        <v>46041</v>
      </c>
      <c r="B105" s="22" t="s">
        <v>187</v>
      </c>
      <c r="C105" s="22" t="n">
        <v>2</v>
      </c>
      <c r="D105" s="41" t="n">
        <v>2215.265</v>
      </c>
      <c r="E105" s="22" t="n">
        <f aca="false">MONTH(A105)</f>
        <v>1</v>
      </c>
    </row>
    <row r="106" customFormat="false" ht="15" hidden="false" customHeight="false" outlineLevel="0" collapsed="false">
      <c r="A106" s="21" t="n">
        <v>46041</v>
      </c>
      <c r="B106" s="22" t="s">
        <v>189</v>
      </c>
      <c r="C106" s="22" t="n">
        <v>1</v>
      </c>
      <c r="D106" s="41" t="n">
        <v>8409.852</v>
      </c>
      <c r="E106" s="22" t="n">
        <f aca="false">MONTH(A106)</f>
        <v>1</v>
      </c>
    </row>
    <row r="107" customFormat="false" ht="15" hidden="false" customHeight="false" outlineLevel="0" collapsed="false">
      <c r="A107" s="21" t="n">
        <v>46041</v>
      </c>
      <c r="B107" s="22" t="s">
        <v>189</v>
      </c>
      <c r="C107" s="22" t="n">
        <v>2</v>
      </c>
      <c r="D107" s="41" t="n">
        <v>8834.592</v>
      </c>
      <c r="E107" s="22" t="n">
        <f aca="false">MONTH(A107)</f>
        <v>1</v>
      </c>
    </row>
    <row r="108" customFormat="false" ht="15" hidden="false" customHeight="false" outlineLevel="0" collapsed="false">
      <c r="A108" s="21" t="n">
        <v>46041</v>
      </c>
      <c r="B108" s="22" t="s">
        <v>359</v>
      </c>
      <c r="C108" s="22" t="n">
        <v>1</v>
      </c>
      <c r="D108" s="41" t="n">
        <v>3036.8</v>
      </c>
      <c r="E108" s="22" t="n">
        <f aca="false">MONTH(A108)</f>
        <v>1</v>
      </c>
    </row>
    <row r="109" customFormat="false" ht="15" hidden="false" customHeight="false" outlineLevel="0" collapsed="false">
      <c r="A109" s="21" t="n">
        <v>46042</v>
      </c>
      <c r="B109" s="22" t="s">
        <v>361</v>
      </c>
      <c r="C109" s="22" t="n">
        <v>2</v>
      </c>
      <c r="D109" s="41" t="n">
        <v>11778.62</v>
      </c>
      <c r="E109" s="22" t="n">
        <f aca="false">MONTH(A109)</f>
        <v>1</v>
      </c>
    </row>
    <row r="110" customFormat="false" ht="15" hidden="false" customHeight="false" outlineLevel="0" collapsed="false">
      <c r="A110" s="21" t="n">
        <v>46042</v>
      </c>
      <c r="B110" s="22" t="s">
        <v>186</v>
      </c>
      <c r="C110" s="22" t="n">
        <v>1</v>
      </c>
      <c r="D110" s="41" t="n">
        <v>9239.138</v>
      </c>
      <c r="E110" s="22" t="n">
        <f aca="false">MONTH(A110)</f>
        <v>1</v>
      </c>
    </row>
    <row r="111" customFormat="false" ht="15" hidden="false" customHeight="false" outlineLevel="0" collapsed="false">
      <c r="A111" s="21" t="n">
        <v>46042</v>
      </c>
      <c r="B111" s="22" t="s">
        <v>188</v>
      </c>
      <c r="C111" s="22" t="n">
        <v>1</v>
      </c>
      <c r="D111" s="41" t="n">
        <v>2322.6</v>
      </c>
      <c r="E111" s="22" t="n">
        <f aca="false">MONTH(A111)</f>
        <v>1</v>
      </c>
    </row>
    <row r="112" customFormat="false" ht="15" hidden="false" customHeight="false" outlineLevel="0" collapsed="false">
      <c r="A112" s="21" t="n">
        <v>46042</v>
      </c>
      <c r="B112" s="22" t="s">
        <v>374</v>
      </c>
      <c r="C112" s="22" t="n">
        <v>1</v>
      </c>
      <c r="D112" s="41" t="n">
        <v>7075.71</v>
      </c>
      <c r="E112" s="22" t="n">
        <f aca="false">MONTH(A112)</f>
        <v>1</v>
      </c>
    </row>
    <row r="113" customFormat="false" ht="15" hidden="false" customHeight="false" outlineLevel="0" collapsed="false">
      <c r="A113" s="21" t="n">
        <v>46042</v>
      </c>
      <c r="B113" s="22" t="s">
        <v>375</v>
      </c>
      <c r="C113" s="22" t="n">
        <v>1</v>
      </c>
      <c r="D113" s="41" t="n">
        <v>16533.54</v>
      </c>
      <c r="E113" s="22" t="n">
        <f aca="false">MONTH(A113)</f>
        <v>1</v>
      </c>
    </row>
    <row r="114" customFormat="false" ht="15" hidden="false" customHeight="false" outlineLevel="0" collapsed="false">
      <c r="A114" s="21" t="n">
        <v>46042</v>
      </c>
      <c r="B114" s="22" t="s">
        <v>187</v>
      </c>
      <c r="C114" s="22" t="n">
        <v>1</v>
      </c>
      <c r="D114" s="41" t="n">
        <v>2171.728</v>
      </c>
      <c r="E114" s="22" t="n">
        <f aca="false">MONTH(A114)</f>
        <v>1</v>
      </c>
    </row>
    <row r="115" customFormat="false" ht="15" hidden="false" customHeight="false" outlineLevel="0" collapsed="false">
      <c r="A115" s="21" t="n">
        <v>46042</v>
      </c>
      <c r="B115" s="22" t="s">
        <v>187</v>
      </c>
      <c r="C115" s="22" t="n">
        <v>2</v>
      </c>
      <c r="D115" s="41" t="n">
        <v>2207.582</v>
      </c>
      <c r="E115" s="22" t="n">
        <f aca="false">MONTH(A115)</f>
        <v>1</v>
      </c>
    </row>
    <row r="116" customFormat="false" ht="15" hidden="false" customHeight="false" outlineLevel="0" collapsed="false">
      <c r="A116" s="21" t="n">
        <v>46042</v>
      </c>
      <c r="B116" s="22" t="s">
        <v>189</v>
      </c>
      <c r="C116" s="22" t="n">
        <v>1</v>
      </c>
      <c r="D116" s="41" t="n">
        <v>6358.48</v>
      </c>
      <c r="E116" s="22" t="n">
        <f aca="false">MONTH(A116)</f>
        <v>1</v>
      </c>
    </row>
    <row r="117" customFormat="false" ht="15" hidden="false" customHeight="false" outlineLevel="0" collapsed="false">
      <c r="A117" s="21" t="n">
        <v>46042</v>
      </c>
      <c r="B117" s="22" t="s">
        <v>189</v>
      </c>
      <c r="C117" s="22" t="n">
        <v>2</v>
      </c>
      <c r="D117" s="41" t="n">
        <v>5301.576</v>
      </c>
      <c r="E117" s="22" t="n">
        <f aca="false">MONTH(A117)</f>
        <v>1</v>
      </c>
    </row>
    <row r="118" customFormat="false" ht="15" hidden="false" customHeight="false" outlineLevel="0" collapsed="false">
      <c r="A118" s="21" t="n">
        <v>46042</v>
      </c>
      <c r="B118" s="22" t="s">
        <v>359</v>
      </c>
      <c r="C118" s="22" t="n">
        <v>1</v>
      </c>
      <c r="D118" s="41" t="n">
        <v>3060.16</v>
      </c>
      <c r="E118" s="22" t="n">
        <f aca="false">MONTH(A118)</f>
        <v>1</v>
      </c>
    </row>
    <row r="119" customFormat="false" ht="15" hidden="false" customHeight="false" outlineLevel="0" collapsed="false">
      <c r="A119" s="21" t="n">
        <v>46043</v>
      </c>
      <c r="B119" s="22" t="s">
        <v>361</v>
      </c>
      <c r="C119" s="22" t="n">
        <v>1</v>
      </c>
      <c r="D119" s="41" t="n">
        <v>17692.92</v>
      </c>
      <c r="E119" s="22" t="n">
        <f aca="false">MONTH(A119)</f>
        <v>1</v>
      </c>
    </row>
    <row r="120" customFormat="false" ht="15" hidden="false" customHeight="false" outlineLevel="0" collapsed="false">
      <c r="A120" s="21" t="n">
        <v>46043</v>
      </c>
      <c r="B120" s="22" t="s">
        <v>361</v>
      </c>
      <c r="C120" s="22" t="n">
        <v>2</v>
      </c>
      <c r="D120" s="41" t="n">
        <v>26689.32</v>
      </c>
      <c r="E120" s="22" t="n">
        <f aca="false">MONTH(A120)</f>
        <v>1</v>
      </c>
    </row>
    <row r="121" customFormat="false" ht="15" hidden="false" customHeight="false" outlineLevel="0" collapsed="false">
      <c r="A121" s="21" t="n">
        <v>46043</v>
      </c>
      <c r="B121" s="22" t="s">
        <v>186</v>
      </c>
      <c r="C121" s="22" t="n">
        <v>1</v>
      </c>
      <c r="D121" s="41" t="n">
        <v>4616.003</v>
      </c>
      <c r="E121" s="22" t="n">
        <f aca="false">MONTH(A121)</f>
        <v>1</v>
      </c>
    </row>
    <row r="122" customFormat="false" ht="15" hidden="false" customHeight="false" outlineLevel="0" collapsed="false">
      <c r="A122" s="21" t="n">
        <v>46043</v>
      </c>
      <c r="B122" s="22" t="s">
        <v>188</v>
      </c>
      <c r="C122" s="22" t="n">
        <v>1</v>
      </c>
      <c r="D122" s="41" t="n">
        <v>1935.5</v>
      </c>
      <c r="E122" s="22" t="n">
        <f aca="false">MONTH(A122)</f>
        <v>1</v>
      </c>
    </row>
    <row r="123" customFormat="false" ht="15" hidden="false" customHeight="false" outlineLevel="0" collapsed="false">
      <c r="A123" s="21" t="n">
        <v>46043</v>
      </c>
      <c r="B123" s="22" t="s">
        <v>374</v>
      </c>
      <c r="C123" s="22" t="n">
        <v>1</v>
      </c>
      <c r="D123" s="41" t="n">
        <v>5587.981</v>
      </c>
      <c r="E123" s="22" t="n">
        <f aca="false">MONTH(A123)</f>
        <v>1</v>
      </c>
    </row>
    <row r="124" customFormat="false" ht="15" hidden="false" customHeight="false" outlineLevel="0" collapsed="false">
      <c r="A124" s="21" t="n">
        <v>46043</v>
      </c>
      <c r="B124" s="22" t="s">
        <v>375</v>
      </c>
      <c r="C124" s="22" t="n">
        <v>1</v>
      </c>
      <c r="D124" s="41" t="n">
        <v>17303.92</v>
      </c>
      <c r="E124" s="22" t="n">
        <f aca="false">MONTH(A124)</f>
        <v>1</v>
      </c>
    </row>
    <row r="125" customFormat="false" ht="15" hidden="false" customHeight="false" outlineLevel="0" collapsed="false">
      <c r="A125" s="21" t="n">
        <v>46043</v>
      </c>
      <c r="B125" s="22" t="s">
        <v>187</v>
      </c>
      <c r="C125" s="22" t="n">
        <v>1</v>
      </c>
      <c r="D125" s="41" t="n">
        <v>2213.623</v>
      </c>
      <c r="E125" s="22" t="n">
        <f aca="false">MONTH(A125)</f>
        <v>1</v>
      </c>
    </row>
    <row r="126" customFormat="false" ht="15" hidden="false" customHeight="false" outlineLevel="0" collapsed="false">
      <c r="A126" s="21" t="n">
        <v>46043</v>
      </c>
      <c r="B126" s="22" t="s">
        <v>187</v>
      </c>
      <c r="C126" s="22" t="n">
        <v>2</v>
      </c>
      <c r="D126" s="41" t="n">
        <v>4957.674</v>
      </c>
      <c r="E126" s="22" t="n">
        <f aca="false">MONTH(A126)</f>
        <v>1</v>
      </c>
    </row>
    <row r="127" customFormat="false" ht="15" hidden="false" customHeight="false" outlineLevel="0" collapsed="false">
      <c r="A127" s="21" t="n">
        <v>46043</v>
      </c>
      <c r="B127" s="22" t="s">
        <v>189</v>
      </c>
      <c r="C127" s="22" t="n">
        <v>1</v>
      </c>
      <c r="D127" s="41" t="n">
        <v>4352.04</v>
      </c>
      <c r="E127" s="22" t="n">
        <f aca="false">MONTH(A127)</f>
        <v>1</v>
      </c>
    </row>
    <row r="128" customFormat="false" ht="15" hidden="false" customHeight="false" outlineLevel="0" collapsed="false">
      <c r="A128" s="21" t="n">
        <v>46043</v>
      </c>
      <c r="B128" s="22" t="s">
        <v>189</v>
      </c>
      <c r="C128" s="22" t="n">
        <v>2</v>
      </c>
      <c r="D128" s="41" t="n">
        <v>6340.131</v>
      </c>
      <c r="E128" s="22" t="n">
        <f aca="false">MONTH(A128)</f>
        <v>1</v>
      </c>
    </row>
    <row r="129" customFormat="false" ht="15" hidden="false" customHeight="false" outlineLevel="0" collapsed="false">
      <c r="A129" s="21" t="n">
        <v>46044</v>
      </c>
      <c r="B129" s="22" t="s">
        <v>361</v>
      </c>
      <c r="C129" s="22" t="n">
        <v>2</v>
      </c>
      <c r="D129" s="41" t="n">
        <v>31487.4</v>
      </c>
      <c r="E129" s="22" t="n">
        <f aca="false">MONTH(A129)</f>
        <v>1</v>
      </c>
    </row>
    <row r="130" customFormat="false" ht="15" hidden="false" customHeight="false" outlineLevel="0" collapsed="false">
      <c r="A130" s="21" t="n">
        <v>46044</v>
      </c>
      <c r="B130" s="22" t="s">
        <v>186</v>
      </c>
      <c r="C130" s="22" t="n">
        <v>1</v>
      </c>
      <c r="D130" s="41" t="n">
        <v>1834.244</v>
      </c>
      <c r="E130" s="22" t="n">
        <f aca="false">MONTH(A130)</f>
        <v>1</v>
      </c>
    </row>
    <row r="131" customFormat="false" ht="15" hidden="false" customHeight="false" outlineLevel="0" collapsed="false">
      <c r="A131" s="21" t="n">
        <v>46044</v>
      </c>
      <c r="B131" s="22" t="s">
        <v>188</v>
      </c>
      <c r="C131" s="22" t="n">
        <v>1</v>
      </c>
      <c r="D131" s="41" t="n">
        <v>2371.6</v>
      </c>
      <c r="E131" s="22" t="n">
        <f aca="false">MONTH(A131)</f>
        <v>1</v>
      </c>
    </row>
    <row r="132" customFormat="false" ht="15" hidden="false" customHeight="false" outlineLevel="0" collapsed="false">
      <c r="A132" s="21" t="n">
        <v>46044</v>
      </c>
      <c r="B132" s="22" t="s">
        <v>374</v>
      </c>
      <c r="C132" s="22" t="n">
        <v>1</v>
      </c>
      <c r="D132" s="41" t="n">
        <v>6789.846</v>
      </c>
      <c r="E132" s="22" t="n">
        <f aca="false">MONTH(A132)</f>
        <v>1</v>
      </c>
    </row>
    <row r="133" customFormat="false" ht="15" hidden="false" customHeight="false" outlineLevel="0" collapsed="false">
      <c r="A133" s="21" t="n">
        <v>46044</v>
      </c>
      <c r="B133" s="22" t="s">
        <v>375</v>
      </c>
      <c r="C133" s="22" t="n">
        <v>1</v>
      </c>
      <c r="D133" s="41" t="n">
        <v>15692.048</v>
      </c>
      <c r="E133" s="22" t="n">
        <f aca="false">MONTH(A133)</f>
        <v>1</v>
      </c>
    </row>
    <row r="134" customFormat="false" ht="15" hidden="false" customHeight="false" outlineLevel="0" collapsed="false">
      <c r="A134" s="21" t="n">
        <v>46044</v>
      </c>
      <c r="B134" s="22" t="s">
        <v>187</v>
      </c>
      <c r="C134" s="22" t="n">
        <v>1</v>
      </c>
      <c r="D134" s="41" t="n">
        <v>4680.215</v>
      </c>
      <c r="E134" s="22" t="n">
        <f aca="false">MONTH(A134)</f>
        <v>1</v>
      </c>
    </row>
    <row r="135" customFormat="false" ht="15" hidden="false" customHeight="false" outlineLevel="0" collapsed="false">
      <c r="A135" s="21" t="n">
        <v>46044</v>
      </c>
      <c r="B135" s="22" t="s">
        <v>187</v>
      </c>
      <c r="C135" s="22" t="n">
        <v>2</v>
      </c>
      <c r="D135" s="41" t="n">
        <v>4674.117</v>
      </c>
      <c r="E135" s="22" t="n">
        <f aca="false">MONTH(A135)</f>
        <v>1</v>
      </c>
    </row>
    <row r="136" customFormat="false" ht="15" hidden="false" customHeight="false" outlineLevel="0" collapsed="false">
      <c r="A136" s="21" t="n">
        <v>46044</v>
      </c>
      <c r="B136" s="22" t="s">
        <v>189</v>
      </c>
      <c r="C136" s="22" t="n">
        <v>1</v>
      </c>
      <c r="D136" s="41" t="n">
        <v>5736.78</v>
      </c>
      <c r="E136" s="22" t="n">
        <f aca="false">MONTH(A136)</f>
        <v>1</v>
      </c>
    </row>
    <row r="137" customFormat="false" ht="15" hidden="false" customHeight="false" outlineLevel="0" collapsed="false">
      <c r="A137" s="21" t="n">
        <v>46044</v>
      </c>
      <c r="B137" s="22" t="s">
        <v>189</v>
      </c>
      <c r="C137" s="22" t="n">
        <v>2</v>
      </c>
      <c r="D137" s="41" t="n">
        <v>5687.325</v>
      </c>
      <c r="E137" s="22" t="n">
        <f aca="false">MONTH(A137)</f>
        <v>1</v>
      </c>
    </row>
    <row r="138" customFormat="false" ht="15" hidden="false" customHeight="false" outlineLevel="0" collapsed="false">
      <c r="A138" s="21" t="n">
        <v>46044</v>
      </c>
      <c r="B138" s="22" t="s">
        <v>359</v>
      </c>
      <c r="C138" s="22" t="n">
        <v>1</v>
      </c>
      <c r="D138" s="41" t="n">
        <v>3866.08</v>
      </c>
      <c r="E138" s="22" t="n">
        <f aca="false">MONTH(A138)</f>
        <v>1</v>
      </c>
    </row>
    <row r="139" customFormat="false" ht="15" hidden="false" customHeight="false" outlineLevel="0" collapsed="false">
      <c r="A139" s="21" t="n">
        <v>46045</v>
      </c>
      <c r="B139" s="22" t="s">
        <v>361</v>
      </c>
      <c r="C139" s="22" t="n">
        <v>2</v>
      </c>
      <c r="D139" s="41" t="n">
        <v>21757.96</v>
      </c>
      <c r="E139" s="22" t="n">
        <f aca="false">MONTH(A139)</f>
        <v>1</v>
      </c>
    </row>
    <row r="140" customFormat="false" ht="15" hidden="false" customHeight="false" outlineLevel="0" collapsed="false">
      <c r="A140" s="21" t="n">
        <v>46045</v>
      </c>
      <c r="B140" s="22" t="s">
        <v>186</v>
      </c>
      <c r="C140" s="22" t="n">
        <v>1</v>
      </c>
      <c r="D140" s="41" t="n">
        <v>3800.448</v>
      </c>
      <c r="E140" s="22" t="n">
        <f aca="false">MONTH(A140)</f>
        <v>1</v>
      </c>
    </row>
    <row r="141" customFormat="false" ht="15" hidden="false" customHeight="false" outlineLevel="0" collapsed="false">
      <c r="A141" s="21" t="n">
        <v>46045</v>
      </c>
      <c r="B141" s="22" t="s">
        <v>188</v>
      </c>
      <c r="C141" s="22" t="n">
        <v>1</v>
      </c>
      <c r="D141" s="41" t="n">
        <v>2513.7</v>
      </c>
      <c r="E141" s="22" t="n">
        <f aca="false">MONTH(A141)</f>
        <v>1</v>
      </c>
    </row>
    <row r="142" customFormat="false" ht="15" hidden="false" customHeight="false" outlineLevel="0" collapsed="false">
      <c r="A142" s="21" t="n">
        <v>46045</v>
      </c>
      <c r="B142" s="22" t="s">
        <v>374</v>
      </c>
      <c r="C142" s="22" t="n">
        <v>1</v>
      </c>
      <c r="D142" s="41" t="n">
        <v>8538.498</v>
      </c>
      <c r="E142" s="22" t="n">
        <f aca="false">MONTH(A142)</f>
        <v>1</v>
      </c>
    </row>
    <row r="143" customFormat="false" ht="15" hidden="false" customHeight="false" outlineLevel="0" collapsed="false">
      <c r="A143" s="21" t="n">
        <v>46045</v>
      </c>
      <c r="B143" s="22" t="s">
        <v>375</v>
      </c>
      <c r="C143" s="22" t="n">
        <v>1</v>
      </c>
      <c r="D143" s="41" t="n">
        <v>19058.016</v>
      </c>
      <c r="E143" s="22" t="n">
        <f aca="false">MONTH(A143)</f>
        <v>1</v>
      </c>
    </row>
    <row r="144" customFormat="false" ht="15" hidden="false" customHeight="false" outlineLevel="0" collapsed="false">
      <c r="A144" s="21" t="n">
        <v>46045</v>
      </c>
      <c r="B144" s="22" t="s">
        <v>187</v>
      </c>
      <c r="C144" s="22" t="n">
        <v>1</v>
      </c>
      <c r="D144" s="41" t="n">
        <v>2835.57</v>
      </c>
      <c r="E144" s="22" t="n">
        <f aca="false">MONTH(A144)</f>
        <v>1</v>
      </c>
    </row>
    <row r="145" customFormat="false" ht="15" hidden="false" customHeight="false" outlineLevel="0" collapsed="false">
      <c r="A145" s="21" t="n">
        <v>46045</v>
      </c>
      <c r="B145" s="22" t="s">
        <v>187</v>
      </c>
      <c r="C145" s="22" t="n">
        <v>2</v>
      </c>
      <c r="D145" s="41" t="n">
        <v>3883.446</v>
      </c>
      <c r="E145" s="22" t="n">
        <f aca="false">MONTH(A145)</f>
        <v>1</v>
      </c>
    </row>
    <row r="146" customFormat="false" ht="15" hidden="false" customHeight="false" outlineLevel="0" collapsed="false">
      <c r="A146" s="21" t="n">
        <v>46045</v>
      </c>
      <c r="B146" s="22" t="s">
        <v>189</v>
      </c>
      <c r="C146" s="22" t="n">
        <v>1</v>
      </c>
      <c r="D146" s="41" t="n">
        <v>5934.6</v>
      </c>
      <c r="E146" s="22" t="n">
        <f aca="false">MONTH(A146)</f>
        <v>1</v>
      </c>
    </row>
    <row r="147" customFormat="false" ht="15" hidden="false" customHeight="false" outlineLevel="0" collapsed="false">
      <c r="A147" s="21" t="n">
        <v>46045</v>
      </c>
      <c r="B147" s="22" t="s">
        <v>189</v>
      </c>
      <c r="C147" s="22" t="n">
        <v>2</v>
      </c>
      <c r="D147" s="41" t="n">
        <v>6102.747</v>
      </c>
      <c r="E147" s="22" t="n">
        <f aca="false">MONTH(A147)</f>
        <v>1</v>
      </c>
    </row>
    <row r="148" customFormat="false" ht="15" hidden="false" customHeight="false" outlineLevel="0" collapsed="false">
      <c r="A148" s="21" t="n">
        <v>46045</v>
      </c>
      <c r="B148" s="22" t="s">
        <v>359</v>
      </c>
      <c r="C148" s="22" t="n">
        <v>1</v>
      </c>
      <c r="D148" s="41" t="n">
        <v>3574.08</v>
      </c>
      <c r="E148" s="22" t="n">
        <f aca="false">MONTH(A148)</f>
        <v>1</v>
      </c>
    </row>
    <row r="149" customFormat="false" ht="15" hidden="false" customHeight="false" outlineLevel="0" collapsed="false">
      <c r="A149" s="21" t="n">
        <v>46046</v>
      </c>
      <c r="B149" s="22" t="s">
        <v>361</v>
      </c>
      <c r="C149" s="22" t="n">
        <v>2</v>
      </c>
      <c r="D149" s="41" t="n">
        <v>15712.896</v>
      </c>
      <c r="E149" s="22" t="n">
        <f aca="false">MONTH(A149)</f>
        <v>1</v>
      </c>
    </row>
    <row r="150" customFormat="false" ht="15" hidden="false" customHeight="false" outlineLevel="0" collapsed="false">
      <c r="A150" s="21" t="n">
        <v>46046</v>
      </c>
      <c r="B150" s="22" t="s">
        <v>186</v>
      </c>
      <c r="C150" s="22" t="n">
        <v>1</v>
      </c>
      <c r="D150" s="41" t="n">
        <v>6920.445</v>
      </c>
      <c r="E150" s="22" t="n">
        <f aca="false">MONTH(A150)</f>
        <v>1</v>
      </c>
    </row>
    <row r="151" customFormat="false" ht="15" hidden="false" customHeight="false" outlineLevel="0" collapsed="false">
      <c r="A151" s="21" t="n">
        <v>46046</v>
      </c>
      <c r="B151" s="22" t="s">
        <v>188</v>
      </c>
      <c r="C151" s="22" t="n">
        <v>1</v>
      </c>
      <c r="D151" s="41" t="n">
        <v>926.1</v>
      </c>
      <c r="E151" s="22" t="n">
        <f aca="false">MONTH(A151)</f>
        <v>1</v>
      </c>
    </row>
    <row r="152" customFormat="false" ht="15" hidden="false" customHeight="false" outlineLevel="0" collapsed="false">
      <c r="A152" s="21" t="n">
        <v>46046</v>
      </c>
      <c r="B152" s="22" t="s">
        <v>374</v>
      </c>
      <c r="C152" s="22" t="n">
        <v>1</v>
      </c>
      <c r="D152" s="41" t="n">
        <v>7518.123</v>
      </c>
      <c r="E152" s="22" t="n">
        <f aca="false">MONTH(A152)</f>
        <v>1</v>
      </c>
    </row>
    <row r="153" customFormat="false" ht="15" hidden="false" customHeight="false" outlineLevel="0" collapsed="false">
      <c r="A153" s="21" t="n">
        <v>46046</v>
      </c>
      <c r="B153" s="22" t="s">
        <v>375</v>
      </c>
      <c r="C153" s="22" t="n">
        <v>1</v>
      </c>
      <c r="D153" s="41" t="n">
        <v>14601.664</v>
      </c>
      <c r="E153" s="22" t="n">
        <f aca="false">MONTH(A153)</f>
        <v>1</v>
      </c>
    </row>
    <row r="154" customFormat="false" ht="15" hidden="false" customHeight="false" outlineLevel="0" collapsed="false">
      <c r="A154" s="21" t="n">
        <v>46046</v>
      </c>
      <c r="B154" s="22" t="s">
        <v>187</v>
      </c>
      <c r="C154" s="22" t="n">
        <v>1</v>
      </c>
      <c r="D154" s="41" t="n">
        <v>5580.267</v>
      </c>
      <c r="E154" s="22" t="n">
        <f aca="false">MONTH(A154)</f>
        <v>1</v>
      </c>
    </row>
    <row r="155" customFormat="false" ht="15" hidden="false" customHeight="false" outlineLevel="0" collapsed="false">
      <c r="A155" s="21" t="n">
        <v>46046</v>
      </c>
      <c r="B155" s="22" t="s">
        <v>187</v>
      </c>
      <c r="C155" s="22" t="n">
        <v>2</v>
      </c>
      <c r="D155" s="41" t="n">
        <v>4944.688</v>
      </c>
      <c r="E155" s="22" t="n">
        <f aca="false">MONTH(A155)</f>
        <v>1</v>
      </c>
    </row>
    <row r="156" customFormat="false" ht="15" hidden="false" customHeight="false" outlineLevel="0" collapsed="false">
      <c r="A156" s="21" t="n">
        <v>46046</v>
      </c>
      <c r="B156" s="22" t="s">
        <v>189</v>
      </c>
      <c r="C156" s="22" t="n">
        <v>1</v>
      </c>
      <c r="D156" s="41" t="n">
        <v>5400.486</v>
      </c>
      <c r="E156" s="22" t="n">
        <f aca="false">MONTH(A156)</f>
        <v>1</v>
      </c>
    </row>
    <row r="157" customFormat="false" ht="15" hidden="false" customHeight="false" outlineLevel="0" collapsed="false">
      <c r="A157" s="21" t="n">
        <v>46046</v>
      </c>
      <c r="B157" s="22" t="s">
        <v>189</v>
      </c>
      <c r="C157" s="22" t="n">
        <v>2</v>
      </c>
      <c r="D157" s="41" t="n">
        <v>4846.59</v>
      </c>
      <c r="E157" s="22" t="n">
        <f aca="false">MONTH(A157)</f>
        <v>1</v>
      </c>
    </row>
    <row r="158" customFormat="false" ht="15" hidden="false" customHeight="false" outlineLevel="0" collapsed="false">
      <c r="A158" s="21" t="n">
        <v>46046</v>
      </c>
      <c r="B158" s="22" t="s">
        <v>359</v>
      </c>
      <c r="C158" s="22" t="n">
        <v>1</v>
      </c>
      <c r="D158" s="41" t="n">
        <v>3901.12</v>
      </c>
      <c r="E158" s="22" t="n">
        <f aca="false">MONTH(A158)</f>
        <v>1</v>
      </c>
    </row>
    <row r="159" customFormat="false" ht="15" hidden="false" customHeight="false" outlineLevel="0" collapsed="false">
      <c r="A159" s="21" t="n">
        <v>46048</v>
      </c>
      <c r="B159" s="22" t="s">
        <v>361</v>
      </c>
      <c r="C159" s="22" t="n">
        <v>2</v>
      </c>
      <c r="D159" s="41" t="n">
        <v>18055.488</v>
      </c>
      <c r="E159" s="22" t="n">
        <f aca="false">MONTH(A159)</f>
        <v>1</v>
      </c>
    </row>
    <row r="160" customFormat="false" ht="15" hidden="false" customHeight="false" outlineLevel="0" collapsed="false">
      <c r="A160" s="21" t="n">
        <v>46048</v>
      </c>
      <c r="B160" s="22" t="s">
        <v>186</v>
      </c>
      <c r="C160" s="22" t="n">
        <v>1</v>
      </c>
      <c r="D160" s="41" t="n">
        <v>1477.137</v>
      </c>
      <c r="E160" s="22" t="n">
        <f aca="false">MONTH(A160)</f>
        <v>1</v>
      </c>
    </row>
    <row r="161" customFormat="false" ht="15" hidden="false" customHeight="false" outlineLevel="0" collapsed="false">
      <c r="A161" s="21" t="n">
        <v>46048</v>
      </c>
      <c r="B161" s="22" t="s">
        <v>186</v>
      </c>
      <c r="C161" s="22" t="n">
        <v>2</v>
      </c>
      <c r="D161" s="41" t="n">
        <v>2582.424</v>
      </c>
      <c r="E161" s="22" t="n">
        <f aca="false">MONTH(A161)</f>
        <v>1</v>
      </c>
    </row>
    <row r="162" customFormat="false" ht="15" hidden="false" customHeight="false" outlineLevel="0" collapsed="false">
      <c r="A162" s="21" t="n">
        <v>46048</v>
      </c>
      <c r="B162" s="22" t="s">
        <v>374</v>
      </c>
      <c r="C162" s="22" t="n">
        <v>2</v>
      </c>
      <c r="D162" s="41" t="n">
        <v>7640.568</v>
      </c>
      <c r="E162" s="22" t="n">
        <f aca="false">MONTH(A162)</f>
        <v>1</v>
      </c>
    </row>
    <row r="163" customFormat="false" ht="15" hidden="false" customHeight="false" outlineLevel="0" collapsed="false">
      <c r="A163" s="21" t="n">
        <v>46048</v>
      </c>
      <c r="B163" s="22" t="s">
        <v>375</v>
      </c>
      <c r="C163" s="22" t="n">
        <v>1</v>
      </c>
      <c r="D163" s="41" t="n">
        <v>18346.896</v>
      </c>
      <c r="E163" s="22" t="n">
        <f aca="false">MONTH(A163)</f>
        <v>1</v>
      </c>
    </row>
    <row r="164" customFormat="false" ht="15" hidden="false" customHeight="false" outlineLevel="0" collapsed="false">
      <c r="A164" s="21" t="n">
        <v>46048</v>
      </c>
      <c r="B164" s="22" t="s">
        <v>187</v>
      </c>
      <c r="C164" s="22" t="n">
        <v>1</v>
      </c>
      <c r="D164" s="41" t="n">
        <v>7650.272</v>
      </c>
      <c r="E164" s="22" t="n">
        <f aca="false">MONTH(A164)</f>
        <v>1</v>
      </c>
    </row>
    <row r="165" customFormat="false" ht="15" hidden="false" customHeight="false" outlineLevel="0" collapsed="false">
      <c r="A165" s="21" t="n">
        <v>46048</v>
      </c>
      <c r="B165" s="22" t="s">
        <v>187</v>
      </c>
      <c r="C165" s="22" t="n">
        <v>2</v>
      </c>
      <c r="D165" s="41" t="n">
        <v>7242.102</v>
      </c>
      <c r="E165" s="22" t="n">
        <f aca="false">MONTH(A165)</f>
        <v>1</v>
      </c>
    </row>
    <row r="166" customFormat="false" ht="15" hidden="false" customHeight="false" outlineLevel="0" collapsed="false">
      <c r="A166" s="21" t="n">
        <v>46048</v>
      </c>
      <c r="B166" s="22" t="s">
        <v>189</v>
      </c>
      <c r="C166" s="22" t="n">
        <v>1</v>
      </c>
      <c r="D166" s="41" t="n">
        <v>1285.83</v>
      </c>
      <c r="E166" s="22" t="n">
        <f aca="false">MONTH(A166)</f>
        <v>1</v>
      </c>
    </row>
    <row r="167" customFormat="false" ht="15" hidden="false" customHeight="false" outlineLevel="0" collapsed="false">
      <c r="A167" s="21" t="n">
        <v>46048</v>
      </c>
      <c r="B167" s="22" t="s">
        <v>189</v>
      </c>
      <c r="C167" s="22" t="n">
        <v>2</v>
      </c>
      <c r="D167" s="41" t="n">
        <v>5807.475</v>
      </c>
      <c r="E167" s="22" t="n">
        <f aca="false">MONTH(A167)</f>
        <v>1</v>
      </c>
    </row>
    <row r="168" customFormat="false" ht="15" hidden="false" customHeight="false" outlineLevel="0" collapsed="false">
      <c r="A168" s="21" t="n">
        <v>46048</v>
      </c>
      <c r="B168" s="22" t="s">
        <v>359</v>
      </c>
      <c r="C168" s="22" t="n">
        <v>1</v>
      </c>
      <c r="D168" s="41" t="n">
        <v>4578.56</v>
      </c>
      <c r="E168" s="22" t="n">
        <f aca="false">MONTH(A168)</f>
        <v>1</v>
      </c>
    </row>
    <row r="169" customFormat="false" ht="15" hidden="false" customHeight="false" outlineLevel="0" collapsed="false">
      <c r="A169" s="21" t="n">
        <v>46049</v>
      </c>
      <c r="B169" s="22" t="s">
        <v>361</v>
      </c>
      <c r="C169" s="22" t="n">
        <v>2</v>
      </c>
      <c r="D169" s="41" t="n">
        <v>19532.037</v>
      </c>
      <c r="E169" s="22" t="n">
        <f aca="false">MONTH(A169)</f>
        <v>1</v>
      </c>
    </row>
    <row r="170" customFormat="false" ht="15" hidden="false" customHeight="false" outlineLevel="0" collapsed="false">
      <c r="A170" s="21" t="n">
        <v>46049</v>
      </c>
      <c r="B170" s="22" t="s">
        <v>186</v>
      </c>
      <c r="C170" s="22" t="n">
        <v>2</v>
      </c>
      <c r="D170" s="41" t="n">
        <v>5119.209</v>
      </c>
      <c r="E170" s="22" t="n">
        <f aca="false">MONTH(A170)</f>
        <v>1</v>
      </c>
    </row>
    <row r="171" customFormat="false" ht="15" hidden="false" customHeight="false" outlineLevel="0" collapsed="false">
      <c r="A171" s="21" t="n">
        <v>46049</v>
      </c>
      <c r="B171" s="22" t="s">
        <v>375</v>
      </c>
      <c r="C171" s="22" t="n">
        <v>1</v>
      </c>
      <c r="D171" s="41" t="n">
        <v>15111.3</v>
      </c>
      <c r="E171" s="22" t="n">
        <f aca="false">MONTH(A171)</f>
        <v>1</v>
      </c>
    </row>
    <row r="172" customFormat="false" ht="15" hidden="false" customHeight="false" outlineLevel="0" collapsed="false">
      <c r="A172" s="21" t="n">
        <v>46049</v>
      </c>
      <c r="B172" s="22" t="s">
        <v>187</v>
      </c>
      <c r="C172" s="22" t="n">
        <v>1</v>
      </c>
      <c r="D172" s="41" t="n">
        <v>7358.722</v>
      </c>
      <c r="E172" s="22" t="n">
        <f aca="false">MONTH(A172)</f>
        <v>1</v>
      </c>
    </row>
    <row r="173" customFormat="false" ht="15" hidden="false" customHeight="false" outlineLevel="0" collapsed="false">
      <c r="A173" s="21" t="n">
        <v>46049</v>
      </c>
      <c r="B173" s="22" t="s">
        <v>187</v>
      </c>
      <c r="C173" s="22" t="n">
        <v>2</v>
      </c>
      <c r="D173" s="41" t="n">
        <v>7312.074</v>
      </c>
      <c r="E173" s="22" t="n">
        <f aca="false">MONTH(A173)</f>
        <v>1</v>
      </c>
    </row>
    <row r="174" customFormat="false" ht="15" hidden="false" customHeight="false" outlineLevel="0" collapsed="false">
      <c r="A174" s="21" t="n">
        <v>46049</v>
      </c>
      <c r="B174" s="22" t="s">
        <v>189</v>
      </c>
      <c r="C174" s="22" t="n">
        <v>1</v>
      </c>
      <c r="D174" s="41" t="n">
        <v>14787</v>
      </c>
      <c r="E174" s="22" t="n">
        <f aca="false">MONTH(A174)</f>
        <v>1</v>
      </c>
    </row>
    <row r="175" customFormat="false" ht="15" hidden="false" customHeight="false" outlineLevel="0" collapsed="false">
      <c r="A175" s="21" t="n">
        <v>46049</v>
      </c>
      <c r="B175" s="22" t="s">
        <v>189</v>
      </c>
      <c r="C175" s="22" t="n">
        <v>2</v>
      </c>
      <c r="D175" s="41" t="n">
        <v>15013.575</v>
      </c>
      <c r="E175" s="22" t="n">
        <f aca="false">MONTH(A175)</f>
        <v>1</v>
      </c>
    </row>
    <row r="176" customFormat="false" ht="15" hidden="false" customHeight="false" outlineLevel="0" collapsed="false">
      <c r="A176" s="21" t="n">
        <v>46049</v>
      </c>
      <c r="B176" s="22" t="s">
        <v>359</v>
      </c>
      <c r="C176" s="22" t="n">
        <v>1</v>
      </c>
      <c r="D176" s="41" t="n">
        <v>4508.48</v>
      </c>
      <c r="E176" s="22" t="n">
        <f aca="false">MONTH(A176)</f>
        <v>1</v>
      </c>
    </row>
    <row r="177" customFormat="false" ht="15" hidden="false" customHeight="false" outlineLevel="0" collapsed="false">
      <c r="A177" s="21" t="n">
        <v>46050</v>
      </c>
      <c r="B177" s="22" t="s">
        <v>361</v>
      </c>
      <c r="C177" s="22" t="n">
        <v>2</v>
      </c>
      <c r="D177" s="41" t="n">
        <v>27511.491</v>
      </c>
      <c r="E177" s="22" t="n">
        <f aca="false">MONTH(A177)</f>
        <v>1</v>
      </c>
    </row>
    <row r="178" customFormat="false" ht="15" hidden="false" customHeight="false" outlineLevel="0" collapsed="false">
      <c r="A178" s="21" t="n">
        <v>46050</v>
      </c>
      <c r="B178" s="22" t="s">
        <v>186</v>
      </c>
      <c r="C178" s="22" t="n">
        <v>1</v>
      </c>
      <c r="D178" s="41" t="n">
        <v>9137.04</v>
      </c>
      <c r="E178" s="22" t="n">
        <f aca="false">MONTH(A178)</f>
        <v>1</v>
      </c>
    </row>
    <row r="179" customFormat="false" ht="15" hidden="false" customHeight="false" outlineLevel="0" collapsed="false">
      <c r="A179" s="21" t="n">
        <v>46050</v>
      </c>
      <c r="B179" s="22" t="s">
        <v>186</v>
      </c>
      <c r="C179" s="22" t="n">
        <v>2</v>
      </c>
      <c r="D179" s="41" t="n">
        <v>4125.819</v>
      </c>
      <c r="E179" s="22" t="n">
        <f aca="false">MONTH(A179)</f>
        <v>1</v>
      </c>
    </row>
    <row r="180" customFormat="false" ht="15" hidden="false" customHeight="false" outlineLevel="0" collapsed="false">
      <c r="A180" s="21" t="n">
        <v>46050</v>
      </c>
      <c r="B180" s="22" t="s">
        <v>187</v>
      </c>
      <c r="C180" s="22" t="n">
        <v>1</v>
      </c>
      <c r="D180" s="41" t="n">
        <v>5323.703</v>
      </c>
      <c r="E180" s="22" t="n">
        <f aca="false">MONTH(A180)</f>
        <v>1</v>
      </c>
    </row>
    <row r="181" customFormat="false" ht="15" hidden="false" customHeight="false" outlineLevel="0" collapsed="false">
      <c r="A181" s="21" t="n">
        <v>46050</v>
      </c>
      <c r="B181" s="22" t="s">
        <v>187</v>
      </c>
      <c r="C181" s="22" t="n">
        <v>2</v>
      </c>
      <c r="D181" s="41" t="n">
        <v>6165.39</v>
      </c>
      <c r="E181" s="22" t="n">
        <f aca="false">MONTH(A181)</f>
        <v>1</v>
      </c>
    </row>
    <row r="182" customFormat="false" ht="15" hidden="false" customHeight="false" outlineLevel="0" collapsed="false">
      <c r="A182" s="21" t="n">
        <v>46050</v>
      </c>
      <c r="B182" s="22" t="s">
        <v>189</v>
      </c>
      <c r="C182" s="22" t="n">
        <v>1</v>
      </c>
      <c r="D182" s="41" t="n">
        <v>13439.475</v>
      </c>
      <c r="E182" s="22" t="n">
        <f aca="false">MONTH(A182)</f>
        <v>1</v>
      </c>
    </row>
    <row r="183" customFormat="false" ht="15" hidden="false" customHeight="false" outlineLevel="0" collapsed="false">
      <c r="A183" s="21" t="n">
        <v>46050</v>
      </c>
      <c r="B183" s="22" t="s">
        <v>189</v>
      </c>
      <c r="C183" s="22" t="n">
        <v>2</v>
      </c>
      <c r="D183" s="41" t="n">
        <v>16480.35</v>
      </c>
      <c r="E183" s="22" t="n">
        <f aca="false">MONTH(A183)</f>
        <v>1</v>
      </c>
    </row>
    <row r="184" customFormat="false" ht="15" hidden="false" customHeight="false" outlineLevel="0" collapsed="false">
      <c r="A184" s="21" t="n">
        <v>46050</v>
      </c>
      <c r="B184" s="22" t="s">
        <v>359</v>
      </c>
      <c r="C184" s="22" t="n">
        <v>1</v>
      </c>
      <c r="D184" s="41" t="n">
        <v>4450.08</v>
      </c>
      <c r="E184" s="22" t="n">
        <f aca="false">MONTH(A184)</f>
        <v>1</v>
      </c>
    </row>
    <row r="185" customFormat="false" ht="15" hidden="false" customHeight="false" outlineLevel="0" collapsed="false">
      <c r="A185" s="21" t="n">
        <v>46051</v>
      </c>
      <c r="B185" s="22" t="s">
        <v>186</v>
      </c>
      <c r="C185" s="22" t="n">
        <v>1</v>
      </c>
      <c r="D185" s="41" t="n">
        <v>11778.81</v>
      </c>
      <c r="E185" s="22" t="n">
        <f aca="false">MONTH(A185)</f>
        <v>1</v>
      </c>
    </row>
    <row r="186" customFormat="false" ht="15" hidden="false" customHeight="false" outlineLevel="0" collapsed="false">
      <c r="A186" s="21" t="n">
        <v>46051</v>
      </c>
      <c r="B186" s="22" t="s">
        <v>186</v>
      </c>
      <c r="C186" s="22" t="n">
        <v>2</v>
      </c>
      <c r="D186" s="41" t="n">
        <v>8985.042</v>
      </c>
      <c r="E186" s="22" t="n">
        <f aca="false">MONTH(A186)</f>
        <v>1</v>
      </c>
    </row>
    <row r="187" customFormat="false" ht="15" hidden="false" customHeight="false" outlineLevel="0" collapsed="false">
      <c r="A187" s="21" t="n">
        <v>46051</v>
      </c>
      <c r="B187" s="22" t="s">
        <v>375</v>
      </c>
      <c r="C187" s="22" t="n">
        <v>2</v>
      </c>
      <c r="D187" s="41" t="n">
        <v>15502.416</v>
      </c>
      <c r="E187" s="22" t="n">
        <f aca="false">MONTH(A187)</f>
        <v>1</v>
      </c>
    </row>
    <row r="188" customFormat="false" ht="15" hidden="false" customHeight="false" outlineLevel="0" collapsed="false">
      <c r="A188" s="21" t="n">
        <v>46051</v>
      </c>
      <c r="B188" s="22" t="s">
        <v>187</v>
      </c>
      <c r="C188" s="22" t="n">
        <v>1</v>
      </c>
      <c r="D188" s="41" t="n">
        <v>6841.275</v>
      </c>
      <c r="E188" s="22" t="n">
        <f aca="false">MONTH(A188)</f>
        <v>1</v>
      </c>
    </row>
    <row r="189" customFormat="false" ht="15" hidden="false" customHeight="false" outlineLevel="0" collapsed="false">
      <c r="A189" s="21" t="n">
        <v>46051</v>
      </c>
      <c r="B189" s="22" t="s">
        <v>187</v>
      </c>
      <c r="C189" s="22" t="n">
        <v>2</v>
      </c>
      <c r="D189" s="41" t="n">
        <v>3522.295</v>
      </c>
      <c r="E189" s="22" t="n">
        <f aca="false">MONTH(A189)</f>
        <v>1</v>
      </c>
    </row>
    <row r="190" customFormat="false" ht="15" hidden="false" customHeight="false" outlineLevel="0" collapsed="false">
      <c r="A190" s="21" t="n">
        <v>46051</v>
      </c>
      <c r="B190" s="22" t="s">
        <v>189</v>
      </c>
      <c r="C190" s="22" t="n">
        <v>1</v>
      </c>
      <c r="D190" s="41" t="n">
        <v>16337.25</v>
      </c>
      <c r="E190" s="22" t="n">
        <f aca="false">MONTH(A190)</f>
        <v>1</v>
      </c>
    </row>
    <row r="191" customFormat="false" ht="15" hidden="false" customHeight="false" outlineLevel="0" collapsed="false">
      <c r="A191" s="21" t="n">
        <v>46051</v>
      </c>
      <c r="B191" s="22" t="s">
        <v>189</v>
      </c>
      <c r="C191" s="22" t="n">
        <v>2</v>
      </c>
      <c r="D191" s="41" t="n">
        <v>13582.575</v>
      </c>
      <c r="E191" s="22" t="n">
        <f aca="false">MONTH(A191)</f>
        <v>1</v>
      </c>
    </row>
    <row r="192" customFormat="false" ht="15" hidden="false" customHeight="false" outlineLevel="0" collapsed="false">
      <c r="A192" s="21" t="n">
        <v>46051</v>
      </c>
      <c r="B192" s="22" t="s">
        <v>359</v>
      </c>
      <c r="C192" s="22" t="n">
        <v>1</v>
      </c>
      <c r="D192" s="41" t="n">
        <v>4566.88</v>
      </c>
      <c r="E192" s="22" t="n">
        <f aca="false">MONTH(A192)</f>
        <v>1</v>
      </c>
    </row>
    <row r="193" customFormat="false" ht="15" hidden="false" customHeight="false" outlineLevel="0" collapsed="false">
      <c r="A193" s="21" t="n">
        <v>46052</v>
      </c>
      <c r="B193" s="22" t="s">
        <v>186</v>
      </c>
      <c r="C193" s="22" t="n">
        <v>1</v>
      </c>
      <c r="D193" s="41" t="n">
        <v>9707.382</v>
      </c>
      <c r="E193" s="22" t="n">
        <f aca="false">MONTH(A193)</f>
        <v>1</v>
      </c>
    </row>
    <row r="194" customFormat="false" ht="15" hidden="false" customHeight="false" outlineLevel="0" collapsed="false">
      <c r="A194" s="21" t="n">
        <v>46052</v>
      </c>
      <c r="B194" s="22" t="s">
        <v>186</v>
      </c>
      <c r="C194" s="22" t="n">
        <v>2</v>
      </c>
      <c r="D194" s="41" t="n">
        <v>7515.726</v>
      </c>
      <c r="E194" s="22" t="n">
        <f aca="false">MONTH(A194)</f>
        <v>1</v>
      </c>
    </row>
    <row r="195" customFormat="false" ht="15" hidden="false" customHeight="false" outlineLevel="0" collapsed="false">
      <c r="A195" s="21" t="n">
        <v>46052</v>
      </c>
      <c r="B195" s="22" t="s">
        <v>375</v>
      </c>
      <c r="C195" s="22" t="n">
        <v>1</v>
      </c>
      <c r="D195" s="41" t="n">
        <v>17481.7</v>
      </c>
      <c r="E195" s="22" t="n">
        <f aca="false">MONTH(A195)</f>
        <v>1</v>
      </c>
    </row>
    <row r="196" customFormat="false" ht="15" hidden="false" customHeight="false" outlineLevel="0" collapsed="false">
      <c r="A196" s="21" t="n">
        <v>46052</v>
      </c>
      <c r="B196" s="22" t="s">
        <v>375</v>
      </c>
      <c r="C196" s="22" t="n">
        <v>2</v>
      </c>
      <c r="D196" s="41" t="n">
        <v>15348.34</v>
      </c>
      <c r="E196" s="22" t="n">
        <f aca="false">MONTH(A196)</f>
        <v>1</v>
      </c>
    </row>
    <row r="197" customFormat="false" ht="15" hidden="false" customHeight="false" outlineLevel="0" collapsed="false">
      <c r="A197" s="21" t="n">
        <v>46052</v>
      </c>
      <c r="B197" s="22" t="s">
        <v>187</v>
      </c>
      <c r="C197" s="22" t="n">
        <v>1</v>
      </c>
      <c r="D197" s="41" t="n">
        <v>12052.25</v>
      </c>
      <c r="E197" s="22" t="n">
        <f aca="false">MONTH(A197)</f>
        <v>1</v>
      </c>
    </row>
    <row r="198" customFormat="false" ht="15" hidden="false" customHeight="false" outlineLevel="0" collapsed="false">
      <c r="A198" s="21" t="n">
        <v>46052</v>
      </c>
      <c r="B198" s="22" t="s">
        <v>187</v>
      </c>
      <c r="C198" s="22" t="n">
        <v>2</v>
      </c>
      <c r="D198" s="41" t="n">
        <v>14945.5</v>
      </c>
      <c r="E198" s="22" t="n">
        <f aca="false">MONTH(A198)</f>
        <v>1</v>
      </c>
    </row>
    <row r="199" customFormat="false" ht="15" hidden="false" customHeight="false" outlineLevel="0" collapsed="false">
      <c r="A199" s="21" t="n">
        <v>46052</v>
      </c>
      <c r="B199" s="22" t="s">
        <v>189</v>
      </c>
      <c r="C199" s="22" t="n">
        <v>1</v>
      </c>
      <c r="D199" s="41" t="n">
        <v>12175.425</v>
      </c>
      <c r="E199" s="22" t="n">
        <f aca="false">MONTH(A199)</f>
        <v>1</v>
      </c>
    </row>
    <row r="200" customFormat="false" ht="15" hidden="false" customHeight="false" outlineLevel="0" collapsed="false">
      <c r="A200" s="21" t="n">
        <v>46052</v>
      </c>
      <c r="B200" s="22" t="s">
        <v>359</v>
      </c>
      <c r="C200" s="22" t="n">
        <v>1</v>
      </c>
      <c r="D200" s="41" t="n">
        <v>4006.24</v>
      </c>
      <c r="E200" s="22" t="n">
        <f aca="false">MONTH(A200)</f>
        <v>1</v>
      </c>
    </row>
    <row r="201" customFormat="false" ht="15" hidden="false" customHeight="false" outlineLevel="0" collapsed="false">
      <c r="A201" s="21" t="n">
        <v>46052</v>
      </c>
      <c r="B201" s="22" t="s">
        <v>359</v>
      </c>
      <c r="C201" s="22" t="n">
        <v>2</v>
      </c>
      <c r="D201" s="41" t="n">
        <v>5459.88</v>
      </c>
      <c r="E201" s="22" t="n">
        <f aca="false">MONTH(A201)</f>
        <v>1</v>
      </c>
    </row>
    <row r="202" customFormat="false" ht="15" hidden="false" customHeight="false" outlineLevel="0" collapsed="false">
      <c r="A202" s="21" t="n">
        <v>46055</v>
      </c>
      <c r="B202" s="22" t="s">
        <v>362</v>
      </c>
      <c r="C202" s="22" t="n">
        <v>1</v>
      </c>
      <c r="D202" s="41" t="n">
        <v>2375.251</v>
      </c>
      <c r="E202" s="22" t="n">
        <f aca="false">MONTH(A202)</f>
        <v>2</v>
      </c>
    </row>
    <row r="203" customFormat="false" ht="15" hidden="false" customHeight="false" outlineLevel="0" collapsed="false">
      <c r="A203" s="21" t="n">
        <v>46055</v>
      </c>
      <c r="B203" s="22" t="s">
        <v>186</v>
      </c>
      <c r="C203" s="22" t="n">
        <v>1</v>
      </c>
      <c r="D203" s="41" t="n">
        <v>3809.032</v>
      </c>
      <c r="E203" s="22" t="n">
        <f aca="false">MONTH(A203)</f>
        <v>2</v>
      </c>
    </row>
    <row r="204" customFormat="false" ht="15" hidden="false" customHeight="false" outlineLevel="0" collapsed="false">
      <c r="A204" s="21" t="n">
        <v>46055</v>
      </c>
      <c r="B204" s="22" t="s">
        <v>188</v>
      </c>
      <c r="C204" s="22" t="n">
        <v>1</v>
      </c>
      <c r="D204" s="41" t="n">
        <v>2018.8</v>
      </c>
      <c r="E204" s="22" t="n">
        <f aca="false">MONTH(A204)</f>
        <v>2</v>
      </c>
    </row>
    <row r="205" customFormat="false" ht="15" hidden="false" customHeight="false" outlineLevel="0" collapsed="false">
      <c r="A205" s="21" t="n">
        <v>46055</v>
      </c>
      <c r="B205" s="22" t="s">
        <v>374</v>
      </c>
      <c r="C205" s="22" t="n">
        <v>1</v>
      </c>
      <c r="D205" s="41" t="n">
        <v>6393.324</v>
      </c>
      <c r="E205" s="22" t="n">
        <f aca="false">MONTH(A205)</f>
        <v>2</v>
      </c>
    </row>
    <row r="206" customFormat="false" ht="15" hidden="false" customHeight="false" outlineLevel="0" collapsed="false">
      <c r="A206" s="21" t="n">
        <v>46055</v>
      </c>
      <c r="B206" s="22" t="s">
        <v>375</v>
      </c>
      <c r="C206" s="22" t="n">
        <v>2</v>
      </c>
      <c r="D206" s="41" t="n">
        <v>16000.2</v>
      </c>
      <c r="E206" s="22" t="n">
        <f aca="false">MONTH(A206)</f>
        <v>2</v>
      </c>
    </row>
    <row r="207" customFormat="false" ht="15" hidden="false" customHeight="false" outlineLevel="0" collapsed="false">
      <c r="A207" s="21" t="n">
        <v>46055</v>
      </c>
      <c r="B207" s="22" t="s">
        <v>189</v>
      </c>
      <c r="C207" s="22" t="n">
        <v>1</v>
      </c>
      <c r="D207" s="41" t="n">
        <v>15800.625</v>
      </c>
      <c r="E207" s="22" t="n">
        <f aca="false">MONTH(A207)</f>
        <v>2</v>
      </c>
    </row>
    <row r="208" customFormat="false" ht="15" hidden="false" customHeight="false" outlineLevel="0" collapsed="false">
      <c r="A208" s="21" t="n">
        <v>46055</v>
      </c>
      <c r="B208" s="22" t="s">
        <v>189</v>
      </c>
      <c r="C208" s="22" t="n">
        <v>2</v>
      </c>
      <c r="D208" s="41" t="n">
        <v>16826.175</v>
      </c>
      <c r="E208" s="22" t="n">
        <f aca="false">MONTH(A208)</f>
        <v>2</v>
      </c>
    </row>
    <row r="209" customFormat="false" ht="15" hidden="false" customHeight="false" outlineLevel="0" collapsed="false">
      <c r="A209" s="21" t="n">
        <v>46055</v>
      </c>
      <c r="B209" s="22" t="s">
        <v>359</v>
      </c>
      <c r="C209" s="22" t="n">
        <v>2</v>
      </c>
      <c r="D209" s="41" t="n">
        <v>568.08</v>
      </c>
      <c r="E209" s="22" t="n">
        <f aca="false">MONTH(A209)</f>
        <v>2</v>
      </c>
    </row>
    <row r="210" customFormat="false" ht="15" hidden="false" customHeight="false" outlineLevel="0" collapsed="false">
      <c r="A210" s="21" t="n">
        <v>46056</v>
      </c>
      <c r="B210" s="22" t="s">
        <v>362</v>
      </c>
      <c r="C210" s="22" t="n">
        <v>1</v>
      </c>
      <c r="D210" s="41" t="n">
        <v>3165.007</v>
      </c>
      <c r="E210" s="22" t="n">
        <f aca="false">MONTH(A210)</f>
        <v>2</v>
      </c>
    </row>
    <row r="211" customFormat="false" ht="15" hidden="false" customHeight="false" outlineLevel="0" collapsed="false">
      <c r="A211" s="21" t="n">
        <v>46056</v>
      </c>
      <c r="B211" s="22" t="s">
        <v>186</v>
      </c>
      <c r="C211" s="22" t="n">
        <v>1</v>
      </c>
      <c r="D211" s="41" t="n">
        <v>7234.089</v>
      </c>
      <c r="E211" s="22" t="n">
        <f aca="false">MONTH(A211)</f>
        <v>2</v>
      </c>
    </row>
    <row r="212" customFormat="false" ht="15" hidden="false" customHeight="false" outlineLevel="0" collapsed="false">
      <c r="A212" s="21" t="n">
        <v>46056</v>
      </c>
      <c r="B212" s="22" t="s">
        <v>188</v>
      </c>
      <c r="C212" s="22" t="n">
        <v>1</v>
      </c>
      <c r="D212" s="41" t="n">
        <v>2102.1</v>
      </c>
      <c r="E212" s="22" t="n">
        <f aca="false">MONTH(A212)</f>
        <v>2</v>
      </c>
    </row>
    <row r="213" customFormat="false" ht="15" hidden="false" customHeight="false" outlineLevel="0" collapsed="false">
      <c r="A213" s="21" t="n">
        <v>46056</v>
      </c>
      <c r="B213" s="22" t="s">
        <v>374</v>
      </c>
      <c r="C213" s="22" t="n">
        <v>2</v>
      </c>
      <c r="D213" s="41" t="n">
        <v>8597.638</v>
      </c>
      <c r="E213" s="22" t="n">
        <f aca="false">MONTH(A213)</f>
        <v>2</v>
      </c>
    </row>
    <row r="214" customFormat="false" ht="15" hidden="false" customHeight="false" outlineLevel="0" collapsed="false">
      <c r="A214" s="21" t="n">
        <v>46056</v>
      </c>
      <c r="B214" s="22" t="s">
        <v>375</v>
      </c>
      <c r="C214" s="22" t="n">
        <v>2</v>
      </c>
      <c r="D214" s="41" t="n">
        <v>18003.188</v>
      </c>
      <c r="E214" s="22" t="n">
        <f aca="false">MONTH(A214)</f>
        <v>2</v>
      </c>
    </row>
    <row r="215" customFormat="false" ht="15" hidden="false" customHeight="false" outlineLevel="0" collapsed="false">
      <c r="A215" s="21" t="n">
        <v>46056</v>
      </c>
      <c r="B215" s="22" t="s">
        <v>189</v>
      </c>
      <c r="C215" s="22" t="n">
        <v>1</v>
      </c>
      <c r="D215" s="41" t="n">
        <v>14906.25</v>
      </c>
      <c r="E215" s="22" t="n">
        <f aca="false">MONTH(A215)</f>
        <v>2</v>
      </c>
    </row>
    <row r="216" customFormat="false" ht="15" hidden="false" customHeight="false" outlineLevel="0" collapsed="false">
      <c r="A216" s="21" t="n">
        <v>46056</v>
      </c>
      <c r="B216" s="22" t="s">
        <v>189</v>
      </c>
      <c r="C216" s="22" t="n">
        <v>2</v>
      </c>
      <c r="D216" s="41" t="n">
        <v>15156.675</v>
      </c>
      <c r="E216" s="22" t="n">
        <f aca="false">MONTH(A216)</f>
        <v>2</v>
      </c>
    </row>
    <row r="217" customFormat="false" ht="15" hidden="false" customHeight="false" outlineLevel="0" collapsed="false">
      <c r="A217" s="21" t="n">
        <v>46056</v>
      </c>
      <c r="B217" s="22" t="s">
        <v>359</v>
      </c>
      <c r="C217" s="22" t="n">
        <v>1</v>
      </c>
      <c r="D217" s="41" t="n">
        <v>2711.238</v>
      </c>
      <c r="E217" s="22" t="n">
        <f aca="false">MONTH(A217)</f>
        <v>2</v>
      </c>
    </row>
    <row r="218" customFormat="false" ht="15" hidden="false" customHeight="false" outlineLevel="0" collapsed="false">
      <c r="A218" s="21" t="n">
        <v>46056</v>
      </c>
      <c r="B218" s="22" t="s">
        <v>359</v>
      </c>
      <c r="C218" s="22" t="n">
        <v>2</v>
      </c>
      <c r="D218" s="41" t="n">
        <v>3444.792</v>
      </c>
      <c r="E218" s="22" t="n">
        <f aca="false">MONTH(A218)</f>
        <v>2</v>
      </c>
    </row>
    <row r="219" customFormat="false" ht="15" hidden="false" customHeight="false" outlineLevel="0" collapsed="false">
      <c r="A219" s="21" t="n">
        <v>46057</v>
      </c>
      <c r="B219" s="22" t="s">
        <v>361</v>
      </c>
      <c r="C219" s="22" t="n">
        <v>2</v>
      </c>
      <c r="D219" s="41" t="n">
        <v>5960.556</v>
      </c>
      <c r="E219" s="22" t="n">
        <f aca="false">MONTH(A219)</f>
        <v>2</v>
      </c>
    </row>
    <row r="220" customFormat="false" ht="15" hidden="false" customHeight="false" outlineLevel="0" collapsed="false">
      <c r="A220" s="21" t="n">
        <v>46057</v>
      </c>
      <c r="B220" s="22" t="s">
        <v>186</v>
      </c>
      <c r="C220" s="22" t="n">
        <v>1</v>
      </c>
      <c r="D220" s="41" t="n">
        <v>6773.319</v>
      </c>
      <c r="E220" s="22" t="n">
        <f aca="false">MONTH(A220)</f>
        <v>2</v>
      </c>
    </row>
    <row r="221" customFormat="false" ht="15" hidden="false" customHeight="false" outlineLevel="0" collapsed="false">
      <c r="A221" s="21" t="n">
        <v>46057</v>
      </c>
      <c r="B221" s="22" t="s">
        <v>188</v>
      </c>
      <c r="C221" s="22" t="n">
        <v>1</v>
      </c>
      <c r="D221" s="41" t="n">
        <v>2513.7</v>
      </c>
      <c r="E221" s="22" t="n">
        <f aca="false">MONTH(A221)</f>
        <v>2</v>
      </c>
    </row>
    <row r="222" customFormat="false" ht="15" hidden="false" customHeight="false" outlineLevel="0" collapsed="false">
      <c r="A222" s="21" t="n">
        <v>46057</v>
      </c>
      <c r="B222" s="22" t="s">
        <v>188</v>
      </c>
      <c r="C222" s="22" t="n">
        <v>2</v>
      </c>
      <c r="D222" s="41" t="n">
        <v>1617</v>
      </c>
      <c r="E222" s="22" t="n">
        <f aca="false">MONTH(A222)</f>
        <v>2</v>
      </c>
    </row>
    <row r="223" customFormat="false" ht="15" hidden="false" customHeight="false" outlineLevel="0" collapsed="false">
      <c r="A223" s="21" t="n">
        <v>46057</v>
      </c>
      <c r="B223" s="22" t="s">
        <v>374</v>
      </c>
      <c r="C223" s="22" t="n">
        <v>2</v>
      </c>
      <c r="D223" s="41" t="n">
        <v>6348.609</v>
      </c>
      <c r="E223" s="22" t="n">
        <f aca="false">MONTH(A223)</f>
        <v>2</v>
      </c>
    </row>
    <row r="224" customFormat="false" ht="15" hidden="false" customHeight="false" outlineLevel="0" collapsed="false">
      <c r="A224" s="21" t="n">
        <v>46057</v>
      </c>
      <c r="B224" s="22" t="s">
        <v>375</v>
      </c>
      <c r="C224" s="22" t="n">
        <v>1</v>
      </c>
      <c r="D224" s="41" t="n">
        <v>14909.816</v>
      </c>
      <c r="E224" s="22" t="n">
        <f aca="false">MONTH(A224)</f>
        <v>2</v>
      </c>
    </row>
    <row r="225" customFormat="false" ht="15" hidden="false" customHeight="false" outlineLevel="0" collapsed="false">
      <c r="A225" s="21" t="n">
        <v>46057</v>
      </c>
      <c r="B225" s="22" t="s">
        <v>189</v>
      </c>
      <c r="C225" s="22" t="n">
        <v>1</v>
      </c>
      <c r="D225" s="41" t="n">
        <v>10553.625</v>
      </c>
      <c r="E225" s="22" t="n">
        <f aca="false">MONTH(A225)</f>
        <v>2</v>
      </c>
    </row>
    <row r="226" customFormat="false" ht="15" hidden="false" customHeight="false" outlineLevel="0" collapsed="false">
      <c r="A226" s="21" t="n">
        <v>46057</v>
      </c>
      <c r="B226" s="22" t="s">
        <v>189</v>
      </c>
      <c r="C226" s="22" t="n">
        <v>2</v>
      </c>
      <c r="D226" s="41" t="n">
        <v>5422.514</v>
      </c>
      <c r="E226" s="22" t="n">
        <f aca="false">MONTH(A226)</f>
        <v>2</v>
      </c>
    </row>
    <row r="227" customFormat="false" ht="15" hidden="false" customHeight="false" outlineLevel="0" collapsed="false">
      <c r="A227" s="21" t="n">
        <v>46057</v>
      </c>
      <c r="B227" s="22" t="s">
        <v>359</v>
      </c>
      <c r="C227" s="22" t="n">
        <v>1</v>
      </c>
      <c r="D227" s="41" t="n">
        <v>3233.022</v>
      </c>
      <c r="E227" s="22" t="n">
        <f aca="false">MONTH(A227)</f>
        <v>2</v>
      </c>
    </row>
    <row r="228" customFormat="false" ht="15" hidden="false" customHeight="false" outlineLevel="0" collapsed="false">
      <c r="A228" s="21" t="n">
        <v>46057</v>
      </c>
      <c r="B228" s="22" t="s">
        <v>359</v>
      </c>
      <c r="C228" s="22" t="n">
        <v>2</v>
      </c>
      <c r="D228" s="41" t="n">
        <v>2202.408</v>
      </c>
      <c r="E228" s="22" t="n">
        <f aca="false">MONTH(A228)</f>
        <v>2</v>
      </c>
    </row>
    <row r="229" customFormat="false" ht="15" hidden="false" customHeight="false" outlineLevel="0" collapsed="false">
      <c r="A229" s="21" t="n">
        <v>46058</v>
      </c>
      <c r="B229" s="22" t="s">
        <v>361</v>
      </c>
      <c r="C229" s="22" t="n">
        <v>1</v>
      </c>
      <c r="D229" s="41" t="n">
        <v>18410.427</v>
      </c>
      <c r="E229" s="22" t="n">
        <f aca="false">MONTH(A229)</f>
        <v>2</v>
      </c>
    </row>
    <row r="230" customFormat="false" ht="15" hidden="false" customHeight="false" outlineLevel="0" collapsed="false">
      <c r="A230" s="21" t="n">
        <v>46058</v>
      </c>
      <c r="B230" s="22" t="s">
        <v>361</v>
      </c>
      <c r="C230" s="22" t="n">
        <v>2</v>
      </c>
      <c r="D230" s="41" t="n">
        <v>30748.137</v>
      </c>
      <c r="E230" s="22" t="n">
        <f aca="false">MONTH(A230)</f>
        <v>2</v>
      </c>
    </row>
    <row r="231" customFormat="false" ht="15" hidden="false" customHeight="false" outlineLevel="0" collapsed="false">
      <c r="A231" s="21" t="n">
        <v>46058</v>
      </c>
      <c r="B231" s="22" t="s">
        <v>362</v>
      </c>
      <c r="C231" s="22" t="n">
        <v>1</v>
      </c>
      <c r="D231" s="41" t="n">
        <v>3871.001</v>
      </c>
      <c r="E231" s="22" t="n">
        <f aca="false">MONTH(A231)</f>
        <v>2</v>
      </c>
    </row>
    <row r="232" customFormat="false" ht="15" hidden="false" customHeight="false" outlineLevel="0" collapsed="false">
      <c r="A232" s="21" t="n">
        <v>46058</v>
      </c>
      <c r="B232" s="22" t="s">
        <v>186</v>
      </c>
      <c r="C232" s="22" t="n">
        <v>1</v>
      </c>
      <c r="D232" s="41" t="n">
        <v>5928.574</v>
      </c>
      <c r="E232" s="22" t="n">
        <f aca="false">MONTH(A232)</f>
        <v>2</v>
      </c>
    </row>
    <row r="233" customFormat="false" ht="15" hidden="false" customHeight="false" outlineLevel="0" collapsed="false">
      <c r="A233" s="21" t="n">
        <v>46058</v>
      </c>
      <c r="B233" s="22" t="s">
        <v>186</v>
      </c>
      <c r="C233" s="22" t="n">
        <v>2</v>
      </c>
      <c r="D233" s="41" t="n">
        <v>6573.652</v>
      </c>
      <c r="E233" s="22" t="n">
        <f aca="false">MONTH(A233)</f>
        <v>2</v>
      </c>
    </row>
    <row r="234" customFormat="false" ht="15" hidden="false" customHeight="false" outlineLevel="0" collapsed="false">
      <c r="A234" s="21" t="n">
        <v>46058</v>
      </c>
      <c r="B234" s="22" t="s">
        <v>188</v>
      </c>
      <c r="C234" s="22" t="n">
        <v>1</v>
      </c>
      <c r="D234" s="41" t="n">
        <v>2562.7</v>
      </c>
      <c r="E234" s="22" t="n">
        <f aca="false">MONTH(A234)</f>
        <v>2</v>
      </c>
    </row>
    <row r="235" customFormat="false" ht="15" hidden="false" customHeight="false" outlineLevel="0" collapsed="false">
      <c r="A235" s="21" t="n">
        <v>46058</v>
      </c>
      <c r="B235" s="22" t="s">
        <v>374</v>
      </c>
      <c r="C235" s="22" t="n">
        <v>2</v>
      </c>
      <c r="D235" s="41" t="n">
        <v>8048.718</v>
      </c>
      <c r="E235" s="22" t="n">
        <f aca="false">MONTH(A235)</f>
        <v>2</v>
      </c>
    </row>
    <row r="236" customFormat="false" ht="15" hidden="false" customHeight="false" outlineLevel="0" collapsed="false">
      <c r="A236" s="21" t="n">
        <v>46058</v>
      </c>
      <c r="B236" s="22" t="s">
        <v>189</v>
      </c>
      <c r="C236" s="22" t="n">
        <v>1</v>
      </c>
      <c r="D236" s="41" t="n">
        <v>9117.752</v>
      </c>
      <c r="E236" s="22" t="n">
        <f aca="false">MONTH(A236)</f>
        <v>2</v>
      </c>
    </row>
    <row r="237" customFormat="false" ht="15" hidden="false" customHeight="false" outlineLevel="0" collapsed="false">
      <c r="A237" s="21" t="n">
        <v>46058</v>
      </c>
      <c r="B237" s="22" t="s">
        <v>189</v>
      </c>
      <c r="C237" s="22" t="n">
        <v>2</v>
      </c>
      <c r="D237" s="41" t="n">
        <v>6682.576</v>
      </c>
      <c r="E237" s="22" t="n">
        <f aca="false">MONTH(A237)</f>
        <v>2</v>
      </c>
    </row>
    <row r="238" customFormat="false" ht="15" hidden="false" customHeight="false" outlineLevel="0" collapsed="false">
      <c r="A238" s="21" t="n">
        <v>46059</v>
      </c>
      <c r="B238" s="22" t="s">
        <v>361</v>
      </c>
      <c r="C238" s="22" t="n">
        <v>1</v>
      </c>
      <c r="D238" s="41" t="n">
        <v>19740.336</v>
      </c>
      <c r="E238" s="22" t="n">
        <f aca="false">MONTH(A238)</f>
        <v>2</v>
      </c>
    </row>
    <row r="239" customFormat="false" ht="15" hidden="false" customHeight="false" outlineLevel="0" collapsed="false">
      <c r="A239" s="21" t="n">
        <v>46059</v>
      </c>
      <c r="B239" s="22" t="s">
        <v>361</v>
      </c>
      <c r="C239" s="22" t="n">
        <v>2</v>
      </c>
      <c r="D239" s="41" t="n">
        <v>14590.25</v>
      </c>
      <c r="E239" s="22" t="n">
        <f aca="false">MONTH(A239)</f>
        <v>2</v>
      </c>
    </row>
    <row r="240" customFormat="false" ht="15" hidden="false" customHeight="false" outlineLevel="0" collapsed="false">
      <c r="A240" s="21" t="n">
        <v>46059</v>
      </c>
      <c r="B240" s="22" t="s">
        <v>362</v>
      </c>
      <c r="C240" s="22" t="n">
        <v>1</v>
      </c>
      <c r="D240" s="41" t="n">
        <v>3326.715</v>
      </c>
      <c r="E240" s="22" t="n">
        <f aca="false">MONTH(A240)</f>
        <v>2</v>
      </c>
    </row>
    <row r="241" customFormat="false" ht="15" hidden="false" customHeight="false" outlineLevel="0" collapsed="false">
      <c r="A241" s="21" t="n">
        <v>46059</v>
      </c>
      <c r="B241" s="22" t="s">
        <v>186</v>
      </c>
      <c r="C241" s="22" t="n">
        <v>1</v>
      </c>
      <c r="D241" s="41" t="n">
        <v>6512.216</v>
      </c>
      <c r="E241" s="22" t="n">
        <f aca="false">MONTH(A241)</f>
        <v>2</v>
      </c>
    </row>
    <row r="242" customFormat="false" ht="15" hidden="false" customHeight="false" outlineLevel="0" collapsed="false">
      <c r="A242" s="21" t="n">
        <v>46059</v>
      </c>
      <c r="B242" s="22" t="s">
        <v>186</v>
      </c>
      <c r="C242" s="22" t="n">
        <v>2</v>
      </c>
      <c r="D242" s="41" t="n">
        <v>6020.728</v>
      </c>
      <c r="E242" s="22" t="n">
        <f aca="false">MONTH(A242)</f>
        <v>2</v>
      </c>
    </row>
    <row r="243" customFormat="false" ht="15" hidden="false" customHeight="false" outlineLevel="0" collapsed="false">
      <c r="A243" s="21" t="n">
        <v>46059</v>
      </c>
      <c r="B243" s="22" t="s">
        <v>188</v>
      </c>
      <c r="C243" s="22" t="n">
        <v>1</v>
      </c>
      <c r="D243" s="41" t="n">
        <v>2597</v>
      </c>
      <c r="E243" s="22" t="n">
        <f aca="false">MONTH(A243)</f>
        <v>2</v>
      </c>
    </row>
    <row r="244" customFormat="false" ht="15" hidden="false" customHeight="false" outlineLevel="0" collapsed="false">
      <c r="A244" s="21" t="n">
        <v>46059</v>
      </c>
      <c r="B244" s="22" t="s">
        <v>374</v>
      </c>
      <c r="C244" s="22" t="n">
        <v>2</v>
      </c>
      <c r="D244" s="41" t="n">
        <v>8334.423</v>
      </c>
      <c r="E244" s="22" t="n">
        <f aca="false">MONTH(A244)</f>
        <v>2</v>
      </c>
    </row>
    <row r="245" customFormat="false" ht="15" hidden="false" customHeight="false" outlineLevel="0" collapsed="false">
      <c r="A245" s="21" t="n">
        <v>46059</v>
      </c>
      <c r="B245" s="22" t="s">
        <v>189</v>
      </c>
      <c r="C245" s="22" t="n">
        <v>1</v>
      </c>
      <c r="D245" s="41" t="n">
        <v>8395.694</v>
      </c>
      <c r="E245" s="22" t="n">
        <f aca="false">MONTH(A245)</f>
        <v>2</v>
      </c>
    </row>
    <row r="246" customFormat="false" ht="15" hidden="false" customHeight="false" outlineLevel="0" collapsed="false">
      <c r="A246" s="21" t="n">
        <v>46059</v>
      </c>
      <c r="B246" s="22" t="s">
        <v>189</v>
      </c>
      <c r="C246" s="22" t="n">
        <v>2</v>
      </c>
      <c r="D246" s="41" t="n">
        <v>7914.322</v>
      </c>
      <c r="E246" s="22" t="n">
        <f aca="false">MONTH(A246)</f>
        <v>2</v>
      </c>
    </row>
    <row r="247" customFormat="false" ht="15" hidden="false" customHeight="false" outlineLevel="0" collapsed="false">
      <c r="A247" s="21" t="n">
        <v>46060</v>
      </c>
      <c r="B247" s="22" t="s">
        <v>361</v>
      </c>
      <c r="C247" s="22" t="n">
        <v>1</v>
      </c>
      <c r="D247" s="41" t="n">
        <v>9245.932</v>
      </c>
      <c r="E247" s="22" t="n">
        <f aca="false">MONTH(A247)</f>
        <v>2</v>
      </c>
    </row>
    <row r="248" customFormat="false" ht="15" hidden="false" customHeight="false" outlineLevel="0" collapsed="false">
      <c r="A248" s="21" t="n">
        <v>46060</v>
      </c>
      <c r="B248" s="22" t="s">
        <v>361</v>
      </c>
      <c r="C248" s="22" t="n">
        <v>2</v>
      </c>
      <c r="D248" s="41" t="n">
        <v>13215.792</v>
      </c>
      <c r="E248" s="22" t="n">
        <f aca="false">MONTH(A248)</f>
        <v>2</v>
      </c>
    </row>
    <row r="249" customFormat="false" ht="15" hidden="false" customHeight="false" outlineLevel="0" collapsed="false">
      <c r="A249" s="21" t="n">
        <v>46060</v>
      </c>
      <c r="B249" s="22" t="s">
        <v>362</v>
      </c>
      <c r="C249" s="22" t="n">
        <v>1</v>
      </c>
      <c r="D249" s="41" t="n">
        <v>4255.965</v>
      </c>
      <c r="E249" s="22" t="n">
        <f aca="false">MONTH(A249)</f>
        <v>2</v>
      </c>
    </row>
    <row r="250" customFormat="false" ht="15" hidden="false" customHeight="false" outlineLevel="0" collapsed="false">
      <c r="A250" s="21" t="n">
        <v>46060</v>
      </c>
      <c r="B250" s="22" t="s">
        <v>186</v>
      </c>
      <c r="C250" s="22" t="n">
        <v>1</v>
      </c>
      <c r="D250" s="41" t="n">
        <v>5421.727</v>
      </c>
      <c r="E250" s="22" t="n">
        <f aca="false">MONTH(A250)</f>
        <v>2</v>
      </c>
    </row>
    <row r="251" customFormat="false" ht="15" hidden="false" customHeight="false" outlineLevel="0" collapsed="false">
      <c r="A251" s="21" t="n">
        <v>46060</v>
      </c>
      <c r="B251" s="22" t="s">
        <v>186</v>
      </c>
      <c r="C251" s="22" t="n">
        <v>2</v>
      </c>
      <c r="D251" s="41" t="n">
        <v>4884.162</v>
      </c>
      <c r="E251" s="22" t="n">
        <f aca="false">MONTH(A251)</f>
        <v>2</v>
      </c>
    </row>
    <row r="252" customFormat="false" ht="15" hidden="false" customHeight="false" outlineLevel="0" collapsed="false">
      <c r="A252" s="21" t="n">
        <v>46060</v>
      </c>
      <c r="B252" s="22" t="s">
        <v>188</v>
      </c>
      <c r="C252" s="22" t="n">
        <v>1</v>
      </c>
      <c r="D252" s="41" t="n">
        <v>1925.7</v>
      </c>
      <c r="E252" s="22" t="n">
        <f aca="false">MONTH(A252)</f>
        <v>2</v>
      </c>
    </row>
    <row r="253" customFormat="false" ht="15" hidden="false" customHeight="false" outlineLevel="0" collapsed="false">
      <c r="A253" s="21" t="n">
        <v>46060</v>
      </c>
      <c r="B253" s="22" t="s">
        <v>374</v>
      </c>
      <c r="C253" s="22" t="n">
        <v>2</v>
      </c>
      <c r="D253" s="41" t="n">
        <v>6146.739</v>
      </c>
      <c r="E253" s="22" t="n">
        <f aca="false">MONTH(A253)</f>
        <v>2</v>
      </c>
    </row>
    <row r="254" customFormat="false" ht="15" hidden="false" customHeight="false" outlineLevel="0" collapsed="false">
      <c r="A254" s="21" t="n">
        <v>46060</v>
      </c>
      <c r="B254" s="22" t="s">
        <v>189</v>
      </c>
      <c r="C254" s="22" t="n">
        <v>1</v>
      </c>
      <c r="D254" s="41" t="n">
        <v>5804.78</v>
      </c>
      <c r="E254" s="22" t="n">
        <f aca="false">MONTH(A254)</f>
        <v>2</v>
      </c>
    </row>
    <row r="255" customFormat="false" ht="15" hidden="false" customHeight="false" outlineLevel="0" collapsed="false">
      <c r="A255" s="21" t="n">
        <v>46060</v>
      </c>
      <c r="B255" s="22" t="s">
        <v>189</v>
      </c>
      <c r="C255" s="22" t="n">
        <v>2</v>
      </c>
      <c r="D255" s="41" t="n">
        <v>5804.78</v>
      </c>
      <c r="E255" s="22" t="n">
        <f aca="false">MONTH(A255)</f>
        <v>2</v>
      </c>
    </row>
    <row r="256" customFormat="false" ht="15" hidden="false" customHeight="false" outlineLevel="0" collapsed="false">
      <c r="A256" s="21" t="n">
        <v>46062</v>
      </c>
      <c r="B256" s="22" t="s">
        <v>186</v>
      </c>
      <c r="C256" s="22" t="n">
        <v>1</v>
      </c>
      <c r="D256" s="41" t="n">
        <v>6389.344</v>
      </c>
      <c r="E256" s="22" t="n">
        <f aca="false">MONTH(A256)</f>
        <v>2</v>
      </c>
    </row>
    <row r="257" customFormat="false" ht="15" hidden="false" customHeight="false" outlineLevel="0" collapsed="false">
      <c r="A257" s="21" t="n">
        <v>46062</v>
      </c>
      <c r="B257" s="22" t="s">
        <v>186</v>
      </c>
      <c r="C257" s="22" t="n">
        <v>2</v>
      </c>
      <c r="D257" s="41" t="n">
        <v>6542.934</v>
      </c>
      <c r="E257" s="22" t="n">
        <f aca="false">MONTH(A257)</f>
        <v>2</v>
      </c>
    </row>
    <row r="258" customFormat="false" ht="15" hidden="false" customHeight="false" outlineLevel="0" collapsed="false">
      <c r="A258" s="21" t="n">
        <v>46062</v>
      </c>
      <c r="B258" s="22" t="s">
        <v>374</v>
      </c>
      <c r="C258" s="22" t="n">
        <v>1</v>
      </c>
      <c r="D258" s="41" t="n">
        <v>8318.097</v>
      </c>
      <c r="E258" s="22" t="n">
        <f aca="false">MONTH(A258)</f>
        <v>2</v>
      </c>
    </row>
    <row r="259" customFormat="false" ht="15" hidden="false" customHeight="false" outlineLevel="0" collapsed="false">
      <c r="A259" s="21" t="n">
        <v>46062</v>
      </c>
      <c r="B259" s="22" t="s">
        <v>375</v>
      </c>
      <c r="C259" s="22" t="n">
        <v>1</v>
      </c>
      <c r="D259" s="41" t="n">
        <v>11069.768</v>
      </c>
      <c r="E259" s="22" t="n">
        <f aca="false">MONTH(A259)</f>
        <v>2</v>
      </c>
    </row>
    <row r="260" customFormat="false" ht="15" hidden="false" customHeight="false" outlineLevel="0" collapsed="false">
      <c r="A260" s="21" t="n">
        <v>46062</v>
      </c>
      <c r="B260" s="22" t="s">
        <v>375</v>
      </c>
      <c r="C260" s="22" t="n">
        <v>2</v>
      </c>
      <c r="D260" s="41" t="n">
        <v>14412.032</v>
      </c>
      <c r="E260" s="22" t="n">
        <f aca="false">MONTH(A260)</f>
        <v>2</v>
      </c>
    </row>
    <row r="261" customFormat="false" ht="15" hidden="false" customHeight="false" outlineLevel="0" collapsed="false">
      <c r="A261" s="21" t="n">
        <v>46062</v>
      </c>
      <c r="B261" s="22" t="s">
        <v>187</v>
      </c>
      <c r="C261" s="22" t="n">
        <v>1</v>
      </c>
      <c r="D261" s="41" t="n">
        <v>2198</v>
      </c>
      <c r="E261" s="22" t="n">
        <f aca="false">MONTH(A261)</f>
        <v>2</v>
      </c>
    </row>
    <row r="262" customFormat="false" ht="15" hidden="false" customHeight="false" outlineLevel="0" collapsed="false">
      <c r="A262" s="21" t="n">
        <v>46062</v>
      </c>
      <c r="B262" s="22" t="s">
        <v>187</v>
      </c>
      <c r="C262" s="22" t="n">
        <v>2</v>
      </c>
      <c r="D262" s="41" t="n">
        <v>1747.41</v>
      </c>
      <c r="E262" s="22" t="n">
        <f aca="false">MONTH(A262)</f>
        <v>2</v>
      </c>
    </row>
    <row r="263" customFormat="false" ht="15" hidden="false" customHeight="false" outlineLevel="0" collapsed="false">
      <c r="A263" s="21" t="n">
        <v>46062</v>
      </c>
      <c r="B263" s="22" t="s">
        <v>189</v>
      </c>
      <c r="C263" s="22" t="n">
        <v>1</v>
      </c>
      <c r="D263" s="41" t="n">
        <v>6116.256</v>
      </c>
      <c r="E263" s="22" t="n">
        <f aca="false">MONTH(A263)</f>
        <v>2</v>
      </c>
    </row>
    <row r="264" customFormat="false" ht="15" hidden="false" customHeight="false" outlineLevel="0" collapsed="false">
      <c r="A264" s="21" t="n">
        <v>46062</v>
      </c>
      <c r="B264" s="22" t="s">
        <v>359</v>
      </c>
      <c r="C264" s="22" t="n">
        <v>2</v>
      </c>
      <c r="D264" s="41" t="n">
        <v>560.89</v>
      </c>
      <c r="E264" s="22" t="n">
        <f aca="false">MONTH(A264)</f>
        <v>2</v>
      </c>
    </row>
    <row r="265" customFormat="false" ht="15" hidden="false" customHeight="false" outlineLevel="0" collapsed="false">
      <c r="A265" s="21" t="n">
        <v>46063</v>
      </c>
      <c r="B265" s="22" t="s">
        <v>186</v>
      </c>
      <c r="C265" s="22" t="n">
        <v>1</v>
      </c>
      <c r="D265" s="41" t="n">
        <v>6512.216</v>
      </c>
      <c r="E265" s="22" t="n">
        <f aca="false">MONTH(A265)</f>
        <v>2</v>
      </c>
    </row>
    <row r="266" customFormat="false" ht="15" hidden="false" customHeight="false" outlineLevel="0" collapsed="false">
      <c r="A266" s="21" t="n">
        <v>46063</v>
      </c>
      <c r="B266" s="22" t="s">
        <v>186</v>
      </c>
      <c r="C266" s="22" t="n">
        <v>2</v>
      </c>
      <c r="D266" s="41" t="n">
        <v>7095.858</v>
      </c>
      <c r="E266" s="22" t="n">
        <f aca="false">MONTH(A266)</f>
        <v>2</v>
      </c>
    </row>
    <row r="267" customFormat="false" ht="15" hidden="false" customHeight="false" outlineLevel="0" collapsed="false">
      <c r="A267" s="21" t="n">
        <v>46063</v>
      </c>
      <c r="B267" s="22" t="s">
        <v>374</v>
      </c>
      <c r="C267" s="22" t="n">
        <v>1</v>
      </c>
      <c r="D267" s="41" t="n">
        <v>8252.793</v>
      </c>
      <c r="E267" s="22" t="n">
        <f aca="false">MONTH(A267)</f>
        <v>2</v>
      </c>
    </row>
    <row r="268" customFormat="false" ht="15" hidden="false" customHeight="false" outlineLevel="0" collapsed="false">
      <c r="A268" s="21" t="n">
        <v>46063</v>
      </c>
      <c r="B268" s="22" t="s">
        <v>375</v>
      </c>
      <c r="C268" s="22" t="n">
        <v>1</v>
      </c>
      <c r="D268" s="41" t="n">
        <v>15146.856</v>
      </c>
      <c r="E268" s="22" t="n">
        <f aca="false">MONTH(A268)</f>
        <v>2</v>
      </c>
    </row>
    <row r="269" customFormat="false" ht="15" hidden="false" customHeight="false" outlineLevel="0" collapsed="false">
      <c r="A269" s="21" t="n">
        <v>46063</v>
      </c>
      <c r="B269" s="22" t="s">
        <v>375</v>
      </c>
      <c r="C269" s="22" t="n">
        <v>2</v>
      </c>
      <c r="D269" s="41" t="n">
        <v>22186.944</v>
      </c>
      <c r="E269" s="22" t="n">
        <f aca="false">MONTH(A269)</f>
        <v>2</v>
      </c>
    </row>
    <row r="270" customFormat="false" ht="15" hidden="false" customHeight="false" outlineLevel="0" collapsed="false">
      <c r="A270" s="21" t="n">
        <v>46063</v>
      </c>
      <c r="B270" s="22" t="s">
        <v>187</v>
      </c>
      <c r="C270" s="22" t="n">
        <v>1</v>
      </c>
      <c r="D270" s="41" t="n">
        <v>4209.17</v>
      </c>
      <c r="E270" s="22" t="n">
        <f aca="false">MONTH(A270)</f>
        <v>2</v>
      </c>
    </row>
    <row r="271" customFormat="false" ht="15" hidden="false" customHeight="false" outlineLevel="0" collapsed="false">
      <c r="A271" s="21" t="n">
        <v>46063</v>
      </c>
      <c r="B271" s="22" t="s">
        <v>187</v>
      </c>
      <c r="C271" s="22" t="n">
        <v>2</v>
      </c>
      <c r="D271" s="41" t="n">
        <v>8632.645</v>
      </c>
      <c r="E271" s="22" t="n">
        <f aca="false">MONTH(A271)</f>
        <v>2</v>
      </c>
    </row>
    <row r="272" customFormat="false" ht="15" hidden="false" customHeight="false" outlineLevel="0" collapsed="false">
      <c r="A272" s="21" t="n">
        <v>46063</v>
      </c>
      <c r="B272" s="22" t="s">
        <v>189</v>
      </c>
      <c r="C272" s="22" t="n">
        <v>1</v>
      </c>
      <c r="D272" s="41" t="n">
        <v>5865.363</v>
      </c>
      <c r="E272" s="22" t="n">
        <f aca="false">MONTH(A272)</f>
        <v>2</v>
      </c>
    </row>
    <row r="273" customFormat="false" ht="15" hidden="false" customHeight="false" outlineLevel="0" collapsed="false">
      <c r="A273" s="21" t="n">
        <v>46063</v>
      </c>
      <c r="B273" s="22" t="s">
        <v>359</v>
      </c>
      <c r="C273" s="22" t="n">
        <v>1</v>
      </c>
      <c r="D273" s="41" t="n">
        <v>1019.8</v>
      </c>
      <c r="E273" s="22" t="n">
        <f aca="false">MONTH(A273)</f>
        <v>2</v>
      </c>
    </row>
    <row r="274" customFormat="false" ht="15" hidden="false" customHeight="false" outlineLevel="0" collapsed="false">
      <c r="A274" s="21" t="n">
        <v>46063</v>
      </c>
      <c r="B274" s="22" t="s">
        <v>359</v>
      </c>
      <c r="C274" s="22" t="n">
        <v>2</v>
      </c>
      <c r="D274" s="41" t="n">
        <v>1188.067</v>
      </c>
      <c r="E274" s="22" t="n">
        <f aca="false">MONTH(A274)</f>
        <v>2</v>
      </c>
    </row>
    <row r="275" customFormat="false" ht="15" hidden="false" customHeight="false" outlineLevel="0" collapsed="false">
      <c r="A275" s="21" t="n">
        <v>46064</v>
      </c>
      <c r="B275" s="22" t="s">
        <v>361</v>
      </c>
      <c r="C275" s="22" t="n">
        <v>2</v>
      </c>
      <c r="D275" s="41" t="n">
        <v>4048.38</v>
      </c>
      <c r="E275" s="22" t="n">
        <f aca="false">MONTH(A275)</f>
        <v>2</v>
      </c>
    </row>
    <row r="276" customFormat="false" ht="15" hidden="false" customHeight="false" outlineLevel="0" collapsed="false">
      <c r="A276" s="21" t="n">
        <v>46064</v>
      </c>
      <c r="B276" s="22" t="s">
        <v>186</v>
      </c>
      <c r="C276" s="22" t="n">
        <v>1</v>
      </c>
      <c r="D276" s="41" t="n">
        <v>4976.316</v>
      </c>
      <c r="E276" s="22" t="n">
        <f aca="false">MONTH(A276)</f>
        <v>2</v>
      </c>
    </row>
    <row r="277" customFormat="false" ht="15" hidden="false" customHeight="false" outlineLevel="0" collapsed="false">
      <c r="A277" s="21" t="n">
        <v>46064</v>
      </c>
      <c r="B277" s="22" t="s">
        <v>186</v>
      </c>
      <c r="C277" s="22" t="n">
        <v>2</v>
      </c>
      <c r="D277" s="41" t="n">
        <v>5237.419</v>
      </c>
      <c r="E277" s="22" t="n">
        <f aca="false">MONTH(A277)</f>
        <v>2</v>
      </c>
    </row>
    <row r="278" customFormat="false" ht="15" hidden="false" customHeight="false" outlineLevel="0" collapsed="false">
      <c r="A278" s="21" t="n">
        <v>46064</v>
      </c>
      <c r="B278" s="22" t="s">
        <v>374</v>
      </c>
      <c r="C278" s="22" t="n">
        <v>1</v>
      </c>
      <c r="D278" s="41" t="n">
        <v>6898.128</v>
      </c>
      <c r="E278" s="22" t="n">
        <f aca="false">MONTH(A278)</f>
        <v>2</v>
      </c>
    </row>
    <row r="279" customFormat="false" ht="15" hidden="false" customHeight="false" outlineLevel="0" collapsed="false">
      <c r="A279" s="21" t="n">
        <v>46064</v>
      </c>
      <c r="B279" s="22" t="s">
        <v>375</v>
      </c>
      <c r="C279" s="22" t="n">
        <v>1</v>
      </c>
      <c r="D279" s="41" t="n">
        <v>16758.728</v>
      </c>
      <c r="E279" s="22" t="n">
        <f aca="false">MONTH(A279)</f>
        <v>2</v>
      </c>
    </row>
    <row r="280" customFormat="false" ht="15" hidden="false" customHeight="false" outlineLevel="0" collapsed="false">
      <c r="A280" s="21" t="n">
        <v>46064</v>
      </c>
      <c r="B280" s="22" t="s">
        <v>375</v>
      </c>
      <c r="C280" s="22" t="n">
        <v>2</v>
      </c>
      <c r="D280" s="41" t="n">
        <v>16023.904</v>
      </c>
      <c r="E280" s="22" t="n">
        <f aca="false">MONTH(A280)</f>
        <v>2</v>
      </c>
    </row>
    <row r="281" customFormat="false" ht="15" hidden="false" customHeight="false" outlineLevel="0" collapsed="false">
      <c r="A281" s="21" t="n">
        <v>46064</v>
      </c>
      <c r="B281" s="22" t="s">
        <v>187</v>
      </c>
      <c r="C281" s="22" t="n">
        <v>1</v>
      </c>
      <c r="D281" s="41" t="n">
        <v>9753.625</v>
      </c>
      <c r="E281" s="22" t="n">
        <f aca="false">MONTH(A281)</f>
        <v>2</v>
      </c>
    </row>
    <row r="282" customFormat="false" ht="15" hidden="false" customHeight="false" outlineLevel="0" collapsed="false">
      <c r="A282" s="21" t="n">
        <v>46064</v>
      </c>
      <c r="B282" s="22" t="s">
        <v>187</v>
      </c>
      <c r="C282" s="22" t="n">
        <v>2</v>
      </c>
      <c r="D282" s="41" t="n">
        <v>8209.53</v>
      </c>
      <c r="E282" s="22" t="n">
        <f aca="false">MONTH(A282)</f>
        <v>2</v>
      </c>
    </row>
    <row r="283" customFormat="false" ht="15" hidden="false" customHeight="false" outlineLevel="0" collapsed="false">
      <c r="A283" s="21" t="n">
        <v>46064</v>
      </c>
      <c r="B283" s="22" t="s">
        <v>189</v>
      </c>
      <c r="C283" s="22" t="n">
        <v>1</v>
      </c>
      <c r="D283" s="41" t="n">
        <v>5637.87</v>
      </c>
      <c r="E283" s="22" t="n">
        <f aca="false">MONTH(A283)</f>
        <v>2</v>
      </c>
    </row>
    <row r="284" customFormat="false" ht="15" hidden="false" customHeight="false" outlineLevel="0" collapsed="false">
      <c r="A284" s="21" t="n">
        <v>46064</v>
      </c>
      <c r="B284" s="22" t="s">
        <v>359</v>
      </c>
      <c r="C284" s="22" t="n">
        <v>1</v>
      </c>
      <c r="D284" s="41" t="n">
        <v>509.8</v>
      </c>
      <c r="E284" s="22" t="n">
        <f aca="false">MONTH(A284)</f>
        <v>2</v>
      </c>
    </row>
    <row r="285" customFormat="false" ht="15" hidden="false" customHeight="false" outlineLevel="0" collapsed="false">
      <c r="A285" s="21" t="n">
        <v>46064</v>
      </c>
      <c r="B285" s="22" t="s">
        <v>359</v>
      </c>
      <c r="C285" s="22" t="n">
        <v>2</v>
      </c>
      <c r="D285" s="41" t="n">
        <v>1366.264</v>
      </c>
      <c r="E285" s="22" t="n">
        <f aca="false">MONTH(A285)</f>
        <v>2</v>
      </c>
    </row>
    <row r="286" customFormat="false" ht="15" hidden="false" customHeight="false" outlineLevel="0" collapsed="false">
      <c r="A286" s="21" t="n">
        <v>46065</v>
      </c>
      <c r="B286" s="22" t="s">
        <v>361</v>
      </c>
      <c r="C286" s="22" t="n">
        <v>1</v>
      </c>
      <c r="D286" s="41" t="n">
        <v>21408.1</v>
      </c>
      <c r="E286" s="22" t="n">
        <f aca="false">MONTH(A286)</f>
        <v>2</v>
      </c>
    </row>
    <row r="287" customFormat="false" ht="15" hidden="false" customHeight="false" outlineLevel="0" collapsed="false">
      <c r="A287" s="21" t="n">
        <v>46065</v>
      </c>
      <c r="B287" s="22" t="s">
        <v>361</v>
      </c>
      <c r="C287" s="22" t="n">
        <v>2</v>
      </c>
      <c r="D287" s="41" t="n">
        <v>27455.68</v>
      </c>
      <c r="E287" s="22" t="n">
        <f aca="false">MONTH(A287)</f>
        <v>2</v>
      </c>
    </row>
    <row r="288" customFormat="false" ht="15" hidden="false" customHeight="false" outlineLevel="0" collapsed="false">
      <c r="A288" s="21" t="n">
        <v>46065</v>
      </c>
      <c r="B288" s="22" t="s">
        <v>186</v>
      </c>
      <c r="C288" s="22" t="n">
        <v>1</v>
      </c>
      <c r="D288" s="41" t="n">
        <v>5621.394</v>
      </c>
      <c r="E288" s="22" t="n">
        <f aca="false">MONTH(A288)</f>
        <v>2</v>
      </c>
    </row>
    <row r="289" customFormat="false" ht="15" hidden="false" customHeight="false" outlineLevel="0" collapsed="false">
      <c r="A289" s="21" t="n">
        <v>46065</v>
      </c>
      <c r="B289" s="22" t="s">
        <v>186</v>
      </c>
      <c r="C289" s="22" t="n">
        <v>2</v>
      </c>
      <c r="D289" s="41" t="n">
        <v>7049.781</v>
      </c>
      <c r="E289" s="22" t="n">
        <f aca="false">MONTH(A289)</f>
        <v>2</v>
      </c>
    </row>
    <row r="290" customFormat="false" ht="15" hidden="false" customHeight="false" outlineLevel="0" collapsed="false">
      <c r="A290" s="21" t="n">
        <v>46065</v>
      </c>
      <c r="B290" s="22" t="s">
        <v>374</v>
      </c>
      <c r="C290" s="22" t="n">
        <v>1</v>
      </c>
      <c r="D290" s="41" t="n">
        <v>7043.232</v>
      </c>
      <c r="E290" s="22" t="n">
        <f aca="false">MONTH(A290)</f>
        <v>2</v>
      </c>
    </row>
    <row r="291" customFormat="false" ht="15" hidden="false" customHeight="false" outlineLevel="0" collapsed="false">
      <c r="A291" s="21" t="n">
        <v>46065</v>
      </c>
      <c r="B291" s="22" t="s">
        <v>375</v>
      </c>
      <c r="C291" s="22" t="n">
        <v>1</v>
      </c>
      <c r="D291" s="41" t="n">
        <v>11852</v>
      </c>
      <c r="E291" s="22" t="n">
        <f aca="false">MONTH(A291)</f>
        <v>2</v>
      </c>
    </row>
    <row r="292" customFormat="false" ht="15" hidden="false" customHeight="false" outlineLevel="0" collapsed="false">
      <c r="A292" s="21" t="n">
        <v>46065</v>
      </c>
      <c r="B292" s="22" t="s">
        <v>375</v>
      </c>
      <c r="C292" s="22" t="n">
        <v>2</v>
      </c>
      <c r="D292" s="41" t="n">
        <v>13321.648</v>
      </c>
      <c r="E292" s="22" t="n">
        <f aca="false">MONTH(A292)</f>
        <v>2</v>
      </c>
    </row>
    <row r="293" customFormat="false" ht="15" hidden="false" customHeight="false" outlineLevel="0" collapsed="false">
      <c r="A293" s="21" t="n">
        <v>46065</v>
      </c>
      <c r="B293" s="22" t="s">
        <v>187</v>
      </c>
      <c r="C293" s="22" t="n">
        <v>1</v>
      </c>
      <c r="D293" s="41" t="n">
        <v>5131.28</v>
      </c>
      <c r="E293" s="22" t="n">
        <f aca="false">MONTH(A293)</f>
        <v>2</v>
      </c>
    </row>
    <row r="294" customFormat="false" ht="15" hidden="false" customHeight="false" outlineLevel="0" collapsed="false">
      <c r="A294" s="21" t="n">
        <v>46065</v>
      </c>
      <c r="B294" s="22" t="s">
        <v>187</v>
      </c>
      <c r="C294" s="22" t="n">
        <v>2</v>
      </c>
      <c r="D294" s="41" t="n">
        <v>7376.215</v>
      </c>
      <c r="E294" s="22" t="n">
        <f aca="false">MONTH(A294)</f>
        <v>2</v>
      </c>
    </row>
    <row r="295" customFormat="false" ht="15" hidden="false" customHeight="false" outlineLevel="0" collapsed="false">
      <c r="A295" s="21" t="n">
        <v>46065</v>
      </c>
      <c r="B295" s="22" t="s">
        <v>189</v>
      </c>
      <c r="C295" s="22" t="n">
        <v>1</v>
      </c>
      <c r="D295" s="41" t="n">
        <v>4856.481</v>
      </c>
      <c r="E295" s="22" t="n">
        <f aca="false">MONTH(A295)</f>
        <v>2</v>
      </c>
    </row>
    <row r="296" customFormat="false" ht="15" hidden="false" customHeight="false" outlineLevel="0" collapsed="false">
      <c r="A296" s="21" t="n">
        <v>46066</v>
      </c>
      <c r="B296" s="22" t="s">
        <v>361</v>
      </c>
      <c r="C296" s="22" t="n">
        <v>1</v>
      </c>
      <c r="D296" s="41" t="n">
        <v>15343.86</v>
      </c>
      <c r="E296" s="22" t="n">
        <f aca="false">MONTH(A296)</f>
        <v>2</v>
      </c>
    </row>
    <row r="297" customFormat="false" ht="15" hidden="false" customHeight="false" outlineLevel="0" collapsed="false">
      <c r="A297" s="21" t="n">
        <v>46066</v>
      </c>
      <c r="B297" s="22" t="s">
        <v>361</v>
      </c>
      <c r="C297" s="22" t="n">
        <v>2</v>
      </c>
      <c r="D297" s="41" t="n">
        <v>26256.16</v>
      </c>
      <c r="E297" s="22" t="n">
        <f aca="false">MONTH(A297)</f>
        <v>2</v>
      </c>
    </row>
    <row r="298" customFormat="false" ht="15" hidden="false" customHeight="false" outlineLevel="0" collapsed="false">
      <c r="A298" s="21" t="n">
        <v>46066</v>
      </c>
      <c r="B298" s="22" t="s">
        <v>186</v>
      </c>
      <c r="C298" s="22" t="n">
        <v>1</v>
      </c>
      <c r="D298" s="41" t="n">
        <v>7188.012</v>
      </c>
      <c r="E298" s="22" t="n">
        <f aca="false">MONTH(A298)</f>
        <v>2</v>
      </c>
    </row>
    <row r="299" customFormat="false" ht="15" hidden="false" customHeight="false" outlineLevel="0" collapsed="false">
      <c r="A299" s="21" t="n">
        <v>46066</v>
      </c>
      <c r="B299" s="22" t="s">
        <v>186</v>
      </c>
      <c r="C299" s="22" t="n">
        <v>2</v>
      </c>
      <c r="D299" s="41" t="n">
        <v>7372.32</v>
      </c>
      <c r="E299" s="22" t="n">
        <f aca="false">MONTH(A299)</f>
        <v>2</v>
      </c>
    </row>
    <row r="300" customFormat="false" ht="15" hidden="false" customHeight="false" outlineLevel="0" collapsed="false">
      <c r="A300" s="21" t="n">
        <v>46066</v>
      </c>
      <c r="B300" s="22" t="s">
        <v>374</v>
      </c>
      <c r="C300" s="22" t="n">
        <v>1</v>
      </c>
      <c r="D300" s="41" t="n">
        <v>3932.208</v>
      </c>
      <c r="E300" s="22" t="n">
        <f aca="false">MONTH(A300)</f>
        <v>2</v>
      </c>
    </row>
    <row r="301" customFormat="false" ht="15" hidden="false" customHeight="false" outlineLevel="0" collapsed="false">
      <c r="A301" s="21" t="n">
        <v>46066</v>
      </c>
      <c r="B301" s="22" t="s">
        <v>375</v>
      </c>
      <c r="C301" s="22" t="n">
        <v>1</v>
      </c>
      <c r="D301" s="41" t="n">
        <v>17955.78</v>
      </c>
      <c r="E301" s="22" t="n">
        <f aca="false">MONTH(A301)</f>
        <v>2</v>
      </c>
    </row>
    <row r="302" customFormat="false" ht="15" hidden="false" customHeight="false" outlineLevel="0" collapsed="false">
      <c r="A302" s="21" t="n">
        <v>46066</v>
      </c>
      <c r="B302" s="22" t="s">
        <v>375</v>
      </c>
      <c r="C302" s="22" t="n">
        <v>2</v>
      </c>
      <c r="D302" s="41" t="n">
        <v>17055.028</v>
      </c>
      <c r="E302" s="22" t="n">
        <f aca="false">MONTH(A302)</f>
        <v>2</v>
      </c>
    </row>
    <row r="303" customFormat="false" ht="15" hidden="false" customHeight="false" outlineLevel="0" collapsed="false">
      <c r="A303" s="21" t="n">
        <v>46066</v>
      </c>
      <c r="B303" s="22" t="s">
        <v>187</v>
      </c>
      <c r="C303" s="22" t="n">
        <v>1</v>
      </c>
      <c r="D303" s="41" t="n">
        <v>6804.777</v>
      </c>
      <c r="E303" s="22" t="n">
        <f aca="false">MONTH(A303)</f>
        <v>2</v>
      </c>
    </row>
    <row r="304" customFormat="false" ht="15" hidden="false" customHeight="false" outlineLevel="0" collapsed="false">
      <c r="A304" s="21" t="n">
        <v>46066</v>
      </c>
      <c r="B304" s="22" t="s">
        <v>187</v>
      </c>
      <c r="C304" s="22" t="n">
        <v>2</v>
      </c>
      <c r="D304" s="41" t="n">
        <v>6408.269</v>
      </c>
      <c r="E304" s="22" t="n">
        <f aca="false">MONTH(A304)</f>
        <v>2</v>
      </c>
    </row>
    <row r="305" customFormat="false" ht="15" hidden="false" customHeight="false" outlineLevel="0" collapsed="false">
      <c r="A305" s="21" t="n">
        <v>46066</v>
      </c>
      <c r="B305" s="22" t="s">
        <v>189</v>
      </c>
      <c r="C305" s="22" t="n">
        <v>1</v>
      </c>
      <c r="D305" s="41" t="n">
        <v>4114.656</v>
      </c>
      <c r="E305" s="22" t="n">
        <f aca="false">MONTH(A305)</f>
        <v>2</v>
      </c>
    </row>
    <row r="306" customFormat="false" ht="15" hidden="false" customHeight="false" outlineLevel="0" collapsed="false">
      <c r="A306" s="21" t="n">
        <v>46067</v>
      </c>
      <c r="B306" s="22" t="s">
        <v>361</v>
      </c>
      <c r="C306" s="22" t="n">
        <v>1</v>
      </c>
      <c r="D306" s="41" t="n">
        <v>13827.8</v>
      </c>
      <c r="E306" s="22" t="n">
        <f aca="false">MONTH(A306)</f>
        <v>2</v>
      </c>
    </row>
    <row r="307" customFormat="false" ht="15" hidden="false" customHeight="false" outlineLevel="0" collapsed="false">
      <c r="A307" s="21" t="n">
        <v>46067</v>
      </c>
      <c r="B307" s="22" t="s">
        <v>361</v>
      </c>
      <c r="C307" s="22" t="n">
        <v>2</v>
      </c>
      <c r="D307" s="41" t="n">
        <v>13911.1</v>
      </c>
      <c r="E307" s="22" t="n">
        <f aca="false">MONTH(A307)</f>
        <v>2</v>
      </c>
    </row>
    <row r="308" customFormat="false" ht="15" hidden="false" customHeight="false" outlineLevel="0" collapsed="false">
      <c r="A308" s="21" t="n">
        <v>46067</v>
      </c>
      <c r="B308" s="22" t="s">
        <v>186</v>
      </c>
      <c r="C308" s="22" t="n">
        <v>1</v>
      </c>
      <c r="D308" s="41" t="n">
        <v>2349.927</v>
      </c>
      <c r="E308" s="22" t="n">
        <f aca="false">MONTH(A308)</f>
        <v>2</v>
      </c>
    </row>
    <row r="309" customFormat="false" ht="15" hidden="false" customHeight="false" outlineLevel="0" collapsed="false">
      <c r="A309" s="21" t="n">
        <v>46067</v>
      </c>
      <c r="B309" s="22" t="s">
        <v>186</v>
      </c>
      <c r="C309" s="22" t="n">
        <v>2</v>
      </c>
      <c r="D309" s="41" t="n">
        <v>2580.312</v>
      </c>
      <c r="E309" s="22" t="n">
        <f aca="false">MONTH(A309)</f>
        <v>2</v>
      </c>
    </row>
    <row r="310" customFormat="false" ht="15" hidden="false" customHeight="false" outlineLevel="0" collapsed="false">
      <c r="A310" s="21" t="n">
        <v>46067</v>
      </c>
      <c r="B310" s="22" t="s">
        <v>374</v>
      </c>
      <c r="C310" s="22" t="n">
        <v>1</v>
      </c>
      <c r="D310" s="41" t="n">
        <v>3071.544</v>
      </c>
      <c r="E310" s="22" t="n">
        <f aca="false">MONTH(A310)</f>
        <v>2</v>
      </c>
    </row>
    <row r="311" customFormat="false" ht="15" hidden="false" customHeight="false" outlineLevel="0" collapsed="false">
      <c r="A311" s="21" t="n">
        <v>46067</v>
      </c>
      <c r="B311" s="22" t="s">
        <v>375</v>
      </c>
      <c r="C311" s="22" t="n">
        <v>2</v>
      </c>
      <c r="D311" s="41" t="n">
        <v>6540.6</v>
      </c>
      <c r="E311" s="22" t="n">
        <f aca="false">MONTH(A311)</f>
        <v>2</v>
      </c>
    </row>
    <row r="312" customFormat="false" ht="15" hidden="false" customHeight="false" outlineLevel="0" collapsed="false">
      <c r="A312" s="21" t="n">
        <v>46067</v>
      </c>
      <c r="B312" s="22" t="s">
        <v>187</v>
      </c>
      <c r="C312" s="22" t="n">
        <v>1</v>
      </c>
      <c r="D312" s="41" t="n">
        <v>2618.119</v>
      </c>
      <c r="E312" s="22" t="n">
        <f aca="false">MONTH(A312)</f>
        <v>2</v>
      </c>
    </row>
    <row r="313" customFormat="false" ht="15" hidden="false" customHeight="false" outlineLevel="0" collapsed="false">
      <c r="A313" s="21" t="n">
        <v>46067</v>
      </c>
      <c r="B313" s="22" t="s">
        <v>187</v>
      </c>
      <c r="C313" s="22" t="n">
        <v>2</v>
      </c>
      <c r="D313" s="41" t="n">
        <v>1790.117</v>
      </c>
      <c r="E313" s="22" t="n">
        <f aca="false">MONTH(A313)</f>
        <v>2</v>
      </c>
    </row>
    <row r="314" customFormat="false" ht="15" hidden="false" customHeight="false" outlineLevel="0" collapsed="false">
      <c r="A314" s="21" t="n">
        <v>46067</v>
      </c>
      <c r="B314" s="22" t="s">
        <v>189</v>
      </c>
      <c r="C314" s="22" t="n">
        <v>1</v>
      </c>
      <c r="D314" s="41" t="n">
        <v>2522.205</v>
      </c>
      <c r="E314" s="22" t="n">
        <f aca="false">MONTH(A314)</f>
        <v>2</v>
      </c>
    </row>
    <row r="315" customFormat="false" ht="15" hidden="false" customHeight="false" outlineLevel="0" collapsed="false">
      <c r="A315" s="21" t="n">
        <v>46069</v>
      </c>
      <c r="B315" s="22" t="s">
        <v>361</v>
      </c>
      <c r="C315" s="22" t="n">
        <v>1</v>
      </c>
      <c r="D315" s="41" t="n">
        <v>16226.84</v>
      </c>
      <c r="E315" s="22" t="n">
        <f aca="false">MONTH(A315)</f>
        <v>2</v>
      </c>
    </row>
    <row r="316" customFormat="false" ht="15" hidden="false" customHeight="false" outlineLevel="0" collapsed="false">
      <c r="A316" s="21" t="n">
        <v>46069</v>
      </c>
      <c r="B316" s="22" t="s">
        <v>361</v>
      </c>
      <c r="C316" s="22" t="n">
        <v>2</v>
      </c>
      <c r="D316" s="41" t="n">
        <v>26472.74</v>
      </c>
      <c r="E316" s="22" t="n">
        <f aca="false">MONTH(A316)</f>
        <v>2</v>
      </c>
    </row>
    <row r="317" customFormat="false" ht="15" hidden="false" customHeight="false" outlineLevel="0" collapsed="false">
      <c r="A317" s="21" t="n">
        <v>46069</v>
      </c>
      <c r="B317" s="22" t="s">
        <v>186</v>
      </c>
      <c r="C317" s="22" t="n">
        <v>1</v>
      </c>
      <c r="D317" s="41" t="n">
        <v>6020.728</v>
      </c>
      <c r="E317" s="22" t="n">
        <f aca="false">MONTH(A317)</f>
        <v>2</v>
      </c>
    </row>
    <row r="318" customFormat="false" ht="15" hidden="false" customHeight="false" outlineLevel="0" collapsed="false">
      <c r="A318" s="21" t="n">
        <v>46069</v>
      </c>
      <c r="B318" s="22" t="s">
        <v>186</v>
      </c>
      <c r="C318" s="22" t="n">
        <v>2</v>
      </c>
      <c r="D318" s="41" t="n">
        <v>814.027</v>
      </c>
      <c r="E318" s="22" t="n">
        <f aca="false">MONTH(A318)</f>
        <v>2</v>
      </c>
    </row>
    <row r="319" customFormat="false" ht="15" hidden="false" customHeight="false" outlineLevel="0" collapsed="false">
      <c r="A319" s="21" t="n">
        <v>46069</v>
      </c>
      <c r="B319" s="22" t="s">
        <v>375</v>
      </c>
      <c r="C319" s="22" t="n">
        <v>1</v>
      </c>
      <c r="D319" s="41" t="n">
        <v>16077.984</v>
      </c>
      <c r="E319" s="22" t="n">
        <f aca="false">MONTH(A319)</f>
        <v>2</v>
      </c>
    </row>
    <row r="320" customFormat="false" ht="15" hidden="false" customHeight="false" outlineLevel="0" collapsed="false">
      <c r="A320" s="21" t="n">
        <v>46069</v>
      </c>
      <c r="B320" s="22" t="s">
        <v>375</v>
      </c>
      <c r="C320" s="22" t="n">
        <v>2</v>
      </c>
      <c r="D320" s="41" t="n">
        <v>15067.164</v>
      </c>
      <c r="E320" s="22" t="n">
        <f aca="false">MONTH(A320)</f>
        <v>2</v>
      </c>
    </row>
    <row r="321" customFormat="false" ht="15" hidden="false" customHeight="false" outlineLevel="0" collapsed="false">
      <c r="A321" s="21" t="n">
        <v>46069</v>
      </c>
      <c r="B321" s="22" t="s">
        <v>187</v>
      </c>
      <c r="C321" s="22" t="n">
        <v>1</v>
      </c>
      <c r="D321" s="41" t="n">
        <v>6863.087</v>
      </c>
      <c r="E321" s="22" t="n">
        <f aca="false">MONTH(A321)</f>
        <v>2</v>
      </c>
    </row>
    <row r="322" customFormat="false" ht="15" hidden="false" customHeight="false" outlineLevel="0" collapsed="false">
      <c r="A322" s="21" t="n">
        <v>46069</v>
      </c>
      <c r="B322" s="22" t="s">
        <v>187</v>
      </c>
      <c r="C322" s="22" t="n">
        <v>2</v>
      </c>
      <c r="D322" s="41" t="n">
        <v>6035.085</v>
      </c>
      <c r="E322" s="22" t="n">
        <f aca="false">MONTH(A322)</f>
        <v>2</v>
      </c>
    </row>
    <row r="323" customFormat="false" ht="15" hidden="false" customHeight="false" outlineLevel="0" collapsed="false">
      <c r="A323" s="21" t="n">
        <v>46069</v>
      </c>
      <c r="B323" s="22" t="s">
        <v>189</v>
      </c>
      <c r="C323" s="22" t="n">
        <v>1</v>
      </c>
      <c r="D323" s="41" t="n">
        <v>4114.656</v>
      </c>
      <c r="E323" s="22" t="n">
        <f aca="false">MONTH(A323)</f>
        <v>2</v>
      </c>
    </row>
    <row r="324" customFormat="false" ht="15" hidden="false" customHeight="false" outlineLevel="0" collapsed="false">
      <c r="A324" s="21" t="n">
        <v>46069</v>
      </c>
      <c r="B324" s="22" t="s">
        <v>189</v>
      </c>
      <c r="C324" s="22" t="n">
        <v>2</v>
      </c>
      <c r="D324" s="41" t="n">
        <v>4253.13</v>
      </c>
      <c r="E324" s="22" t="n">
        <f aca="false">MONTH(A324)</f>
        <v>2</v>
      </c>
    </row>
    <row r="325" customFormat="false" ht="15" hidden="false" customHeight="false" outlineLevel="0" collapsed="false">
      <c r="A325" s="21" t="n">
        <v>46070</v>
      </c>
      <c r="B325" s="22" t="s">
        <v>361</v>
      </c>
      <c r="C325" s="22" t="n">
        <v>1</v>
      </c>
      <c r="D325" s="41" t="n">
        <v>28405.3</v>
      </c>
      <c r="E325" s="22" t="n">
        <f aca="false">MONTH(A325)</f>
        <v>2</v>
      </c>
    </row>
    <row r="326" customFormat="false" ht="15" hidden="false" customHeight="false" outlineLevel="0" collapsed="false">
      <c r="A326" s="21" t="n">
        <v>46070</v>
      </c>
      <c r="B326" s="22" t="s">
        <v>361</v>
      </c>
      <c r="C326" s="22" t="n">
        <v>2</v>
      </c>
      <c r="D326" s="41" t="n">
        <v>35369.18</v>
      </c>
      <c r="E326" s="22" t="n">
        <f aca="false">MONTH(A326)</f>
        <v>2</v>
      </c>
    </row>
    <row r="327" customFormat="false" ht="15" hidden="false" customHeight="false" outlineLevel="0" collapsed="false">
      <c r="A327" s="21" t="n">
        <v>46070</v>
      </c>
      <c r="B327" s="22" t="s">
        <v>186</v>
      </c>
      <c r="C327" s="22" t="n">
        <v>2</v>
      </c>
      <c r="D327" s="41" t="n">
        <v>5026.944</v>
      </c>
      <c r="E327" s="22" t="n">
        <f aca="false">MONTH(A327)</f>
        <v>2</v>
      </c>
    </row>
    <row r="328" customFormat="false" ht="15" hidden="false" customHeight="false" outlineLevel="0" collapsed="false">
      <c r="A328" s="21" t="n">
        <v>46070</v>
      </c>
      <c r="B328" s="22" t="s">
        <v>375</v>
      </c>
      <c r="C328" s="22" t="n">
        <v>1</v>
      </c>
      <c r="D328" s="41" t="n">
        <v>15649.872</v>
      </c>
      <c r="E328" s="22" t="n">
        <f aca="false">MONTH(A328)</f>
        <v>2</v>
      </c>
    </row>
    <row r="329" customFormat="false" ht="15" hidden="false" customHeight="false" outlineLevel="0" collapsed="false">
      <c r="A329" s="21" t="n">
        <v>46070</v>
      </c>
      <c r="B329" s="22" t="s">
        <v>187</v>
      </c>
      <c r="C329" s="22" t="n">
        <v>1</v>
      </c>
      <c r="D329" s="41" t="n">
        <v>6227.508</v>
      </c>
      <c r="E329" s="22" t="n">
        <f aca="false">MONTH(A329)</f>
        <v>2</v>
      </c>
    </row>
    <row r="330" customFormat="false" ht="15" hidden="false" customHeight="false" outlineLevel="0" collapsed="false">
      <c r="A330" s="21" t="n">
        <v>46070</v>
      </c>
      <c r="B330" s="22" t="s">
        <v>187</v>
      </c>
      <c r="C330" s="22" t="n">
        <v>2</v>
      </c>
      <c r="D330" s="41" t="n">
        <v>6215.846</v>
      </c>
      <c r="E330" s="22" t="n">
        <f aca="false">MONTH(A330)</f>
        <v>2</v>
      </c>
    </row>
    <row r="331" customFormat="false" ht="15" hidden="false" customHeight="false" outlineLevel="0" collapsed="false">
      <c r="A331" s="21" t="n">
        <v>46070</v>
      </c>
      <c r="B331" s="22" t="s">
        <v>189</v>
      </c>
      <c r="C331" s="22" t="n">
        <v>1</v>
      </c>
      <c r="D331" s="41" t="n">
        <v>6251.112</v>
      </c>
      <c r="E331" s="22" t="n">
        <f aca="false">MONTH(A331)</f>
        <v>2</v>
      </c>
    </row>
    <row r="332" customFormat="false" ht="15" hidden="false" customHeight="false" outlineLevel="0" collapsed="false">
      <c r="A332" s="21" t="n">
        <v>46070</v>
      </c>
      <c r="B332" s="22" t="s">
        <v>189</v>
      </c>
      <c r="C332" s="22" t="n">
        <v>2</v>
      </c>
      <c r="D332" s="41" t="n">
        <v>6379.695</v>
      </c>
      <c r="E332" s="22" t="n">
        <f aca="false">MONTH(A332)</f>
        <v>2</v>
      </c>
    </row>
    <row r="333" customFormat="false" ht="15" hidden="false" customHeight="false" outlineLevel="0" collapsed="false">
      <c r="A333" s="21" t="n">
        <v>46071</v>
      </c>
      <c r="B333" s="22" t="s">
        <v>361</v>
      </c>
      <c r="C333" s="22" t="n">
        <v>1</v>
      </c>
      <c r="D333" s="41" t="n">
        <v>20958.28</v>
      </c>
      <c r="E333" s="22" t="n">
        <f aca="false">MONTH(A333)</f>
        <v>2</v>
      </c>
    </row>
    <row r="334" customFormat="false" ht="15" hidden="false" customHeight="false" outlineLevel="0" collapsed="false">
      <c r="A334" s="21" t="n">
        <v>46071</v>
      </c>
      <c r="B334" s="22" t="s">
        <v>361</v>
      </c>
      <c r="C334" s="22" t="n">
        <v>2</v>
      </c>
      <c r="D334" s="41" t="n">
        <v>15377.18</v>
      </c>
      <c r="E334" s="22" t="n">
        <f aca="false">MONTH(A334)</f>
        <v>2</v>
      </c>
    </row>
    <row r="335" customFormat="false" ht="15" hidden="false" customHeight="false" outlineLevel="0" collapsed="false">
      <c r="A335" s="21" t="n">
        <v>46071</v>
      </c>
      <c r="B335" s="22" t="s">
        <v>186</v>
      </c>
      <c r="C335" s="22" t="n">
        <v>1</v>
      </c>
      <c r="D335" s="41" t="n">
        <v>3556.8</v>
      </c>
      <c r="E335" s="22" t="n">
        <f aca="false">MONTH(A335)</f>
        <v>2</v>
      </c>
    </row>
    <row r="336" customFormat="false" ht="15" hidden="false" customHeight="false" outlineLevel="0" collapsed="false">
      <c r="A336" s="21" t="n">
        <v>46071</v>
      </c>
      <c r="B336" s="22" t="s">
        <v>186</v>
      </c>
      <c r="C336" s="22" t="n">
        <v>2</v>
      </c>
      <c r="D336" s="41" t="n">
        <v>7540.416</v>
      </c>
      <c r="E336" s="22" t="n">
        <f aca="false">MONTH(A336)</f>
        <v>2</v>
      </c>
    </row>
    <row r="337" customFormat="false" ht="15" hidden="false" customHeight="false" outlineLevel="0" collapsed="false">
      <c r="A337" s="21" t="n">
        <v>46071</v>
      </c>
      <c r="B337" s="22" t="s">
        <v>375</v>
      </c>
      <c r="C337" s="22" t="n">
        <v>1</v>
      </c>
      <c r="D337" s="41" t="n">
        <v>16672.584</v>
      </c>
      <c r="E337" s="22" t="n">
        <f aca="false">MONTH(A337)</f>
        <v>2</v>
      </c>
    </row>
    <row r="338" customFormat="false" ht="15" hidden="false" customHeight="false" outlineLevel="0" collapsed="false">
      <c r="A338" s="21" t="n">
        <v>46071</v>
      </c>
      <c r="B338" s="22" t="s">
        <v>375</v>
      </c>
      <c r="C338" s="22" t="n">
        <v>2</v>
      </c>
      <c r="D338" s="41" t="n">
        <v>13616.34</v>
      </c>
      <c r="E338" s="22" t="n">
        <f aca="false">MONTH(A338)</f>
        <v>2</v>
      </c>
    </row>
    <row r="339" customFormat="false" ht="15" hidden="false" customHeight="false" outlineLevel="0" collapsed="false">
      <c r="A339" s="21" t="n">
        <v>46071</v>
      </c>
      <c r="B339" s="22" t="s">
        <v>187</v>
      </c>
      <c r="C339" s="22" t="n">
        <v>1</v>
      </c>
      <c r="D339" s="41" t="n">
        <v>7294.581</v>
      </c>
      <c r="E339" s="22" t="n">
        <f aca="false">MONTH(A339)</f>
        <v>2</v>
      </c>
    </row>
    <row r="340" customFormat="false" ht="15" hidden="false" customHeight="false" outlineLevel="0" collapsed="false">
      <c r="A340" s="21" t="n">
        <v>46071</v>
      </c>
      <c r="B340" s="22" t="s">
        <v>187</v>
      </c>
      <c r="C340" s="22" t="n">
        <v>2</v>
      </c>
      <c r="D340" s="41" t="n">
        <v>880.481</v>
      </c>
      <c r="E340" s="22" t="n">
        <f aca="false">MONTH(A340)</f>
        <v>2</v>
      </c>
    </row>
    <row r="341" customFormat="false" ht="15" hidden="false" customHeight="false" outlineLevel="0" collapsed="false">
      <c r="A341" s="21" t="n">
        <v>46071</v>
      </c>
      <c r="B341" s="22" t="s">
        <v>189</v>
      </c>
      <c r="C341" s="22" t="n">
        <v>1</v>
      </c>
      <c r="D341" s="41" t="n">
        <v>6280.785</v>
      </c>
      <c r="E341" s="22" t="n">
        <f aca="false">MONTH(A341)</f>
        <v>2</v>
      </c>
    </row>
    <row r="342" customFormat="false" ht="15" hidden="false" customHeight="false" outlineLevel="0" collapsed="false">
      <c r="A342" s="21" t="n">
        <v>46071</v>
      </c>
      <c r="B342" s="22" t="s">
        <v>189</v>
      </c>
      <c r="C342" s="22" t="n">
        <v>2</v>
      </c>
      <c r="D342" s="41" t="n">
        <v>6369.804</v>
      </c>
      <c r="E342" s="22" t="n">
        <f aca="false">MONTH(A342)</f>
        <v>2</v>
      </c>
    </row>
    <row r="343" customFormat="false" ht="15" hidden="false" customHeight="false" outlineLevel="0" collapsed="false">
      <c r="A343" s="21" t="n">
        <v>46072</v>
      </c>
      <c r="B343" s="22" t="s">
        <v>361</v>
      </c>
      <c r="C343" s="22" t="n">
        <v>1</v>
      </c>
      <c r="D343" s="41" t="n">
        <v>2638.9</v>
      </c>
      <c r="E343" s="22" t="n">
        <f aca="false">MONTH(A343)</f>
        <v>2</v>
      </c>
    </row>
    <row r="344" customFormat="false" ht="15" hidden="false" customHeight="false" outlineLevel="0" collapsed="false">
      <c r="A344" s="21" t="n">
        <v>46072</v>
      </c>
      <c r="B344" s="22" t="s">
        <v>361</v>
      </c>
      <c r="C344" s="22" t="n">
        <v>2</v>
      </c>
      <c r="D344" s="41" t="n">
        <v>2734.86</v>
      </c>
      <c r="E344" s="22" t="n">
        <f aca="false">MONTH(A344)</f>
        <v>2</v>
      </c>
    </row>
    <row r="345" customFormat="false" ht="15" hidden="false" customHeight="false" outlineLevel="0" collapsed="false">
      <c r="A345" s="21" t="n">
        <v>46072</v>
      </c>
      <c r="B345" s="22" t="s">
        <v>186</v>
      </c>
      <c r="C345" s="22" t="n">
        <v>1</v>
      </c>
      <c r="D345" s="41" t="n">
        <v>7647.12</v>
      </c>
      <c r="E345" s="22" t="n">
        <f aca="false">MONTH(A345)</f>
        <v>2</v>
      </c>
    </row>
    <row r="346" customFormat="false" ht="15" hidden="false" customHeight="false" outlineLevel="0" collapsed="false">
      <c r="A346" s="21" t="n">
        <v>46072</v>
      </c>
      <c r="B346" s="22" t="s">
        <v>186</v>
      </c>
      <c r="C346" s="22" t="n">
        <v>2</v>
      </c>
      <c r="D346" s="41" t="n">
        <v>2584.608</v>
      </c>
      <c r="E346" s="22" t="n">
        <f aca="false">MONTH(A346)</f>
        <v>2</v>
      </c>
    </row>
    <row r="347" customFormat="false" ht="15" hidden="false" customHeight="false" outlineLevel="0" collapsed="false">
      <c r="A347" s="21" t="n">
        <v>46072</v>
      </c>
      <c r="B347" s="22" t="s">
        <v>375</v>
      </c>
      <c r="C347" s="22" t="n">
        <v>1</v>
      </c>
      <c r="D347" s="41" t="n">
        <v>5357.056</v>
      </c>
      <c r="E347" s="22" t="n">
        <f aca="false">MONTH(A347)</f>
        <v>2</v>
      </c>
    </row>
    <row r="348" customFormat="false" ht="15" hidden="false" customHeight="false" outlineLevel="0" collapsed="false">
      <c r="A348" s="21" t="n">
        <v>46072</v>
      </c>
      <c r="B348" s="22" t="s">
        <v>375</v>
      </c>
      <c r="C348" s="22" t="n">
        <v>2</v>
      </c>
      <c r="D348" s="41" t="n">
        <v>3421.401</v>
      </c>
      <c r="E348" s="22" t="n">
        <f aca="false">MONTH(A348)</f>
        <v>2</v>
      </c>
    </row>
    <row r="349" customFormat="false" ht="15" hidden="false" customHeight="false" outlineLevel="0" collapsed="false">
      <c r="A349" s="21" t="n">
        <v>46072</v>
      </c>
      <c r="B349" s="22" t="s">
        <v>187</v>
      </c>
      <c r="C349" s="22" t="n">
        <v>1</v>
      </c>
      <c r="D349" s="41" t="n">
        <v>2420.906</v>
      </c>
      <c r="E349" s="22" t="n">
        <f aca="false">MONTH(A349)</f>
        <v>2</v>
      </c>
    </row>
    <row r="350" customFormat="false" ht="15" hidden="false" customHeight="false" outlineLevel="0" collapsed="false">
      <c r="A350" s="21" t="n">
        <v>46072</v>
      </c>
      <c r="B350" s="22" t="s">
        <v>187</v>
      </c>
      <c r="C350" s="22" t="n">
        <v>2</v>
      </c>
      <c r="D350" s="41" t="n">
        <v>1091.542</v>
      </c>
      <c r="E350" s="22" t="n">
        <f aca="false">MONTH(A350)</f>
        <v>2</v>
      </c>
    </row>
    <row r="351" customFormat="false" ht="15" hidden="false" customHeight="false" outlineLevel="0" collapsed="false">
      <c r="A351" s="21" t="n">
        <v>46072</v>
      </c>
      <c r="B351" s="22" t="s">
        <v>189</v>
      </c>
      <c r="C351" s="22" t="n">
        <v>1</v>
      </c>
      <c r="D351" s="41" t="n">
        <v>6369.804</v>
      </c>
      <c r="E351" s="22" t="n">
        <f aca="false">MONTH(A351)</f>
        <v>2</v>
      </c>
    </row>
    <row r="352" customFormat="false" ht="15" hidden="false" customHeight="false" outlineLevel="0" collapsed="false">
      <c r="A352" s="21" t="n">
        <v>46072</v>
      </c>
      <c r="B352" s="22" t="s">
        <v>189</v>
      </c>
      <c r="C352" s="22" t="n">
        <v>2</v>
      </c>
      <c r="D352" s="41" t="n">
        <v>1661.688</v>
      </c>
      <c r="E352" s="22" t="n">
        <f aca="false">MONTH(A352)</f>
        <v>2</v>
      </c>
    </row>
    <row r="353" customFormat="false" ht="15" hidden="false" customHeight="false" outlineLevel="0" collapsed="false">
      <c r="A353" s="21" t="n">
        <v>46073</v>
      </c>
      <c r="B353" s="22" t="s">
        <v>361</v>
      </c>
      <c r="C353" s="22" t="n">
        <v>1</v>
      </c>
      <c r="D353" s="41" t="n">
        <v>20043.645</v>
      </c>
      <c r="E353" s="22" t="n">
        <f aca="false">MONTH(A353)</f>
        <v>2</v>
      </c>
    </row>
    <row r="354" customFormat="false" ht="15" hidden="false" customHeight="false" outlineLevel="0" collapsed="false">
      <c r="A354" s="21" t="n">
        <v>46073</v>
      </c>
      <c r="B354" s="22" t="s">
        <v>361</v>
      </c>
      <c r="C354" s="22" t="n">
        <v>2</v>
      </c>
      <c r="D354" s="41" t="n">
        <v>21974.84</v>
      </c>
      <c r="E354" s="22" t="n">
        <f aca="false">MONTH(A354)</f>
        <v>2</v>
      </c>
    </row>
    <row r="355" customFormat="false" ht="15" hidden="false" customHeight="false" outlineLevel="0" collapsed="false">
      <c r="A355" s="21" t="n">
        <v>46073</v>
      </c>
      <c r="B355" s="22" t="s">
        <v>186</v>
      </c>
      <c r="C355" s="22" t="n">
        <v>1</v>
      </c>
      <c r="D355" s="41" t="n">
        <v>6176.976</v>
      </c>
      <c r="E355" s="22" t="n">
        <f aca="false">MONTH(A355)</f>
        <v>2</v>
      </c>
    </row>
    <row r="356" customFormat="false" ht="15" hidden="false" customHeight="false" outlineLevel="0" collapsed="false">
      <c r="A356" s="21" t="n">
        <v>46073</v>
      </c>
      <c r="B356" s="22" t="s">
        <v>186</v>
      </c>
      <c r="C356" s="22" t="n">
        <v>2</v>
      </c>
      <c r="D356" s="41" t="n">
        <v>3817.5</v>
      </c>
      <c r="E356" s="22" t="n">
        <f aca="false">MONTH(A356)</f>
        <v>2</v>
      </c>
    </row>
    <row r="357" customFormat="false" ht="15" hidden="false" customHeight="false" outlineLevel="0" collapsed="false">
      <c r="A357" s="21" t="n">
        <v>46073</v>
      </c>
      <c r="B357" s="22" t="s">
        <v>375</v>
      </c>
      <c r="C357" s="22" t="n">
        <v>1</v>
      </c>
      <c r="D357" s="41" t="n">
        <v>12252.173</v>
      </c>
      <c r="E357" s="22" t="n">
        <f aca="false">MONTH(A357)</f>
        <v>2</v>
      </c>
    </row>
    <row r="358" customFormat="false" ht="15" hidden="false" customHeight="false" outlineLevel="0" collapsed="false">
      <c r="A358" s="21" t="n">
        <v>46073</v>
      </c>
      <c r="B358" s="22" t="s">
        <v>375</v>
      </c>
      <c r="C358" s="22" t="n">
        <v>2</v>
      </c>
      <c r="D358" s="41" t="n">
        <v>10714.112</v>
      </c>
      <c r="E358" s="22" t="n">
        <f aca="false">MONTH(A358)</f>
        <v>2</v>
      </c>
    </row>
    <row r="359" customFormat="false" ht="15" hidden="false" customHeight="false" outlineLevel="0" collapsed="false">
      <c r="A359" s="21" t="n">
        <v>46073</v>
      </c>
      <c r="B359" s="22" t="s">
        <v>187</v>
      </c>
      <c r="C359" s="22" t="n">
        <v>1</v>
      </c>
      <c r="D359" s="41" t="n">
        <v>3274.626</v>
      </c>
      <c r="E359" s="22" t="n">
        <f aca="false">MONTH(A359)</f>
        <v>2</v>
      </c>
    </row>
    <row r="360" customFormat="false" ht="15" hidden="false" customHeight="false" outlineLevel="0" collapsed="false">
      <c r="A360" s="21" t="n">
        <v>46073</v>
      </c>
      <c r="B360" s="22" t="s">
        <v>187</v>
      </c>
      <c r="C360" s="22" t="n">
        <v>2</v>
      </c>
      <c r="D360" s="41" t="n">
        <v>4186.277</v>
      </c>
      <c r="E360" s="22" t="n">
        <f aca="false">MONTH(A360)</f>
        <v>2</v>
      </c>
    </row>
    <row r="361" customFormat="false" ht="15" hidden="false" customHeight="false" outlineLevel="0" collapsed="false">
      <c r="A361" s="21" t="n">
        <v>46073</v>
      </c>
      <c r="B361" s="22" t="s">
        <v>189</v>
      </c>
      <c r="C361" s="22" t="n">
        <v>1</v>
      </c>
      <c r="D361" s="41" t="n">
        <v>6053.292</v>
      </c>
      <c r="E361" s="22" t="n">
        <f aca="false">MONTH(A361)</f>
        <v>2</v>
      </c>
    </row>
    <row r="362" customFormat="false" ht="15" hidden="false" customHeight="false" outlineLevel="0" collapsed="false">
      <c r="A362" s="21" t="n">
        <v>46073</v>
      </c>
      <c r="B362" s="22" t="s">
        <v>189</v>
      </c>
      <c r="C362" s="22" t="n">
        <v>2</v>
      </c>
      <c r="D362" s="41" t="n">
        <v>6201.657</v>
      </c>
      <c r="E362" s="22" t="n">
        <f aca="false">MONTH(A362)</f>
        <v>2</v>
      </c>
    </row>
    <row r="363" customFormat="false" ht="15" hidden="false" customHeight="false" outlineLevel="0" collapsed="false">
      <c r="A363" s="21" t="n">
        <v>46074</v>
      </c>
      <c r="B363" s="22" t="s">
        <v>361</v>
      </c>
      <c r="C363" s="22" t="n">
        <v>1</v>
      </c>
      <c r="D363" s="41" t="n">
        <v>22286.71</v>
      </c>
      <c r="E363" s="22" t="n">
        <f aca="false">MONTH(A363)</f>
        <v>2</v>
      </c>
    </row>
    <row r="364" customFormat="false" ht="15" hidden="false" customHeight="false" outlineLevel="0" collapsed="false">
      <c r="A364" s="21" t="n">
        <v>46074</v>
      </c>
      <c r="B364" s="22" t="s">
        <v>361</v>
      </c>
      <c r="C364" s="22" t="n">
        <v>2</v>
      </c>
      <c r="D364" s="41" t="n">
        <v>17188.835</v>
      </c>
      <c r="E364" s="22" t="n">
        <f aca="false">MONTH(A364)</f>
        <v>2</v>
      </c>
    </row>
    <row r="365" customFormat="false" ht="15" hidden="false" customHeight="false" outlineLevel="0" collapsed="false">
      <c r="A365" s="21" t="n">
        <v>46074</v>
      </c>
      <c r="B365" s="22" t="s">
        <v>186</v>
      </c>
      <c r="C365" s="22" t="n">
        <v>1</v>
      </c>
      <c r="D365" s="41" t="n">
        <v>11236.175</v>
      </c>
      <c r="E365" s="22" t="n">
        <f aca="false">MONTH(A365)</f>
        <v>2</v>
      </c>
    </row>
    <row r="366" customFormat="false" ht="15" hidden="false" customHeight="false" outlineLevel="0" collapsed="false">
      <c r="A366" s="21" t="n">
        <v>46074</v>
      </c>
      <c r="B366" s="22" t="s">
        <v>186</v>
      </c>
      <c r="C366" s="22" t="n">
        <v>2</v>
      </c>
      <c r="D366" s="41" t="n">
        <v>10001.85</v>
      </c>
      <c r="E366" s="22" t="n">
        <f aca="false">MONTH(A366)</f>
        <v>2</v>
      </c>
    </row>
    <row r="367" customFormat="false" ht="15" hidden="false" customHeight="false" outlineLevel="0" collapsed="false">
      <c r="A367" s="21" t="n">
        <v>46074</v>
      </c>
      <c r="B367" s="22" t="s">
        <v>375</v>
      </c>
      <c r="C367" s="22" t="n">
        <v>1</v>
      </c>
      <c r="D367" s="41" t="n">
        <v>11352.355</v>
      </c>
      <c r="E367" s="22" t="n">
        <f aca="false">MONTH(A367)</f>
        <v>2</v>
      </c>
    </row>
    <row r="368" customFormat="false" ht="15" hidden="false" customHeight="false" outlineLevel="0" collapsed="false">
      <c r="A368" s="21" t="n">
        <v>46074</v>
      </c>
      <c r="B368" s="22" t="s">
        <v>375</v>
      </c>
      <c r="C368" s="22" t="n">
        <v>2</v>
      </c>
      <c r="D368" s="41" t="n">
        <v>10107.258</v>
      </c>
      <c r="E368" s="22" t="n">
        <f aca="false">MONTH(A368)</f>
        <v>2</v>
      </c>
    </row>
    <row r="369" customFormat="false" ht="15" hidden="false" customHeight="false" outlineLevel="0" collapsed="false">
      <c r="A369" s="21" t="n">
        <v>46074</v>
      </c>
      <c r="B369" s="22" t="s">
        <v>187</v>
      </c>
      <c r="C369" s="22" t="n">
        <v>1</v>
      </c>
      <c r="D369" s="41" t="n">
        <v>3500.252</v>
      </c>
      <c r="E369" s="22" t="n">
        <f aca="false">MONTH(A369)</f>
        <v>2</v>
      </c>
    </row>
    <row r="370" customFormat="false" ht="15" hidden="false" customHeight="false" outlineLevel="0" collapsed="false">
      <c r="A370" s="21" t="n">
        <v>46074</v>
      </c>
      <c r="B370" s="22" t="s">
        <v>187</v>
      </c>
      <c r="C370" s="22" t="n">
        <v>2</v>
      </c>
      <c r="D370" s="41" t="n">
        <v>2808.129</v>
      </c>
      <c r="E370" s="22" t="n">
        <f aca="false">MONTH(A370)</f>
        <v>2</v>
      </c>
    </row>
    <row r="371" customFormat="false" ht="15" hidden="false" customHeight="false" outlineLevel="0" collapsed="false">
      <c r="A371" s="21" t="n">
        <v>46074</v>
      </c>
      <c r="B371" s="22" t="s">
        <v>189</v>
      </c>
      <c r="C371" s="22" t="n">
        <v>1</v>
      </c>
      <c r="D371" s="41" t="n">
        <v>5926.725</v>
      </c>
      <c r="E371" s="22" t="n">
        <f aca="false">MONTH(A371)</f>
        <v>2</v>
      </c>
    </row>
    <row r="372" customFormat="false" ht="15" hidden="false" customHeight="false" outlineLevel="0" collapsed="false">
      <c r="A372" s="21" t="n">
        <v>46074</v>
      </c>
      <c r="B372" s="22" t="s">
        <v>189</v>
      </c>
      <c r="C372" s="22" t="n">
        <v>2</v>
      </c>
      <c r="D372" s="41" t="n">
        <v>12413.925</v>
      </c>
      <c r="E372" s="22" t="n">
        <f aca="false">MONTH(A372)</f>
        <v>2</v>
      </c>
    </row>
    <row r="373" customFormat="false" ht="15" hidden="false" customHeight="false" outlineLevel="0" collapsed="false">
      <c r="A373" s="21" t="n">
        <v>46076</v>
      </c>
      <c r="B373" s="22" t="s">
        <v>361</v>
      </c>
      <c r="C373" s="22" t="n">
        <v>1</v>
      </c>
      <c r="D373" s="41" t="n">
        <v>27960.345</v>
      </c>
      <c r="E373" s="22" t="n">
        <f aca="false">MONTH(A373)</f>
        <v>2</v>
      </c>
    </row>
    <row r="374" customFormat="false" ht="15" hidden="false" customHeight="false" outlineLevel="0" collapsed="false">
      <c r="A374" s="21" t="n">
        <v>46076</v>
      </c>
      <c r="B374" s="22" t="s">
        <v>186</v>
      </c>
      <c r="C374" s="22" t="n">
        <v>1</v>
      </c>
      <c r="D374" s="41" t="n">
        <v>6629.725</v>
      </c>
      <c r="E374" s="22" t="n">
        <f aca="false">MONTH(A374)</f>
        <v>2</v>
      </c>
    </row>
    <row r="375" customFormat="false" ht="15" hidden="false" customHeight="false" outlineLevel="0" collapsed="false">
      <c r="A375" s="21" t="n">
        <v>46076</v>
      </c>
      <c r="B375" s="22" t="s">
        <v>186</v>
      </c>
      <c r="C375" s="22" t="n">
        <v>2</v>
      </c>
      <c r="D375" s="41" t="n">
        <v>12155.904</v>
      </c>
      <c r="E375" s="22" t="n">
        <f aca="false">MONTH(A375)</f>
        <v>2</v>
      </c>
    </row>
    <row r="376" customFormat="false" ht="15" hidden="false" customHeight="false" outlineLevel="0" collapsed="false">
      <c r="A376" s="21" t="n">
        <v>46076</v>
      </c>
      <c r="B376" s="22" t="s">
        <v>188</v>
      </c>
      <c r="C376" s="22" t="n">
        <v>1</v>
      </c>
      <c r="D376" s="41" t="n">
        <v>2249.1</v>
      </c>
      <c r="E376" s="22" t="n">
        <f aca="false">MONTH(A376)</f>
        <v>2</v>
      </c>
    </row>
    <row r="377" customFormat="false" ht="15" hidden="false" customHeight="false" outlineLevel="0" collapsed="false">
      <c r="A377" s="21" t="n">
        <v>46076</v>
      </c>
      <c r="B377" s="22" t="s">
        <v>374</v>
      </c>
      <c r="C377" s="22" t="n">
        <v>1</v>
      </c>
      <c r="D377" s="41" t="n">
        <v>8006.544</v>
      </c>
      <c r="E377" s="22" t="n">
        <f aca="false">MONTH(A377)</f>
        <v>2</v>
      </c>
    </row>
    <row r="378" customFormat="false" ht="15" hidden="false" customHeight="false" outlineLevel="0" collapsed="false">
      <c r="A378" s="21" t="n">
        <v>46076</v>
      </c>
      <c r="B378" s="22" t="s">
        <v>375</v>
      </c>
      <c r="C378" s="22" t="n">
        <v>1</v>
      </c>
      <c r="D378" s="41" t="n">
        <v>12419.581</v>
      </c>
      <c r="E378" s="22" t="n">
        <f aca="false">MONTH(A378)</f>
        <v>2</v>
      </c>
    </row>
    <row r="379" customFormat="false" ht="15" hidden="false" customHeight="false" outlineLevel="0" collapsed="false">
      <c r="A379" s="21" t="n">
        <v>46076</v>
      </c>
      <c r="B379" s="22" t="s">
        <v>375</v>
      </c>
      <c r="C379" s="22" t="n">
        <v>2</v>
      </c>
      <c r="D379" s="41" t="n">
        <v>11237.262</v>
      </c>
      <c r="E379" s="22" t="n">
        <f aca="false">MONTH(A379)</f>
        <v>2</v>
      </c>
    </row>
    <row r="380" customFormat="false" ht="15" hidden="false" customHeight="false" outlineLevel="0" collapsed="false">
      <c r="A380" s="21" t="n">
        <v>46076</v>
      </c>
      <c r="B380" s="22" t="s">
        <v>187</v>
      </c>
      <c r="C380" s="22" t="n">
        <v>1</v>
      </c>
      <c r="D380" s="41" t="n">
        <v>4149.689</v>
      </c>
      <c r="E380" s="22" t="n">
        <f aca="false">MONTH(A380)</f>
        <v>2</v>
      </c>
    </row>
    <row r="381" customFormat="false" ht="15" hidden="false" customHeight="false" outlineLevel="0" collapsed="false">
      <c r="A381" s="21" t="n">
        <v>46076</v>
      </c>
      <c r="B381" s="22" t="s">
        <v>187</v>
      </c>
      <c r="C381" s="22" t="n">
        <v>2</v>
      </c>
      <c r="D381" s="41" t="n">
        <v>4774.734</v>
      </c>
      <c r="E381" s="22" t="n">
        <f aca="false">MONTH(A381)</f>
        <v>2</v>
      </c>
    </row>
    <row r="382" customFormat="false" ht="15" hidden="false" customHeight="false" outlineLevel="0" collapsed="false">
      <c r="A382" s="21" t="n">
        <v>46076</v>
      </c>
      <c r="B382" s="22" t="s">
        <v>189</v>
      </c>
      <c r="C382" s="22" t="n">
        <v>1</v>
      </c>
      <c r="D382" s="41" t="n">
        <v>14965.875</v>
      </c>
      <c r="E382" s="22" t="n">
        <f aca="false">MONTH(A382)</f>
        <v>2</v>
      </c>
    </row>
    <row r="383" customFormat="false" ht="15" hidden="false" customHeight="false" outlineLevel="0" collapsed="false">
      <c r="A383" s="21" t="n">
        <v>46076</v>
      </c>
      <c r="B383" s="22" t="s">
        <v>189</v>
      </c>
      <c r="C383" s="22" t="n">
        <v>2</v>
      </c>
      <c r="D383" s="41" t="n">
        <v>14703.525</v>
      </c>
      <c r="E383" s="22" t="n">
        <f aca="false">MONTH(A383)</f>
        <v>2</v>
      </c>
    </row>
    <row r="384" customFormat="false" ht="15" hidden="false" customHeight="false" outlineLevel="0" collapsed="false">
      <c r="A384" s="21" t="n">
        <v>46077</v>
      </c>
      <c r="B384" s="22" t="s">
        <v>361</v>
      </c>
      <c r="C384" s="22" t="n">
        <v>1</v>
      </c>
      <c r="D384" s="41" t="n">
        <v>27804.41</v>
      </c>
      <c r="E384" s="22" t="n">
        <f aca="false">MONTH(A384)</f>
        <v>2</v>
      </c>
    </row>
    <row r="385" customFormat="false" ht="15" hidden="false" customHeight="false" outlineLevel="0" collapsed="false">
      <c r="A385" s="21" t="n">
        <v>46077</v>
      </c>
      <c r="B385" s="22" t="s">
        <v>186</v>
      </c>
      <c r="C385" s="22" t="n">
        <v>1</v>
      </c>
      <c r="D385" s="41" t="n">
        <v>11423.49</v>
      </c>
      <c r="E385" s="22" t="n">
        <f aca="false">MONTH(A385)</f>
        <v>2</v>
      </c>
    </row>
    <row r="386" customFormat="false" ht="15" hidden="false" customHeight="false" outlineLevel="0" collapsed="false">
      <c r="A386" s="21" t="n">
        <v>46077</v>
      </c>
      <c r="B386" s="22" t="s">
        <v>186</v>
      </c>
      <c r="C386" s="22" t="n">
        <v>2</v>
      </c>
      <c r="D386" s="41" t="n">
        <v>12498.642</v>
      </c>
      <c r="E386" s="22" t="n">
        <f aca="false">MONTH(A386)</f>
        <v>2</v>
      </c>
    </row>
    <row r="387" customFormat="false" ht="15" hidden="false" customHeight="false" outlineLevel="0" collapsed="false">
      <c r="A387" s="21" t="n">
        <v>46077</v>
      </c>
      <c r="B387" s="22" t="s">
        <v>188</v>
      </c>
      <c r="C387" s="22" t="n">
        <v>1</v>
      </c>
      <c r="D387" s="41" t="n">
        <v>2332.4</v>
      </c>
      <c r="E387" s="22" t="n">
        <f aca="false">MONTH(A387)</f>
        <v>2</v>
      </c>
    </row>
    <row r="388" customFormat="false" ht="15" hidden="false" customHeight="false" outlineLevel="0" collapsed="false">
      <c r="A388" s="21" t="n">
        <v>46077</v>
      </c>
      <c r="B388" s="22" t="s">
        <v>374</v>
      </c>
      <c r="C388" s="22" t="n">
        <v>1</v>
      </c>
      <c r="D388" s="41" t="n">
        <v>8117.088</v>
      </c>
      <c r="E388" s="22" t="n">
        <f aca="false">MONTH(A388)</f>
        <v>2</v>
      </c>
    </row>
    <row r="389" customFormat="false" ht="15" hidden="false" customHeight="false" outlineLevel="0" collapsed="false">
      <c r="A389" s="21" t="n">
        <v>46077</v>
      </c>
      <c r="B389" s="22" t="s">
        <v>375</v>
      </c>
      <c r="C389" s="22" t="n">
        <v>1</v>
      </c>
      <c r="D389" s="41" t="n">
        <v>11833.653</v>
      </c>
      <c r="E389" s="22" t="n">
        <f aca="false">MONTH(A389)</f>
        <v>2</v>
      </c>
    </row>
    <row r="390" customFormat="false" ht="15" hidden="false" customHeight="false" outlineLevel="0" collapsed="false">
      <c r="A390" s="21" t="n">
        <v>46077</v>
      </c>
      <c r="B390" s="22" t="s">
        <v>375</v>
      </c>
      <c r="C390" s="22" t="n">
        <v>2</v>
      </c>
      <c r="D390" s="41" t="n">
        <v>10243.277</v>
      </c>
      <c r="E390" s="22" t="n">
        <f aca="false">MONTH(A390)</f>
        <v>2</v>
      </c>
    </row>
    <row r="391" customFormat="false" ht="15" hidden="false" customHeight="false" outlineLevel="0" collapsed="false">
      <c r="A391" s="21" t="n">
        <v>46077</v>
      </c>
      <c r="B391" s="22" t="s">
        <v>187</v>
      </c>
      <c r="C391" s="22" t="n">
        <v>1</v>
      </c>
      <c r="D391" s="41" t="n">
        <v>4832.665</v>
      </c>
      <c r="E391" s="22" t="n">
        <f aca="false">MONTH(A391)</f>
        <v>2</v>
      </c>
    </row>
    <row r="392" customFormat="false" ht="15" hidden="false" customHeight="false" outlineLevel="0" collapsed="false">
      <c r="A392" s="21" t="n">
        <v>46077</v>
      </c>
      <c r="B392" s="22" t="s">
        <v>187</v>
      </c>
      <c r="C392" s="22" t="n">
        <v>2</v>
      </c>
      <c r="D392" s="41" t="n">
        <v>2623.649</v>
      </c>
      <c r="E392" s="22" t="n">
        <f aca="false">MONTH(A392)</f>
        <v>2</v>
      </c>
    </row>
    <row r="393" customFormat="false" ht="15" hidden="false" customHeight="false" outlineLevel="0" collapsed="false">
      <c r="A393" s="21" t="n">
        <v>46077</v>
      </c>
      <c r="B393" s="22" t="s">
        <v>189</v>
      </c>
      <c r="C393" s="22" t="n">
        <v>1</v>
      </c>
      <c r="D393" s="41" t="n">
        <v>14846.625</v>
      </c>
      <c r="E393" s="22" t="n">
        <f aca="false">MONTH(A393)</f>
        <v>2</v>
      </c>
    </row>
    <row r="394" customFormat="false" ht="15" hidden="false" customHeight="false" outlineLevel="0" collapsed="false">
      <c r="A394" s="21" t="n">
        <v>46077</v>
      </c>
      <c r="B394" s="22" t="s">
        <v>189</v>
      </c>
      <c r="C394" s="22" t="n">
        <v>2</v>
      </c>
      <c r="D394" s="41" t="n">
        <v>16671.15</v>
      </c>
      <c r="E394" s="22" t="n">
        <f aca="false">MONTH(A394)</f>
        <v>2</v>
      </c>
    </row>
    <row r="395" customFormat="false" ht="15" hidden="false" customHeight="false" outlineLevel="0" collapsed="false">
      <c r="A395" s="21" t="n">
        <v>46078</v>
      </c>
      <c r="B395" s="22" t="s">
        <v>362</v>
      </c>
      <c r="C395" s="22" t="n">
        <v>1</v>
      </c>
      <c r="D395" s="41" t="n">
        <v>1864.695</v>
      </c>
      <c r="E395" s="22" t="n">
        <f aca="false">MONTH(A395)</f>
        <v>2</v>
      </c>
    </row>
    <row r="396" customFormat="false" ht="15" hidden="false" customHeight="false" outlineLevel="0" collapsed="false">
      <c r="A396" s="21" t="n">
        <v>46078</v>
      </c>
      <c r="B396" s="22" t="s">
        <v>186</v>
      </c>
      <c r="C396" s="22" t="n">
        <v>1</v>
      </c>
      <c r="D396" s="41" t="n">
        <v>10317.324</v>
      </c>
      <c r="E396" s="22" t="n">
        <f aca="false">MONTH(A396)</f>
        <v>2</v>
      </c>
    </row>
    <row r="397" customFormat="false" ht="15" hidden="false" customHeight="false" outlineLevel="0" collapsed="false">
      <c r="A397" s="21" t="n">
        <v>46078</v>
      </c>
      <c r="B397" s="22" t="s">
        <v>186</v>
      </c>
      <c r="C397" s="22" t="n">
        <v>2</v>
      </c>
      <c r="D397" s="41" t="n">
        <v>12550.332</v>
      </c>
      <c r="E397" s="22" t="n">
        <f aca="false">MONTH(A397)</f>
        <v>2</v>
      </c>
    </row>
    <row r="398" customFormat="false" ht="15" hidden="false" customHeight="false" outlineLevel="0" collapsed="false">
      <c r="A398" s="21" t="n">
        <v>46078</v>
      </c>
      <c r="B398" s="22" t="s">
        <v>188</v>
      </c>
      <c r="C398" s="22" t="n">
        <v>1</v>
      </c>
      <c r="D398" s="41" t="n">
        <v>2249.1</v>
      </c>
      <c r="E398" s="22" t="n">
        <f aca="false">MONTH(A398)</f>
        <v>2</v>
      </c>
    </row>
    <row r="399" customFormat="false" ht="15" hidden="false" customHeight="false" outlineLevel="0" collapsed="false">
      <c r="A399" s="21" t="n">
        <v>46078</v>
      </c>
      <c r="B399" s="22" t="s">
        <v>374</v>
      </c>
      <c r="C399" s="22" t="n">
        <v>1</v>
      </c>
      <c r="D399" s="41" t="n">
        <v>6245.736</v>
      </c>
      <c r="E399" s="22" t="n">
        <f aca="false">MONTH(A399)</f>
        <v>2</v>
      </c>
    </row>
    <row r="400" customFormat="false" ht="15" hidden="false" customHeight="false" outlineLevel="0" collapsed="false">
      <c r="A400" s="21" t="n">
        <v>46078</v>
      </c>
      <c r="B400" s="22" t="s">
        <v>375</v>
      </c>
      <c r="C400" s="22" t="n">
        <v>1</v>
      </c>
      <c r="D400" s="41" t="n">
        <v>10442.074</v>
      </c>
      <c r="E400" s="22" t="n">
        <f aca="false">MONTH(A400)</f>
        <v>2</v>
      </c>
    </row>
    <row r="401" customFormat="false" ht="15" hidden="false" customHeight="false" outlineLevel="0" collapsed="false">
      <c r="A401" s="21" t="n">
        <v>46078</v>
      </c>
      <c r="B401" s="22" t="s">
        <v>375</v>
      </c>
      <c r="C401" s="22" t="n">
        <v>2</v>
      </c>
      <c r="D401" s="41" t="n">
        <v>11572.078</v>
      </c>
      <c r="E401" s="22" t="n">
        <f aca="false">MONTH(A401)</f>
        <v>2</v>
      </c>
    </row>
    <row r="402" customFormat="false" ht="15" hidden="false" customHeight="false" outlineLevel="0" collapsed="false">
      <c r="A402" s="21" t="n">
        <v>46078</v>
      </c>
      <c r="B402" s="22" t="s">
        <v>187</v>
      </c>
      <c r="C402" s="22" t="n">
        <v>1</v>
      </c>
      <c r="D402" s="41" t="n">
        <v>1874.652</v>
      </c>
      <c r="E402" s="22" t="n">
        <f aca="false">MONTH(A402)</f>
        <v>2</v>
      </c>
    </row>
    <row r="403" customFormat="false" ht="15" hidden="false" customHeight="false" outlineLevel="0" collapsed="false">
      <c r="A403" s="21" t="n">
        <v>46078</v>
      </c>
      <c r="B403" s="22" t="s">
        <v>187</v>
      </c>
      <c r="C403" s="22" t="n">
        <v>2</v>
      </c>
      <c r="D403" s="41" t="n">
        <v>2286.973</v>
      </c>
      <c r="E403" s="22" t="n">
        <f aca="false">MONTH(A403)</f>
        <v>2</v>
      </c>
    </row>
    <row r="404" customFormat="false" ht="15" hidden="false" customHeight="false" outlineLevel="0" collapsed="false">
      <c r="A404" s="21" t="n">
        <v>46078</v>
      </c>
      <c r="B404" s="22" t="s">
        <v>189</v>
      </c>
      <c r="C404" s="22" t="n">
        <v>1</v>
      </c>
      <c r="D404" s="41" t="n">
        <v>15275.925</v>
      </c>
      <c r="E404" s="22" t="n">
        <f aca="false">MONTH(A404)</f>
        <v>2</v>
      </c>
    </row>
    <row r="405" customFormat="false" ht="15" hidden="false" customHeight="false" outlineLevel="0" collapsed="false">
      <c r="A405" s="21" t="n">
        <v>46078</v>
      </c>
      <c r="B405" s="22" t="s">
        <v>189</v>
      </c>
      <c r="C405" s="22" t="n">
        <v>2</v>
      </c>
      <c r="D405" s="41" t="n">
        <v>14787</v>
      </c>
      <c r="E405" s="22" t="n">
        <f aca="false">MONTH(A405)</f>
        <v>2</v>
      </c>
    </row>
    <row r="406" customFormat="false" ht="15" hidden="false" customHeight="false" outlineLevel="0" collapsed="false">
      <c r="A406" s="21" t="n">
        <v>46079</v>
      </c>
      <c r="B406" s="22" t="s">
        <v>362</v>
      </c>
      <c r="C406" s="22" t="n">
        <v>1</v>
      </c>
      <c r="D406" s="41" t="n">
        <v>5823.3</v>
      </c>
      <c r="E406" s="22" t="n">
        <f aca="false">MONTH(A406)</f>
        <v>2</v>
      </c>
    </row>
    <row r="407" customFormat="false" ht="15" hidden="false" customHeight="false" outlineLevel="0" collapsed="false">
      <c r="A407" s="21" t="n">
        <v>46079</v>
      </c>
      <c r="B407" s="22" t="s">
        <v>186</v>
      </c>
      <c r="C407" s="22" t="n">
        <v>1</v>
      </c>
      <c r="D407" s="41" t="n">
        <v>11609.574</v>
      </c>
      <c r="E407" s="22" t="n">
        <f aca="false">MONTH(A407)</f>
        <v>2</v>
      </c>
    </row>
    <row r="408" customFormat="false" ht="15" hidden="false" customHeight="false" outlineLevel="0" collapsed="false">
      <c r="A408" s="21" t="n">
        <v>46079</v>
      </c>
      <c r="B408" s="22" t="s">
        <v>186</v>
      </c>
      <c r="C408" s="22" t="n">
        <v>2</v>
      </c>
      <c r="D408" s="41" t="n">
        <v>5985.702</v>
      </c>
      <c r="E408" s="22" t="n">
        <f aca="false">MONTH(A408)</f>
        <v>2</v>
      </c>
    </row>
    <row r="409" customFormat="false" ht="15" hidden="false" customHeight="false" outlineLevel="0" collapsed="false">
      <c r="A409" s="21" t="n">
        <v>46079</v>
      </c>
      <c r="B409" s="22" t="s">
        <v>188</v>
      </c>
      <c r="C409" s="22" t="n">
        <v>1</v>
      </c>
      <c r="D409" s="41" t="n">
        <v>2410.8</v>
      </c>
      <c r="E409" s="22" t="n">
        <f aca="false">MONTH(A409)</f>
        <v>2</v>
      </c>
    </row>
    <row r="410" customFormat="false" ht="15" hidden="false" customHeight="false" outlineLevel="0" collapsed="false">
      <c r="A410" s="21" t="n">
        <v>46079</v>
      </c>
      <c r="B410" s="22" t="s">
        <v>374</v>
      </c>
      <c r="C410" s="22" t="n">
        <v>1</v>
      </c>
      <c r="D410" s="41" t="n">
        <v>6503.7</v>
      </c>
      <c r="E410" s="22" t="n">
        <f aca="false">MONTH(A410)</f>
        <v>2</v>
      </c>
    </row>
    <row r="411" customFormat="false" ht="15" hidden="false" customHeight="false" outlineLevel="0" collapsed="false">
      <c r="A411" s="21" t="n">
        <v>46079</v>
      </c>
      <c r="B411" s="22" t="s">
        <v>375</v>
      </c>
      <c r="C411" s="22" t="n">
        <v>1</v>
      </c>
      <c r="D411" s="41" t="n">
        <v>11906.894</v>
      </c>
      <c r="E411" s="22" t="n">
        <f aca="false">MONTH(A411)</f>
        <v>2</v>
      </c>
    </row>
    <row r="412" customFormat="false" ht="15" hidden="false" customHeight="false" outlineLevel="0" collapsed="false">
      <c r="A412" s="21" t="n">
        <v>46079</v>
      </c>
      <c r="B412" s="22" t="s">
        <v>375</v>
      </c>
      <c r="C412" s="22" t="n">
        <v>2</v>
      </c>
      <c r="D412" s="41" t="n">
        <v>12461.433</v>
      </c>
      <c r="E412" s="22" t="n">
        <f aca="false">MONTH(A412)</f>
        <v>2</v>
      </c>
    </row>
    <row r="413" customFormat="false" ht="15" hidden="false" customHeight="false" outlineLevel="0" collapsed="false">
      <c r="A413" s="21" t="n">
        <v>46079</v>
      </c>
      <c r="B413" s="22" t="s">
        <v>187</v>
      </c>
      <c r="C413" s="22" t="n">
        <v>1</v>
      </c>
      <c r="D413" s="41" t="n">
        <v>2051.361</v>
      </c>
      <c r="E413" s="22" t="n">
        <f aca="false">MONTH(A413)</f>
        <v>2</v>
      </c>
    </row>
    <row r="414" customFormat="false" ht="15" hidden="false" customHeight="false" outlineLevel="0" collapsed="false">
      <c r="A414" s="21" t="n">
        <v>46079</v>
      </c>
      <c r="B414" s="22" t="s">
        <v>187</v>
      </c>
      <c r="C414" s="22" t="n">
        <v>2</v>
      </c>
      <c r="D414" s="41" t="n">
        <v>2344.565</v>
      </c>
      <c r="E414" s="22" t="n">
        <f aca="false">MONTH(A414)</f>
        <v>2</v>
      </c>
    </row>
    <row r="415" customFormat="false" ht="15" hidden="false" customHeight="false" outlineLevel="0" collapsed="false">
      <c r="A415" s="21" t="n">
        <v>46079</v>
      </c>
      <c r="B415" s="22" t="s">
        <v>189</v>
      </c>
      <c r="C415" s="22" t="n">
        <v>1</v>
      </c>
      <c r="D415" s="41" t="n">
        <v>15395.175</v>
      </c>
      <c r="E415" s="22" t="n">
        <f aca="false">MONTH(A415)</f>
        <v>2</v>
      </c>
    </row>
    <row r="416" customFormat="false" ht="15" hidden="false" customHeight="false" outlineLevel="0" collapsed="false">
      <c r="A416" s="21" t="n">
        <v>46079</v>
      </c>
      <c r="B416" s="22" t="s">
        <v>189</v>
      </c>
      <c r="C416" s="22" t="n">
        <v>2</v>
      </c>
      <c r="D416" s="41" t="n">
        <v>16218</v>
      </c>
      <c r="E416" s="22" t="n">
        <f aca="false">MONTH(A416)</f>
        <v>2</v>
      </c>
    </row>
    <row r="417" customFormat="false" ht="15" hidden="false" customHeight="false" outlineLevel="0" collapsed="false">
      <c r="A417" s="21" t="n">
        <v>46080</v>
      </c>
      <c r="B417" s="22" t="s">
        <v>186</v>
      </c>
      <c r="C417" s="22" t="n">
        <v>1</v>
      </c>
      <c r="D417" s="41" t="n">
        <v>9718.506</v>
      </c>
      <c r="E417" s="22" t="n">
        <f aca="false">MONTH(A417)</f>
        <v>2</v>
      </c>
    </row>
    <row r="418" customFormat="false" ht="15" hidden="false" customHeight="false" outlineLevel="0" collapsed="false">
      <c r="A418" s="21" t="n">
        <v>46080</v>
      </c>
      <c r="B418" s="22" t="s">
        <v>186</v>
      </c>
      <c r="C418" s="22" t="n">
        <v>2</v>
      </c>
      <c r="D418" s="41" t="n">
        <v>9623.922</v>
      </c>
      <c r="E418" s="22" t="n">
        <f aca="false">MONTH(A418)</f>
        <v>2</v>
      </c>
    </row>
    <row r="419" customFormat="false" ht="15" hidden="false" customHeight="false" outlineLevel="0" collapsed="false">
      <c r="A419" s="21" t="n">
        <v>46080</v>
      </c>
      <c r="B419" s="22" t="s">
        <v>188</v>
      </c>
      <c r="C419" s="22" t="n">
        <v>1</v>
      </c>
      <c r="D419" s="41" t="n">
        <v>1773.8</v>
      </c>
      <c r="E419" s="22" t="n">
        <f aca="false">MONTH(A419)</f>
        <v>2</v>
      </c>
    </row>
    <row r="420" customFormat="false" ht="15" hidden="false" customHeight="false" outlineLevel="0" collapsed="false">
      <c r="A420" s="21" t="n">
        <v>46080</v>
      </c>
      <c r="B420" s="22" t="s">
        <v>374</v>
      </c>
      <c r="C420" s="22" t="n">
        <v>1</v>
      </c>
      <c r="D420" s="41" t="n">
        <v>4399.857</v>
      </c>
      <c r="E420" s="22" t="n">
        <f aca="false">MONTH(A420)</f>
        <v>2</v>
      </c>
    </row>
    <row r="421" customFormat="false" ht="15" hidden="false" customHeight="false" outlineLevel="0" collapsed="false">
      <c r="A421" s="21" t="n">
        <v>46080</v>
      </c>
      <c r="B421" s="22" t="s">
        <v>375</v>
      </c>
      <c r="C421" s="22" t="n">
        <v>1</v>
      </c>
      <c r="D421" s="41" t="n">
        <v>12147.543</v>
      </c>
      <c r="E421" s="22" t="n">
        <f aca="false">MONTH(A421)</f>
        <v>2</v>
      </c>
    </row>
    <row r="422" customFormat="false" ht="15" hidden="false" customHeight="false" outlineLevel="0" collapsed="false">
      <c r="A422" s="21" t="n">
        <v>46080</v>
      </c>
      <c r="B422" s="22" t="s">
        <v>375</v>
      </c>
      <c r="C422" s="22" t="n">
        <v>2</v>
      </c>
      <c r="D422" s="41" t="n">
        <v>11655.782</v>
      </c>
      <c r="E422" s="22" t="n">
        <f aca="false">MONTH(A422)</f>
        <v>2</v>
      </c>
    </row>
    <row r="423" customFormat="false" ht="15" hidden="false" customHeight="false" outlineLevel="0" collapsed="false">
      <c r="A423" s="21" t="n">
        <v>46080</v>
      </c>
      <c r="B423" s="22" t="s">
        <v>187</v>
      </c>
      <c r="C423" s="22" t="n">
        <v>1</v>
      </c>
      <c r="D423" s="41" t="n">
        <v>2466.016</v>
      </c>
      <c r="E423" s="22" t="n">
        <f aca="false">MONTH(A423)</f>
        <v>2</v>
      </c>
    </row>
    <row r="424" customFormat="false" ht="15" hidden="false" customHeight="false" outlineLevel="0" collapsed="false">
      <c r="A424" s="21" t="n">
        <v>46080</v>
      </c>
      <c r="B424" s="22" t="s">
        <v>187</v>
      </c>
      <c r="C424" s="22" t="n">
        <v>2</v>
      </c>
      <c r="D424" s="41" t="n">
        <v>1751.848</v>
      </c>
      <c r="E424" s="22" t="n">
        <f aca="false">MONTH(A424)</f>
        <v>2</v>
      </c>
    </row>
    <row r="425" customFormat="false" ht="15" hidden="false" customHeight="false" outlineLevel="0" collapsed="false">
      <c r="A425" s="21" t="n">
        <v>46080</v>
      </c>
      <c r="B425" s="22" t="s">
        <v>189</v>
      </c>
      <c r="C425" s="22" t="n">
        <v>1</v>
      </c>
      <c r="D425" s="41" t="n">
        <v>14405.4</v>
      </c>
      <c r="E425" s="22" t="n">
        <f aca="false">MONTH(A425)</f>
        <v>2</v>
      </c>
    </row>
    <row r="426" customFormat="false" ht="15" hidden="false" customHeight="false" outlineLevel="0" collapsed="false">
      <c r="A426" s="21" t="n">
        <v>46080</v>
      </c>
      <c r="B426" s="22" t="s">
        <v>189</v>
      </c>
      <c r="C426" s="22" t="n">
        <v>2</v>
      </c>
      <c r="D426" s="41" t="n">
        <v>17291.25</v>
      </c>
      <c r="E426" s="22" t="n">
        <f aca="false">MONTH(A426)</f>
        <v>2</v>
      </c>
    </row>
    <row r="427" customFormat="false" ht="15" hidden="false" customHeight="false" outlineLevel="0" collapsed="false">
      <c r="A427" s="21" t="n">
        <v>46080</v>
      </c>
      <c r="B427" s="22" t="s">
        <v>359</v>
      </c>
      <c r="C427" s="22" t="n">
        <v>1</v>
      </c>
      <c r="D427" s="41" t="n">
        <v>825.876</v>
      </c>
      <c r="E427" s="22" t="n">
        <f aca="false">MONTH(A427)</f>
        <v>2</v>
      </c>
    </row>
    <row r="428" customFormat="false" ht="15" hidden="false" customHeight="false" outlineLevel="0" collapsed="false">
      <c r="A428" s="21" t="n">
        <v>46083</v>
      </c>
      <c r="B428" s="22" t="s">
        <v>362</v>
      </c>
      <c r="C428" s="22" t="n">
        <v>1</v>
      </c>
      <c r="D428" s="41" t="n">
        <v>4259.896</v>
      </c>
      <c r="E428" s="22" t="n">
        <f aca="false">MONTH(A428)</f>
        <v>3</v>
      </c>
    </row>
    <row r="429" customFormat="false" ht="15" hidden="false" customHeight="false" outlineLevel="0" collapsed="false">
      <c r="A429" s="21" t="n">
        <v>46083</v>
      </c>
      <c r="B429" s="22" t="s">
        <v>186</v>
      </c>
      <c r="C429" s="22" t="n">
        <v>1</v>
      </c>
      <c r="D429" s="41" t="n">
        <v>7436.667</v>
      </c>
      <c r="E429" s="22" t="n">
        <f aca="false">MONTH(A429)</f>
        <v>3</v>
      </c>
    </row>
    <row r="430" customFormat="false" ht="15" hidden="false" customHeight="false" outlineLevel="0" collapsed="false">
      <c r="A430" s="21" t="n">
        <v>46083</v>
      </c>
      <c r="B430" s="22" t="s">
        <v>186</v>
      </c>
      <c r="C430" s="22" t="n">
        <v>2</v>
      </c>
      <c r="D430" s="41" t="n">
        <v>11030.859</v>
      </c>
      <c r="E430" s="22" t="n">
        <f aca="false">MONTH(A430)</f>
        <v>3</v>
      </c>
    </row>
    <row r="431" customFormat="false" ht="15" hidden="false" customHeight="false" outlineLevel="0" collapsed="false">
      <c r="A431" s="21" t="n">
        <v>46083</v>
      </c>
      <c r="B431" s="22" t="s">
        <v>188</v>
      </c>
      <c r="C431" s="22" t="n">
        <v>1</v>
      </c>
      <c r="D431" s="41" t="n">
        <v>1533.7</v>
      </c>
      <c r="E431" s="22" t="n">
        <f aca="false">MONTH(A431)</f>
        <v>3</v>
      </c>
    </row>
    <row r="432" customFormat="false" ht="15" hidden="false" customHeight="false" outlineLevel="0" collapsed="false">
      <c r="A432" s="21" t="n">
        <v>46083</v>
      </c>
      <c r="B432" s="22" t="s">
        <v>375</v>
      </c>
      <c r="C432" s="22" t="n">
        <v>1</v>
      </c>
      <c r="D432" s="41" t="n">
        <v>8255.307</v>
      </c>
      <c r="E432" s="22" t="n">
        <f aca="false">MONTH(A432)</f>
        <v>3</v>
      </c>
    </row>
    <row r="433" customFormat="false" ht="15" hidden="false" customHeight="false" outlineLevel="0" collapsed="false">
      <c r="A433" s="21" t="n">
        <v>46083</v>
      </c>
      <c r="B433" s="22" t="s">
        <v>187</v>
      </c>
      <c r="C433" s="22" t="n">
        <v>1</v>
      </c>
      <c r="D433" s="41" t="n">
        <v>1761.968</v>
      </c>
      <c r="E433" s="22" t="n">
        <f aca="false">MONTH(A433)</f>
        <v>3</v>
      </c>
    </row>
    <row r="434" customFormat="false" ht="15" hidden="false" customHeight="false" outlineLevel="0" collapsed="false">
      <c r="A434" s="21" t="n">
        <v>46083</v>
      </c>
      <c r="B434" s="22" t="s">
        <v>187</v>
      </c>
      <c r="C434" s="22" t="n">
        <v>2</v>
      </c>
      <c r="D434" s="41" t="n">
        <v>2041.117</v>
      </c>
      <c r="E434" s="22" t="n">
        <f aca="false">MONTH(A434)</f>
        <v>3</v>
      </c>
    </row>
    <row r="435" customFormat="false" ht="15" hidden="false" customHeight="false" outlineLevel="0" collapsed="false">
      <c r="A435" s="21" t="n">
        <v>46083</v>
      </c>
      <c r="B435" s="22" t="s">
        <v>189</v>
      </c>
      <c r="C435" s="22" t="n">
        <v>1</v>
      </c>
      <c r="D435" s="41" t="n">
        <v>14906.25</v>
      </c>
      <c r="E435" s="22" t="n">
        <f aca="false">MONTH(A435)</f>
        <v>3</v>
      </c>
    </row>
    <row r="436" customFormat="false" ht="15" hidden="false" customHeight="false" outlineLevel="0" collapsed="false">
      <c r="A436" s="21" t="n">
        <v>46083</v>
      </c>
      <c r="B436" s="22" t="s">
        <v>189</v>
      </c>
      <c r="C436" s="22" t="n">
        <v>2</v>
      </c>
      <c r="D436" s="41" t="n">
        <v>17076.6</v>
      </c>
      <c r="E436" s="22" t="n">
        <f aca="false">MONTH(A436)</f>
        <v>3</v>
      </c>
    </row>
    <row r="437" customFormat="false" ht="15" hidden="false" customHeight="false" outlineLevel="0" collapsed="false">
      <c r="A437" s="21" t="n">
        <v>46084</v>
      </c>
      <c r="B437" s="22" t="s">
        <v>361</v>
      </c>
      <c r="C437" s="22" t="n">
        <v>1</v>
      </c>
      <c r="D437" s="41" t="n">
        <v>22257.76</v>
      </c>
      <c r="E437" s="22" t="n">
        <f aca="false">MONTH(A437)</f>
        <v>3</v>
      </c>
    </row>
    <row r="438" customFormat="false" ht="15" hidden="false" customHeight="false" outlineLevel="0" collapsed="false">
      <c r="A438" s="21" t="n">
        <v>46084</v>
      </c>
      <c r="B438" s="22" t="s">
        <v>362</v>
      </c>
      <c r="C438" s="22" t="n">
        <v>1</v>
      </c>
      <c r="D438" s="41" t="n">
        <v>6868.484</v>
      </c>
      <c r="E438" s="22" t="n">
        <f aca="false">MONTH(A438)</f>
        <v>3</v>
      </c>
    </row>
    <row r="439" customFormat="false" ht="15" hidden="false" customHeight="false" outlineLevel="0" collapsed="false">
      <c r="A439" s="21" t="n">
        <v>46084</v>
      </c>
      <c r="B439" s="22" t="s">
        <v>186</v>
      </c>
      <c r="C439" s="22" t="n">
        <v>1</v>
      </c>
      <c r="D439" s="41" t="n">
        <v>11019.036</v>
      </c>
      <c r="E439" s="22" t="n">
        <f aca="false">MONTH(A439)</f>
        <v>3</v>
      </c>
    </row>
    <row r="440" customFormat="false" ht="15" hidden="false" customHeight="false" outlineLevel="0" collapsed="false">
      <c r="A440" s="21" t="n">
        <v>46084</v>
      </c>
      <c r="B440" s="22" t="s">
        <v>186</v>
      </c>
      <c r="C440" s="22" t="n">
        <v>2</v>
      </c>
      <c r="D440" s="41" t="n">
        <v>3736.068</v>
      </c>
      <c r="E440" s="22" t="n">
        <f aca="false">MONTH(A440)</f>
        <v>3</v>
      </c>
    </row>
    <row r="441" customFormat="false" ht="15" hidden="false" customHeight="false" outlineLevel="0" collapsed="false">
      <c r="A441" s="21" t="n">
        <v>46084</v>
      </c>
      <c r="B441" s="22" t="s">
        <v>188</v>
      </c>
      <c r="C441" s="22" t="n">
        <v>1</v>
      </c>
      <c r="D441" s="41" t="n">
        <v>1950.2</v>
      </c>
      <c r="E441" s="22" t="n">
        <f aca="false">MONTH(A441)</f>
        <v>3</v>
      </c>
    </row>
    <row r="442" customFormat="false" ht="15" hidden="false" customHeight="false" outlineLevel="0" collapsed="false">
      <c r="A442" s="21" t="n">
        <v>46084</v>
      </c>
      <c r="B442" s="22" t="s">
        <v>375</v>
      </c>
      <c r="C442" s="22" t="n">
        <v>1</v>
      </c>
      <c r="D442" s="41" t="n">
        <v>4091.033</v>
      </c>
      <c r="E442" s="22" t="n">
        <f aca="false">MONTH(A442)</f>
        <v>3</v>
      </c>
    </row>
    <row r="443" customFormat="false" ht="15" hidden="false" customHeight="false" outlineLevel="0" collapsed="false">
      <c r="A443" s="21" t="n">
        <v>46084</v>
      </c>
      <c r="B443" s="22" t="s">
        <v>187</v>
      </c>
      <c r="C443" s="22" t="n">
        <v>1</v>
      </c>
      <c r="D443" s="41" t="n">
        <v>2169.167</v>
      </c>
      <c r="E443" s="22" t="n">
        <f aca="false">MONTH(A443)</f>
        <v>3</v>
      </c>
    </row>
    <row r="444" customFormat="false" ht="15" hidden="false" customHeight="false" outlineLevel="0" collapsed="false">
      <c r="A444" s="21" t="n">
        <v>46084</v>
      </c>
      <c r="B444" s="22" t="s">
        <v>187</v>
      </c>
      <c r="C444" s="22" t="n">
        <v>2</v>
      </c>
      <c r="D444" s="41" t="n">
        <v>2353.559</v>
      </c>
      <c r="E444" s="22" t="n">
        <f aca="false">MONTH(A444)</f>
        <v>3</v>
      </c>
    </row>
    <row r="445" customFormat="false" ht="15" hidden="false" customHeight="false" outlineLevel="0" collapsed="false">
      <c r="A445" s="21" t="n">
        <v>46084</v>
      </c>
      <c r="B445" s="22" t="s">
        <v>189</v>
      </c>
      <c r="C445" s="22" t="n">
        <v>1</v>
      </c>
      <c r="D445" s="41" t="n">
        <v>13856.85</v>
      </c>
      <c r="E445" s="22" t="n">
        <f aca="false">MONTH(A445)</f>
        <v>3</v>
      </c>
    </row>
    <row r="446" customFormat="false" ht="15" hidden="false" customHeight="false" outlineLevel="0" collapsed="false">
      <c r="A446" s="21" t="n">
        <v>46084</v>
      </c>
      <c r="B446" s="22" t="s">
        <v>189</v>
      </c>
      <c r="C446" s="22" t="n">
        <v>2</v>
      </c>
      <c r="D446" s="41" t="n">
        <v>17374.725</v>
      </c>
      <c r="E446" s="22" t="n">
        <f aca="false">MONTH(A446)</f>
        <v>3</v>
      </c>
    </row>
    <row r="447" customFormat="false" ht="15" hidden="false" customHeight="false" outlineLevel="0" collapsed="false">
      <c r="A447" s="21" t="n">
        <v>46085</v>
      </c>
      <c r="B447" s="22" t="s">
        <v>361</v>
      </c>
      <c r="C447" s="22" t="n">
        <v>2</v>
      </c>
      <c r="D447" s="41" t="n">
        <v>23457.28</v>
      </c>
      <c r="E447" s="22" t="n">
        <f aca="false">MONTH(A447)</f>
        <v>3</v>
      </c>
    </row>
    <row r="448" customFormat="false" ht="15" hidden="false" customHeight="false" outlineLevel="0" collapsed="false">
      <c r="A448" s="21" t="n">
        <v>46085</v>
      </c>
      <c r="B448" s="22" t="s">
        <v>362</v>
      </c>
      <c r="C448" s="22" t="n">
        <v>1</v>
      </c>
      <c r="D448" s="41" t="n">
        <v>5851.374</v>
      </c>
      <c r="E448" s="22" t="n">
        <f aca="false">MONTH(A448)</f>
        <v>3</v>
      </c>
    </row>
    <row r="449" customFormat="false" ht="15" hidden="false" customHeight="false" outlineLevel="0" collapsed="false">
      <c r="A449" s="21" t="n">
        <v>46085</v>
      </c>
      <c r="B449" s="22" t="s">
        <v>186</v>
      </c>
      <c r="C449" s="22" t="n">
        <v>1</v>
      </c>
      <c r="D449" s="41" t="n">
        <v>6618.031</v>
      </c>
      <c r="E449" s="22" t="n">
        <f aca="false">MONTH(A449)</f>
        <v>3</v>
      </c>
    </row>
    <row r="450" customFormat="false" ht="15" hidden="false" customHeight="false" outlineLevel="0" collapsed="false">
      <c r="A450" s="21" t="n">
        <v>46085</v>
      </c>
      <c r="B450" s="22" t="s">
        <v>186</v>
      </c>
      <c r="C450" s="22" t="n">
        <v>2</v>
      </c>
      <c r="D450" s="41" t="n">
        <v>8174.645</v>
      </c>
      <c r="E450" s="22" t="n">
        <f aca="false">MONTH(A450)</f>
        <v>3</v>
      </c>
    </row>
    <row r="451" customFormat="false" ht="15" hidden="false" customHeight="false" outlineLevel="0" collapsed="false">
      <c r="A451" s="21" t="n">
        <v>46085</v>
      </c>
      <c r="B451" s="22" t="s">
        <v>188</v>
      </c>
      <c r="C451" s="22" t="n">
        <v>1</v>
      </c>
      <c r="D451" s="41" t="n">
        <v>2410.8</v>
      </c>
      <c r="E451" s="22" t="n">
        <f aca="false">MONTH(A451)</f>
        <v>3</v>
      </c>
    </row>
    <row r="452" customFormat="false" ht="15" hidden="false" customHeight="false" outlineLevel="0" collapsed="false">
      <c r="A452" s="21" t="n">
        <v>46085</v>
      </c>
      <c r="B452" s="22" t="s">
        <v>375</v>
      </c>
      <c r="C452" s="22" t="n">
        <v>1</v>
      </c>
      <c r="D452" s="41" t="n">
        <v>12419.581</v>
      </c>
      <c r="E452" s="22" t="n">
        <f aca="false">MONTH(A452)</f>
        <v>3</v>
      </c>
    </row>
    <row r="453" customFormat="false" ht="15" hidden="false" customHeight="false" outlineLevel="0" collapsed="false">
      <c r="A453" s="21" t="n">
        <v>46085</v>
      </c>
      <c r="B453" s="22" t="s">
        <v>187</v>
      </c>
      <c r="C453" s="22" t="n">
        <v>1</v>
      </c>
      <c r="D453" s="41" t="n">
        <v>2146.118</v>
      </c>
      <c r="E453" s="22" t="n">
        <f aca="false">MONTH(A453)</f>
        <v>3</v>
      </c>
    </row>
    <row r="454" customFormat="false" ht="15" hidden="false" customHeight="false" outlineLevel="0" collapsed="false">
      <c r="A454" s="21" t="n">
        <v>46085</v>
      </c>
      <c r="B454" s="22" t="s">
        <v>187</v>
      </c>
      <c r="C454" s="22" t="n">
        <v>2</v>
      </c>
      <c r="D454" s="41" t="n">
        <v>2156.362</v>
      </c>
      <c r="E454" s="22" t="n">
        <f aca="false">MONTH(A454)</f>
        <v>3</v>
      </c>
    </row>
    <row r="455" customFormat="false" ht="15" hidden="false" customHeight="false" outlineLevel="0" collapsed="false">
      <c r="A455" s="21" t="n">
        <v>46085</v>
      </c>
      <c r="B455" s="22" t="s">
        <v>189</v>
      </c>
      <c r="C455" s="22" t="n">
        <v>1</v>
      </c>
      <c r="D455" s="41" t="n">
        <v>11140.954</v>
      </c>
      <c r="E455" s="22" t="n">
        <f aca="false">MONTH(A455)</f>
        <v>3</v>
      </c>
    </row>
    <row r="456" customFormat="false" ht="15" hidden="false" customHeight="false" outlineLevel="0" collapsed="false">
      <c r="A456" s="21" t="n">
        <v>46085</v>
      </c>
      <c r="B456" s="22" t="s">
        <v>189</v>
      </c>
      <c r="C456" s="22" t="n">
        <v>2</v>
      </c>
      <c r="D456" s="41" t="n">
        <v>6978.093</v>
      </c>
      <c r="E456" s="22" t="n">
        <f aca="false">MONTH(A456)</f>
        <v>3</v>
      </c>
    </row>
    <row r="457" customFormat="false" ht="15" hidden="false" customHeight="false" outlineLevel="0" collapsed="false">
      <c r="A457" s="21" t="n">
        <v>46086</v>
      </c>
      <c r="B457" s="22" t="s">
        <v>361</v>
      </c>
      <c r="C457" s="22" t="n">
        <v>2</v>
      </c>
      <c r="D457" s="41" t="n">
        <v>24723.44</v>
      </c>
      <c r="E457" s="22" t="n">
        <f aca="false">MONTH(A457)</f>
        <v>3</v>
      </c>
    </row>
    <row r="458" customFormat="false" ht="15" hidden="false" customHeight="false" outlineLevel="0" collapsed="false">
      <c r="A458" s="21" t="n">
        <v>46086</v>
      </c>
      <c r="B458" s="22" t="s">
        <v>362</v>
      </c>
      <c r="C458" s="22" t="n">
        <v>1</v>
      </c>
      <c r="D458" s="41" t="n">
        <v>3921.435</v>
      </c>
      <c r="E458" s="22" t="n">
        <f aca="false">MONTH(A458)</f>
        <v>3</v>
      </c>
    </row>
    <row r="459" customFormat="false" ht="15" hidden="false" customHeight="false" outlineLevel="0" collapsed="false">
      <c r="A459" s="21" t="n">
        <v>46086</v>
      </c>
      <c r="B459" s="22" t="s">
        <v>186</v>
      </c>
      <c r="C459" s="22" t="n">
        <v>1</v>
      </c>
      <c r="D459" s="41" t="n">
        <v>4428.18</v>
      </c>
      <c r="E459" s="22" t="n">
        <f aca="false">MONTH(A459)</f>
        <v>3</v>
      </c>
    </row>
    <row r="460" customFormat="false" ht="15" hidden="false" customHeight="false" outlineLevel="0" collapsed="false">
      <c r="A460" s="21" t="n">
        <v>46086</v>
      </c>
      <c r="B460" s="22" t="s">
        <v>186</v>
      </c>
      <c r="C460" s="22" t="n">
        <v>2</v>
      </c>
      <c r="D460" s="41" t="n">
        <v>5169.216</v>
      </c>
      <c r="E460" s="22" t="n">
        <f aca="false">MONTH(A460)</f>
        <v>3</v>
      </c>
    </row>
    <row r="461" customFormat="false" ht="15" hidden="false" customHeight="false" outlineLevel="0" collapsed="false">
      <c r="A461" s="21" t="n">
        <v>46086</v>
      </c>
      <c r="B461" s="22" t="s">
        <v>188</v>
      </c>
      <c r="C461" s="22" t="n">
        <v>1</v>
      </c>
      <c r="D461" s="41" t="n">
        <v>2401</v>
      </c>
      <c r="E461" s="22" t="n">
        <f aca="false">MONTH(A461)</f>
        <v>3</v>
      </c>
    </row>
    <row r="462" customFormat="false" ht="15" hidden="false" customHeight="false" outlineLevel="0" collapsed="false">
      <c r="A462" s="21" t="n">
        <v>46086</v>
      </c>
      <c r="B462" s="22" t="s">
        <v>375</v>
      </c>
      <c r="C462" s="22" t="n">
        <v>1</v>
      </c>
      <c r="D462" s="41" t="n">
        <v>11634.856</v>
      </c>
      <c r="E462" s="22" t="n">
        <f aca="false">MONTH(A462)</f>
        <v>3</v>
      </c>
    </row>
    <row r="463" customFormat="false" ht="15" hidden="false" customHeight="false" outlineLevel="0" collapsed="false">
      <c r="A463" s="21" t="n">
        <v>46086</v>
      </c>
      <c r="B463" s="22" t="s">
        <v>187</v>
      </c>
      <c r="C463" s="22" t="n">
        <v>1</v>
      </c>
      <c r="D463" s="41" t="n">
        <v>2007.824</v>
      </c>
      <c r="E463" s="22" t="n">
        <f aca="false">MONTH(A463)</f>
        <v>3</v>
      </c>
    </row>
    <row r="464" customFormat="false" ht="15" hidden="false" customHeight="false" outlineLevel="0" collapsed="false">
      <c r="A464" s="21" t="n">
        <v>46086</v>
      </c>
      <c r="B464" s="22" t="s">
        <v>187</v>
      </c>
      <c r="C464" s="22" t="n">
        <v>2</v>
      </c>
      <c r="D464" s="41" t="n">
        <v>2391.974</v>
      </c>
      <c r="E464" s="22" t="n">
        <f aca="false">MONTH(A464)</f>
        <v>3</v>
      </c>
    </row>
    <row r="465" customFormat="false" ht="15" hidden="false" customHeight="false" outlineLevel="0" collapsed="false">
      <c r="A465" s="21" t="n">
        <v>46086</v>
      </c>
      <c r="B465" s="22" t="s">
        <v>189</v>
      </c>
      <c r="C465" s="22" t="n">
        <v>1</v>
      </c>
      <c r="D465" s="41" t="n">
        <v>8455.958</v>
      </c>
      <c r="E465" s="22" t="n">
        <f aca="false">MONTH(A465)</f>
        <v>3</v>
      </c>
    </row>
    <row r="466" customFormat="false" ht="15" hidden="false" customHeight="false" outlineLevel="0" collapsed="false">
      <c r="A466" s="21" t="n">
        <v>46086</v>
      </c>
      <c r="B466" s="22" t="s">
        <v>189</v>
      </c>
      <c r="C466" s="22" t="n">
        <v>2</v>
      </c>
      <c r="D466" s="41" t="n">
        <v>7531.788</v>
      </c>
      <c r="E466" s="22" t="n">
        <f aca="false">MONTH(A466)</f>
        <v>3</v>
      </c>
    </row>
    <row r="467" customFormat="false" ht="15" hidden="false" customHeight="false" outlineLevel="0" collapsed="false">
      <c r="A467" s="21" t="n">
        <v>46087</v>
      </c>
      <c r="B467" s="22" t="s">
        <v>361</v>
      </c>
      <c r="C467" s="22" t="n">
        <v>2</v>
      </c>
      <c r="D467" s="41" t="n">
        <v>31803.94</v>
      </c>
      <c r="E467" s="22" t="n">
        <f aca="false">MONTH(A467)</f>
        <v>3</v>
      </c>
    </row>
    <row r="468" customFormat="false" ht="15" hidden="false" customHeight="false" outlineLevel="0" collapsed="false">
      <c r="A468" s="21" t="n">
        <v>46087</v>
      </c>
      <c r="B468" s="22" t="s">
        <v>362</v>
      </c>
      <c r="C468" s="22" t="n">
        <v>1</v>
      </c>
      <c r="D468" s="41" t="n">
        <v>5965.785</v>
      </c>
      <c r="E468" s="22" t="n">
        <f aca="false">MONTH(A468)</f>
        <v>3</v>
      </c>
    </row>
    <row r="469" customFormat="false" ht="15" hidden="false" customHeight="false" outlineLevel="0" collapsed="false">
      <c r="A469" s="21" t="n">
        <v>46087</v>
      </c>
      <c r="B469" s="22" t="s">
        <v>186</v>
      </c>
      <c r="C469" s="22" t="n">
        <v>1</v>
      </c>
      <c r="D469" s="41" t="n">
        <v>8915.712</v>
      </c>
      <c r="E469" s="22" t="n">
        <f aca="false">MONTH(A469)</f>
        <v>3</v>
      </c>
    </row>
    <row r="470" customFormat="false" ht="15" hidden="false" customHeight="false" outlineLevel="0" collapsed="false">
      <c r="A470" s="21" t="n">
        <v>46087</v>
      </c>
      <c r="B470" s="22" t="s">
        <v>186</v>
      </c>
      <c r="C470" s="22" t="n">
        <v>2</v>
      </c>
      <c r="D470" s="41" t="n">
        <v>7753.824</v>
      </c>
      <c r="E470" s="22" t="n">
        <f aca="false">MONTH(A470)</f>
        <v>3</v>
      </c>
    </row>
    <row r="471" customFormat="false" ht="15" hidden="false" customHeight="false" outlineLevel="0" collapsed="false">
      <c r="A471" s="21" t="n">
        <v>46087</v>
      </c>
      <c r="B471" s="22" t="s">
        <v>188</v>
      </c>
      <c r="C471" s="22" t="n">
        <v>1</v>
      </c>
      <c r="D471" s="41" t="n">
        <v>1372</v>
      </c>
      <c r="E471" s="22" t="n">
        <f aca="false">MONTH(A471)</f>
        <v>3</v>
      </c>
    </row>
    <row r="472" customFormat="false" ht="15" hidden="false" customHeight="false" outlineLevel="0" collapsed="false">
      <c r="A472" s="21" t="n">
        <v>46087</v>
      </c>
      <c r="B472" s="22" t="s">
        <v>375</v>
      </c>
      <c r="C472" s="22" t="n">
        <v>1</v>
      </c>
      <c r="D472" s="41" t="n">
        <v>9081.884</v>
      </c>
      <c r="E472" s="22" t="n">
        <f aca="false">MONTH(A472)</f>
        <v>3</v>
      </c>
    </row>
    <row r="473" customFormat="false" ht="15" hidden="false" customHeight="false" outlineLevel="0" collapsed="false">
      <c r="A473" s="21" t="n">
        <v>46087</v>
      </c>
      <c r="B473" s="22" t="s">
        <v>187</v>
      </c>
      <c r="C473" s="22" t="n">
        <v>1</v>
      </c>
      <c r="D473" s="41" t="n">
        <v>2179.411</v>
      </c>
      <c r="E473" s="22" t="n">
        <f aca="false">MONTH(A473)</f>
        <v>3</v>
      </c>
    </row>
    <row r="474" customFormat="false" ht="15" hidden="false" customHeight="false" outlineLevel="0" collapsed="false">
      <c r="A474" s="21" t="n">
        <v>46087</v>
      </c>
      <c r="B474" s="22" t="s">
        <v>187</v>
      </c>
      <c r="C474" s="22" t="n">
        <v>2</v>
      </c>
      <c r="D474" s="41" t="n">
        <v>2432.298</v>
      </c>
      <c r="E474" s="22" t="n">
        <f aca="false">MONTH(A474)</f>
        <v>3</v>
      </c>
    </row>
    <row r="475" customFormat="false" ht="15" hidden="false" customHeight="false" outlineLevel="0" collapsed="false">
      <c r="A475" s="21" t="n">
        <v>46087</v>
      </c>
      <c r="B475" s="22" t="s">
        <v>189</v>
      </c>
      <c r="C475" s="22" t="n">
        <v>1</v>
      </c>
      <c r="D475" s="41" t="n">
        <v>9287.648</v>
      </c>
      <c r="E475" s="22" t="n">
        <f aca="false">MONTH(A475)</f>
        <v>3</v>
      </c>
    </row>
    <row r="476" customFormat="false" ht="15" hidden="false" customHeight="false" outlineLevel="0" collapsed="false">
      <c r="A476" s="21" t="n">
        <v>46087</v>
      </c>
      <c r="B476" s="22" t="s">
        <v>189</v>
      </c>
      <c r="C476" s="22" t="n">
        <v>2</v>
      </c>
      <c r="D476" s="41" t="n">
        <v>8834.592</v>
      </c>
      <c r="E476" s="22" t="n">
        <f aca="false">MONTH(A476)</f>
        <v>3</v>
      </c>
    </row>
    <row r="477" customFormat="false" ht="15" hidden="false" customHeight="false" outlineLevel="0" collapsed="false">
      <c r="A477" s="21" t="n">
        <v>46088</v>
      </c>
      <c r="B477" s="22" t="s">
        <v>361</v>
      </c>
      <c r="C477" s="22" t="n">
        <v>2</v>
      </c>
      <c r="D477" s="41" t="n">
        <v>25423.16</v>
      </c>
      <c r="E477" s="22" t="n">
        <f aca="false">MONTH(A477)</f>
        <v>3</v>
      </c>
    </row>
    <row r="478" customFormat="false" ht="15" hidden="false" customHeight="false" outlineLevel="0" collapsed="false">
      <c r="A478" s="21" t="n">
        <v>46088</v>
      </c>
      <c r="B478" s="22" t="s">
        <v>362</v>
      </c>
      <c r="C478" s="22" t="n">
        <v>1</v>
      </c>
      <c r="D478" s="41" t="n">
        <v>5319.6</v>
      </c>
      <c r="E478" s="22" t="n">
        <f aca="false">MONTH(A478)</f>
        <v>3</v>
      </c>
    </row>
    <row r="479" customFormat="false" ht="15" hidden="false" customHeight="false" outlineLevel="0" collapsed="false">
      <c r="A479" s="21" t="n">
        <v>46088</v>
      </c>
      <c r="B479" s="22" t="s">
        <v>186</v>
      </c>
      <c r="C479" s="22" t="n">
        <v>1</v>
      </c>
      <c r="D479" s="41" t="n">
        <v>8133.216</v>
      </c>
      <c r="E479" s="22" t="n">
        <f aca="false">MONTH(A479)</f>
        <v>3</v>
      </c>
    </row>
    <row r="480" customFormat="false" ht="15" hidden="false" customHeight="false" outlineLevel="0" collapsed="false">
      <c r="A480" s="21" t="n">
        <v>46088</v>
      </c>
      <c r="B480" s="22" t="s">
        <v>186</v>
      </c>
      <c r="C480" s="22" t="n">
        <v>2</v>
      </c>
      <c r="D480" s="41" t="n">
        <v>6769.776</v>
      </c>
      <c r="E480" s="22" t="n">
        <f aca="false">MONTH(A480)</f>
        <v>3</v>
      </c>
    </row>
    <row r="481" customFormat="false" ht="15" hidden="false" customHeight="false" outlineLevel="0" collapsed="false">
      <c r="A481" s="21" t="n">
        <v>46088</v>
      </c>
      <c r="B481" s="22" t="s">
        <v>188</v>
      </c>
      <c r="C481" s="22" t="n">
        <v>1</v>
      </c>
      <c r="D481" s="41" t="n">
        <v>2156</v>
      </c>
      <c r="E481" s="22" t="n">
        <f aca="false">MONTH(A481)</f>
        <v>3</v>
      </c>
    </row>
    <row r="482" customFormat="false" ht="15" hidden="false" customHeight="false" outlineLevel="0" collapsed="false">
      <c r="A482" s="21" t="n">
        <v>46088</v>
      </c>
      <c r="B482" s="22" t="s">
        <v>375</v>
      </c>
      <c r="C482" s="22" t="n">
        <v>1</v>
      </c>
      <c r="D482" s="41" t="n">
        <v>9364.385</v>
      </c>
      <c r="E482" s="22" t="n">
        <f aca="false">MONTH(A482)</f>
        <v>3</v>
      </c>
    </row>
    <row r="483" customFormat="false" ht="15" hidden="false" customHeight="false" outlineLevel="0" collapsed="false">
      <c r="A483" s="21" t="n">
        <v>46088</v>
      </c>
      <c r="B483" s="22" t="s">
        <v>187</v>
      </c>
      <c r="C483" s="22" t="n">
        <v>1</v>
      </c>
      <c r="D483" s="41" t="n">
        <v>2115.036</v>
      </c>
      <c r="E483" s="22" t="n">
        <f aca="false">MONTH(A483)</f>
        <v>3</v>
      </c>
    </row>
    <row r="484" customFormat="false" ht="15" hidden="false" customHeight="false" outlineLevel="0" collapsed="false">
      <c r="A484" s="21" t="n">
        <v>46088</v>
      </c>
      <c r="B484" s="22" t="s">
        <v>187</v>
      </c>
      <c r="C484" s="22" t="n">
        <v>2</v>
      </c>
      <c r="D484" s="41" t="n">
        <v>1348.984</v>
      </c>
      <c r="E484" s="22" t="n">
        <f aca="false">MONTH(A484)</f>
        <v>3</v>
      </c>
    </row>
    <row r="485" customFormat="false" ht="15" hidden="false" customHeight="false" outlineLevel="0" collapsed="false">
      <c r="A485" s="21" t="n">
        <v>46088</v>
      </c>
      <c r="B485" s="22" t="s">
        <v>189</v>
      </c>
      <c r="C485" s="22" t="n">
        <v>1</v>
      </c>
      <c r="D485" s="41" t="n">
        <v>6102.098</v>
      </c>
      <c r="E485" s="22" t="n">
        <f aca="false">MONTH(A485)</f>
        <v>3</v>
      </c>
    </row>
    <row r="486" customFormat="false" ht="15" hidden="false" customHeight="false" outlineLevel="0" collapsed="false">
      <c r="A486" s="21" t="n">
        <v>46088</v>
      </c>
      <c r="B486" s="22" t="s">
        <v>189</v>
      </c>
      <c r="C486" s="22" t="n">
        <v>2</v>
      </c>
      <c r="D486" s="41" t="n">
        <v>6795.84</v>
      </c>
      <c r="E486" s="22" t="n">
        <f aca="false">MONTH(A486)</f>
        <v>3</v>
      </c>
    </row>
    <row r="487" customFormat="false" ht="15" hidden="false" customHeight="false" outlineLevel="0" collapsed="false">
      <c r="A487" s="21" t="n">
        <v>46090</v>
      </c>
      <c r="B487" s="22" t="s">
        <v>362</v>
      </c>
      <c r="C487" s="22" t="n">
        <v>1</v>
      </c>
      <c r="D487" s="41" t="n">
        <v>6658.8</v>
      </c>
      <c r="E487" s="22" t="n">
        <f aca="false">MONTH(A487)</f>
        <v>3</v>
      </c>
    </row>
    <row r="488" customFormat="false" ht="15" hidden="false" customHeight="false" outlineLevel="0" collapsed="false">
      <c r="A488" s="21" t="n">
        <v>46090</v>
      </c>
      <c r="B488" s="22" t="s">
        <v>186</v>
      </c>
      <c r="C488" s="22" t="n">
        <v>1</v>
      </c>
      <c r="D488" s="41" t="n">
        <v>9022.416</v>
      </c>
      <c r="E488" s="22" t="n">
        <f aca="false">MONTH(A488)</f>
        <v>3</v>
      </c>
    </row>
    <row r="489" customFormat="false" ht="15" hidden="false" customHeight="false" outlineLevel="0" collapsed="false">
      <c r="A489" s="21" t="n">
        <v>46090</v>
      </c>
      <c r="B489" s="22" t="s">
        <v>186</v>
      </c>
      <c r="C489" s="22" t="n">
        <v>2</v>
      </c>
      <c r="D489" s="41" t="n">
        <v>3627.936</v>
      </c>
      <c r="E489" s="22" t="n">
        <f aca="false">MONTH(A489)</f>
        <v>3</v>
      </c>
    </row>
    <row r="490" customFormat="false" ht="15" hidden="false" customHeight="false" outlineLevel="0" collapsed="false">
      <c r="A490" s="21" t="n">
        <v>46090</v>
      </c>
      <c r="B490" s="22" t="s">
        <v>188</v>
      </c>
      <c r="C490" s="22" t="n">
        <v>1</v>
      </c>
      <c r="D490" s="41" t="n">
        <v>1754.2</v>
      </c>
      <c r="E490" s="22" t="n">
        <f aca="false">MONTH(A490)</f>
        <v>3</v>
      </c>
    </row>
    <row r="491" customFormat="false" ht="15" hidden="false" customHeight="false" outlineLevel="0" collapsed="false">
      <c r="A491" s="21" t="n">
        <v>46090</v>
      </c>
      <c r="B491" s="22" t="s">
        <v>188</v>
      </c>
      <c r="C491" s="22" t="n">
        <v>2</v>
      </c>
      <c r="D491" s="41" t="n">
        <v>666.4</v>
      </c>
      <c r="E491" s="22" t="n">
        <f aca="false">MONTH(A491)</f>
        <v>3</v>
      </c>
    </row>
    <row r="492" customFormat="false" ht="15" hidden="false" customHeight="false" outlineLevel="0" collapsed="false">
      <c r="A492" s="21" t="n">
        <v>46090</v>
      </c>
      <c r="B492" s="22" t="s">
        <v>374</v>
      </c>
      <c r="C492" s="22" t="n">
        <v>1</v>
      </c>
      <c r="D492" s="41" t="n">
        <v>650.64</v>
      </c>
      <c r="E492" s="22" t="n">
        <f aca="false">MONTH(A492)</f>
        <v>3</v>
      </c>
    </row>
    <row r="493" customFormat="false" ht="15" hidden="false" customHeight="false" outlineLevel="0" collapsed="false">
      <c r="A493" s="21" t="n">
        <v>46090</v>
      </c>
      <c r="B493" s="22" t="s">
        <v>375</v>
      </c>
      <c r="C493" s="22" t="n">
        <v>1</v>
      </c>
      <c r="D493" s="41" t="n">
        <v>12534.674</v>
      </c>
      <c r="E493" s="22" t="n">
        <f aca="false">MONTH(A493)</f>
        <v>3</v>
      </c>
    </row>
    <row r="494" customFormat="false" ht="15" hidden="false" customHeight="false" outlineLevel="0" collapsed="false">
      <c r="A494" s="21" t="n">
        <v>46090</v>
      </c>
      <c r="B494" s="22" t="s">
        <v>187</v>
      </c>
      <c r="C494" s="22" t="n">
        <v>1</v>
      </c>
      <c r="D494" s="41" t="n">
        <v>2302.339</v>
      </c>
      <c r="E494" s="22" t="n">
        <f aca="false">MONTH(A494)</f>
        <v>3</v>
      </c>
    </row>
    <row r="495" customFormat="false" ht="15" hidden="false" customHeight="false" outlineLevel="0" collapsed="false">
      <c r="A495" s="21" t="n">
        <v>46090</v>
      </c>
      <c r="B495" s="22" t="s">
        <v>187</v>
      </c>
      <c r="C495" s="22" t="n">
        <v>2</v>
      </c>
      <c r="D495" s="41" t="n">
        <v>2420.145</v>
      </c>
      <c r="E495" s="22" t="n">
        <f aca="false">MONTH(A495)</f>
        <v>3</v>
      </c>
    </row>
    <row r="496" customFormat="false" ht="15" hidden="false" customHeight="false" outlineLevel="0" collapsed="false">
      <c r="A496" s="21" t="n">
        <v>46090</v>
      </c>
      <c r="B496" s="22" t="s">
        <v>189</v>
      </c>
      <c r="C496" s="22" t="n">
        <v>1</v>
      </c>
      <c r="D496" s="41" t="n">
        <v>8919.54</v>
      </c>
      <c r="E496" s="22" t="n">
        <f aca="false">MONTH(A496)</f>
        <v>3</v>
      </c>
    </row>
    <row r="497" customFormat="false" ht="15" hidden="false" customHeight="false" outlineLevel="0" collapsed="false">
      <c r="A497" s="21" t="n">
        <v>46090</v>
      </c>
      <c r="B497" s="22" t="s">
        <v>359</v>
      </c>
      <c r="C497" s="22" t="n">
        <v>1</v>
      </c>
      <c r="D497" s="41" t="n">
        <v>1256.877</v>
      </c>
      <c r="E497" s="22" t="n">
        <f aca="false">MONTH(A497)</f>
        <v>3</v>
      </c>
    </row>
    <row r="498" customFormat="false" ht="15" hidden="false" customHeight="false" outlineLevel="0" collapsed="false">
      <c r="A498" s="21" t="n">
        <v>46091</v>
      </c>
      <c r="B498" s="22" t="s">
        <v>362</v>
      </c>
      <c r="C498" s="22" t="n">
        <v>1</v>
      </c>
      <c r="D498" s="41" t="n">
        <v>6286.8</v>
      </c>
      <c r="E498" s="22" t="n">
        <f aca="false">MONTH(A498)</f>
        <v>3</v>
      </c>
    </row>
    <row r="499" customFormat="false" ht="15" hidden="false" customHeight="false" outlineLevel="0" collapsed="false">
      <c r="A499" s="21" t="n">
        <v>46091</v>
      </c>
      <c r="B499" s="22" t="s">
        <v>186</v>
      </c>
      <c r="C499" s="22" t="n">
        <v>1</v>
      </c>
      <c r="D499" s="41" t="n">
        <v>6220.395</v>
      </c>
      <c r="E499" s="22" t="n">
        <f aca="false">MONTH(A499)</f>
        <v>3</v>
      </c>
    </row>
    <row r="500" customFormat="false" ht="15" hidden="false" customHeight="false" outlineLevel="0" collapsed="false">
      <c r="A500" s="21" t="n">
        <v>46091</v>
      </c>
      <c r="B500" s="22" t="s">
        <v>186</v>
      </c>
      <c r="C500" s="22" t="n">
        <v>2</v>
      </c>
      <c r="D500" s="41" t="n">
        <v>6988.345</v>
      </c>
      <c r="E500" s="22" t="n">
        <f aca="false">MONTH(A500)</f>
        <v>3</v>
      </c>
    </row>
    <row r="501" customFormat="false" ht="15" hidden="false" customHeight="false" outlineLevel="0" collapsed="false">
      <c r="A501" s="21" t="n">
        <v>46091</v>
      </c>
      <c r="B501" s="22" t="s">
        <v>188</v>
      </c>
      <c r="C501" s="22" t="n">
        <v>1</v>
      </c>
      <c r="D501" s="41" t="n">
        <v>2479.4</v>
      </c>
      <c r="E501" s="22" t="n">
        <f aca="false">MONTH(A501)</f>
        <v>3</v>
      </c>
    </row>
    <row r="502" customFormat="false" ht="15" hidden="false" customHeight="false" outlineLevel="0" collapsed="false">
      <c r="A502" s="21" t="n">
        <v>46091</v>
      </c>
      <c r="B502" s="22" t="s">
        <v>188</v>
      </c>
      <c r="C502" s="22" t="n">
        <v>2</v>
      </c>
      <c r="D502" s="41" t="n">
        <v>666.4</v>
      </c>
      <c r="E502" s="22" t="n">
        <f aca="false">MONTH(A502)</f>
        <v>3</v>
      </c>
    </row>
    <row r="503" customFormat="false" ht="15" hidden="false" customHeight="false" outlineLevel="0" collapsed="false">
      <c r="A503" s="21" t="n">
        <v>46091</v>
      </c>
      <c r="B503" s="22" t="s">
        <v>374</v>
      </c>
      <c r="C503" s="22" t="n">
        <v>1</v>
      </c>
      <c r="D503" s="41" t="n">
        <v>4619.544</v>
      </c>
      <c r="E503" s="22" t="n">
        <f aca="false">MONTH(A503)</f>
        <v>3</v>
      </c>
    </row>
    <row r="504" customFormat="false" ht="15" hidden="false" customHeight="false" outlineLevel="0" collapsed="false">
      <c r="A504" s="21" t="n">
        <v>46091</v>
      </c>
      <c r="B504" s="22" t="s">
        <v>375</v>
      </c>
      <c r="C504" s="22" t="n">
        <v>1</v>
      </c>
      <c r="D504" s="41" t="n">
        <v>13999.494</v>
      </c>
      <c r="E504" s="22" t="n">
        <f aca="false">MONTH(A504)</f>
        <v>3</v>
      </c>
    </row>
    <row r="505" customFormat="false" ht="15" hidden="false" customHeight="false" outlineLevel="0" collapsed="false">
      <c r="A505" s="21" t="n">
        <v>46091</v>
      </c>
      <c r="B505" s="22" t="s">
        <v>187</v>
      </c>
      <c r="C505" s="22" t="n">
        <v>1</v>
      </c>
      <c r="D505" s="41" t="n">
        <v>2094.898</v>
      </c>
      <c r="E505" s="22" t="n">
        <f aca="false">MONTH(A505)</f>
        <v>3</v>
      </c>
    </row>
    <row r="506" customFormat="false" ht="15" hidden="false" customHeight="false" outlineLevel="0" collapsed="false">
      <c r="A506" s="21" t="n">
        <v>46091</v>
      </c>
      <c r="B506" s="22" t="s">
        <v>187</v>
      </c>
      <c r="C506" s="22" t="n">
        <v>2</v>
      </c>
      <c r="D506" s="41" t="n">
        <v>2312.583</v>
      </c>
      <c r="E506" s="22" t="n">
        <f aca="false">MONTH(A506)</f>
        <v>3</v>
      </c>
    </row>
    <row r="507" customFormat="false" ht="15" hidden="false" customHeight="false" outlineLevel="0" collapsed="false">
      <c r="A507" s="21" t="n">
        <v>46091</v>
      </c>
      <c r="B507" s="22" t="s">
        <v>359</v>
      </c>
      <c r="C507" s="22" t="n">
        <v>1</v>
      </c>
      <c r="D507" s="41" t="n">
        <v>3990.762</v>
      </c>
      <c r="E507" s="22" t="n">
        <f aca="false">MONTH(A507)</f>
        <v>3</v>
      </c>
    </row>
    <row r="508" customFormat="false" ht="15" hidden="false" customHeight="false" outlineLevel="0" collapsed="false">
      <c r="A508" s="21" t="n">
        <v>46092</v>
      </c>
      <c r="B508" s="22" t="s">
        <v>362</v>
      </c>
      <c r="C508" s="22" t="n">
        <v>1</v>
      </c>
      <c r="D508" s="41" t="n">
        <v>5440.41</v>
      </c>
      <c r="E508" s="22" t="n">
        <f aca="false">MONTH(A508)</f>
        <v>3</v>
      </c>
    </row>
    <row r="509" customFormat="false" ht="15" hidden="false" customHeight="false" outlineLevel="0" collapsed="false">
      <c r="A509" s="21" t="n">
        <v>46092</v>
      </c>
      <c r="B509" s="22" t="s">
        <v>186</v>
      </c>
      <c r="C509" s="22" t="n">
        <v>1</v>
      </c>
      <c r="D509" s="41" t="n">
        <v>7141.935</v>
      </c>
      <c r="E509" s="22" t="n">
        <f aca="false">MONTH(A509)</f>
        <v>3</v>
      </c>
    </row>
    <row r="510" customFormat="false" ht="15" hidden="false" customHeight="false" outlineLevel="0" collapsed="false">
      <c r="A510" s="21" t="n">
        <v>46092</v>
      </c>
      <c r="B510" s="22" t="s">
        <v>186</v>
      </c>
      <c r="C510" s="22" t="n">
        <v>2</v>
      </c>
      <c r="D510" s="41" t="n">
        <v>6112.882</v>
      </c>
      <c r="E510" s="22" t="n">
        <f aca="false">MONTH(A510)</f>
        <v>3</v>
      </c>
    </row>
    <row r="511" customFormat="false" ht="15" hidden="false" customHeight="false" outlineLevel="0" collapsed="false">
      <c r="A511" s="21" t="n">
        <v>46092</v>
      </c>
      <c r="B511" s="22" t="s">
        <v>188</v>
      </c>
      <c r="C511" s="22" t="n">
        <v>1</v>
      </c>
      <c r="D511" s="41" t="n">
        <v>2548</v>
      </c>
      <c r="E511" s="22" t="n">
        <f aca="false">MONTH(A511)</f>
        <v>3</v>
      </c>
    </row>
    <row r="512" customFormat="false" ht="15" hidden="false" customHeight="false" outlineLevel="0" collapsed="false">
      <c r="A512" s="21" t="n">
        <v>46092</v>
      </c>
      <c r="B512" s="22" t="s">
        <v>188</v>
      </c>
      <c r="C512" s="22" t="n">
        <v>2</v>
      </c>
      <c r="D512" s="41" t="n">
        <v>666.4</v>
      </c>
      <c r="E512" s="22" t="n">
        <f aca="false">MONTH(A512)</f>
        <v>3</v>
      </c>
    </row>
    <row r="513" customFormat="false" ht="15" hidden="false" customHeight="false" outlineLevel="0" collapsed="false">
      <c r="A513" s="21" t="n">
        <v>46092</v>
      </c>
      <c r="B513" s="22" t="s">
        <v>374</v>
      </c>
      <c r="C513" s="22" t="n">
        <v>1</v>
      </c>
      <c r="D513" s="41" t="n">
        <v>8165.532</v>
      </c>
      <c r="E513" s="22" t="n">
        <f aca="false">MONTH(A513)</f>
        <v>3</v>
      </c>
    </row>
    <row r="514" customFormat="false" ht="15" hidden="false" customHeight="false" outlineLevel="0" collapsed="false">
      <c r="A514" s="21" t="n">
        <v>46092</v>
      </c>
      <c r="B514" s="22" t="s">
        <v>375</v>
      </c>
      <c r="C514" s="22" t="n">
        <v>1</v>
      </c>
      <c r="D514" s="41" t="n">
        <v>9071.421</v>
      </c>
      <c r="E514" s="22" t="n">
        <f aca="false">MONTH(A514)</f>
        <v>3</v>
      </c>
    </row>
    <row r="515" customFormat="false" ht="15" hidden="false" customHeight="false" outlineLevel="0" collapsed="false">
      <c r="A515" s="21" t="n">
        <v>46092</v>
      </c>
      <c r="B515" s="22" t="s">
        <v>187</v>
      </c>
      <c r="C515" s="22" t="n">
        <v>1</v>
      </c>
      <c r="D515" s="41" t="n">
        <v>2412.462</v>
      </c>
      <c r="E515" s="22" t="n">
        <f aca="false">MONTH(A515)</f>
        <v>3</v>
      </c>
    </row>
    <row r="516" customFormat="false" ht="15" hidden="false" customHeight="false" outlineLevel="0" collapsed="false">
      <c r="A516" s="21" t="n">
        <v>46092</v>
      </c>
      <c r="B516" s="22" t="s">
        <v>187</v>
      </c>
      <c r="C516" s="22" t="n">
        <v>2</v>
      </c>
      <c r="D516" s="41" t="n">
        <v>2035.995</v>
      </c>
      <c r="E516" s="22" t="n">
        <f aca="false">MONTH(A516)</f>
        <v>3</v>
      </c>
    </row>
    <row r="517" customFormat="false" ht="15" hidden="false" customHeight="false" outlineLevel="0" collapsed="false">
      <c r="A517" s="21" t="n">
        <v>46092</v>
      </c>
      <c r="B517" s="22" t="s">
        <v>359</v>
      </c>
      <c r="C517" s="22" t="n">
        <v>1</v>
      </c>
      <c r="D517" s="41" t="n">
        <v>2667.469</v>
      </c>
      <c r="E517" s="22" t="n">
        <f aca="false">MONTH(A517)</f>
        <v>3</v>
      </c>
    </row>
    <row r="518" customFormat="false" ht="15" hidden="false" customHeight="false" outlineLevel="0" collapsed="false">
      <c r="A518" s="21" t="n">
        <v>46093</v>
      </c>
      <c r="B518" s="22" t="s">
        <v>362</v>
      </c>
      <c r="C518" s="22" t="n">
        <v>1</v>
      </c>
      <c r="D518" s="41" t="n">
        <v>5928.615</v>
      </c>
      <c r="E518" s="22" t="n">
        <f aca="false">MONTH(A518)</f>
        <v>3</v>
      </c>
    </row>
    <row r="519" customFormat="false" ht="15" hidden="false" customHeight="false" outlineLevel="0" collapsed="false">
      <c r="A519" s="21" t="n">
        <v>46093</v>
      </c>
      <c r="B519" s="22" t="s">
        <v>186</v>
      </c>
      <c r="C519" s="22" t="n">
        <v>2</v>
      </c>
      <c r="D519" s="41" t="n">
        <v>6327.908</v>
      </c>
      <c r="E519" s="22" t="n">
        <f aca="false">MONTH(A519)</f>
        <v>3</v>
      </c>
    </row>
    <row r="520" customFormat="false" ht="15" hidden="false" customHeight="false" outlineLevel="0" collapsed="false">
      <c r="A520" s="21" t="n">
        <v>46093</v>
      </c>
      <c r="B520" s="22" t="s">
        <v>188</v>
      </c>
      <c r="C520" s="22" t="n">
        <v>1</v>
      </c>
      <c r="D520" s="41" t="n">
        <v>2601.9</v>
      </c>
      <c r="E520" s="22" t="n">
        <f aca="false">MONTH(A520)</f>
        <v>3</v>
      </c>
    </row>
    <row r="521" customFormat="false" ht="15" hidden="false" customHeight="false" outlineLevel="0" collapsed="false">
      <c r="A521" s="21" t="n">
        <v>46093</v>
      </c>
      <c r="B521" s="22" t="s">
        <v>374</v>
      </c>
      <c r="C521" s="22" t="n">
        <v>1</v>
      </c>
      <c r="D521" s="41" t="n">
        <v>6667.077</v>
      </c>
      <c r="E521" s="22" t="n">
        <f aca="false">MONTH(A521)</f>
        <v>3</v>
      </c>
    </row>
    <row r="522" customFormat="false" ht="15" hidden="false" customHeight="false" outlineLevel="0" collapsed="false">
      <c r="A522" s="21" t="n">
        <v>46093</v>
      </c>
      <c r="B522" s="22" t="s">
        <v>375</v>
      </c>
      <c r="C522" s="22" t="n">
        <v>1</v>
      </c>
      <c r="D522" s="41" t="n">
        <v>8880.041</v>
      </c>
      <c r="E522" s="22" t="n">
        <f aca="false">MONTH(A522)</f>
        <v>3</v>
      </c>
    </row>
    <row r="523" customFormat="false" ht="15" hidden="false" customHeight="false" outlineLevel="0" collapsed="false">
      <c r="A523" s="21" t="n">
        <v>46093</v>
      </c>
      <c r="B523" s="22" t="s">
        <v>187</v>
      </c>
      <c r="C523" s="22" t="n">
        <v>1</v>
      </c>
      <c r="D523" s="41" t="n">
        <v>3332.557</v>
      </c>
      <c r="E523" s="22" t="n">
        <f aca="false">MONTH(A523)</f>
        <v>3</v>
      </c>
    </row>
    <row r="524" customFormat="false" ht="15" hidden="false" customHeight="false" outlineLevel="0" collapsed="false">
      <c r="A524" s="21" t="n">
        <v>46093</v>
      </c>
      <c r="B524" s="22" t="s">
        <v>187</v>
      </c>
      <c r="C524" s="22" t="n">
        <v>2</v>
      </c>
      <c r="D524" s="41" t="n">
        <v>5146.712</v>
      </c>
      <c r="E524" s="22" t="n">
        <f aca="false">MONTH(A524)</f>
        <v>3</v>
      </c>
    </row>
    <row r="525" customFormat="false" ht="15" hidden="false" customHeight="false" outlineLevel="0" collapsed="false">
      <c r="A525" s="21" t="n">
        <v>46093</v>
      </c>
      <c r="B525" s="22" t="s">
        <v>189</v>
      </c>
      <c r="C525" s="22" t="n">
        <v>1</v>
      </c>
      <c r="D525" s="41" t="n">
        <v>3495.443</v>
      </c>
      <c r="E525" s="22" t="n">
        <f aca="false">MONTH(A525)</f>
        <v>3</v>
      </c>
    </row>
    <row r="526" customFormat="false" ht="15" hidden="false" customHeight="false" outlineLevel="0" collapsed="false">
      <c r="A526" s="21" t="n">
        <v>46093</v>
      </c>
      <c r="B526" s="22" t="s">
        <v>359</v>
      </c>
      <c r="C526" s="22" t="n">
        <v>1</v>
      </c>
      <c r="D526" s="41" t="n">
        <v>2713.338</v>
      </c>
      <c r="E526" s="22" t="n">
        <f aca="false">MONTH(A526)</f>
        <v>3</v>
      </c>
    </row>
    <row r="527" customFormat="false" ht="15" hidden="false" customHeight="false" outlineLevel="0" collapsed="false">
      <c r="A527" s="21" t="n">
        <v>46094</v>
      </c>
      <c r="B527" s="22" t="s">
        <v>361</v>
      </c>
      <c r="C527" s="22" t="n">
        <v>1</v>
      </c>
      <c r="D527" s="41" t="n">
        <v>14210.98</v>
      </c>
      <c r="E527" s="22" t="n">
        <f aca="false">MONTH(A527)</f>
        <v>3</v>
      </c>
    </row>
    <row r="528" customFormat="false" ht="15" hidden="false" customHeight="false" outlineLevel="0" collapsed="false">
      <c r="A528" s="21" t="n">
        <v>46094</v>
      </c>
      <c r="B528" s="22" t="s">
        <v>374</v>
      </c>
      <c r="C528" s="22" t="n">
        <v>1</v>
      </c>
      <c r="D528" s="41" t="n">
        <v>7848.624</v>
      </c>
      <c r="E528" s="22" t="n">
        <f aca="false">MONTH(A528)</f>
        <v>3</v>
      </c>
    </row>
    <row r="529" customFormat="false" ht="15" hidden="false" customHeight="false" outlineLevel="0" collapsed="false">
      <c r="A529" s="21" t="n">
        <v>46094</v>
      </c>
      <c r="B529" s="22" t="s">
        <v>375</v>
      </c>
      <c r="C529" s="22" t="n">
        <v>1</v>
      </c>
      <c r="D529" s="41" t="n">
        <v>18299.824</v>
      </c>
      <c r="E529" s="22" t="n">
        <f aca="false">MONTH(A529)</f>
        <v>3</v>
      </c>
    </row>
    <row r="530" customFormat="false" ht="15" hidden="false" customHeight="false" outlineLevel="0" collapsed="false">
      <c r="A530" s="21" t="n">
        <v>46094</v>
      </c>
      <c r="B530" s="22" t="s">
        <v>187</v>
      </c>
      <c r="C530" s="22" t="n">
        <v>1</v>
      </c>
      <c r="D530" s="41" t="n">
        <v>3018.51</v>
      </c>
      <c r="E530" s="22" t="n">
        <f aca="false">MONTH(A530)</f>
        <v>3</v>
      </c>
    </row>
    <row r="531" customFormat="false" ht="15" hidden="false" customHeight="false" outlineLevel="0" collapsed="false">
      <c r="A531" s="21" t="n">
        <v>46094</v>
      </c>
      <c r="B531" s="22" t="s">
        <v>189</v>
      </c>
      <c r="C531" s="22" t="n">
        <v>1</v>
      </c>
      <c r="D531" s="41" t="n">
        <v>5885.145</v>
      </c>
      <c r="E531" s="22" t="n">
        <f aca="false">MONTH(A531)</f>
        <v>3</v>
      </c>
    </row>
    <row r="532" customFormat="false" ht="15" hidden="false" customHeight="false" outlineLevel="0" collapsed="false">
      <c r="A532" s="21" t="n">
        <v>46094</v>
      </c>
      <c r="B532" s="22" t="s">
        <v>359</v>
      </c>
      <c r="C532" s="22" t="n">
        <v>1</v>
      </c>
      <c r="D532" s="41" t="n">
        <v>2452.724</v>
      </c>
      <c r="E532" s="22" t="n">
        <f aca="false">MONTH(A532)</f>
        <v>3</v>
      </c>
    </row>
    <row r="533" customFormat="false" ht="15" hidden="false" customHeight="false" outlineLevel="0" collapsed="false">
      <c r="A533" s="21" t="n">
        <v>46095</v>
      </c>
      <c r="B533" s="22" t="s">
        <v>187</v>
      </c>
      <c r="C533" s="22" t="n">
        <v>1</v>
      </c>
      <c r="D533" s="41" t="n">
        <v>1003.121</v>
      </c>
      <c r="E533" s="22" t="n">
        <f aca="false">MONTH(A533)</f>
        <v>3</v>
      </c>
    </row>
    <row r="534" customFormat="false" ht="15" hidden="false" customHeight="false" outlineLevel="0" collapsed="false">
      <c r="A534" s="21" t="n">
        <v>46095</v>
      </c>
      <c r="B534" s="22" t="s">
        <v>187</v>
      </c>
      <c r="C534" s="22" t="n">
        <v>2</v>
      </c>
      <c r="D534" s="41" t="n">
        <v>884.21</v>
      </c>
      <c r="E534" s="22" t="n">
        <f aca="false">MONTH(A534)</f>
        <v>3</v>
      </c>
    </row>
    <row r="535" customFormat="false" ht="15" hidden="false" customHeight="false" outlineLevel="0" collapsed="false">
      <c r="A535" s="21" t="n">
        <v>46095</v>
      </c>
      <c r="B535" s="22" t="s">
        <v>189</v>
      </c>
      <c r="C535" s="22" t="n">
        <v>1</v>
      </c>
      <c r="D535" s="41" t="n">
        <v>1018.773</v>
      </c>
      <c r="E535" s="22" t="n">
        <f aca="false">MONTH(A535)</f>
        <v>3</v>
      </c>
    </row>
    <row r="536" customFormat="false" ht="15" hidden="false" customHeight="false" outlineLevel="0" collapsed="false">
      <c r="A536" s="21" t="n">
        <v>46095</v>
      </c>
      <c r="B536" s="22" t="s">
        <v>189</v>
      </c>
      <c r="C536" s="22" t="n">
        <v>2</v>
      </c>
      <c r="D536" s="41" t="n">
        <v>939.645</v>
      </c>
      <c r="E536" s="22" t="n">
        <f aca="false">MONTH(A536)</f>
        <v>3</v>
      </c>
    </row>
    <row r="537" customFormat="false" ht="15" hidden="false" customHeight="false" outlineLevel="0" collapsed="false">
      <c r="A537" s="21" t="n">
        <v>46097</v>
      </c>
      <c r="B537" s="22" t="s">
        <v>361</v>
      </c>
      <c r="C537" s="22" t="n">
        <v>2</v>
      </c>
      <c r="D537" s="41" t="n">
        <v>11448.564</v>
      </c>
      <c r="E537" s="22" t="n">
        <f aca="false">MONTH(A537)</f>
        <v>3</v>
      </c>
    </row>
    <row r="538" customFormat="false" ht="15" hidden="false" customHeight="false" outlineLevel="0" collapsed="false">
      <c r="A538" s="21" t="n">
        <v>46097</v>
      </c>
      <c r="B538" s="22" t="s">
        <v>186</v>
      </c>
      <c r="C538" s="22" t="n">
        <v>1</v>
      </c>
      <c r="D538" s="41" t="n">
        <v>6281.831</v>
      </c>
      <c r="E538" s="22" t="n">
        <f aca="false">MONTH(A538)</f>
        <v>3</v>
      </c>
    </row>
    <row r="539" customFormat="false" ht="15" hidden="false" customHeight="false" outlineLevel="0" collapsed="false">
      <c r="A539" s="21" t="n">
        <v>46097</v>
      </c>
      <c r="B539" s="22" t="s">
        <v>186</v>
      </c>
      <c r="C539" s="22" t="n">
        <v>2</v>
      </c>
      <c r="D539" s="41" t="n">
        <v>6496.857</v>
      </c>
      <c r="E539" s="22" t="n">
        <f aca="false">MONTH(A539)</f>
        <v>3</v>
      </c>
    </row>
    <row r="540" customFormat="false" ht="15" hidden="false" customHeight="false" outlineLevel="0" collapsed="false">
      <c r="A540" s="21" t="n">
        <v>46097</v>
      </c>
      <c r="B540" s="22" t="s">
        <v>374</v>
      </c>
      <c r="C540" s="22" t="n">
        <v>2</v>
      </c>
      <c r="D540" s="41" t="n">
        <v>7848.624</v>
      </c>
      <c r="E540" s="22" t="n">
        <f aca="false">MONTH(A540)</f>
        <v>3</v>
      </c>
    </row>
    <row r="541" customFormat="false" ht="15" hidden="false" customHeight="false" outlineLevel="0" collapsed="false">
      <c r="A541" s="21" t="n">
        <v>46097</v>
      </c>
      <c r="B541" s="22" t="s">
        <v>375</v>
      </c>
      <c r="C541" s="22" t="n">
        <v>1</v>
      </c>
      <c r="D541" s="41" t="n">
        <v>18158.463</v>
      </c>
      <c r="E541" s="22" t="n">
        <f aca="false">MONTH(A541)</f>
        <v>3</v>
      </c>
    </row>
    <row r="542" customFormat="false" ht="15" hidden="false" customHeight="false" outlineLevel="0" collapsed="false">
      <c r="A542" s="21" t="n">
        <v>46097</v>
      </c>
      <c r="B542" s="22" t="s">
        <v>187</v>
      </c>
      <c r="C542" s="22" t="n">
        <v>1</v>
      </c>
      <c r="D542" s="41" t="n">
        <v>2176.986</v>
      </c>
      <c r="E542" s="22" t="n">
        <f aca="false">MONTH(A542)</f>
        <v>3</v>
      </c>
    </row>
    <row r="543" customFormat="false" ht="15" hidden="false" customHeight="false" outlineLevel="0" collapsed="false">
      <c r="A543" s="21" t="n">
        <v>46097</v>
      </c>
      <c r="B543" s="22" t="s">
        <v>187</v>
      </c>
      <c r="C543" s="22" t="n">
        <v>2</v>
      </c>
      <c r="D543" s="41" t="n">
        <v>4625.333</v>
      </c>
      <c r="E543" s="22" t="n">
        <f aca="false">MONTH(A543)</f>
        <v>3</v>
      </c>
    </row>
    <row r="544" customFormat="false" ht="15" hidden="false" customHeight="false" outlineLevel="0" collapsed="false">
      <c r="A544" s="21" t="n">
        <v>46097</v>
      </c>
      <c r="B544" s="22" t="s">
        <v>189</v>
      </c>
      <c r="C544" s="22" t="n">
        <v>1</v>
      </c>
      <c r="D544" s="41" t="n">
        <v>6152.202</v>
      </c>
      <c r="E544" s="22" t="n">
        <f aca="false">MONTH(A544)</f>
        <v>3</v>
      </c>
    </row>
    <row r="545" customFormat="false" ht="15" hidden="false" customHeight="false" outlineLevel="0" collapsed="false">
      <c r="A545" s="21" t="n">
        <v>46097</v>
      </c>
      <c r="B545" s="22" t="s">
        <v>189</v>
      </c>
      <c r="C545" s="22" t="n">
        <v>2</v>
      </c>
      <c r="D545" s="41" t="n">
        <v>5845.581</v>
      </c>
      <c r="E545" s="22" t="n">
        <f aca="false">MONTH(A545)</f>
        <v>3</v>
      </c>
    </row>
    <row r="546" customFormat="false" ht="15" hidden="false" customHeight="false" outlineLevel="0" collapsed="false">
      <c r="A546" s="21" t="n">
        <v>46097</v>
      </c>
      <c r="B546" s="22" t="s">
        <v>359</v>
      </c>
      <c r="C546" s="22" t="n">
        <v>1</v>
      </c>
      <c r="D546" s="41" t="n">
        <v>2682.42</v>
      </c>
      <c r="E546" s="22" t="n">
        <f aca="false">MONTH(A546)</f>
        <v>3</v>
      </c>
    </row>
    <row r="547" customFormat="false" ht="15" hidden="false" customHeight="false" outlineLevel="0" collapsed="false">
      <c r="A547" s="21" t="n">
        <v>46098</v>
      </c>
      <c r="B547" s="22" t="s">
        <v>361</v>
      </c>
      <c r="C547" s="22" t="n">
        <v>2</v>
      </c>
      <c r="D547" s="41" t="n">
        <v>20681.69</v>
      </c>
      <c r="E547" s="22" t="n">
        <f aca="false">MONTH(A547)</f>
        <v>3</v>
      </c>
    </row>
    <row r="548" customFormat="false" ht="15" hidden="false" customHeight="false" outlineLevel="0" collapsed="false">
      <c r="A548" s="21" t="n">
        <v>46098</v>
      </c>
      <c r="B548" s="22" t="s">
        <v>186</v>
      </c>
      <c r="C548" s="22" t="n">
        <v>1</v>
      </c>
      <c r="D548" s="41" t="n">
        <v>6435.421</v>
      </c>
      <c r="E548" s="22" t="n">
        <f aca="false">MONTH(A548)</f>
        <v>3</v>
      </c>
    </row>
    <row r="549" customFormat="false" ht="15" hidden="false" customHeight="false" outlineLevel="0" collapsed="false">
      <c r="A549" s="21" t="n">
        <v>46098</v>
      </c>
      <c r="B549" s="22" t="s">
        <v>186</v>
      </c>
      <c r="C549" s="22" t="n">
        <v>2</v>
      </c>
      <c r="D549" s="41" t="n">
        <v>5836.42</v>
      </c>
      <c r="E549" s="22" t="n">
        <f aca="false">MONTH(A549)</f>
        <v>3</v>
      </c>
    </row>
    <row r="550" customFormat="false" ht="15" hidden="false" customHeight="false" outlineLevel="0" collapsed="false">
      <c r="A550" s="21" t="n">
        <v>46098</v>
      </c>
      <c r="B550" s="22" t="s">
        <v>374</v>
      </c>
      <c r="C550" s="22" t="n">
        <v>2</v>
      </c>
      <c r="D550" s="41" t="n">
        <v>7501.269</v>
      </c>
      <c r="E550" s="22" t="n">
        <f aca="false">MONTH(A550)</f>
        <v>3</v>
      </c>
    </row>
    <row r="551" customFormat="false" ht="15" hidden="false" customHeight="false" outlineLevel="0" collapsed="false">
      <c r="A551" s="21" t="n">
        <v>46098</v>
      </c>
      <c r="B551" s="22" t="s">
        <v>375</v>
      </c>
      <c r="C551" s="22" t="n">
        <v>1</v>
      </c>
      <c r="D551" s="41" t="n">
        <v>14483.129</v>
      </c>
      <c r="E551" s="22" t="n">
        <f aca="false">MONTH(A551)</f>
        <v>3</v>
      </c>
    </row>
    <row r="552" customFormat="false" ht="15" hidden="false" customHeight="false" outlineLevel="0" collapsed="false">
      <c r="A552" s="21" t="n">
        <v>46098</v>
      </c>
      <c r="B552" s="22" t="s">
        <v>187</v>
      </c>
      <c r="C552" s="22" t="n">
        <v>1</v>
      </c>
      <c r="D552" s="41" t="n">
        <v>2725.806</v>
      </c>
      <c r="E552" s="22" t="n">
        <f aca="false">MONTH(A552)</f>
        <v>3</v>
      </c>
    </row>
    <row r="553" customFormat="false" ht="15" hidden="false" customHeight="false" outlineLevel="0" collapsed="false">
      <c r="A553" s="21" t="n">
        <v>46098</v>
      </c>
      <c r="B553" s="22" t="s">
        <v>187</v>
      </c>
      <c r="C553" s="22" t="n">
        <v>2</v>
      </c>
      <c r="D553" s="41" t="n">
        <v>2379.048</v>
      </c>
      <c r="E553" s="22" t="n">
        <f aca="false">MONTH(A553)</f>
        <v>3</v>
      </c>
    </row>
    <row r="554" customFormat="false" ht="15" hidden="false" customHeight="false" outlineLevel="0" collapsed="false">
      <c r="A554" s="21" t="n">
        <v>46098</v>
      </c>
      <c r="B554" s="22" t="s">
        <v>189</v>
      </c>
      <c r="C554" s="22" t="n">
        <v>1</v>
      </c>
      <c r="D554" s="41" t="n">
        <v>5697.216</v>
      </c>
      <c r="E554" s="22" t="n">
        <f aca="false">MONTH(A554)</f>
        <v>3</v>
      </c>
    </row>
    <row r="555" customFormat="false" ht="15" hidden="false" customHeight="false" outlineLevel="0" collapsed="false">
      <c r="A555" s="21" t="n">
        <v>46098</v>
      </c>
      <c r="B555" s="22" t="s">
        <v>189</v>
      </c>
      <c r="C555" s="22" t="n">
        <v>2</v>
      </c>
      <c r="D555" s="41" t="n">
        <v>6300.567</v>
      </c>
      <c r="E555" s="22" t="n">
        <f aca="false">MONTH(A555)</f>
        <v>3</v>
      </c>
    </row>
    <row r="556" customFormat="false" ht="15" hidden="false" customHeight="false" outlineLevel="0" collapsed="false">
      <c r="A556" s="21" t="n">
        <v>46098</v>
      </c>
      <c r="B556" s="22" t="s">
        <v>359</v>
      </c>
      <c r="C556" s="22" t="n">
        <v>1</v>
      </c>
      <c r="D556" s="41" t="n">
        <v>2188.29</v>
      </c>
      <c r="E556" s="22" t="n">
        <f aca="false">MONTH(A556)</f>
        <v>3</v>
      </c>
    </row>
    <row r="557" customFormat="false" ht="15" hidden="false" customHeight="false" outlineLevel="0" collapsed="false">
      <c r="A557" s="21" t="n">
        <v>46099</v>
      </c>
      <c r="B557" s="22" t="s">
        <v>361</v>
      </c>
      <c r="C557" s="22" t="n">
        <v>2</v>
      </c>
      <c r="D557" s="41" t="n">
        <v>14627.48</v>
      </c>
      <c r="E557" s="22" t="n">
        <f aca="false">MONTH(A557)</f>
        <v>3</v>
      </c>
    </row>
    <row r="558" customFormat="false" ht="15" hidden="false" customHeight="false" outlineLevel="0" collapsed="false">
      <c r="A558" s="21" t="n">
        <v>46099</v>
      </c>
      <c r="B558" s="22" t="s">
        <v>186</v>
      </c>
      <c r="C558" s="22" t="n">
        <v>1</v>
      </c>
      <c r="D558" s="41" t="n">
        <v>5882.497</v>
      </c>
      <c r="E558" s="22" t="n">
        <f aca="false">MONTH(A558)</f>
        <v>3</v>
      </c>
    </row>
    <row r="559" customFormat="false" ht="15" hidden="false" customHeight="false" outlineLevel="0" collapsed="false">
      <c r="A559" s="21" t="n">
        <v>46099</v>
      </c>
      <c r="B559" s="22" t="s">
        <v>186</v>
      </c>
      <c r="C559" s="22" t="n">
        <v>2</v>
      </c>
      <c r="D559" s="41" t="n">
        <v>6174.318</v>
      </c>
      <c r="E559" s="22" t="n">
        <f aca="false">MONTH(A559)</f>
        <v>3</v>
      </c>
    </row>
    <row r="560" customFormat="false" ht="15" hidden="false" customHeight="false" outlineLevel="0" collapsed="false">
      <c r="A560" s="21" t="n">
        <v>46099</v>
      </c>
      <c r="B560" s="22" t="s">
        <v>374</v>
      </c>
      <c r="C560" s="22" t="n">
        <v>2</v>
      </c>
      <c r="D560" s="41" t="n">
        <v>8628.291</v>
      </c>
      <c r="E560" s="22" t="n">
        <f aca="false">MONTH(A560)</f>
        <v>3</v>
      </c>
    </row>
    <row r="561" customFormat="false" ht="15" hidden="false" customHeight="false" outlineLevel="0" collapsed="false">
      <c r="A561" s="21" t="n">
        <v>46099</v>
      </c>
      <c r="B561" s="22" t="s">
        <v>375</v>
      </c>
      <c r="C561" s="22" t="n">
        <v>1</v>
      </c>
      <c r="D561" s="41" t="n">
        <v>20018.028</v>
      </c>
      <c r="E561" s="22" t="n">
        <f aca="false">MONTH(A561)</f>
        <v>3</v>
      </c>
    </row>
    <row r="562" customFormat="false" ht="15" hidden="false" customHeight="false" outlineLevel="0" collapsed="false">
      <c r="A562" s="21" t="n">
        <v>46099</v>
      </c>
      <c r="B562" s="22" t="s">
        <v>187</v>
      </c>
      <c r="C562" s="22" t="n">
        <v>1</v>
      </c>
      <c r="D562" s="41" t="n">
        <v>6373.283</v>
      </c>
      <c r="E562" s="22" t="n">
        <f aca="false">MONTH(A562)</f>
        <v>3</v>
      </c>
    </row>
    <row r="563" customFormat="false" ht="15" hidden="false" customHeight="false" outlineLevel="0" collapsed="false">
      <c r="A563" s="21" t="n">
        <v>46099</v>
      </c>
      <c r="B563" s="22" t="s">
        <v>187</v>
      </c>
      <c r="C563" s="22" t="n">
        <v>2</v>
      </c>
      <c r="D563" s="41" t="n">
        <v>7014.693</v>
      </c>
      <c r="E563" s="22" t="n">
        <f aca="false">MONTH(A563)</f>
        <v>3</v>
      </c>
    </row>
    <row r="564" customFormat="false" ht="15" hidden="false" customHeight="false" outlineLevel="0" collapsed="false">
      <c r="A564" s="21" t="n">
        <v>46099</v>
      </c>
      <c r="B564" s="22" t="s">
        <v>189</v>
      </c>
      <c r="C564" s="22" t="n">
        <v>1</v>
      </c>
      <c r="D564" s="41" t="n">
        <v>6043.401</v>
      </c>
      <c r="E564" s="22" t="n">
        <f aca="false">MONTH(A564)</f>
        <v>3</v>
      </c>
    </row>
    <row r="565" customFormat="false" ht="15" hidden="false" customHeight="false" outlineLevel="0" collapsed="false">
      <c r="A565" s="21" t="n">
        <v>46099</v>
      </c>
      <c r="B565" s="22" t="s">
        <v>189</v>
      </c>
      <c r="C565" s="22" t="n">
        <v>2</v>
      </c>
      <c r="D565" s="41" t="n">
        <v>6013.728</v>
      </c>
      <c r="E565" s="22" t="n">
        <f aca="false">MONTH(A565)</f>
        <v>3</v>
      </c>
    </row>
    <row r="566" customFormat="false" ht="15" hidden="false" customHeight="false" outlineLevel="0" collapsed="false">
      <c r="A566" s="21" t="n">
        <v>46099</v>
      </c>
      <c r="B566" s="22" t="s">
        <v>359</v>
      </c>
      <c r="C566" s="22" t="n">
        <v>1</v>
      </c>
      <c r="D566" s="41" t="n">
        <v>635.31</v>
      </c>
      <c r="E566" s="22" t="n">
        <f aca="false">MONTH(A566)</f>
        <v>3</v>
      </c>
    </row>
    <row r="567" customFormat="false" ht="15" hidden="false" customHeight="false" outlineLevel="0" collapsed="false">
      <c r="A567" s="21" t="n">
        <v>46100</v>
      </c>
      <c r="B567" s="22" t="s">
        <v>361</v>
      </c>
      <c r="C567" s="22" t="n">
        <v>2</v>
      </c>
      <c r="D567" s="41" t="n">
        <v>15477.14</v>
      </c>
      <c r="E567" s="22" t="n">
        <f aca="false">MONTH(A567)</f>
        <v>3</v>
      </c>
    </row>
    <row r="568" customFormat="false" ht="15" hidden="false" customHeight="false" outlineLevel="0" collapsed="false">
      <c r="A568" s="21" t="n">
        <v>46100</v>
      </c>
      <c r="B568" s="22" t="s">
        <v>186</v>
      </c>
      <c r="C568" s="22" t="n">
        <v>1</v>
      </c>
      <c r="D568" s="41" t="n">
        <v>6404.703</v>
      </c>
      <c r="E568" s="22" t="n">
        <f aca="false">MONTH(A568)</f>
        <v>3</v>
      </c>
    </row>
    <row r="569" customFormat="false" ht="15" hidden="false" customHeight="false" outlineLevel="0" collapsed="false">
      <c r="A569" s="21" t="n">
        <v>46100</v>
      </c>
      <c r="B569" s="22" t="s">
        <v>186</v>
      </c>
      <c r="C569" s="22" t="n">
        <v>2</v>
      </c>
      <c r="D569" s="41" t="n">
        <v>5529.24</v>
      </c>
      <c r="E569" s="22" t="n">
        <f aca="false">MONTH(A569)</f>
        <v>3</v>
      </c>
    </row>
    <row r="570" customFormat="false" ht="15" hidden="false" customHeight="false" outlineLevel="0" collapsed="false">
      <c r="A570" s="21" t="n">
        <v>46100</v>
      </c>
      <c r="B570" s="22" t="s">
        <v>374</v>
      </c>
      <c r="C570" s="22" t="n">
        <v>2</v>
      </c>
      <c r="D570" s="41" t="n">
        <v>6791.616</v>
      </c>
      <c r="E570" s="22" t="n">
        <f aca="false">MONTH(A570)</f>
        <v>3</v>
      </c>
    </row>
    <row r="571" customFormat="false" ht="15" hidden="false" customHeight="false" outlineLevel="0" collapsed="false">
      <c r="A571" s="21" t="n">
        <v>46100</v>
      </c>
      <c r="B571" s="22" t="s">
        <v>375</v>
      </c>
      <c r="C571" s="22" t="n">
        <v>1</v>
      </c>
      <c r="D571" s="41" t="n">
        <v>17469.848</v>
      </c>
      <c r="E571" s="22" t="n">
        <f aca="false">MONTH(A571)</f>
        <v>3</v>
      </c>
    </row>
    <row r="572" customFormat="false" ht="15" hidden="false" customHeight="false" outlineLevel="0" collapsed="false">
      <c r="A572" s="21" t="n">
        <v>46100</v>
      </c>
      <c r="B572" s="22" t="s">
        <v>187</v>
      </c>
      <c r="C572" s="22" t="n">
        <v>1</v>
      </c>
      <c r="D572" s="41" t="n">
        <v>5737.704</v>
      </c>
      <c r="E572" s="22" t="n">
        <f aca="false">MONTH(A572)</f>
        <v>3</v>
      </c>
    </row>
    <row r="573" customFormat="false" ht="15" hidden="false" customHeight="false" outlineLevel="0" collapsed="false">
      <c r="A573" s="21" t="n">
        <v>46100</v>
      </c>
      <c r="B573" s="22" t="s">
        <v>187</v>
      </c>
      <c r="C573" s="22" t="n">
        <v>2</v>
      </c>
      <c r="D573" s="41" t="n">
        <v>5259.562</v>
      </c>
      <c r="E573" s="22" t="n">
        <f aca="false">MONTH(A573)</f>
        <v>3</v>
      </c>
    </row>
    <row r="574" customFormat="false" ht="15" hidden="false" customHeight="false" outlineLevel="0" collapsed="false">
      <c r="A574" s="21" t="n">
        <v>46100</v>
      </c>
      <c r="B574" s="22" t="s">
        <v>189</v>
      </c>
      <c r="C574" s="22" t="n">
        <v>1</v>
      </c>
      <c r="D574" s="41" t="n">
        <v>5064.192</v>
      </c>
      <c r="E574" s="22" t="n">
        <f aca="false">MONTH(A574)</f>
        <v>3</v>
      </c>
    </row>
    <row r="575" customFormat="false" ht="15" hidden="false" customHeight="false" outlineLevel="0" collapsed="false">
      <c r="A575" s="21" t="n">
        <v>46100</v>
      </c>
      <c r="B575" s="22" t="s">
        <v>189</v>
      </c>
      <c r="C575" s="22" t="n">
        <v>2</v>
      </c>
      <c r="D575" s="41" t="n">
        <v>1431.441</v>
      </c>
      <c r="E575" s="22" t="n">
        <f aca="false">MONTH(A575)</f>
        <v>3</v>
      </c>
    </row>
    <row r="576" customFormat="false" ht="15" hidden="false" customHeight="false" outlineLevel="0" collapsed="false">
      <c r="A576" s="21" t="n">
        <v>46100</v>
      </c>
      <c r="B576" s="22" t="s">
        <v>359</v>
      </c>
      <c r="C576" s="22" t="n">
        <v>1</v>
      </c>
      <c r="D576" s="41" t="n">
        <v>2258.88</v>
      </c>
      <c r="E576" s="22" t="n">
        <f aca="false">MONTH(A576)</f>
        <v>3</v>
      </c>
    </row>
    <row r="577" customFormat="false" ht="15" hidden="false" customHeight="false" outlineLevel="0" collapsed="false">
      <c r="A577" s="21" t="n">
        <v>46101</v>
      </c>
      <c r="B577" s="22" t="s">
        <v>361</v>
      </c>
      <c r="C577" s="22" t="n">
        <v>2</v>
      </c>
      <c r="D577" s="41" t="n">
        <v>8964.896</v>
      </c>
      <c r="E577" s="22" t="n">
        <f aca="false">MONTH(A577)</f>
        <v>3</v>
      </c>
    </row>
    <row r="578" customFormat="false" ht="15" hidden="false" customHeight="false" outlineLevel="0" collapsed="false">
      <c r="A578" s="21" t="n">
        <v>46101</v>
      </c>
      <c r="B578" s="22" t="s">
        <v>186</v>
      </c>
      <c r="C578" s="22" t="n">
        <v>1</v>
      </c>
      <c r="D578" s="41" t="n">
        <v>4638.418</v>
      </c>
      <c r="E578" s="22" t="n">
        <f aca="false">MONTH(A578)</f>
        <v>3</v>
      </c>
    </row>
    <row r="579" customFormat="false" ht="15" hidden="false" customHeight="false" outlineLevel="0" collapsed="false">
      <c r="A579" s="21" t="n">
        <v>46101</v>
      </c>
      <c r="B579" s="22" t="s">
        <v>186</v>
      </c>
      <c r="C579" s="22" t="n">
        <v>2</v>
      </c>
      <c r="D579" s="41" t="n">
        <v>3004.65</v>
      </c>
      <c r="E579" s="22" t="n">
        <f aca="false">MONTH(A579)</f>
        <v>3</v>
      </c>
    </row>
    <row r="580" customFormat="false" ht="15" hidden="false" customHeight="false" outlineLevel="0" collapsed="false">
      <c r="A580" s="21" t="n">
        <v>46101</v>
      </c>
      <c r="B580" s="22" t="s">
        <v>374</v>
      </c>
      <c r="C580" s="22" t="n">
        <v>2</v>
      </c>
      <c r="D580" s="41" t="n">
        <v>4858.84</v>
      </c>
      <c r="E580" s="22" t="n">
        <f aca="false">MONTH(A580)</f>
        <v>3</v>
      </c>
    </row>
    <row r="581" customFormat="false" ht="15" hidden="false" customHeight="false" outlineLevel="0" collapsed="false">
      <c r="A581" s="21" t="n">
        <v>46101</v>
      </c>
      <c r="B581" s="22" t="s">
        <v>375</v>
      </c>
      <c r="C581" s="22" t="n">
        <v>1</v>
      </c>
      <c r="D581" s="41" t="n">
        <v>18287.636</v>
      </c>
      <c r="E581" s="22" t="n">
        <f aca="false">MONTH(A581)</f>
        <v>3</v>
      </c>
    </row>
    <row r="582" customFormat="false" ht="15" hidden="false" customHeight="false" outlineLevel="0" collapsed="false">
      <c r="A582" s="21" t="n">
        <v>46101</v>
      </c>
      <c r="B582" s="22" t="s">
        <v>187</v>
      </c>
      <c r="C582" s="22" t="n">
        <v>1</v>
      </c>
      <c r="D582" s="41" t="n">
        <v>6606.523</v>
      </c>
      <c r="E582" s="22" t="n">
        <f aca="false">MONTH(A582)</f>
        <v>3</v>
      </c>
    </row>
    <row r="583" customFormat="false" ht="15" hidden="false" customHeight="false" outlineLevel="0" collapsed="false">
      <c r="A583" s="21" t="n">
        <v>46101</v>
      </c>
      <c r="B583" s="22" t="s">
        <v>187</v>
      </c>
      <c r="C583" s="22" t="n">
        <v>2</v>
      </c>
      <c r="D583" s="41" t="n">
        <v>6390.776</v>
      </c>
      <c r="E583" s="22" t="n">
        <f aca="false">MONTH(A583)</f>
        <v>3</v>
      </c>
    </row>
    <row r="584" customFormat="false" ht="15" hidden="false" customHeight="false" outlineLevel="0" collapsed="false">
      <c r="A584" s="21" t="n">
        <v>46101</v>
      </c>
      <c r="B584" s="22" t="s">
        <v>189</v>
      </c>
      <c r="C584" s="22" t="n">
        <v>1</v>
      </c>
      <c r="D584" s="41" t="n">
        <v>16015.275</v>
      </c>
      <c r="E584" s="22" t="n">
        <f aca="false">MONTH(A584)</f>
        <v>3</v>
      </c>
    </row>
    <row r="585" customFormat="false" ht="15" hidden="false" customHeight="false" outlineLevel="0" collapsed="false">
      <c r="A585" s="21" t="n">
        <v>46101</v>
      </c>
      <c r="B585" s="22" t="s">
        <v>189</v>
      </c>
      <c r="C585" s="22" t="n">
        <v>2</v>
      </c>
      <c r="D585" s="41" t="n">
        <v>3589.425</v>
      </c>
      <c r="E585" s="22" t="n">
        <f aca="false">MONTH(A585)</f>
        <v>3</v>
      </c>
    </row>
    <row r="586" customFormat="false" ht="15" hidden="false" customHeight="false" outlineLevel="0" collapsed="false">
      <c r="A586" s="21" t="n">
        <v>46101</v>
      </c>
      <c r="B586" s="22" t="s">
        <v>359</v>
      </c>
      <c r="C586" s="22" t="n">
        <v>1</v>
      </c>
      <c r="D586" s="41" t="n">
        <v>2753.01</v>
      </c>
      <c r="E586" s="22" t="n">
        <f aca="false">MONTH(A586)</f>
        <v>3</v>
      </c>
    </row>
    <row r="587" customFormat="false" ht="15" hidden="false" customHeight="false" outlineLevel="0" collapsed="false">
      <c r="A587" s="21" t="n">
        <v>46102</v>
      </c>
      <c r="B587" s="22" t="s">
        <v>361</v>
      </c>
      <c r="C587" s="22" t="n">
        <v>2</v>
      </c>
      <c r="D587" s="41" t="n">
        <v>12108.076</v>
      </c>
      <c r="E587" s="22" t="n">
        <f aca="false">MONTH(A587)</f>
        <v>3</v>
      </c>
    </row>
    <row r="588" customFormat="false" ht="15" hidden="false" customHeight="false" outlineLevel="0" collapsed="false">
      <c r="A588" s="21" t="n">
        <v>46102</v>
      </c>
      <c r="B588" s="22" t="s">
        <v>186</v>
      </c>
      <c r="C588" s="22" t="n">
        <v>1</v>
      </c>
      <c r="D588" s="41" t="n">
        <v>4680.577</v>
      </c>
      <c r="E588" s="22" t="n">
        <f aca="false">MONTH(A588)</f>
        <v>3</v>
      </c>
    </row>
    <row r="589" customFormat="false" ht="15" hidden="false" customHeight="false" outlineLevel="0" collapsed="false">
      <c r="A589" s="21" t="n">
        <v>46102</v>
      </c>
      <c r="B589" s="22" t="s">
        <v>186</v>
      </c>
      <c r="C589" s="22" t="n">
        <v>2</v>
      </c>
      <c r="D589" s="41" t="n">
        <v>3026.688</v>
      </c>
      <c r="E589" s="22" t="n">
        <f aca="false">MONTH(A589)</f>
        <v>3</v>
      </c>
    </row>
    <row r="590" customFormat="false" ht="15" hidden="false" customHeight="false" outlineLevel="0" collapsed="false">
      <c r="A590" s="21" t="n">
        <v>46102</v>
      </c>
      <c r="B590" s="22" t="s">
        <v>374</v>
      </c>
      <c r="C590" s="22" t="n">
        <v>2</v>
      </c>
      <c r="D590" s="41" t="n">
        <v>6743.086</v>
      </c>
      <c r="E590" s="22" t="n">
        <f aca="false">MONTH(A590)</f>
        <v>3</v>
      </c>
    </row>
    <row r="591" customFormat="false" ht="15" hidden="false" customHeight="false" outlineLevel="0" collapsed="false">
      <c r="A591" s="21" t="n">
        <v>46102</v>
      </c>
      <c r="B591" s="22" t="s">
        <v>375</v>
      </c>
      <c r="C591" s="22" t="n">
        <v>1</v>
      </c>
      <c r="D591" s="41" t="n">
        <v>16640.208</v>
      </c>
      <c r="E591" s="22" t="n">
        <f aca="false">MONTH(A591)</f>
        <v>3</v>
      </c>
    </row>
    <row r="592" customFormat="false" ht="15" hidden="false" customHeight="false" outlineLevel="0" collapsed="false">
      <c r="A592" s="21" t="n">
        <v>46102</v>
      </c>
      <c r="B592" s="22" t="s">
        <v>187</v>
      </c>
      <c r="C592" s="22" t="n">
        <v>1</v>
      </c>
      <c r="D592" s="41" t="n">
        <v>5935.958</v>
      </c>
      <c r="E592" s="22" t="n">
        <f aca="false">MONTH(A592)</f>
        <v>3</v>
      </c>
    </row>
    <row r="593" customFormat="false" ht="15" hidden="false" customHeight="false" outlineLevel="0" collapsed="false">
      <c r="A593" s="21" t="n">
        <v>46102</v>
      </c>
      <c r="B593" s="22" t="s">
        <v>187</v>
      </c>
      <c r="C593" s="22" t="n">
        <v>2</v>
      </c>
      <c r="D593" s="41" t="n">
        <v>5568.605</v>
      </c>
      <c r="E593" s="22" t="n">
        <f aca="false">MONTH(A593)</f>
        <v>3</v>
      </c>
    </row>
    <row r="594" customFormat="false" ht="15" hidden="false" customHeight="false" outlineLevel="0" collapsed="false">
      <c r="A594" s="21" t="n">
        <v>46102</v>
      </c>
      <c r="B594" s="22" t="s">
        <v>189</v>
      </c>
      <c r="C594" s="22" t="n">
        <v>1</v>
      </c>
      <c r="D594" s="41" t="n">
        <v>14310</v>
      </c>
      <c r="E594" s="22" t="n">
        <f aca="false">MONTH(A594)</f>
        <v>3</v>
      </c>
    </row>
    <row r="595" customFormat="false" ht="15" hidden="false" customHeight="false" outlineLevel="0" collapsed="false">
      <c r="A595" s="21" t="n">
        <v>46102</v>
      </c>
      <c r="B595" s="22" t="s">
        <v>189</v>
      </c>
      <c r="C595" s="22" t="n">
        <v>2</v>
      </c>
      <c r="D595" s="41" t="n">
        <v>12080.025</v>
      </c>
      <c r="E595" s="22" t="n">
        <f aca="false">MONTH(A595)</f>
        <v>3</v>
      </c>
    </row>
    <row r="596" customFormat="false" ht="15" hidden="false" customHeight="false" outlineLevel="0" collapsed="false">
      <c r="A596" s="21" t="n">
        <v>46102</v>
      </c>
      <c r="B596" s="22" t="s">
        <v>359</v>
      </c>
      <c r="C596" s="22" t="n">
        <v>1</v>
      </c>
      <c r="D596" s="41" t="n">
        <v>705.9</v>
      </c>
      <c r="E596" s="22" t="n">
        <f aca="false">MONTH(A596)</f>
        <v>3</v>
      </c>
    </row>
    <row r="597" customFormat="false" ht="15" hidden="false" customHeight="false" outlineLevel="0" collapsed="false">
      <c r="A597" s="21" t="n">
        <v>46105</v>
      </c>
      <c r="B597" s="22" t="s">
        <v>361</v>
      </c>
      <c r="C597" s="22" t="n">
        <v>1</v>
      </c>
      <c r="D597" s="41" t="n">
        <v>14485.96</v>
      </c>
      <c r="E597" s="22" t="n">
        <f aca="false">MONTH(A597)</f>
        <v>3</v>
      </c>
    </row>
    <row r="598" customFormat="false" ht="15" hidden="false" customHeight="false" outlineLevel="0" collapsed="false">
      <c r="A598" s="21" t="n">
        <v>46105</v>
      </c>
      <c r="B598" s="22" t="s">
        <v>186</v>
      </c>
      <c r="C598" s="22" t="n">
        <v>1</v>
      </c>
      <c r="D598" s="41" t="n">
        <v>2660.175</v>
      </c>
      <c r="E598" s="22" t="n">
        <f aca="false">MONTH(A598)</f>
        <v>3</v>
      </c>
    </row>
    <row r="599" customFormat="false" ht="15" hidden="false" customHeight="false" outlineLevel="0" collapsed="false">
      <c r="A599" s="21" t="n">
        <v>46105</v>
      </c>
      <c r="B599" s="22" t="s">
        <v>186</v>
      </c>
      <c r="C599" s="22" t="n">
        <v>2</v>
      </c>
      <c r="D599" s="41" t="n">
        <v>9304.701</v>
      </c>
      <c r="E599" s="22" t="n">
        <f aca="false">MONTH(A599)</f>
        <v>3</v>
      </c>
    </row>
    <row r="600" customFormat="false" ht="15" hidden="false" customHeight="false" outlineLevel="0" collapsed="false">
      <c r="A600" s="21" t="n">
        <v>46105</v>
      </c>
      <c r="B600" s="22" t="s">
        <v>374</v>
      </c>
      <c r="C600" s="22" t="n">
        <v>2</v>
      </c>
      <c r="D600" s="41" t="n">
        <v>4725.854</v>
      </c>
      <c r="E600" s="22" t="n">
        <f aca="false">MONTH(A600)</f>
        <v>3</v>
      </c>
    </row>
    <row r="601" customFormat="false" ht="15" hidden="false" customHeight="false" outlineLevel="0" collapsed="false">
      <c r="A601" s="21" t="n">
        <v>46105</v>
      </c>
      <c r="B601" s="22" t="s">
        <v>375</v>
      </c>
      <c r="C601" s="22" t="n">
        <v>1</v>
      </c>
      <c r="D601" s="41" t="n">
        <v>17588.368</v>
      </c>
      <c r="E601" s="22" t="n">
        <f aca="false">MONTH(A601)</f>
        <v>3</v>
      </c>
    </row>
    <row r="602" customFormat="false" ht="15" hidden="false" customHeight="false" outlineLevel="0" collapsed="false">
      <c r="A602" s="21" t="n">
        <v>46105</v>
      </c>
      <c r="B602" s="22" t="s">
        <v>375</v>
      </c>
      <c r="C602" s="22" t="n">
        <v>2</v>
      </c>
      <c r="D602" s="41" t="n">
        <v>15502.416</v>
      </c>
      <c r="E602" s="22" t="n">
        <f aca="false">MONTH(A602)</f>
        <v>3</v>
      </c>
    </row>
    <row r="603" customFormat="false" ht="15" hidden="false" customHeight="false" outlineLevel="0" collapsed="false">
      <c r="A603" s="21" t="n">
        <v>46105</v>
      </c>
      <c r="B603" s="22" t="s">
        <v>187</v>
      </c>
      <c r="C603" s="22" t="n">
        <v>1</v>
      </c>
      <c r="D603" s="41" t="n">
        <v>4781.42</v>
      </c>
      <c r="E603" s="22" t="n">
        <f aca="false">MONTH(A603)</f>
        <v>3</v>
      </c>
    </row>
    <row r="604" customFormat="false" ht="15" hidden="false" customHeight="false" outlineLevel="0" collapsed="false">
      <c r="A604" s="21" t="n">
        <v>46105</v>
      </c>
      <c r="B604" s="22" t="s">
        <v>359</v>
      </c>
      <c r="C604" s="22" t="n">
        <v>1</v>
      </c>
      <c r="D604" s="41" t="n">
        <v>3807.68</v>
      </c>
      <c r="E604" s="22" t="n">
        <f aca="false">MONTH(A604)</f>
        <v>3</v>
      </c>
    </row>
    <row r="605" customFormat="false" ht="15" hidden="false" customHeight="false" outlineLevel="0" collapsed="false">
      <c r="A605" s="21" t="n">
        <v>46106</v>
      </c>
      <c r="B605" s="22" t="s">
        <v>361</v>
      </c>
      <c r="C605" s="22" t="n">
        <v>1</v>
      </c>
      <c r="D605" s="41" t="n">
        <v>13198.75</v>
      </c>
      <c r="E605" s="22" t="n">
        <f aca="false">MONTH(A605)</f>
        <v>3</v>
      </c>
    </row>
    <row r="606" customFormat="false" ht="15" hidden="false" customHeight="false" outlineLevel="0" collapsed="false">
      <c r="A606" s="21" t="n">
        <v>46106</v>
      </c>
      <c r="B606" s="22" t="s">
        <v>186</v>
      </c>
      <c r="C606" s="22" t="n">
        <v>1</v>
      </c>
      <c r="D606" s="41" t="n">
        <v>7188.384</v>
      </c>
      <c r="E606" s="22" t="n">
        <f aca="false">MONTH(A606)</f>
        <v>3</v>
      </c>
    </row>
    <row r="607" customFormat="false" ht="15" hidden="false" customHeight="false" outlineLevel="0" collapsed="false">
      <c r="A607" s="21" t="n">
        <v>46106</v>
      </c>
      <c r="B607" s="22" t="s">
        <v>186</v>
      </c>
      <c r="C607" s="22" t="n">
        <v>2</v>
      </c>
      <c r="D607" s="41" t="n">
        <v>1984.896</v>
      </c>
      <c r="E607" s="22" t="n">
        <f aca="false">MONTH(A607)</f>
        <v>3</v>
      </c>
    </row>
    <row r="608" customFormat="false" ht="15" hidden="false" customHeight="false" outlineLevel="0" collapsed="false">
      <c r="A608" s="21" t="n">
        <v>46106</v>
      </c>
      <c r="B608" s="22" t="s">
        <v>374</v>
      </c>
      <c r="C608" s="22" t="n">
        <v>2</v>
      </c>
      <c r="D608" s="41" t="n">
        <v>3180.394</v>
      </c>
      <c r="E608" s="22" t="n">
        <f aca="false">MONTH(A608)</f>
        <v>3</v>
      </c>
    </row>
    <row r="609" customFormat="false" ht="15" hidden="false" customHeight="false" outlineLevel="0" collapsed="false">
      <c r="A609" s="21" t="n">
        <v>46106</v>
      </c>
      <c r="B609" s="22" t="s">
        <v>375</v>
      </c>
      <c r="C609" s="22" t="n">
        <v>2</v>
      </c>
      <c r="D609" s="41" t="n">
        <v>18429.86</v>
      </c>
      <c r="E609" s="22" t="n">
        <f aca="false">MONTH(A609)</f>
        <v>3</v>
      </c>
    </row>
    <row r="610" customFormat="false" ht="15" hidden="false" customHeight="false" outlineLevel="0" collapsed="false">
      <c r="A610" s="21" t="n">
        <v>46106</v>
      </c>
      <c r="B610" s="22" t="s">
        <v>187</v>
      </c>
      <c r="C610" s="22" t="n">
        <v>1</v>
      </c>
      <c r="D610" s="41" t="n">
        <v>8467.795</v>
      </c>
      <c r="E610" s="22" t="n">
        <f aca="false">MONTH(A610)</f>
        <v>3</v>
      </c>
    </row>
    <row r="611" customFormat="false" ht="15" hidden="false" customHeight="false" outlineLevel="0" collapsed="false">
      <c r="A611" s="21" t="n">
        <v>46106</v>
      </c>
      <c r="B611" s="22" t="s">
        <v>189</v>
      </c>
      <c r="C611" s="22" t="n">
        <v>2</v>
      </c>
      <c r="D611" s="41" t="n">
        <v>14023.8</v>
      </c>
      <c r="E611" s="22" t="n">
        <f aca="false">MONTH(A611)</f>
        <v>3</v>
      </c>
    </row>
    <row r="612" customFormat="false" ht="15" hidden="false" customHeight="false" outlineLevel="0" collapsed="false">
      <c r="A612" s="21" t="n">
        <v>46106</v>
      </c>
      <c r="B612" s="22" t="s">
        <v>359</v>
      </c>
      <c r="C612" s="22" t="n">
        <v>1</v>
      </c>
      <c r="D612" s="41" t="n">
        <v>3398.88</v>
      </c>
      <c r="E612" s="22" t="n">
        <f aca="false">MONTH(A612)</f>
        <v>3</v>
      </c>
    </row>
    <row r="613" customFormat="false" ht="15" hidden="false" customHeight="false" outlineLevel="0" collapsed="false">
      <c r="A613" s="21" t="n">
        <v>46107</v>
      </c>
      <c r="B613" s="22" t="s">
        <v>361</v>
      </c>
      <c r="C613" s="22" t="n">
        <v>1</v>
      </c>
      <c r="D613" s="41" t="n">
        <v>21593.28</v>
      </c>
      <c r="E613" s="22" t="n">
        <f aca="false">MONTH(A613)</f>
        <v>3</v>
      </c>
    </row>
    <row r="614" customFormat="false" ht="15" hidden="false" customHeight="false" outlineLevel="0" collapsed="false">
      <c r="A614" s="21" t="n">
        <v>46107</v>
      </c>
      <c r="B614" s="22" t="s">
        <v>186</v>
      </c>
      <c r="C614" s="22" t="n">
        <v>1</v>
      </c>
      <c r="D614" s="41" t="n">
        <v>9800.424</v>
      </c>
      <c r="E614" s="22" t="n">
        <f aca="false">MONTH(A614)</f>
        <v>3</v>
      </c>
    </row>
    <row r="615" customFormat="false" ht="15" hidden="false" customHeight="false" outlineLevel="0" collapsed="false">
      <c r="A615" s="21" t="n">
        <v>46107</v>
      </c>
      <c r="B615" s="22" t="s">
        <v>186</v>
      </c>
      <c r="C615" s="22" t="n">
        <v>2</v>
      </c>
      <c r="D615" s="41" t="n">
        <v>9273.186</v>
      </c>
      <c r="E615" s="22" t="n">
        <f aca="false">MONTH(A615)</f>
        <v>3</v>
      </c>
    </row>
    <row r="616" customFormat="false" ht="15" hidden="false" customHeight="false" outlineLevel="0" collapsed="false">
      <c r="A616" s="21" t="n">
        <v>46107</v>
      </c>
      <c r="B616" s="22" t="s">
        <v>374</v>
      </c>
      <c r="C616" s="22" t="n">
        <v>2</v>
      </c>
      <c r="D616" s="41" t="n">
        <v>894.74</v>
      </c>
      <c r="E616" s="22" t="n">
        <f aca="false">MONTH(A616)</f>
        <v>3</v>
      </c>
    </row>
    <row r="617" customFormat="false" ht="15" hidden="false" customHeight="false" outlineLevel="0" collapsed="false">
      <c r="A617" s="21" t="n">
        <v>46107</v>
      </c>
      <c r="B617" s="22" t="s">
        <v>375</v>
      </c>
      <c r="C617" s="22" t="n">
        <v>2</v>
      </c>
      <c r="D617" s="41" t="n">
        <v>9769.356</v>
      </c>
      <c r="E617" s="22" t="n">
        <f aca="false">MONTH(A617)</f>
        <v>3</v>
      </c>
    </row>
    <row r="618" customFormat="false" ht="15" hidden="false" customHeight="false" outlineLevel="0" collapsed="false">
      <c r="A618" s="21" t="n">
        <v>46107</v>
      </c>
      <c r="B618" s="22" t="s">
        <v>187</v>
      </c>
      <c r="C618" s="22" t="n">
        <v>1</v>
      </c>
      <c r="D618" s="41" t="n">
        <v>9737.14</v>
      </c>
      <c r="E618" s="22" t="n">
        <f aca="false">MONTH(A618)</f>
        <v>3</v>
      </c>
    </row>
    <row r="619" customFormat="false" ht="15" hidden="false" customHeight="false" outlineLevel="0" collapsed="false">
      <c r="A619" s="21" t="n">
        <v>46107</v>
      </c>
      <c r="B619" s="22" t="s">
        <v>189</v>
      </c>
      <c r="C619" s="22" t="n">
        <v>2</v>
      </c>
      <c r="D619" s="41" t="n">
        <v>12926.7</v>
      </c>
      <c r="E619" s="22" t="n">
        <f aca="false">MONTH(A619)</f>
        <v>3</v>
      </c>
    </row>
    <row r="620" customFormat="false" ht="15" hidden="false" customHeight="false" outlineLevel="0" collapsed="false">
      <c r="A620" s="21" t="n">
        <v>46107</v>
      </c>
      <c r="B620" s="22" t="s">
        <v>359</v>
      </c>
      <c r="C620" s="22" t="n">
        <v>1</v>
      </c>
      <c r="D620" s="41" t="n">
        <v>2172.48</v>
      </c>
      <c r="E620" s="22" t="n">
        <f aca="false">MONTH(A620)</f>
        <v>3</v>
      </c>
    </row>
    <row r="621" customFormat="false" ht="15" hidden="false" customHeight="false" outlineLevel="0" collapsed="false">
      <c r="A621" s="21" t="n">
        <v>46108</v>
      </c>
      <c r="B621" s="22" t="s">
        <v>361</v>
      </c>
      <c r="C621" s="22" t="n">
        <v>1</v>
      </c>
      <c r="D621" s="41" t="n">
        <v>15542.31</v>
      </c>
      <c r="E621" s="22" t="n">
        <f aca="false">MONTH(A621)</f>
        <v>3</v>
      </c>
    </row>
    <row r="622" customFormat="false" ht="15" hidden="false" customHeight="false" outlineLevel="0" collapsed="false">
      <c r="A622" s="21" t="n">
        <v>46108</v>
      </c>
      <c r="B622" s="22" t="s">
        <v>186</v>
      </c>
      <c r="C622" s="22" t="n">
        <v>1</v>
      </c>
      <c r="D622" s="41" t="n">
        <v>12653.712</v>
      </c>
      <c r="E622" s="22" t="n">
        <f aca="false">MONTH(A622)</f>
        <v>3</v>
      </c>
    </row>
    <row r="623" customFormat="false" ht="15" hidden="false" customHeight="false" outlineLevel="0" collapsed="false">
      <c r="A623" s="21" t="n">
        <v>46108</v>
      </c>
      <c r="B623" s="22" t="s">
        <v>186</v>
      </c>
      <c r="C623" s="22" t="n">
        <v>2</v>
      </c>
      <c r="D623" s="41" t="n">
        <v>11061.66</v>
      </c>
      <c r="E623" s="22" t="n">
        <f aca="false">MONTH(A623)</f>
        <v>3</v>
      </c>
    </row>
    <row r="624" customFormat="false" ht="15" hidden="false" customHeight="false" outlineLevel="0" collapsed="false">
      <c r="A624" s="21" t="n">
        <v>46108</v>
      </c>
      <c r="B624" s="22" t="s">
        <v>375</v>
      </c>
      <c r="C624" s="22" t="n">
        <v>1</v>
      </c>
      <c r="D624" s="41" t="n">
        <v>18170.976</v>
      </c>
      <c r="E624" s="22" t="n">
        <f aca="false">MONTH(A624)</f>
        <v>3</v>
      </c>
    </row>
    <row r="625" customFormat="false" ht="15" hidden="false" customHeight="false" outlineLevel="0" collapsed="false">
      <c r="A625" s="21" t="n">
        <v>46108</v>
      </c>
      <c r="B625" s="22" t="s">
        <v>375</v>
      </c>
      <c r="C625" s="22" t="n">
        <v>2</v>
      </c>
      <c r="D625" s="41" t="n">
        <v>15637.98</v>
      </c>
      <c r="E625" s="22" t="n">
        <f aca="false">MONTH(A625)</f>
        <v>3</v>
      </c>
    </row>
    <row r="626" customFormat="false" ht="15" hidden="false" customHeight="false" outlineLevel="0" collapsed="false">
      <c r="A626" s="21" t="n">
        <v>46108</v>
      </c>
      <c r="B626" s="22" t="s">
        <v>187</v>
      </c>
      <c r="C626" s="22" t="n">
        <v>1</v>
      </c>
      <c r="D626" s="41" t="n">
        <v>11402.125</v>
      </c>
      <c r="E626" s="22" t="n">
        <f aca="false">MONTH(A626)</f>
        <v>3</v>
      </c>
    </row>
    <row r="627" customFormat="false" ht="15" hidden="false" customHeight="false" outlineLevel="0" collapsed="false">
      <c r="A627" s="21" t="n">
        <v>46108</v>
      </c>
      <c r="B627" s="22" t="s">
        <v>189</v>
      </c>
      <c r="C627" s="22" t="n">
        <v>2</v>
      </c>
      <c r="D627" s="41" t="n">
        <v>14906.25</v>
      </c>
      <c r="E627" s="22" t="n">
        <f aca="false">MONTH(A627)</f>
        <v>3</v>
      </c>
    </row>
    <row r="628" customFormat="false" ht="15" hidden="false" customHeight="false" outlineLevel="0" collapsed="false">
      <c r="A628" s="21" t="n">
        <v>46108</v>
      </c>
      <c r="B628" s="22" t="s">
        <v>359</v>
      </c>
      <c r="C628" s="22" t="n">
        <v>1</v>
      </c>
      <c r="D628" s="41" t="n">
        <v>4099.68</v>
      </c>
      <c r="E628" s="22" t="n">
        <f aca="false">MONTH(A628)</f>
        <v>3</v>
      </c>
    </row>
    <row r="629" customFormat="false" ht="15" hidden="false" customHeight="false" outlineLevel="0" collapsed="false">
      <c r="A629" s="21" t="n">
        <v>46109</v>
      </c>
      <c r="B629" s="22" t="s">
        <v>361</v>
      </c>
      <c r="C629" s="22" t="n">
        <v>1</v>
      </c>
      <c r="D629" s="41" t="n">
        <v>16327.437</v>
      </c>
      <c r="E629" s="22" t="n">
        <f aca="false">MONTH(A629)</f>
        <v>3</v>
      </c>
    </row>
    <row r="630" customFormat="false" ht="15" hidden="false" customHeight="false" outlineLevel="0" collapsed="false">
      <c r="A630" s="21" t="n">
        <v>46109</v>
      </c>
      <c r="B630" s="22" t="s">
        <v>186</v>
      </c>
      <c r="C630" s="22" t="n">
        <v>1</v>
      </c>
      <c r="D630" s="41" t="n">
        <v>11030.646</v>
      </c>
      <c r="E630" s="22" t="n">
        <f aca="false">MONTH(A630)</f>
        <v>3</v>
      </c>
    </row>
    <row r="631" customFormat="false" ht="15" hidden="false" customHeight="false" outlineLevel="0" collapsed="false">
      <c r="A631" s="21" t="n">
        <v>46109</v>
      </c>
      <c r="B631" s="22" t="s">
        <v>186</v>
      </c>
      <c r="C631" s="22" t="n">
        <v>2</v>
      </c>
      <c r="D631" s="41" t="n">
        <v>10162.254</v>
      </c>
      <c r="E631" s="22" t="n">
        <f aca="false">MONTH(A631)</f>
        <v>3</v>
      </c>
    </row>
    <row r="632" customFormat="false" ht="15" hidden="false" customHeight="false" outlineLevel="0" collapsed="false">
      <c r="A632" s="21" t="n">
        <v>46109</v>
      </c>
      <c r="B632" s="22" t="s">
        <v>375</v>
      </c>
      <c r="C632" s="22" t="n">
        <v>1</v>
      </c>
      <c r="D632" s="41" t="n">
        <v>14995.812</v>
      </c>
      <c r="E632" s="22" t="n">
        <f aca="false">MONTH(A632)</f>
        <v>3</v>
      </c>
    </row>
    <row r="633" customFormat="false" ht="15" hidden="false" customHeight="false" outlineLevel="0" collapsed="false">
      <c r="A633" s="21" t="n">
        <v>46109</v>
      </c>
      <c r="B633" s="22" t="s">
        <v>375</v>
      </c>
      <c r="C633" s="22" t="n">
        <v>2</v>
      </c>
      <c r="D633" s="41" t="n">
        <v>15626.088</v>
      </c>
      <c r="E633" s="22" t="n">
        <f aca="false">MONTH(A633)</f>
        <v>3</v>
      </c>
    </row>
    <row r="634" customFormat="false" ht="15" hidden="false" customHeight="false" outlineLevel="0" collapsed="false">
      <c r="A634" s="21" t="n">
        <v>46109</v>
      </c>
      <c r="B634" s="22" t="s">
        <v>187</v>
      </c>
      <c r="C634" s="22" t="n">
        <v>1</v>
      </c>
      <c r="D634" s="41" t="n">
        <v>3698.135</v>
      </c>
      <c r="E634" s="22" t="n">
        <f aca="false">MONTH(A634)</f>
        <v>3</v>
      </c>
    </row>
    <row r="635" customFormat="false" ht="15" hidden="false" customHeight="false" outlineLevel="0" collapsed="false">
      <c r="A635" s="21" t="n">
        <v>46109</v>
      </c>
      <c r="B635" s="22" t="s">
        <v>189</v>
      </c>
      <c r="C635" s="22" t="n">
        <v>2</v>
      </c>
      <c r="D635" s="41" t="n">
        <v>12747.825</v>
      </c>
      <c r="E635" s="22" t="n">
        <f aca="false">MONTH(A635)</f>
        <v>3</v>
      </c>
    </row>
    <row r="636" customFormat="false" ht="15" hidden="false" customHeight="false" outlineLevel="0" collapsed="false">
      <c r="A636" s="21" t="n">
        <v>46109</v>
      </c>
      <c r="B636" s="22" t="s">
        <v>359</v>
      </c>
      <c r="C636" s="22" t="n">
        <v>1</v>
      </c>
      <c r="D636" s="41" t="n">
        <v>4742.08</v>
      </c>
      <c r="E636" s="22" t="n">
        <f aca="false">MONTH(A636)</f>
        <v>3</v>
      </c>
    </row>
    <row r="637" customFormat="false" ht="15" hidden="false" customHeight="false" outlineLevel="0" collapsed="false">
      <c r="A637" s="21" t="n">
        <v>46111</v>
      </c>
      <c r="B637" s="22" t="s">
        <v>361</v>
      </c>
      <c r="C637" s="22" t="n">
        <v>1</v>
      </c>
      <c r="D637" s="41" t="n">
        <v>22544.361</v>
      </c>
      <c r="E637" s="22" t="n">
        <f aca="false">MONTH(A637)</f>
        <v>3</v>
      </c>
    </row>
    <row r="638" customFormat="false" ht="15" hidden="false" customHeight="false" outlineLevel="0" collapsed="false">
      <c r="A638" s="21" t="n">
        <v>46111</v>
      </c>
      <c r="B638" s="22" t="s">
        <v>186</v>
      </c>
      <c r="C638" s="22" t="n">
        <v>1</v>
      </c>
      <c r="D638" s="41" t="n">
        <v>10286.31</v>
      </c>
      <c r="E638" s="22" t="n">
        <f aca="false">MONTH(A638)</f>
        <v>3</v>
      </c>
    </row>
    <row r="639" customFormat="false" ht="15" hidden="false" customHeight="false" outlineLevel="0" collapsed="false">
      <c r="A639" s="21" t="n">
        <v>46111</v>
      </c>
      <c r="B639" s="22" t="s">
        <v>186</v>
      </c>
      <c r="C639" s="22" t="n">
        <v>2</v>
      </c>
      <c r="D639" s="41" t="n">
        <v>8787.3</v>
      </c>
      <c r="E639" s="22" t="n">
        <f aca="false">MONTH(A639)</f>
        <v>3</v>
      </c>
    </row>
    <row r="640" customFormat="false" ht="15" hidden="false" customHeight="false" outlineLevel="0" collapsed="false">
      <c r="A640" s="21" t="n">
        <v>46111</v>
      </c>
      <c r="B640" s="22" t="s">
        <v>188</v>
      </c>
      <c r="C640" s="22" t="n">
        <v>1</v>
      </c>
      <c r="D640" s="41" t="n">
        <v>1896.3</v>
      </c>
      <c r="E640" s="22" t="n">
        <f aca="false">MONTH(A640)</f>
        <v>3</v>
      </c>
    </row>
    <row r="641" customFormat="false" ht="15" hidden="false" customHeight="false" outlineLevel="0" collapsed="false">
      <c r="A641" s="21" t="n">
        <v>46111</v>
      </c>
      <c r="B641" s="22" t="s">
        <v>188</v>
      </c>
      <c r="C641" s="22" t="n">
        <v>2</v>
      </c>
      <c r="D641" s="41" t="n">
        <v>965.3</v>
      </c>
      <c r="E641" s="22" t="n">
        <f aca="false">MONTH(A641)</f>
        <v>3</v>
      </c>
    </row>
    <row r="642" customFormat="false" ht="15" hidden="false" customHeight="false" outlineLevel="0" collapsed="false">
      <c r="A642" s="21" t="n">
        <v>46111</v>
      </c>
      <c r="B642" s="22" t="s">
        <v>375</v>
      </c>
      <c r="C642" s="22" t="n">
        <v>1</v>
      </c>
      <c r="D642" s="41" t="n">
        <v>15126.624</v>
      </c>
      <c r="E642" s="22" t="n">
        <f aca="false">MONTH(A642)</f>
        <v>3</v>
      </c>
    </row>
    <row r="643" customFormat="false" ht="15" hidden="false" customHeight="false" outlineLevel="0" collapsed="false">
      <c r="A643" s="21" t="n">
        <v>46111</v>
      </c>
      <c r="B643" s="22" t="s">
        <v>187</v>
      </c>
      <c r="C643" s="22" t="n">
        <v>1</v>
      </c>
      <c r="D643" s="41" t="n">
        <v>1774.773</v>
      </c>
      <c r="E643" s="22" t="n">
        <f aca="false">MONTH(A643)</f>
        <v>3</v>
      </c>
    </row>
    <row r="644" customFormat="false" ht="15" hidden="false" customHeight="false" outlineLevel="0" collapsed="false">
      <c r="A644" s="21" t="n">
        <v>46111</v>
      </c>
      <c r="B644" s="22" t="s">
        <v>189</v>
      </c>
      <c r="C644" s="22" t="n">
        <v>1</v>
      </c>
      <c r="D644" s="41" t="n">
        <v>13892.625</v>
      </c>
      <c r="E644" s="22" t="n">
        <f aca="false">MONTH(A644)</f>
        <v>3</v>
      </c>
    </row>
    <row r="645" customFormat="false" ht="15" hidden="false" customHeight="false" outlineLevel="0" collapsed="false">
      <c r="A645" s="21" t="n">
        <v>46111</v>
      </c>
      <c r="B645" s="22" t="s">
        <v>189</v>
      </c>
      <c r="C645" s="22" t="n">
        <v>2</v>
      </c>
      <c r="D645" s="41" t="n">
        <v>12413.925</v>
      </c>
      <c r="E645" s="22" t="n">
        <f aca="false">MONTH(A645)</f>
        <v>3</v>
      </c>
    </row>
    <row r="646" customFormat="false" ht="15" hidden="false" customHeight="false" outlineLevel="0" collapsed="false">
      <c r="A646" s="21" t="n">
        <v>46111</v>
      </c>
      <c r="B646" s="22" t="s">
        <v>359</v>
      </c>
      <c r="C646" s="22" t="n">
        <v>1</v>
      </c>
      <c r="D646" s="41" t="n">
        <v>4800.48</v>
      </c>
      <c r="E646" s="22" t="n">
        <f aca="false">MONTH(A646)</f>
        <v>3</v>
      </c>
    </row>
    <row r="647" customFormat="false" ht="15" hidden="false" customHeight="false" outlineLevel="0" collapsed="false">
      <c r="A647" s="21" t="n">
        <v>46112</v>
      </c>
      <c r="B647" s="22" t="s">
        <v>359</v>
      </c>
      <c r="C647" s="22" t="n">
        <v>1</v>
      </c>
      <c r="D647" s="41" t="n">
        <v>338.72</v>
      </c>
      <c r="E647" s="22" t="n">
        <f aca="false">MONTH(A647)</f>
        <v>3</v>
      </c>
    </row>
    <row r="648" customFormat="false" ht="15" hidden="false" customHeight="false" outlineLevel="0" collapsed="false">
      <c r="A648" s="21" t="n">
        <v>46113</v>
      </c>
      <c r="B648" s="22" t="s">
        <v>361</v>
      </c>
      <c r="C648" s="22" t="n">
        <v>1</v>
      </c>
      <c r="D648" s="41" t="n">
        <v>10927.686</v>
      </c>
      <c r="E648" s="22" t="n">
        <f aca="false">MONTH(A648)</f>
        <v>4</v>
      </c>
    </row>
    <row r="649" customFormat="false" ht="15" hidden="false" customHeight="false" outlineLevel="0" collapsed="false">
      <c r="A649" s="21" t="n">
        <v>46113</v>
      </c>
      <c r="B649" s="22" t="s">
        <v>186</v>
      </c>
      <c r="C649" s="22" t="n">
        <v>1</v>
      </c>
      <c r="D649" s="41" t="n">
        <v>11794.992</v>
      </c>
      <c r="E649" s="22" t="n">
        <f aca="false">MONTH(A649)</f>
        <v>4</v>
      </c>
    </row>
    <row r="650" customFormat="false" ht="15" hidden="false" customHeight="false" outlineLevel="0" collapsed="false">
      <c r="A650" s="21" t="n">
        <v>46113</v>
      </c>
      <c r="B650" s="22" t="s">
        <v>186</v>
      </c>
      <c r="C650" s="22" t="n">
        <v>2</v>
      </c>
      <c r="D650" s="41" t="n">
        <v>11748</v>
      </c>
      <c r="E650" s="22" t="n">
        <f aca="false">MONTH(A650)</f>
        <v>4</v>
      </c>
    </row>
    <row r="651" customFormat="false" ht="15" hidden="false" customHeight="false" outlineLevel="0" collapsed="false">
      <c r="A651" s="21" t="n">
        <v>46113</v>
      </c>
      <c r="B651" s="22" t="s">
        <v>188</v>
      </c>
      <c r="C651" s="22" t="n">
        <v>1</v>
      </c>
      <c r="D651" s="41" t="n">
        <v>2273.6</v>
      </c>
      <c r="E651" s="22" t="n">
        <f aca="false">MONTH(A651)</f>
        <v>4</v>
      </c>
    </row>
    <row r="652" customFormat="false" ht="15" hidden="false" customHeight="false" outlineLevel="0" collapsed="false">
      <c r="A652" s="21" t="n">
        <v>46113</v>
      </c>
      <c r="B652" s="22" t="s">
        <v>375</v>
      </c>
      <c r="C652" s="22" t="n">
        <v>1</v>
      </c>
      <c r="D652" s="41" t="n">
        <v>16363.392</v>
      </c>
      <c r="E652" s="22" t="n">
        <f aca="false">MONTH(A652)</f>
        <v>4</v>
      </c>
    </row>
    <row r="653" customFormat="false" ht="15" hidden="false" customHeight="false" outlineLevel="0" collapsed="false">
      <c r="A653" s="21" t="n">
        <v>46113</v>
      </c>
      <c r="B653" s="22" t="s">
        <v>187</v>
      </c>
      <c r="C653" s="22" t="n">
        <v>1</v>
      </c>
      <c r="D653" s="41" t="n">
        <v>1905.384</v>
      </c>
      <c r="E653" s="22" t="n">
        <f aca="false">MONTH(A653)</f>
        <v>4</v>
      </c>
    </row>
    <row r="654" customFormat="false" ht="15" hidden="false" customHeight="false" outlineLevel="0" collapsed="false">
      <c r="A654" s="21" t="n">
        <v>46113</v>
      </c>
      <c r="B654" s="22" t="s">
        <v>189</v>
      </c>
      <c r="C654" s="22" t="n">
        <v>1</v>
      </c>
      <c r="D654" s="41" t="n">
        <v>14429.25</v>
      </c>
      <c r="E654" s="22" t="n">
        <f aca="false">MONTH(A654)</f>
        <v>4</v>
      </c>
    </row>
    <row r="655" customFormat="false" ht="15" hidden="false" customHeight="false" outlineLevel="0" collapsed="false">
      <c r="A655" s="21" t="n">
        <v>46113</v>
      </c>
      <c r="B655" s="22" t="s">
        <v>189</v>
      </c>
      <c r="C655" s="22" t="n">
        <v>2</v>
      </c>
      <c r="D655" s="41" t="n">
        <v>14262.3</v>
      </c>
      <c r="E655" s="22" t="n">
        <f aca="false">MONTH(A655)</f>
        <v>4</v>
      </c>
    </row>
    <row r="656" customFormat="false" ht="15" hidden="false" customHeight="false" outlineLevel="0" collapsed="false">
      <c r="A656" s="21" t="n">
        <v>46113</v>
      </c>
      <c r="B656" s="22" t="s">
        <v>359</v>
      </c>
      <c r="C656" s="22" t="n">
        <v>1</v>
      </c>
      <c r="D656" s="41" t="n">
        <v>4017.92</v>
      </c>
      <c r="E656" s="22" t="n">
        <f aca="false">MONTH(A656)</f>
        <v>4</v>
      </c>
    </row>
    <row r="657" customFormat="false" ht="15" hidden="false" customHeight="false" outlineLevel="0" collapsed="false">
      <c r="A657" s="21" t="n">
        <v>46116</v>
      </c>
      <c r="B657" s="22" t="s">
        <v>361</v>
      </c>
      <c r="C657" s="22" t="n">
        <v>1</v>
      </c>
      <c r="D657" s="41" t="n">
        <v>16378.874</v>
      </c>
      <c r="E657" s="22" t="n">
        <f aca="false">MONTH(A657)</f>
        <v>4</v>
      </c>
    </row>
    <row r="658" customFormat="false" ht="15" hidden="false" customHeight="false" outlineLevel="0" collapsed="false">
      <c r="A658" s="21" t="n">
        <v>46116</v>
      </c>
      <c r="B658" s="22" t="s">
        <v>186</v>
      </c>
      <c r="C658" s="22" t="n">
        <v>1</v>
      </c>
      <c r="D658" s="41" t="n">
        <v>9280.92</v>
      </c>
      <c r="E658" s="22" t="n">
        <f aca="false">MONTH(A658)</f>
        <v>4</v>
      </c>
    </row>
    <row r="659" customFormat="false" ht="15" hidden="false" customHeight="false" outlineLevel="0" collapsed="false">
      <c r="A659" s="21" t="n">
        <v>46116</v>
      </c>
      <c r="B659" s="22" t="s">
        <v>186</v>
      </c>
      <c r="C659" s="22" t="n">
        <v>2</v>
      </c>
      <c r="D659" s="41" t="n">
        <v>4264.524</v>
      </c>
      <c r="E659" s="22" t="n">
        <f aca="false">MONTH(A659)</f>
        <v>4</v>
      </c>
    </row>
    <row r="660" customFormat="false" ht="15" hidden="false" customHeight="false" outlineLevel="0" collapsed="false">
      <c r="A660" s="21" t="n">
        <v>46116</v>
      </c>
      <c r="B660" s="22" t="s">
        <v>188</v>
      </c>
      <c r="C660" s="22" t="n">
        <v>1</v>
      </c>
      <c r="D660" s="41" t="n">
        <v>1778.7</v>
      </c>
      <c r="E660" s="22" t="n">
        <f aca="false">MONTH(A660)</f>
        <v>4</v>
      </c>
    </row>
    <row r="661" customFormat="false" ht="15" hidden="false" customHeight="false" outlineLevel="0" collapsed="false">
      <c r="A661" s="21" t="n">
        <v>46116</v>
      </c>
      <c r="B661" s="22" t="s">
        <v>375</v>
      </c>
      <c r="C661" s="22" t="n">
        <v>1</v>
      </c>
      <c r="D661" s="41" t="n">
        <v>15376.356</v>
      </c>
      <c r="E661" s="22" t="n">
        <f aca="false">MONTH(A661)</f>
        <v>4</v>
      </c>
    </row>
    <row r="662" customFormat="false" ht="15" hidden="false" customHeight="false" outlineLevel="0" collapsed="false">
      <c r="A662" s="21" t="n">
        <v>46116</v>
      </c>
      <c r="B662" s="22" t="s">
        <v>187</v>
      </c>
      <c r="C662" s="22" t="n">
        <v>1</v>
      </c>
      <c r="D662" s="41" t="n">
        <v>1977.092</v>
      </c>
      <c r="E662" s="22" t="n">
        <f aca="false">MONTH(A662)</f>
        <v>4</v>
      </c>
    </row>
    <row r="663" customFormat="false" ht="15" hidden="false" customHeight="false" outlineLevel="0" collapsed="false">
      <c r="A663" s="21" t="n">
        <v>46116</v>
      </c>
      <c r="B663" s="22" t="s">
        <v>189</v>
      </c>
      <c r="C663" s="22" t="n">
        <v>1</v>
      </c>
      <c r="D663" s="41" t="n">
        <v>13451.4</v>
      </c>
      <c r="E663" s="22" t="n">
        <f aca="false">MONTH(A663)</f>
        <v>4</v>
      </c>
    </row>
    <row r="664" customFormat="false" ht="15" hidden="false" customHeight="false" outlineLevel="0" collapsed="false">
      <c r="A664" s="21" t="n">
        <v>46116</v>
      </c>
      <c r="B664" s="22" t="s">
        <v>189</v>
      </c>
      <c r="C664" s="22" t="n">
        <v>2</v>
      </c>
      <c r="D664" s="41" t="n">
        <v>13034.025</v>
      </c>
      <c r="E664" s="22" t="n">
        <f aca="false">MONTH(A664)</f>
        <v>4</v>
      </c>
    </row>
    <row r="665" customFormat="false" ht="15" hidden="false" customHeight="false" outlineLevel="0" collapsed="false">
      <c r="A665" s="21" t="n">
        <v>46116</v>
      </c>
      <c r="B665" s="22" t="s">
        <v>359</v>
      </c>
      <c r="C665" s="22" t="n">
        <v>1</v>
      </c>
      <c r="D665" s="41" t="n">
        <v>3784.32</v>
      </c>
      <c r="E665" s="22" t="n">
        <f aca="false">MONTH(A665)</f>
        <v>4</v>
      </c>
    </row>
    <row r="666" customFormat="false" ht="15" hidden="false" customHeight="false" outlineLevel="0" collapsed="false">
      <c r="A666" s="21" t="n">
        <v>46118</v>
      </c>
      <c r="B666" s="22" t="s">
        <v>361</v>
      </c>
      <c r="C666" s="22" t="n">
        <v>2</v>
      </c>
      <c r="D666" s="41" t="n">
        <v>17377.742</v>
      </c>
      <c r="E666" s="22" t="n">
        <f aca="false">MONTH(A666)</f>
        <v>4</v>
      </c>
    </row>
    <row r="667" customFormat="false" ht="15" hidden="false" customHeight="false" outlineLevel="0" collapsed="false">
      <c r="A667" s="21" t="n">
        <v>46118</v>
      </c>
      <c r="B667" s="22" t="s">
        <v>362</v>
      </c>
      <c r="C667" s="22" t="n">
        <v>1</v>
      </c>
      <c r="D667" s="41" t="n">
        <v>3915.24</v>
      </c>
      <c r="E667" s="22" t="n">
        <f aca="false">MONTH(A667)</f>
        <v>4</v>
      </c>
    </row>
    <row r="668" customFormat="false" ht="15" hidden="false" customHeight="false" outlineLevel="0" collapsed="false">
      <c r="A668" s="21" t="n">
        <v>46118</v>
      </c>
      <c r="B668" s="22" t="s">
        <v>186</v>
      </c>
      <c r="C668" s="22" t="n">
        <v>1</v>
      </c>
      <c r="D668" s="41" t="n">
        <v>7609.55</v>
      </c>
      <c r="E668" s="22" t="n">
        <f aca="false">MONTH(A668)</f>
        <v>4</v>
      </c>
    </row>
    <row r="669" customFormat="false" ht="15" hidden="false" customHeight="false" outlineLevel="0" collapsed="false">
      <c r="A669" s="21" t="n">
        <v>46118</v>
      </c>
      <c r="B669" s="22" t="s">
        <v>186</v>
      </c>
      <c r="C669" s="22" t="n">
        <v>2</v>
      </c>
      <c r="D669" s="41" t="n">
        <v>12241.45</v>
      </c>
      <c r="E669" s="22" t="n">
        <f aca="false">MONTH(A669)</f>
        <v>4</v>
      </c>
    </row>
    <row r="670" customFormat="false" ht="15" hidden="false" customHeight="false" outlineLevel="0" collapsed="false">
      <c r="A670" s="21" t="n">
        <v>46118</v>
      </c>
      <c r="B670" s="22" t="s">
        <v>374</v>
      </c>
      <c r="C670" s="22" t="n">
        <v>1</v>
      </c>
      <c r="D670" s="41" t="n">
        <v>5298.216</v>
      </c>
      <c r="E670" s="22" t="n">
        <f aca="false">MONTH(A670)</f>
        <v>4</v>
      </c>
    </row>
    <row r="671" customFormat="false" ht="15" hidden="false" customHeight="false" outlineLevel="0" collapsed="false">
      <c r="A671" s="21" t="n">
        <v>46118</v>
      </c>
      <c r="B671" s="22" t="s">
        <v>375</v>
      </c>
      <c r="C671" s="22" t="n">
        <v>1</v>
      </c>
      <c r="D671" s="41" t="n">
        <v>15316.896</v>
      </c>
      <c r="E671" s="22" t="n">
        <f aca="false">MONTH(A671)</f>
        <v>4</v>
      </c>
    </row>
    <row r="672" customFormat="false" ht="15" hidden="false" customHeight="false" outlineLevel="0" collapsed="false">
      <c r="A672" s="21" t="n">
        <v>46118</v>
      </c>
      <c r="B672" s="22" t="s">
        <v>375</v>
      </c>
      <c r="C672" s="22" t="n">
        <v>2</v>
      </c>
      <c r="D672" s="41" t="n">
        <v>13616.34</v>
      </c>
      <c r="E672" s="22" t="n">
        <f aca="false">MONTH(A672)</f>
        <v>4</v>
      </c>
    </row>
    <row r="673" customFormat="false" ht="15" hidden="false" customHeight="false" outlineLevel="0" collapsed="false">
      <c r="A673" s="21" t="n">
        <v>46118</v>
      </c>
      <c r="B673" s="22" t="s">
        <v>187</v>
      </c>
      <c r="C673" s="22" t="n">
        <v>1</v>
      </c>
      <c r="D673" s="41" t="n">
        <v>2286.973</v>
      </c>
      <c r="E673" s="22" t="n">
        <f aca="false">MONTH(A673)</f>
        <v>4</v>
      </c>
    </row>
    <row r="674" customFormat="false" ht="15" hidden="false" customHeight="false" outlineLevel="0" collapsed="false">
      <c r="A674" s="21" t="n">
        <v>46118</v>
      </c>
      <c r="B674" s="22" t="s">
        <v>189</v>
      </c>
      <c r="C674" s="22" t="n">
        <v>1</v>
      </c>
      <c r="D674" s="41" t="n">
        <v>7095.375</v>
      </c>
      <c r="E674" s="22" t="n">
        <f aca="false">MONTH(A674)</f>
        <v>4</v>
      </c>
    </row>
    <row r="675" customFormat="false" ht="15" hidden="false" customHeight="false" outlineLevel="0" collapsed="false">
      <c r="A675" s="21" t="n">
        <v>46119</v>
      </c>
      <c r="B675" s="22" t="s">
        <v>361</v>
      </c>
      <c r="C675" s="22" t="n">
        <v>2</v>
      </c>
      <c r="D675" s="41" t="n">
        <v>28681.916</v>
      </c>
      <c r="E675" s="22" t="n">
        <f aca="false">MONTH(A675)</f>
        <v>4</v>
      </c>
    </row>
    <row r="676" customFormat="false" ht="15" hidden="false" customHeight="false" outlineLevel="0" collapsed="false">
      <c r="A676" s="21" t="n">
        <v>46119</v>
      </c>
      <c r="B676" s="22" t="s">
        <v>362</v>
      </c>
      <c r="C676" s="22" t="n">
        <v>1</v>
      </c>
      <c r="D676" s="41" t="n">
        <v>3493.98</v>
      </c>
      <c r="E676" s="22" t="n">
        <f aca="false">MONTH(A676)</f>
        <v>4</v>
      </c>
    </row>
    <row r="677" customFormat="false" ht="15" hidden="false" customHeight="false" outlineLevel="0" collapsed="false">
      <c r="A677" s="21" t="n">
        <v>46119</v>
      </c>
      <c r="B677" s="22" t="s">
        <v>186</v>
      </c>
      <c r="C677" s="22" t="n">
        <v>1</v>
      </c>
      <c r="D677" s="41" t="n">
        <v>10103.65</v>
      </c>
      <c r="E677" s="22" t="n">
        <f aca="false">MONTH(A677)</f>
        <v>4</v>
      </c>
    </row>
    <row r="678" customFormat="false" ht="15" hidden="false" customHeight="false" outlineLevel="0" collapsed="false">
      <c r="A678" s="21" t="n">
        <v>46119</v>
      </c>
      <c r="B678" s="22" t="s">
        <v>186</v>
      </c>
      <c r="C678" s="22" t="n">
        <v>2</v>
      </c>
      <c r="D678" s="41" t="n">
        <v>8271.25</v>
      </c>
      <c r="E678" s="22" t="n">
        <f aca="false">MONTH(A678)</f>
        <v>4</v>
      </c>
    </row>
    <row r="679" customFormat="false" ht="15" hidden="false" customHeight="false" outlineLevel="0" collapsed="false">
      <c r="A679" s="21" t="n">
        <v>46119</v>
      </c>
      <c r="B679" s="22" t="s">
        <v>374</v>
      </c>
      <c r="C679" s="22" t="n">
        <v>1</v>
      </c>
      <c r="D679" s="41" t="n">
        <v>7809.144</v>
      </c>
      <c r="E679" s="22" t="n">
        <f aca="false">MONTH(A679)</f>
        <v>4</v>
      </c>
    </row>
    <row r="680" customFormat="false" ht="15" hidden="false" customHeight="false" outlineLevel="0" collapsed="false">
      <c r="A680" s="21" t="n">
        <v>46119</v>
      </c>
      <c r="B680" s="22" t="s">
        <v>375</v>
      </c>
      <c r="C680" s="22" t="n">
        <v>1</v>
      </c>
      <c r="D680" s="41" t="n">
        <v>14720.184</v>
      </c>
      <c r="E680" s="22" t="n">
        <f aca="false">MONTH(A680)</f>
        <v>4</v>
      </c>
    </row>
    <row r="681" customFormat="false" ht="15" hidden="false" customHeight="false" outlineLevel="0" collapsed="false">
      <c r="A681" s="21" t="n">
        <v>46119</v>
      </c>
      <c r="B681" s="22" t="s">
        <v>375</v>
      </c>
      <c r="C681" s="22" t="n">
        <v>2</v>
      </c>
      <c r="D681" s="41" t="n">
        <v>19295.056</v>
      </c>
      <c r="E681" s="22" t="n">
        <f aca="false">MONTH(A681)</f>
        <v>4</v>
      </c>
    </row>
    <row r="682" customFormat="false" ht="15" hidden="false" customHeight="false" outlineLevel="0" collapsed="false">
      <c r="A682" s="21" t="n">
        <v>46119</v>
      </c>
      <c r="B682" s="22" t="s">
        <v>187</v>
      </c>
      <c r="C682" s="22" t="n">
        <v>1</v>
      </c>
      <c r="D682" s="41" t="n">
        <v>2012.946</v>
      </c>
      <c r="E682" s="22" t="n">
        <f aca="false">MONTH(A682)</f>
        <v>4</v>
      </c>
    </row>
    <row r="683" customFormat="false" ht="15" hidden="false" customHeight="false" outlineLevel="0" collapsed="false">
      <c r="A683" s="21" t="n">
        <v>46119</v>
      </c>
      <c r="B683" s="22" t="s">
        <v>189</v>
      </c>
      <c r="C683" s="22" t="n">
        <v>1</v>
      </c>
      <c r="D683" s="41" t="n">
        <v>8126.692</v>
      </c>
      <c r="E683" s="22" t="n">
        <f aca="false">MONTH(A683)</f>
        <v>4</v>
      </c>
    </row>
    <row r="684" customFormat="false" ht="15" hidden="false" customHeight="false" outlineLevel="0" collapsed="false">
      <c r="A684" s="21" t="n">
        <v>46120</v>
      </c>
      <c r="B684" s="22" t="s">
        <v>361</v>
      </c>
      <c r="C684" s="22" t="n">
        <v>2</v>
      </c>
      <c r="D684" s="41" t="n">
        <v>14154.1</v>
      </c>
      <c r="E684" s="22" t="n">
        <f aca="false">MONTH(A684)</f>
        <v>4</v>
      </c>
    </row>
    <row r="685" customFormat="false" ht="15" hidden="false" customHeight="false" outlineLevel="0" collapsed="false">
      <c r="A685" s="21" t="n">
        <v>46120</v>
      </c>
      <c r="B685" s="22" t="s">
        <v>362</v>
      </c>
      <c r="C685" s="22" t="n">
        <v>1</v>
      </c>
      <c r="D685" s="41" t="n">
        <v>5462.479</v>
      </c>
      <c r="E685" s="22" t="n">
        <f aca="false">MONTH(A685)</f>
        <v>4</v>
      </c>
    </row>
    <row r="686" customFormat="false" ht="15" hidden="false" customHeight="false" outlineLevel="0" collapsed="false">
      <c r="A686" s="21" t="n">
        <v>46120</v>
      </c>
      <c r="B686" s="22" t="s">
        <v>186</v>
      </c>
      <c r="C686" s="22" t="n">
        <v>1</v>
      </c>
      <c r="D686" s="41" t="n">
        <v>9416.5</v>
      </c>
      <c r="E686" s="22" t="n">
        <f aca="false">MONTH(A686)</f>
        <v>4</v>
      </c>
    </row>
    <row r="687" customFormat="false" ht="15" hidden="false" customHeight="false" outlineLevel="0" collapsed="false">
      <c r="A687" s="21" t="n">
        <v>46120</v>
      </c>
      <c r="B687" s="22" t="s">
        <v>186</v>
      </c>
      <c r="C687" s="22" t="n">
        <v>2</v>
      </c>
      <c r="D687" s="41" t="n">
        <v>5074.368</v>
      </c>
      <c r="E687" s="22" t="n">
        <f aca="false">MONTH(A687)</f>
        <v>4</v>
      </c>
    </row>
    <row r="688" customFormat="false" ht="15" hidden="false" customHeight="false" outlineLevel="0" collapsed="false">
      <c r="A688" s="21" t="n">
        <v>46120</v>
      </c>
      <c r="B688" s="22" t="s">
        <v>374</v>
      </c>
      <c r="C688" s="22" t="n">
        <v>1</v>
      </c>
      <c r="D688" s="41" t="n">
        <v>8156.568</v>
      </c>
      <c r="E688" s="22" t="n">
        <f aca="false">MONTH(A688)</f>
        <v>4</v>
      </c>
    </row>
    <row r="689" customFormat="false" ht="15" hidden="false" customHeight="false" outlineLevel="0" collapsed="false">
      <c r="A689" s="21" t="n">
        <v>46120</v>
      </c>
      <c r="B689" s="22" t="s">
        <v>375</v>
      </c>
      <c r="C689" s="22" t="n">
        <v>1</v>
      </c>
      <c r="D689" s="41" t="n">
        <v>17955.78</v>
      </c>
      <c r="E689" s="22" t="n">
        <f aca="false">MONTH(A689)</f>
        <v>4</v>
      </c>
    </row>
    <row r="690" customFormat="false" ht="15" hidden="false" customHeight="false" outlineLevel="0" collapsed="false">
      <c r="A690" s="21" t="n">
        <v>46120</v>
      </c>
      <c r="B690" s="22" t="s">
        <v>375</v>
      </c>
      <c r="C690" s="22" t="n">
        <v>2</v>
      </c>
      <c r="D690" s="41" t="n">
        <v>19579.504</v>
      </c>
      <c r="E690" s="22" t="n">
        <f aca="false">MONTH(A690)</f>
        <v>4</v>
      </c>
    </row>
    <row r="691" customFormat="false" ht="15" hidden="false" customHeight="false" outlineLevel="0" collapsed="false">
      <c r="A691" s="21" t="n">
        <v>46120</v>
      </c>
      <c r="B691" s="22" t="s">
        <v>187</v>
      </c>
      <c r="C691" s="22" t="n">
        <v>1</v>
      </c>
      <c r="D691" s="41" t="n">
        <v>2461.121</v>
      </c>
      <c r="E691" s="22" t="n">
        <f aca="false">MONTH(A691)</f>
        <v>4</v>
      </c>
    </row>
    <row r="692" customFormat="false" ht="15" hidden="false" customHeight="false" outlineLevel="0" collapsed="false">
      <c r="A692" s="21" t="n">
        <v>46120</v>
      </c>
      <c r="B692" s="22" t="s">
        <v>189</v>
      </c>
      <c r="C692" s="22" t="n">
        <v>1</v>
      </c>
      <c r="D692" s="41" t="n">
        <v>8013.428</v>
      </c>
      <c r="E692" s="22" t="n">
        <f aca="false">MONTH(A692)</f>
        <v>4</v>
      </c>
    </row>
    <row r="693" customFormat="false" ht="15" hidden="false" customHeight="false" outlineLevel="0" collapsed="false">
      <c r="A693" s="21" t="n">
        <v>46121</v>
      </c>
      <c r="B693" s="22" t="s">
        <v>361</v>
      </c>
      <c r="C693" s="22" t="n">
        <v>2</v>
      </c>
      <c r="D693" s="41" t="n">
        <v>29939.52</v>
      </c>
      <c r="E693" s="22" t="n">
        <f aca="false">MONTH(A693)</f>
        <v>4</v>
      </c>
    </row>
    <row r="694" customFormat="false" ht="15" hidden="false" customHeight="false" outlineLevel="0" collapsed="false">
      <c r="A694" s="21" t="n">
        <v>46121</v>
      </c>
      <c r="B694" s="22" t="s">
        <v>362</v>
      </c>
      <c r="C694" s="22" t="n">
        <v>1</v>
      </c>
      <c r="D694" s="41" t="n">
        <v>5612.054</v>
      </c>
      <c r="E694" s="22" t="n">
        <f aca="false">MONTH(A694)</f>
        <v>4</v>
      </c>
    </row>
    <row r="695" customFormat="false" ht="15" hidden="false" customHeight="false" outlineLevel="0" collapsed="false">
      <c r="A695" s="21" t="n">
        <v>46121</v>
      </c>
      <c r="B695" s="22" t="s">
        <v>186</v>
      </c>
      <c r="C695" s="22" t="n">
        <v>1</v>
      </c>
      <c r="D695" s="41" t="n">
        <v>10208.016</v>
      </c>
      <c r="E695" s="22" t="n">
        <f aca="false">MONTH(A695)</f>
        <v>4</v>
      </c>
    </row>
    <row r="696" customFormat="false" ht="15" hidden="false" customHeight="false" outlineLevel="0" collapsed="false">
      <c r="A696" s="21" t="n">
        <v>46121</v>
      </c>
      <c r="B696" s="22" t="s">
        <v>186</v>
      </c>
      <c r="C696" s="22" t="n">
        <v>2</v>
      </c>
      <c r="D696" s="41" t="n">
        <v>6354.816</v>
      </c>
      <c r="E696" s="22" t="n">
        <f aca="false">MONTH(A696)</f>
        <v>4</v>
      </c>
    </row>
    <row r="697" customFormat="false" ht="15" hidden="false" customHeight="false" outlineLevel="0" collapsed="false">
      <c r="A697" s="21" t="n">
        <v>46121</v>
      </c>
      <c r="B697" s="22" t="s">
        <v>374</v>
      </c>
      <c r="C697" s="22" t="n">
        <v>1</v>
      </c>
      <c r="D697" s="41" t="n">
        <v>7227.981</v>
      </c>
      <c r="E697" s="22" t="n">
        <f aca="false">MONTH(A697)</f>
        <v>4</v>
      </c>
    </row>
    <row r="698" customFormat="false" ht="15" hidden="false" customHeight="false" outlineLevel="0" collapsed="false">
      <c r="A698" s="21" t="n">
        <v>46121</v>
      </c>
      <c r="B698" s="22" t="s">
        <v>375</v>
      </c>
      <c r="C698" s="22" t="n">
        <v>1</v>
      </c>
      <c r="D698" s="41" t="n">
        <v>18832.828</v>
      </c>
      <c r="E698" s="22" t="n">
        <f aca="false">MONTH(A698)</f>
        <v>4</v>
      </c>
    </row>
    <row r="699" customFormat="false" ht="15" hidden="false" customHeight="false" outlineLevel="0" collapsed="false">
      <c r="A699" s="21" t="n">
        <v>46121</v>
      </c>
      <c r="B699" s="22" t="s">
        <v>375</v>
      </c>
      <c r="C699" s="22" t="n">
        <v>2</v>
      </c>
      <c r="D699" s="41" t="n">
        <v>18583.936</v>
      </c>
      <c r="E699" s="22" t="n">
        <f aca="false">MONTH(A699)</f>
        <v>4</v>
      </c>
    </row>
    <row r="700" customFormat="false" ht="15" hidden="false" customHeight="false" outlineLevel="0" collapsed="false">
      <c r="A700" s="21" t="n">
        <v>46121</v>
      </c>
      <c r="B700" s="22" t="s">
        <v>187</v>
      </c>
      <c r="C700" s="22" t="n">
        <v>1</v>
      </c>
      <c r="D700" s="41" t="n">
        <v>2453.438</v>
      </c>
      <c r="E700" s="22" t="n">
        <f aca="false">MONTH(A700)</f>
        <v>4</v>
      </c>
    </row>
    <row r="701" customFormat="false" ht="15" hidden="false" customHeight="false" outlineLevel="0" collapsed="false">
      <c r="A701" s="21" t="n">
        <v>46121</v>
      </c>
      <c r="B701" s="22" t="s">
        <v>189</v>
      </c>
      <c r="C701" s="22" t="n">
        <v>1</v>
      </c>
      <c r="D701" s="41" t="n">
        <v>9046.962</v>
      </c>
      <c r="E701" s="22" t="n">
        <f aca="false">MONTH(A701)</f>
        <v>4</v>
      </c>
    </row>
    <row r="702" customFormat="false" ht="15" hidden="false" customHeight="false" outlineLevel="0" collapsed="false">
      <c r="A702" s="21" t="n">
        <v>46122</v>
      </c>
      <c r="B702" s="22" t="s">
        <v>361</v>
      </c>
      <c r="C702" s="22" t="n">
        <v>2</v>
      </c>
      <c r="D702" s="41" t="n">
        <v>29051.89</v>
      </c>
      <c r="E702" s="22" t="n">
        <f aca="false">MONTH(A702)</f>
        <v>4</v>
      </c>
    </row>
    <row r="703" customFormat="false" ht="15" hidden="false" customHeight="false" outlineLevel="0" collapsed="false">
      <c r="A703" s="21" t="n">
        <v>46122</v>
      </c>
      <c r="B703" s="22" t="s">
        <v>362</v>
      </c>
      <c r="C703" s="22" t="n">
        <v>1</v>
      </c>
      <c r="D703" s="41" t="n">
        <v>5641.969</v>
      </c>
      <c r="E703" s="22" t="n">
        <f aca="false">MONTH(A703)</f>
        <v>4</v>
      </c>
    </row>
    <row r="704" customFormat="false" ht="15" hidden="false" customHeight="false" outlineLevel="0" collapsed="false">
      <c r="A704" s="21" t="n">
        <v>46122</v>
      </c>
      <c r="B704" s="22" t="s">
        <v>186</v>
      </c>
      <c r="C704" s="22" t="n">
        <v>1</v>
      </c>
      <c r="D704" s="41" t="n">
        <v>10599.264</v>
      </c>
      <c r="E704" s="22" t="n">
        <f aca="false">MONTH(A704)</f>
        <v>4</v>
      </c>
    </row>
    <row r="705" customFormat="false" ht="15" hidden="false" customHeight="false" outlineLevel="0" collapsed="false">
      <c r="A705" s="21" t="n">
        <v>46122</v>
      </c>
      <c r="B705" s="22" t="s">
        <v>186</v>
      </c>
      <c r="C705" s="22" t="n">
        <v>2</v>
      </c>
      <c r="D705" s="41" t="n">
        <v>2318.592</v>
      </c>
      <c r="E705" s="22" t="n">
        <f aca="false">MONTH(A705)</f>
        <v>4</v>
      </c>
    </row>
    <row r="706" customFormat="false" ht="15" hidden="false" customHeight="false" outlineLevel="0" collapsed="false">
      <c r="A706" s="21" t="n">
        <v>46122</v>
      </c>
      <c r="B706" s="22" t="s">
        <v>374</v>
      </c>
      <c r="C706" s="22" t="n">
        <v>1</v>
      </c>
      <c r="D706" s="41" t="n">
        <v>3968.904</v>
      </c>
      <c r="E706" s="22" t="n">
        <f aca="false">MONTH(A706)</f>
        <v>4</v>
      </c>
    </row>
    <row r="707" customFormat="false" ht="15" hidden="false" customHeight="false" outlineLevel="0" collapsed="false">
      <c r="A707" s="21" t="n">
        <v>46122</v>
      </c>
      <c r="B707" s="22" t="s">
        <v>375</v>
      </c>
      <c r="C707" s="22" t="n">
        <v>1</v>
      </c>
      <c r="D707" s="41" t="n">
        <v>17410.588</v>
      </c>
      <c r="E707" s="22" t="n">
        <f aca="false">MONTH(A707)</f>
        <v>4</v>
      </c>
    </row>
    <row r="708" customFormat="false" ht="15" hidden="false" customHeight="false" outlineLevel="0" collapsed="false">
      <c r="A708" s="21" t="n">
        <v>46122</v>
      </c>
      <c r="B708" s="22" t="s">
        <v>375</v>
      </c>
      <c r="C708" s="22" t="n">
        <v>2</v>
      </c>
      <c r="D708" s="41" t="n">
        <v>16106.868</v>
      </c>
      <c r="E708" s="22" t="n">
        <f aca="false">MONTH(A708)</f>
        <v>4</v>
      </c>
    </row>
    <row r="709" customFormat="false" ht="15" hidden="false" customHeight="false" outlineLevel="0" collapsed="false">
      <c r="A709" s="21" t="n">
        <v>46122</v>
      </c>
      <c r="B709" s="22" t="s">
        <v>187</v>
      </c>
      <c r="C709" s="22" t="n">
        <v>1</v>
      </c>
      <c r="D709" s="41" t="n">
        <v>2194.777</v>
      </c>
      <c r="E709" s="22" t="n">
        <f aca="false">MONTH(A709)</f>
        <v>4</v>
      </c>
    </row>
    <row r="710" customFormat="false" ht="15" hidden="false" customHeight="false" outlineLevel="0" collapsed="false">
      <c r="A710" s="21" t="n">
        <v>46122</v>
      </c>
      <c r="B710" s="22" t="s">
        <v>189</v>
      </c>
      <c r="C710" s="22" t="n">
        <v>1</v>
      </c>
      <c r="D710" s="41" t="n">
        <v>7845.482</v>
      </c>
      <c r="E710" s="22" t="n">
        <f aca="false">MONTH(A710)</f>
        <v>4</v>
      </c>
    </row>
    <row r="711" customFormat="false" ht="15" hidden="false" customHeight="false" outlineLevel="0" collapsed="false">
      <c r="A711" s="21" t="n">
        <v>46123</v>
      </c>
      <c r="B711" s="22" t="s">
        <v>361</v>
      </c>
      <c r="C711" s="22" t="n">
        <v>2</v>
      </c>
      <c r="D711" s="41" t="n">
        <v>27876.38</v>
      </c>
      <c r="E711" s="22" t="n">
        <f aca="false">MONTH(A711)</f>
        <v>4</v>
      </c>
    </row>
    <row r="712" customFormat="false" ht="15" hidden="false" customHeight="false" outlineLevel="0" collapsed="false">
      <c r="A712" s="21" t="n">
        <v>46123</v>
      </c>
      <c r="B712" s="22" t="s">
        <v>362</v>
      </c>
      <c r="C712" s="22" t="n">
        <v>1</v>
      </c>
      <c r="D712" s="41" t="n">
        <v>2488.928</v>
      </c>
      <c r="E712" s="22" t="n">
        <f aca="false">MONTH(A712)</f>
        <v>4</v>
      </c>
    </row>
    <row r="713" customFormat="false" ht="15" hidden="false" customHeight="false" outlineLevel="0" collapsed="false">
      <c r="A713" s="21" t="n">
        <v>46123</v>
      </c>
      <c r="B713" s="22" t="s">
        <v>186</v>
      </c>
      <c r="C713" s="22" t="n">
        <v>1</v>
      </c>
      <c r="D713" s="41" t="n">
        <v>7139.036</v>
      </c>
      <c r="E713" s="22" t="n">
        <f aca="false">MONTH(A713)</f>
        <v>4</v>
      </c>
    </row>
    <row r="714" customFormat="false" ht="15" hidden="false" customHeight="false" outlineLevel="0" collapsed="false">
      <c r="A714" s="21" t="n">
        <v>46123</v>
      </c>
      <c r="B714" s="22" t="s">
        <v>186</v>
      </c>
      <c r="C714" s="22" t="n">
        <v>2</v>
      </c>
      <c r="D714" s="41" t="n">
        <v>4559.352</v>
      </c>
      <c r="E714" s="22" t="n">
        <f aca="false">MONTH(A714)</f>
        <v>4</v>
      </c>
    </row>
    <row r="715" customFormat="false" ht="15" hidden="false" customHeight="false" outlineLevel="0" collapsed="false">
      <c r="A715" s="21" t="n">
        <v>46123</v>
      </c>
      <c r="B715" s="22" t="s">
        <v>188</v>
      </c>
      <c r="C715" s="22" t="n">
        <v>1</v>
      </c>
      <c r="D715" s="41" t="n">
        <v>2332.4</v>
      </c>
      <c r="E715" s="22" t="n">
        <f aca="false">MONTH(A715)</f>
        <v>4</v>
      </c>
    </row>
    <row r="716" customFormat="false" ht="15" hidden="false" customHeight="false" outlineLevel="0" collapsed="false">
      <c r="A716" s="21" t="n">
        <v>46123</v>
      </c>
      <c r="B716" s="22" t="s">
        <v>374</v>
      </c>
      <c r="C716" s="22" t="n">
        <v>1</v>
      </c>
      <c r="D716" s="41" t="n">
        <v>3637.335</v>
      </c>
      <c r="E716" s="22" t="n">
        <f aca="false">MONTH(A716)</f>
        <v>4</v>
      </c>
    </row>
    <row r="717" customFormat="false" ht="15" hidden="false" customHeight="false" outlineLevel="0" collapsed="false">
      <c r="A717" s="21" t="n">
        <v>46123</v>
      </c>
      <c r="B717" s="22" t="s">
        <v>375</v>
      </c>
      <c r="C717" s="22" t="n">
        <v>1</v>
      </c>
      <c r="D717" s="41" t="n">
        <v>16189.832</v>
      </c>
      <c r="E717" s="22" t="n">
        <f aca="false">MONTH(A717)</f>
        <v>4</v>
      </c>
    </row>
    <row r="718" customFormat="false" ht="15" hidden="false" customHeight="false" outlineLevel="0" collapsed="false">
      <c r="A718" s="21" t="n">
        <v>46123</v>
      </c>
      <c r="B718" s="22" t="s">
        <v>375</v>
      </c>
      <c r="C718" s="22" t="n">
        <v>2</v>
      </c>
      <c r="D718" s="41" t="n">
        <v>16166.128</v>
      </c>
      <c r="E718" s="22" t="n">
        <f aca="false">MONTH(A718)</f>
        <v>4</v>
      </c>
    </row>
    <row r="719" customFormat="false" ht="15" hidden="false" customHeight="false" outlineLevel="0" collapsed="false">
      <c r="A719" s="21" t="n">
        <v>46123</v>
      </c>
      <c r="B719" s="22" t="s">
        <v>187</v>
      </c>
      <c r="C719" s="22" t="n">
        <v>1</v>
      </c>
      <c r="D719" s="41" t="n">
        <v>2018.068</v>
      </c>
      <c r="E719" s="22" t="n">
        <f aca="false">MONTH(A719)</f>
        <v>4</v>
      </c>
    </row>
    <row r="720" customFormat="false" ht="15" hidden="false" customHeight="false" outlineLevel="0" collapsed="false">
      <c r="A720" s="21" t="n">
        <v>46123</v>
      </c>
      <c r="B720" s="22" t="s">
        <v>189</v>
      </c>
      <c r="C720" s="22" t="n">
        <v>1</v>
      </c>
      <c r="D720" s="41" t="n">
        <v>6926.689</v>
      </c>
      <c r="E720" s="22" t="n">
        <f aca="false">MONTH(A720)</f>
        <v>4</v>
      </c>
    </row>
    <row r="721" customFormat="false" ht="15" hidden="false" customHeight="false" outlineLevel="0" collapsed="false">
      <c r="A721" s="21" t="n">
        <v>46125</v>
      </c>
      <c r="B721" s="22" t="s">
        <v>361</v>
      </c>
      <c r="C721" s="22" t="n">
        <v>1</v>
      </c>
      <c r="D721" s="41" t="n">
        <v>12522.78</v>
      </c>
      <c r="E721" s="22" t="n">
        <f aca="false">MONTH(A721)</f>
        <v>4</v>
      </c>
    </row>
    <row r="722" customFormat="false" ht="15" hidden="false" customHeight="false" outlineLevel="0" collapsed="false">
      <c r="A722" s="21" t="n">
        <v>46125</v>
      </c>
      <c r="B722" s="22" t="s">
        <v>186</v>
      </c>
      <c r="C722" s="22" t="n">
        <v>1</v>
      </c>
      <c r="D722" s="41" t="n">
        <v>9351.324</v>
      </c>
      <c r="E722" s="22" t="n">
        <f aca="false">MONTH(A722)</f>
        <v>4</v>
      </c>
    </row>
    <row r="723" customFormat="false" ht="15" hidden="false" customHeight="false" outlineLevel="0" collapsed="false">
      <c r="A723" s="21" t="n">
        <v>46125</v>
      </c>
      <c r="B723" s="22" t="s">
        <v>186</v>
      </c>
      <c r="C723" s="22" t="n">
        <v>2</v>
      </c>
      <c r="D723" s="41" t="n">
        <v>9095.442</v>
      </c>
      <c r="E723" s="22" t="n">
        <f aca="false">MONTH(A723)</f>
        <v>4</v>
      </c>
    </row>
    <row r="724" customFormat="false" ht="15" hidden="false" customHeight="false" outlineLevel="0" collapsed="false">
      <c r="A724" s="21" t="n">
        <v>46125</v>
      </c>
      <c r="B724" s="22" t="s">
        <v>188</v>
      </c>
      <c r="C724" s="22" t="n">
        <v>1</v>
      </c>
      <c r="D724" s="41" t="n">
        <v>2312.8</v>
      </c>
      <c r="E724" s="22" t="n">
        <f aca="false">MONTH(A724)</f>
        <v>4</v>
      </c>
    </row>
    <row r="725" customFormat="false" ht="15" hidden="false" customHeight="false" outlineLevel="0" collapsed="false">
      <c r="A725" s="21" t="n">
        <v>46125</v>
      </c>
      <c r="B725" s="22" t="s">
        <v>374</v>
      </c>
      <c r="C725" s="22" t="n">
        <v>1</v>
      </c>
      <c r="D725" s="41" t="n">
        <v>4311.216</v>
      </c>
      <c r="E725" s="22" t="n">
        <f aca="false">MONTH(A725)</f>
        <v>4</v>
      </c>
    </row>
    <row r="726" customFormat="false" ht="15" hidden="false" customHeight="false" outlineLevel="0" collapsed="false">
      <c r="A726" s="21" t="n">
        <v>46125</v>
      </c>
      <c r="B726" s="22" t="s">
        <v>375</v>
      </c>
      <c r="C726" s="22" t="n">
        <v>1</v>
      </c>
      <c r="D726" s="41" t="n">
        <v>7443.966</v>
      </c>
      <c r="E726" s="22" t="n">
        <f aca="false">MONTH(A726)</f>
        <v>4</v>
      </c>
    </row>
    <row r="727" customFormat="false" ht="15" hidden="false" customHeight="false" outlineLevel="0" collapsed="false">
      <c r="A727" s="21" t="n">
        <v>46125</v>
      </c>
      <c r="B727" s="22" t="s">
        <v>375</v>
      </c>
      <c r="C727" s="22" t="n">
        <v>2</v>
      </c>
      <c r="D727" s="41" t="n">
        <v>12932.268</v>
      </c>
      <c r="E727" s="22" t="n">
        <f aca="false">MONTH(A727)</f>
        <v>4</v>
      </c>
    </row>
    <row r="728" customFormat="false" ht="15" hidden="false" customHeight="false" outlineLevel="0" collapsed="false">
      <c r="A728" s="21" t="n">
        <v>46125</v>
      </c>
      <c r="B728" s="22" t="s">
        <v>187</v>
      </c>
      <c r="C728" s="22" t="n">
        <v>1</v>
      </c>
      <c r="D728" s="41" t="n">
        <v>2158.923</v>
      </c>
      <c r="E728" s="22" t="n">
        <f aca="false">MONTH(A728)</f>
        <v>4</v>
      </c>
    </row>
    <row r="729" customFormat="false" ht="15" hidden="false" customHeight="false" outlineLevel="0" collapsed="false">
      <c r="A729" s="21" t="n">
        <v>46125</v>
      </c>
      <c r="B729" s="22" t="s">
        <v>187</v>
      </c>
      <c r="C729" s="22" t="n">
        <v>2</v>
      </c>
      <c r="D729" s="41" t="n">
        <v>2276.729</v>
      </c>
      <c r="E729" s="22" t="n">
        <f aca="false">MONTH(A729)</f>
        <v>4</v>
      </c>
    </row>
    <row r="730" customFormat="false" ht="15" hidden="false" customHeight="false" outlineLevel="0" collapsed="false">
      <c r="A730" s="21" t="n">
        <v>46125</v>
      </c>
      <c r="B730" s="22" t="s">
        <v>189</v>
      </c>
      <c r="C730" s="22" t="n">
        <v>1</v>
      </c>
      <c r="D730" s="41" t="n">
        <v>8186.087</v>
      </c>
      <c r="E730" s="22" t="n">
        <f aca="false">MONTH(A730)</f>
        <v>4</v>
      </c>
    </row>
    <row r="731" customFormat="false" ht="15" hidden="false" customHeight="false" outlineLevel="0" collapsed="false">
      <c r="A731" s="21" t="n">
        <v>46125</v>
      </c>
      <c r="B731" s="22" t="s">
        <v>189</v>
      </c>
      <c r="C731" s="22" t="n">
        <v>2</v>
      </c>
      <c r="D731" s="41" t="n">
        <v>5461.54</v>
      </c>
      <c r="E731" s="22" t="n">
        <f aca="false">MONTH(A731)</f>
        <v>4</v>
      </c>
    </row>
    <row r="732" customFormat="false" ht="15" hidden="false" customHeight="false" outlineLevel="0" collapsed="false">
      <c r="A732" s="21" t="n">
        <v>46126</v>
      </c>
      <c r="B732" s="22" t="s">
        <v>361</v>
      </c>
      <c r="C732" s="22" t="n">
        <v>1</v>
      </c>
      <c r="D732" s="41" t="n">
        <v>12028.52</v>
      </c>
      <c r="E732" s="22" t="n">
        <f aca="false">MONTH(A732)</f>
        <v>4</v>
      </c>
    </row>
    <row r="733" customFormat="false" ht="15" hidden="false" customHeight="false" outlineLevel="0" collapsed="false">
      <c r="A733" s="21" t="n">
        <v>46126</v>
      </c>
      <c r="B733" s="22" t="s">
        <v>186</v>
      </c>
      <c r="C733" s="22" t="n">
        <v>1</v>
      </c>
      <c r="D733" s="41" t="n">
        <v>7351.98</v>
      </c>
      <c r="E733" s="22" t="n">
        <f aca="false">MONTH(A733)</f>
        <v>4</v>
      </c>
    </row>
    <row r="734" customFormat="false" ht="15" hidden="false" customHeight="false" outlineLevel="0" collapsed="false">
      <c r="A734" s="21" t="n">
        <v>46126</v>
      </c>
      <c r="B734" s="22" t="s">
        <v>186</v>
      </c>
      <c r="C734" s="22" t="n">
        <v>2</v>
      </c>
      <c r="D734" s="41" t="n">
        <v>10505.502</v>
      </c>
      <c r="E734" s="22" t="n">
        <f aca="false">MONTH(A734)</f>
        <v>4</v>
      </c>
    </row>
    <row r="735" customFormat="false" ht="15" hidden="false" customHeight="false" outlineLevel="0" collapsed="false">
      <c r="A735" s="21" t="n">
        <v>46126</v>
      </c>
      <c r="B735" s="22" t="s">
        <v>188</v>
      </c>
      <c r="C735" s="22" t="n">
        <v>1</v>
      </c>
      <c r="D735" s="41" t="n">
        <v>1376.9</v>
      </c>
      <c r="E735" s="22" t="n">
        <f aca="false">MONTH(A735)</f>
        <v>4</v>
      </c>
    </row>
    <row r="736" customFormat="false" ht="15" hidden="false" customHeight="false" outlineLevel="0" collapsed="false">
      <c r="A736" s="21" t="n">
        <v>46126</v>
      </c>
      <c r="B736" s="22" t="s">
        <v>374</v>
      </c>
      <c r="C736" s="22" t="n">
        <v>1</v>
      </c>
      <c r="D736" s="41" t="n">
        <v>7121.499</v>
      </c>
      <c r="E736" s="22" t="n">
        <f aca="false">MONTH(A736)</f>
        <v>4</v>
      </c>
    </row>
    <row r="737" customFormat="false" ht="15" hidden="false" customHeight="false" outlineLevel="0" collapsed="false">
      <c r="A737" s="21" t="n">
        <v>46126</v>
      </c>
      <c r="B737" s="22" t="s">
        <v>375</v>
      </c>
      <c r="C737" s="22" t="n">
        <v>1</v>
      </c>
      <c r="D737" s="41" t="n">
        <v>10170.036</v>
      </c>
      <c r="E737" s="22" t="n">
        <f aca="false">MONTH(A737)</f>
        <v>4</v>
      </c>
    </row>
    <row r="738" customFormat="false" ht="15" hidden="false" customHeight="false" outlineLevel="0" collapsed="false">
      <c r="A738" s="21" t="n">
        <v>46126</v>
      </c>
      <c r="B738" s="22" t="s">
        <v>375</v>
      </c>
      <c r="C738" s="22" t="n">
        <v>2</v>
      </c>
      <c r="D738" s="41" t="n">
        <v>12681.156</v>
      </c>
      <c r="E738" s="22" t="n">
        <f aca="false">MONTH(A738)</f>
        <v>4</v>
      </c>
    </row>
    <row r="739" customFormat="false" ht="15" hidden="false" customHeight="false" outlineLevel="0" collapsed="false">
      <c r="A739" s="21" t="n">
        <v>46126</v>
      </c>
      <c r="B739" s="22" t="s">
        <v>187</v>
      </c>
      <c r="C739" s="22" t="n">
        <v>1</v>
      </c>
      <c r="D739" s="41" t="n">
        <v>2302.339</v>
      </c>
      <c r="E739" s="22" t="n">
        <f aca="false">MONTH(A739)</f>
        <v>4</v>
      </c>
    </row>
    <row r="740" customFormat="false" ht="15" hidden="false" customHeight="false" outlineLevel="0" collapsed="false">
      <c r="A740" s="21" t="n">
        <v>46126</v>
      </c>
      <c r="B740" s="22" t="s">
        <v>187</v>
      </c>
      <c r="C740" s="22" t="n">
        <v>2</v>
      </c>
      <c r="D740" s="41" t="n">
        <v>2217.826</v>
      </c>
      <c r="E740" s="22" t="n">
        <f aca="false">MONTH(A740)</f>
        <v>4</v>
      </c>
    </row>
    <row r="741" customFormat="false" ht="15" hidden="false" customHeight="false" outlineLevel="0" collapsed="false">
      <c r="A741" s="21" t="n">
        <v>46126</v>
      </c>
      <c r="B741" s="22" t="s">
        <v>189</v>
      </c>
      <c r="C741" s="22" t="n">
        <v>1</v>
      </c>
      <c r="D741" s="41" t="n">
        <v>6082.965</v>
      </c>
      <c r="E741" s="22" t="n">
        <f aca="false">MONTH(A741)</f>
        <v>4</v>
      </c>
    </row>
    <row r="742" customFormat="false" ht="15" hidden="false" customHeight="false" outlineLevel="0" collapsed="false">
      <c r="A742" s="21" t="n">
        <v>46126</v>
      </c>
      <c r="B742" s="22" t="s">
        <v>189</v>
      </c>
      <c r="C742" s="22" t="n">
        <v>2</v>
      </c>
      <c r="D742" s="41" t="n">
        <v>6171.984</v>
      </c>
      <c r="E742" s="22" t="n">
        <f aca="false">MONTH(A742)</f>
        <v>4</v>
      </c>
    </row>
    <row r="743" customFormat="false" ht="15" hidden="false" customHeight="false" outlineLevel="0" collapsed="false">
      <c r="A743" s="21" t="n">
        <v>46127</v>
      </c>
      <c r="B743" s="22" t="s">
        <v>361</v>
      </c>
      <c r="C743" s="22" t="n">
        <v>1</v>
      </c>
      <c r="D743" s="41" t="n">
        <v>26705.98</v>
      </c>
      <c r="E743" s="22" t="n">
        <f aca="false">MONTH(A743)</f>
        <v>4</v>
      </c>
    </row>
    <row r="744" customFormat="false" ht="15" hidden="false" customHeight="false" outlineLevel="0" collapsed="false">
      <c r="A744" s="21" t="n">
        <v>46127</v>
      </c>
      <c r="B744" s="22" t="s">
        <v>186</v>
      </c>
      <c r="C744" s="22" t="n">
        <v>1</v>
      </c>
      <c r="D744" s="41" t="n">
        <v>9667.854</v>
      </c>
      <c r="E744" s="22" t="n">
        <f aca="false">MONTH(A744)</f>
        <v>4</v>
      </c>
    </row>
    <row r="745" customFormat="false" ht="15" hidden="false" customHeight="false" outlineLevel="0" collapsed="false">
      <c r="A745" s="21" t="n">
        <v>46127</v>
      </c>
      <c r="B745" s="22" t="s">
        <v>186</v>
      </c>
      <c r="C745" s="22" t="n">
        <v>2</v>
      </c>
      <c r="D745" s="41" t="n">
        <v>4351.116</v>
      </c>
      <c r="E745" s="22" t="n">
        <f aca="false">MONTH(A745)</f>
        <v>4</v>
      </c>
    </row>
    <row r="746" customFormat="false" ht="15" hidden="false" customHeight="false" outlineLevel="0" collapsed="false">
      <c r="A746" s="21" t="n">
        <v>46127</v>
      </c>
      <c r="B746" s="22" t="s">
        <v>188</v>
      </c>
      <c r="C746" s="22" t="n">
        <v>1</v>
      </c>
      <c r="D746" s="41" t="n">
        <v>2185.4</v>
      </c>
      <c r="E746" s="22" t="n">
        <f aca="false">MONTH(A746)</f>
        <v>4</v>
      </c>
    </row>
    <row r="747" customFormat="false" ht="15" hidden="false" customHeight="false" outlineLevel="0" collapsed="false">
      <c r="A747" s="21" t="n">
        <v>46127</v>
      </c>
      <c r="B747" s="22" t="s">
        <v>374</v>
      </c>
      <c r="C747" s="22" t="n">
        <v>1</v>
      </c>
      <c r="D747" s="41" t="n">
        <v>7828.317</v>
      </c>
      <c r="E747" s="22" t="n">
        <f aca="false">MONTH(A747)</f>
        <v>4</v>
      </c>
    </row>
    <row r="748" customFormat="false" ht="15" hidden="false" customHeight="false" outlineLevel="0" collapsed="false">
      <c r="A748" s="21" t="n">
        <v>46127</v>
      </c>
      <c r="B748" s="22" t="s">
        <v>375</v>
      </c>
      <c r="C748" s="22" t="n">
        <v>1</v>
      </c>
      <c r="D748" s="41" t="n">
        <v>9416.7</v>
      </c>
      <c r="E748" s="22" t="n">
        <f aca="false">MONTH(A748)</f>
        <v>4</v>
      </c>
    </row>
    <row r="749" customFormat="false" ht="15" hidden="false" customHeight="false" outlineLevel="0" collapsed="false">
      <c r="A749" s="21" t="n">
        <v>46127</v>
      </c>
      <c r="B749" s="22" t="s">
        <v>375</v>
      </c>
      <c r="C749" s="22" t="n">
        <v>2</v>
      </c>
      <c r="D749" s="41" t="n">
        <v>11708.097</v>
      </c>
      <c r="E749" s="22" t="n">
        <f aca="false">MONTH(A749)</f>
        <v>4</v>
      </c>
    </row>
    <row r="750" customFormat="false" ht="15" hidden="false" customHeight="false" outlineLevel="0" collapsed="false">
      <c r="A750" s="21" t="n">
        <v>46127</v>
      </c>
      <c r="B750" s="22" t="s">
        <v>187</v>
      </c>
      <c r="C750" s="22" t="n">
        <v>1</v>
      </c>
      <c r="D750" s="41" t="n">
        <v>2310.242</v>
      </c>
      <c r="E750" s="22" t="n">
        <f aca="false">MONTH(A750)</f>
        <v>4</v>
      </c>
    </row>
    <row r="751" customFormat="false" ht="15" hidden="false" customHeight="false" outlineLevel="0" collapsed="false">
      <c r="A751" s="21" t="n">
        <v>46127</v>
      </c>
      <c r="B751" s="22" t="s">
        <v>187</v>
      </c>
      <c r="C751" s="22" t="n">
        <v>2</v>
      </c>
      <c r="D751" s="41" t="n">
        <v>2634.272</v>
      </c>
      <c r="E751" s="22" t="n">
        <f aca="false">MONTH(A751)</f>
        <v>4</v>
      </c>
    </row>
    <row r="752" customFormat="false" ht="15" hidden="false" customHeight="false" outlineLevel="0" collapsed="false">
      <c r="A752" s="21" t="n">
        <v>46127</v>
      </c>
      <c r="B752" s="22" t="s">
        <v>189</v>
      </c>
      <c r="C752" s="22" t="n">
        <v>1</v>
      </c>
      <c r="D752" s="41" t="n">
        <v>5538.96</v>
      </c>
      <c r="E752" s="22" t="n">
        <f aca="false">MONTH(A752)</f>
        <v>4</v>
      </c>
    </row>
    <row r="753" customFormat="false" ht="15" hidden="false" customHeight="false" outlineLevel="0" collapsed="false">
      <c r="A753" s="21" t="n">
        <v>46127</v>
      </c>
      <c r="B753" s="22" t="s">
        <v>189</v>
      </c>
      <c r="C753" s="22" t="n">
        <v>2</v>
      </c>
      <c r="D753" s="41" t="n">
        <v>6201.657</v>
      </c>
      <c r="E753" s="22" t="n">
        <f aca="false">MONTH(A753)</f>
        <v>4</v>
      </c>
    </row>
    <row r="754" customFormat="false" ht="15" hidden="false" customHeight="false" outlineLevel="0" collapsed="false">
      <c r="A754" s="21" t="n">
        <v>46128</v>
      </c>
      <c r="B754" s="22" t="s">
        <v>361</v>
      </c>
      <c r="C754" s="22" t="n">
        <v>1</v>
      </c>
      <c r="D754" s="41" t="n">
        <v>19658.8</v>
      </c>
      <c r="E754" s="22" t="n">
        <f aca="false">MONTH(A754)</f>
        <v>4</v>
      </c>
    </row>
    <row r="755" customFormat="false" ht="15" hidden="false" customHeight="false" outlineLevel="0" collapsed="false">
      <c r="A755" s="21" t="n">
        <v>46128</v>
      </c>
      <c r="B755" s="22" t="s">
        <v>186</v>
      </c>
      <c r="C755" s="22" t="n">
        <v>1</v>
      </c>
      <c r="D755" s="41" t="n">
        <v>10971.744</v>
      </c>
      <c r="E755" s="22" t="n">
        <f aca="false">MONTH(A755)</f>
        <v>4</v>
      </c>
    </row>
    <row r="756" customFormat="false" ht="15" hidden="false" customHeight="false" outlineLevel="0" collapsed="false">
      <c r="A756" s="21" t="n">
        <v>46128</v>
      </c>
      <c r="B756" s="22" t="s">
        <v>186</v>
      </c>
      <c r="C756" s="22" t="n">
        <v>2</v>
      </c>
      <c r="D756" s="41" t="n">
        <v>11787.531</v>
      </c>
      <c r="E756" s="22" t="n">
        <f aca="false">MONTH(A756)</f>
        <v>4</v>
      </c>
    </row>
    <row r="757" customFormat="false" ht="15" hidden="false" customHeight="false" outlineLevel="0" collapsed="false">
      <c r="A757" s="21" t="n">
        <v>46128</v>
      </c>
      <c r="B757" s="22" t="s">
        <v>188</v>
      </c>
      <c r="C757" s="22" t="n">
        <v>1</v>
      </c>
      <c r="D757" s="41" t="n">
        <v>2459.8</v>
      </c>
      <c r="E757" s="22" t="n">
        <f aca="false">MONTH(A757)</f>
        <v>4</v>
      </c>
    </row>
    <row r="758" customFormat="false" ht="15" hidden="false" customHeight="false" outlineLevel="0" collapsed="false">
      <c r="A758" s="21" t="n">
        <v>46128</v>
      </c>
      <c r="B758" s="22" t="s">
        <v>374</v>
      </c>
      <c r="C758" s="22" t="n">
        <v>1</v>
      </c>
      <c r="D758" s="41" t="n">
        <v>7207.929</v>
      </c>
      <c r="E758" s="22" t="n">
        <f aca="false">MONTH(A758)</f>
        <v>4</v>
      </c>
    </row>
    <row r="759" customFormat="false" ht="15" hidden="false" customHeight="false" outlineLevel="0" collapsed="false">
      <c r="A759" s="21" t="n">
        <v>46128</v>
      </c>
      <c r="B759" s="22" t="s">
        <v>375</v>
      </c>
      <c r="C759" s="22" t="n">
        <v>1</v>
      </c>
      <c r="D759" s="41" t="n">
        <v>12388.192</v>
      </c>
      <c r="E759" s="22" t="n">
        <f aca="false">MONTH(A759)</f>
        <v>4</v>
      </c>
    </row>
    <row r="760" customFormat="false" ht="15" hidden="false" customHeight="false" outlineLevel="0" collapsed="false">
      <c r="A760" s="21" t="n">
        <v>46128</v>
      </c>
      <c r="B760" s="22" t="s">
        <v>375</v>
      </c>
      <c r="C760" s="22" t="n">
        <v>2</v>
      </c>
      <c r="D760" s="41" t="n">
        <v>12555.6</v>
      </c>
      <c r="E760" s="22" t="n">
        <f aca="false">MONTH(A760)</f>
        <v>4</v>
      </c>
    </row>
    <row r="761" customFormat="false" ht="15" hidden="false" customHeight="false" outlineLevel="0" collapsed="false">
      <c r="A761" s="21" t="n">
        <v>46128</v>
      </c>
      <c r="B761" s="22" t="s">
        <v>187</v>
      </c>
      <c r="C761" s="22" t="n">
        <v>1</v>
      </c>
      <c r="D761" s="41" t="n">
        <v>2568.304</v>
      </c>
      <c r="E761" s="22" t="n">
        <f aca="false">MONTH(A761)</f>
        <v>4</v>
      </c>
    </row>
    <row r="762" customFormat="false" ht="15" hidden="false" customHeight="false" outlineLevel="0" collapsed="false">
      <c r="A762" s="21" t="n">
        <v>46128</v>
      </c>
      <c r="B762" s="22" t="s">
        <v>187</v>
      </c>
      <c r="C762" s="22" t="n">
        <v>2</v>
      </c>
      <c r="D762" s="41" t="n">
        <v>2667.448</v>
      </c>
      <c r="E762" s="22" t="n">
        <f aca="false">MONTH(A762)</f>
        <v>4</v>
      </c>
    </row>
    <row r="763" customFormat="false" ht="15" hidden="false" customHeight="false" outlineLevel="0" collapsed="false">
      <c r="A763" s="21" t="n">
        <v>46128</v>
      </c>
      <c r="B763" s="22" t="s">
        <v>189</v>
      </c>
      <c r="C763" s="22" t="n">
        <v>1</v>
      </c>
      <c r="D763" s="41" t="n">
        <v>5598.306</v>
      </c>
      <c r="E763" s="22" t="n">
        <f aca="false">MONTH(A763)</f>
        <v>4</v>
      </c>
    </row>
    <row r="764" customFormat="false" ht="15" hidden="false" customHeight="false" outlineLevel="0" collapsed="false">
      <c r="A764" s="21" t="n">
        <v>46128</v>
      </c>
      <c r="B764" s="22" t="s">
        <v>189</v>
      </c>
      <c r="C764" s="22" t="n">
        <v>2</v>
      </c>
      <c r="D764" s="41" t="n">
        <v>5766.453</v>
      </c>
      <c r="E764" s="22" t="n">
        <f aca="false">MONTH(A764)</f>
        <v>4</v>
      </c>
    </row>
    <row r="765" customFormat="false" ht="15" hidden="false" customHeight="false" outlineLevel="0" collapsed="false">
      <c r="A765" s="21" t="n">
        <v>46129</v>
      </c>
      <c r="B765" s="22" t="s">
        <v>361</v>
      </c>
      <c r="C765" s="22" t="n">
        <v>1</v>
      </c>
      <c r="D765" s="41" t="n">
        <v>29638.14</v>
      </c>
      <c r="E765" s="22" t="n">
        <f aca="false">MONTH(A765)</f>
        <v>4</v>
      </c>
    </row>
    <row r="766" customFormat="false" ht="15" hidden="false" customHeight="false" outlineLevel="0" collapsed="false">
      <c r="A766" s="21" t="n">
        <v>46129</v>
      </c>
      <c r="B766" s="22" t="s">
        <v>186</v>
      </c>
      <c r="C766" s="22" t="n">
        <v>1</v>
      </c>
      <c r="D766" s="41" t="n">
        <v>8914.542</v>
      </c>
      <c r="E766" s="22" t="n">
        <f aca="false">MONTH(A766)</f>
        <v>4</v>
      </c>
    </row>
    <row r="767" customFormat="false" ht="15" hidden="false" customHeight="false" outlineLevel="0" collapsed="false">
      <c r="A767" s="21" t="n">
        <v>46129</v>
      </c>
      <c r="B767" s="22" t="s">
        <v>186</v>
      </c>
      <c r="C767" s="22" t="n">
        <v>2</v>
      </c>
      <c r="D767" s="41" t="n">
        <v>10451.532</v>
      </c>
      <c r="E767" s="22" t="n">
        <f aca="false">MONTH(A767)</f>
        <v>4</v>
      </c>
    </row>
    <row r="768" customFormat="false" ht="15" hidden="false" customHeight="false" outlineLevel="0" collapsed="false">
      <c r="A768" s="21" t="n">
        <v>46129</v>
      </c>
      <c r="B768" s="22" t="s">
        <v>188</v>
      </c>
      <c r="C768" s="22" t="n">
        <v>1</v>
      </c>
      <c r="D768" s="41" t="n">
        <v>1004.5</v>
      </c>
      <c r="E768" s="22" t="n">
        <f aca="false">MONTH(A768)</f>
        <v>4</v>
      </c>
    </row>
    <row r="769" customFormat="false" ht="15" hidden="false" customHeight="false" outlineLevel="0" collapsed="false">
      <c r="A769" s="21" t="n">
        <v>46129</v>
      </c>
      <c r="B769" s="22" t="s">
        <v>374</v>
      </c>
      <c r="C769" s="22" t="n">
        <v>1</v>
      </c>
      <c r="D769" s="41" t="n">
        <v>8456.868</v>
      </c>
      <c r="E769" s="22" t="n">
        <f aca="false">MONTH(A769)</f>
        <v>4</v>
      </c>
    </row>
    <row r="770" customFormat="false" ht="15" hidden="false" customHeight="false" outlineLevel="0" collapsed="false">
      <c r="A770" s="21" t="n">
        <v>46129</v>
      </c>
      <c r="B770" s="22" t="s">
        <v>375</v>
      </c>
      <c r="C770" s="22" t="n">
        <v>1</v>
      </c>
      <c r="D770" s="41" t="n">
        <v>10850.131</v>
      </c>
      <c r="E770" s="22" t="n">
        <f aca="false">MONTH(A770)</f>
        <v>4</v>
      </c>
    </row>
    <row r="771" customFormat="false" ht="15" hidden="false" customHeight="false" outlineLevel="0" collapsed="false">
      <c r="A771" s="21" t="n">
        <v>46129</v>
      </c>
      <c r="B771" s="22" t="s">
        <v>375</v>
      </c>
      <c r="C771" s="22" t="n">
        <v>2</v>
      </c>
      <c r="D771" s="41" t="n">
        <v>2534.235</v>
      </c>
      <c r="E771" s="22" t="n">
        <f aca="false">MONTH(A771)</f>
        <v>4</v>
      </c>
    </row>
    <row r="772" customFormat="false" ht="15" hidden="false" customHeight="false" outlineLevel="0" collapsed="false">
      <c r="A772" s="21" t="n">
        <v>46129</v>
      </c>
      <c r="B772" s="22" t="s">
        <v>187</v>
      </c>
      <c r="C772" s="22" t="n">
        <v>1</v>
      </c>
      <c r="D772" s="41" t="n">
        <v>1294.909</v>
      </c>
      <c r="E772" s="22" t="n">
        <f aca="false">MONTH(A772)</f>
        <v>4</v>
      </c>
    </row>
    <row r="773" customFormat="false" ht="15" hidden="false" customHeight="false" outlineLevel="0" collapsed="false">
      <c r="A773" s="21" t="n">
        <v>46129</v>
      </c>
      <c r="B773" s="22" t="s">
        <v>187</v>
      </c>
      <c r="C773" s="22" t="n">
        <v>2</v>
      </c>
      <c r="D773" s="41" t="n">
        <v>5644.408</v>
      </c>
      <c r="E773" s="22" t="n">
        <f aca="false">MONTH(A773)</f>
        <v>4</v>
      </c>
    </row>
    <row r="774" customFormat="false" ht="15" hidden="false" customHeight="false" outlineLevel="0" collapsed="false">
      <c r="A774" s="21" t="n">
        <v>46129</v>
      </c>
      <c r="B774" s="22" t="s">
        <v>189</v>
      </c>
      <c r="C774" s="22" t="n">
        <v>1</v>
      </c>
      <c r="D774" s="41" t="n">
        <v>4846.59</v>
      </c>
      <c r="E774" s="22" t="n">
        <f aca="false">MONTH(A774)</f>
        <v>4</v>
      </c>
    </row>
    <row r="775" customFormat="false" ht="15" hidden="false" customHeight="false" outlineLevel="0" collapsed="false">
      <c r="A775" s="21" t="n">
        <v>46129</v>
      </c>
      <c r="B775" s="22" t="s">
        <v>189</v>
      </c>
      <c r="C775" s="22" t="n">
        <v>2</v>
      </c>
      <c r="D775" s="41" t="n">
        <v>6221.439</v>
      </c>
      <c r="E775" s="22" t="n">
        <f aca="false">MONTH(A775)</f>
        <v>4</v>
      </c>
    </row>
    <row r="776" customFormat="false" ht="15" hidden="false" customHeight="false" outlineLevel="0" collapsed="false">
      <c r="A776" s="21" t="n">
        <v>46130</v>
      </c>
      <c r="B776" s="22" t="s">
        <v>361</v>
      </c>
      <c r="C776" s="22" t="n">
        <v>1</v>
      </c>
      <c r="D776" s="41" t="n">
        <v>6947.22</v>
      </c>
      <c r="E776" s="22" t="n">
        <f aca="false">MONTH(A776)</f>
        <v>4</v>
      </c>
    </row>
    <row r="777" customFormat="false" ht="15" hidden="false" customHeight="false" outlineLevel="0" collapsed="false">
      <c r="A777" s="21" t="n">
        <v>46130</v>
      </c>
      <c r="B777" s="22" t="s">
        <v>186</v>
      </c>
      <c r="C777" s="22" t="n">
        <v>1</v>
      </c>
      <c r="D777" s="41" t="n">
        <v>3014.865</v>
      </c>
      <c r="E777" s="22" t="n">
        <f aca="false">MONTH(A777)</f>
        <v>4</v>
      </c>
    </row>
    <row r="778" customFormat="false" ht="15" hidden="false" customHeight="false" outlineLevel="0" collapsed="false">
      <c r="A778" s="21" t="n">
        <v>46130</v>
      </c>
      <c r="B778" s="22" t="s">
        <v>186</v>
      </c>
      <c r="C778" s="22" t="n">
        <v>2</v>
      </c>
      <c r="D778" s="41" t="n">
        <v>2175.432</v>
      </c>
      <c r="E778" s="22" t="n">
        <f aca="false">MONTH(A778)</f>
        <v>4</v>
      </c>
    </row>
    <row r="779" customFormat="false" ht="15" hidden="false" customHeight="false" outlineLevel="0" collapsed="false">
      <c r="A779" s="21" t="n">
        <v>46130</v>
      </c>
      <c r="B779" s="22" t="s">
        <v>374</v>
      </c>
      <c r="C779" s="22" t="n">
        <v>1</v>
      </c>
      <c r="D779" s="41" t="n">
        <v>2416.248</v>
      </c>
      <c r="E779" s="22" t="n">
        <f aca="false">MONTH(A779)</f>
        <v>4</v>
      </c>
    </row>
    <row r="780" customFormat="false" ht="15" hidden="false" customHeight="false" outlineLevel="0" collapsed="false">
      <c r="A780" s="21" t="n">
        <v>46130</v>
      </c>
      <c r="B780" s="22" t="s">
        <v>375</v>
      </c>
      <c r="C780" s="22" t="n">
        <v>2</v>
      </c>
      <c r="D780" s="41" t="n">
        <v>1889.157</v>
      </c>
      <c r="E780" s="22" t="n">
        <f aca="false">MONTH(A780)</f>
        <v>4</v>
      </c>
    </row>
    <row r="781" customFormat="false" ht="15" hidden="false" customHeight="false" outlineLevel="0" collapsed="false">
      <c r="A781" s="21" t="n">
        <v>46130</v>
      </c>
      <c r="B781" s="22" t="s">
        <v>187</v>
      </c>
      <c r="C781" s="22" t="n">
        <v>1</v>
      </c>
      <c r="D781" s="41" t="n">
        <v>1545.215</v>
      </c>
      <c r="E781" s="22" t="n">
        <f aca="false">MONTH(A781)</f>
        <v>4</v>
      </c>
    </row>
    <row r="782" customFormat="false" ht="15" hidden="false" customHeight="false" outlineLevel="0" collapsed="false">
      <c r="A782" s="21" t="n">
        <v>46130</v>
      </c>
      <c r="B782" s="22" t="s">
        <v>187</v>
      </c>
      <c r="C782" s="22" t="n">
        <v>2</v>
      </c>
      <c r="D782" s="41" t="n">
        <v>1825.103</v>
      </c>
      <c r="E782" s="22" t="n">
        <f aca="false">MONTH(A782)</f>
        <v>4</v>
      </c>
    </row>
    <row r="783" customFormat="false" ht="15" hidden="false" customHeight="false" outlineLevel="0" collapsed="false">
      <c r="A783" s="21" t="n">
        <v>46130</v>
      </c>
      <c r="B783" s="22" t="s">
        <v>189</v>
      </c>
      <c r="C783" s="22" t="n">
        <v>1</v>
      </c>
      <c r="D783" s="41" t="n">
        <v>1661.688</v>
      </c>
      <c r="E783" s="22" t="n">
        <f aca="false">MONTH(A783)</f>
        <v>4</v>
      </c>
    </row>
    <row r="784" customFormat="false" ht="15" hidden="false" customHeight="false" outlineLevel="0" collapsed="false">
      <c r="A784" s="21" t="n">
        <v>46130</v>
      </c>
      <c r="B784" s="22" t="s">
        <v>189</v>
      </c>
      <c r="C784" s="22" t="n">
        <v>2</v>
      </c>
      <c r="D784" s="41" t="n">
        <v>1315.503</v>
      </c>
      <c r="E784" s="22" t="n">
        <f aca="false">MONTH(A784)</f>
        <v>4</v>
      </c>
    </row>
    <row r="785" customFormat="false" ht="15" hidden="false" customHeight="false" outlineLevel="0" collapsed="false">
      <c r="A785" s="21" t="n">
        <v>46132</v>
      </c>
      <c r="B785" s="22" t="s">
        <v>361</v>
      </c>
      <c r="C785" s="22" t="n">
        <v>1</v>
      </c>
      <c r="D785" s="41" t="n">
        <v>29188.32</v>
      </c>
      <c r="E785" s="22" t="n">
        <f aca="false">MONTH(A785)</f>
        <v>4</v>
      </c>
    </row>
    <row r="786" customFormat="false" ht="15" hidden="false" customHeight="false" outlineLevel="0" collapsed="false">
      <c r="A786" s="21" t="n">
        <v>46132</v>
      </c>
      <c r="B786" s="22" t="s">
        <v>186</v>
      </c>
      <c r="C786" s="22" t="n">
        <v>1</v>
      </c>
      <c r="D786" s="41" t="n">
        <v>11633.832</v>
      </c>
      <c r="E786" s="22" t="n">
        <f aca="false">MONTH(A786)</f>
        <v>4</v>
      </c>
    </row>
    <row r="787" customFormat="false" ht="15" hidden="false" customHeight="false" outlineLevel="0" collapsed="false">
      <c r="A787" s="21" t="n">
        <v>46132</v>
      </c>
      <c r="B787" s="22" t="s">
        <v>186</v>
      </c>
      <c r="C787" s="22" t="n">
        <v>2</v>
      </c>
      <c r="D787" s="41" t="n">
        <v>9634.362</v>
      </c>
      <c r="E787" s="22" t="n">
        <f aca="false">MONTH(A787)</f>
        <v>4</v>
      </c>
    </row>
    <row r="788" customFormat="false" ht="15" hidden="false" customHeight="false" outlineLevel="0" collapsed="false">
      <c r="A788" s="21" t="n">
        <v>46132</v>
      </c>
      <c r="B788" s="22" t="s">
        <v>374</v>
      </c>
      <c r="C788" s="22" t="n">
        <v>1</v>
      </c>
      <c r="D788" s="41" t="n">
        <v>8163</v>
      </c>
      <c r="E788" s="22" t="n">
        <f aca="false">MONTH(A788)</f>
        <v>4</v>
      </c>
    </row>
    <row r="789" customFormat="false" ht="15" hidden="false" customHeight="false" outlineLevel="0" collapsed="false">
      <c r="A789" s="21" t="n">
        <v>46132</v>
      </c>
      <c r="B789" s="22" t="s">
        <v>375</v>
      </c>
      <c r="C789" s="22" t="n">
        <v>1</v>
      </c>
      <c r="D789" s="41" t="n">
        <v>9399.708</v>
      </c>
      <c r="E789" s="22" t="n">
        <f aca="false">MONTH(A789)</f>
        <v>4</v>
      </c>
    </row>
    <row r="790" customFormat="false" ht="15" hidden="false" customHeight="false" outlineLevel="0" collapsed="false">
      <c r="A790" s="21" t="n">
        <v>46132</v>
      </c>
      <c r="B790" s="22" t="s">
        <v>375</v>
      </c>
      <c r="C790" s="22" t="n">
        <v>2</v>
      </c>
      <c r="D790" s="41" t="n">
        <v>9138.605</v>
      </c>
      <c r="E790" s="22" t="n">
        <f aca="false">MONTH(A790)</f>
        <v>4</v>
      </c>
    </row>
    <row r="791" customFormat="false" ht="15" hidden="false" customHeight="false" outlineLevel="0" collapsed="false">
      <c r="A791" s="21" t="n">
        <v>46132</v>
      </c>
      <c r="B791" s="22" t="s">
        <v>187</v>
      </c>
      <c r="C791" s="22" t="n">
        <v>1</v>
      </c>
      <c r="D791" s="41" t="n">
        <v>5376.182</v>
      </c>
      <c r="E791" s="22" t="n">
        <f aca="false">MONTH(A791)</f>
        <v>4</v>
      </c>
    </row>
    <row r="792" customFormat="false" ht="15" hidden="false" customHeight="false" outlineLevel="0" collapsed="false">
      <c r="A792" s="21" t="n">
        <v>46132</v>
      </c>
      <c r="B792" s="22" t="s">
        <v>187</v>
      </c>
      <c r="C792" s="22" t="n">
        <v>2</v>
      </c>
      <c r="D792" s="41" t="n">
        <v>6571.537</v>
      </c>
      <c r="E792" s="22" t="n">
        <f aca="false">MONTH(A792)</f>
        <v>4</v>
      </c>
    </row>
    <row r="793" customFormat="false" ht="15" hidden="false" customHeight="false" outlineLevel="0" collapsed="false">
      <c r="A793" s="21" t="n">
        <v>46132</v>
      </c>
      <c r="B793" s="22" t="s">
        <v>189</v>
      </c>
      <c r="C793" s="22" t="n">
        <v>1</v>
      </c>
      <c r="D793" s="41" t="n">
        <v>1552.887</v>
      </c>
      <c r="E793" s="22" t="n">
        <f aca="false">MONTH(A793)</f>
        <v>4</v>
      </c>
    </row>
    <row r="794" customFormat="false" ht="15" hidden="false" customHeight="false" outlineLevel="0" collapsed="false">
      <c r="A794" s="21" t="n">
        <v>46132</v>
      </c>
      <c r="B794" s="22" t="s">
        <v>189</v>
      </c>
      <c r="C794" s="22" t="n">
        <v>2</v>
      </c>
      <c r="D794" s="41" t="n">
        <v>4203.675</v>
      </c>
      <c r="E794" s="22" t="n">
        <f aca="false">MONTH(A794)</f>
        <v>4</v>
      </c>
    </row>
    <row r="795" customFormat="false" ht="15" hidden="false" customHeight="false" outlineLevel="0" collapsed="false">
      <c r="A795" s="21" t="n">
        <v>46132</v>
      </c>
      <c r="B795" s="22" t="s">
        <v>359</v>
      </c>
      <c r="C795" s="22" t="n">
        <v>1</v>
      </c>
      <c r="D795" s="41" t="n">
        <v>2556.36</v>
      </c>
      <c r="E795" s="22" t="n">
        <f aca="false">MONTH(A795)</f>
        <v>4</v>
      </c>
    </row>
    <row r="796" customFormat="false" ht="15" hidden="false" customHeight="false" outlineLevel="0" collapsed="false">
      <c r="A796" s="21" t="n">
        <v>46133</v>
      </c>
      <c r="B796" s="22" t="s">
        <v>361</v>
      </c>
      <c r="C796" s="22" t="n">
        <v>1</v>
      </c>
      <c r="D796" s="41" t="n">
        <v>17626.28</v>
      </c>
      <c r="E796" s="22" t="n">
        <f aca="false">MONTH(A796)</f>
        <v>4</v>
      </c>
    </row>
    <row r="797" customFormat="false" ht="15" hidden="false" customHeight="false" outlineLevel="0" collapsed="false">
      <c r="A797" s="21" t="n">
        <v>46133</v>
      </c>
      <c r="B797" s="22" t="s">
        <v>186</v>
      </c>
      <c r="C797" s="22" t="n">
        <v>1</v>
      </c>
      <c r="D797" s="41" t="n">
        <v>10370.088</v>
      </c>
      <c r="E797" s="22" t="n">
        <f aca="false">MONTH(A797)</f>
        <v>4</v>
      </c>
    </row>
    <row r="798" customFormat="false" ht="15" hidden="false" customHeight="false" outlineLevel="0" collapsed="false">
      <c r="A798" s="21" t="n">
        <v>46133</v>
      </c>
      <c r="B798" s="22" t="s">
        <v>186</v>
      </c>
      <c r="C798" s="22" t="n">
        <v>2</v>
      </c>
      <c r="D798" s="41" t="n">
        <v>3871.026</v>
      </c>
      <c r="E798" s="22" t="n">
        <f aca="false">MONTH(A798)</f>
        <v>4</v>
      </c>
    </row>
    <row r="799" customFormat="false" ht="15" hidden="false" customHeight="false" outlineLevel="0" collapsed="false">
      <c r="A799" s="21" t="n">
        <v>46133</v>
      </c>
      <c r="B799" s="22" t="s">
        <v>374</v>
      </c>
      <c r="C799" s="22" t="n">
        <v>1</v>
      </c>
      <c r="D799" s="41" t="n">
        <v>6807.942</v>
      </c>
      <c r="E799" s="22" t="n">
        <f aca="false">MONTH(A799)</f>
        <v>4</v>
      </c>
    </row>
    <row r="800" customFormat="false" ht="15" hidden="false" customHeight="false" outlineLevel="0" collapsed="false">
      <c r="A800" s="21" t="n">
        <v>46133</v>
      </c>
      <c r="B800" s="22" t="s">
        <v>375</v>
      </c>
      <c r="C800" s="22" t="n">
        <v>1</v>
      </c>
      <c r="D800" s="41" t="n">
        <v>8063.475</v>
      </c>
      <c r="E800" s="22" t="n">
        <f aca="false">MONTH(A800)</f>
        <v>4</v>
      </c>
    </row>
    <row r="801" customFormat="false" ht="15" hidden="false" customHeight="false" outlineLevel="0" collapsed="false">
      <c r="A801" s="21" t="n">
        <v>46133</v>
      </c>
      <c r="B801" s="22" t="s">
        <v>375</v>
      </c>
      <c r="C801" s="22" t="n">
        <v>2</v>
      </c>
      <c r="D801" s="41" t="n">
        <v>8217.065</v>
      </c>
      <c r="E801" s="22" t="n">
        <f aca="false">MONTH(A801)</f>
        <v>4</v>
      </c>
    </row>
    <row r="802" customFormat="false" ht="15" hidden="false" customHeight="false" outlineLevel="0" collapsed="false">
      <c r="A802" s="21" t="n">
        <v>46133</v>
      </c>
      <c r="B802" s="22" t="s">
        <v>187</v>
      </c>
      <c r="C802" s="22" t="n">
        <v>1</v>
      </c>
      <c r="D802" s="41" t="n">
        <v>6005.93</v>
      </c>
      <c r="E802" s="22" t="n">
        <f aca="false">MONTH(A802)</f>
        <v>4</v>
      </c>
    </row>
    <row r="803" customFormat="false" ht="15" hidden="false" customHeight="false" outlineLevel="0" collapsed="false">
      <c r="A803" s="21" t="n">
        <v>46133</v>
      </c>
      <c r="B803" s="22" t="s">
        <v>187</v>
      </c>
      <c r="C803" s="22" t="n">
        <v>2</v>
      </c>
      <c r="D803" s="41" t="n">
        <v>5621.084</v>
      </c>
      <c r="E803" s="22" t="n">
        <f aca="false">MONTH(A803)</f>
        <v>4</v>
      </c>
    </row>
    <row r="804" customFormat="false" ht="15" hidden="false" customHeight="false" outlineLevel="0" collapsed="false">
      <c r="A804" s="21" t="n">
        <v>46133</v>
      </c>
      <c r="B804" s="22" t="s">
        <v>189</v>
      </c>
      <c r="C804" s="22" t="n">
        <v>1</v>
      </c>
      <c r="D804" s="41" t="n">
        <v>3639.888</v>
      </c>
      <c r="E804" s="22" t="n">
        <f aca="false">MONTH(A804)</f>
        <v>4</v>
      </c>
    </row>
    <row r="805" customFormat="false" ht="15" hidden="false" customHeight="false" outlineLevel="0" collapsed="false">
      <c r="A805" s="21" t="n">
        <v>46133</v>
      </c>
      <c r="B805" s="22" t="s">
        <v>189</v>
      </c>
      <c r="C805" s="22" t="n">
        <v>2</v>
      </c>
      <c r="D805" s="41" t="n">
        <v>5331.249</v>
      </c>
      <c r="E805" s="22" t="n">
        <f aca="false">MONTH(A805)</f>
        <v>4</v>
      </c>
    </row>
    <row r="806" customFormat="false" ht="15" hidden="false" customHeight="false" outlineLevel="0" collapsed="false">
      <c r="A806" s="21" t="n">
        <v>46133</v>
      </c>
      <c r="B806" s="22" t="s">
        <v>359</v>
      </c>
      <c r="C806" s="22" t="n">
        <v>1</v>
      </c>
      <c r="D806" s="41" t="n">
        <v>2295.99</v>
      </c>
      <c r="E806" s="22" t="n">
        <f aca="false">MONTH(A806)</f>
        <v>4</v>
      </c>
    </row>
    <row r="807" customFormat="false" ht="15" hidden="false" customHeight="false" outlineLevel="0" collapsed="false">
      <c r="A807" s="21" t="n">
        <v>46134</v>
      </c>
      <c r="B807" s="22" t="s">
        <v>361</v>
      </c>
      <c r="C807" s="22" t="n">
        <v>1</v>
      </c>
      <c r="D807" s="41" t="n">
        <v>15193.92</v>
      </c>
      <c r="E807" s="22" t="n">
        <f aca="false">MONTH(A807)</f>
        <v>4</v>
      </c>
    </row>
    <row r="808" customFormat="false" ht="15" hidden="false" customHeight="false" outlineLevel="0" collapsed="false">
      <c r="A808" s="21" t="n">
        <v>46134</v>
      </c>
      <c r="B808" s="22" t="s">
        <v>186</v>
      </c>
      <c r="C808" s="22" t="n">
        <v>1</v>
      </c>
      <c r="D808" s="41" t="n">
        <v>11547.546</v>
      </c>
      <c r="E808" s="22" t="n">
        <f aca="false">MONTH(A808)</f>
        <v>4</v>
      </c>
    </row>
    <row r="809" customFormat="false" ht="15" hidden="false" customHeight="false" outlineLevel="0" collapsed="false">
      <c r="A809" s="21" t="n">
        <v>46134</v>
      </c>
      <c r="B809" s="22" t="s">
        <v>186</v>
      </c>
      <c r="C809" s="22" t="n">
        <v>2</v>
      </c>
      <c r="D809" s="41" t="n">
        <v>10379.352</v>
      </c>
      <c r="E809" s="22" t="n">
        <f aca="false">MONTH(A809)</f>
        <v>4</v>
      </c>
    </row>
    <row r="810" customFormat="false" ht="15" hidden="false" customHeight="false" outlineLevel="0" collapsed="false">
      <c r="A810" s="21" t="n">
        <v>46134</v>
      </c>
      <c r="B810" s="22" t="s">
        <v>374</v>
      </c>
      <c r="C810" s="22" t="n">
        <v>1</v>
      </c>
      <c r="D810" s="41" t="n">
        <v>5061.06</v>
      </c>
      <c r="E810" s="22" t="n">
        <f aca="false">MONTH(A810)</f>
        <v>4</v>
      </c>
    </row>
    <row r="811" customFormat="false" ht="15" hidden="false" customHeight="false" outlineLevel="0" collapsed="false">
      <c r="A811" s="21" t="n">
        <v>46134</v>
      </c>
      <c r="B811" s="22" t="s">
        <v>375</v>
      </c>
      <c r="C811" s="22" t="n">
        <v>1</v>
      </c>
      <c r="D811" s="41" t="n">
        <v>10075.504</v>
      </c>
      <c r="E811" s="22" t="n">
        <f aca="false">MONTH(A811)</f>
        <v>4</v>
      </c>
    </row>
    <row r="812" customFormat="false" ht="15" hidden="false" customHeight="false" outlineLevel="0" collapsed="false">
      <c r="A812" s="21" t="n">
        <v>46134</v>
      </c>
      <c r="B812" s="22" t="s">
        <v>375</v>
      </c>
      <c r="C812" s="22" t="n">
        <v>2</v>
      </c>
      <c r="D812" s="41" t="n">
        <v>9338.272</v>
      </c>
      <c r="E812" s="22" t="n">
        <f aca="false">MONTH(A812)</f>
        <v>4</v>
      </c>
    </row>
    <row r="813" customFormat="false" ht="15" hidden="false" customHeight="false" outlineLevel="0" collapsed="false">
      <c r="A813" s="21" t="n">
        <v>46134</v>
      </c>
      <c r="B813" s="22" t="s">
        <v>187</v>
      </c>
      <c r="C813" s="22" t="n">
        <v>1</v>
      </c>
      <c r="D813" s="41" t="n">
        <v>6991.369</v>
      </c>
      <c r="E813" s="22" t="n">
        <f aca="false">MONTH(A813)</f>
        <v>4</v>
      </c>
    </row>
    <row r="814" customFormat="false" ht="15" hidden="false" customHeight="false" outlineLevel="0" collapsed="false">
      <c r="A814" s="21" t="n">
        <v>46134</v>
      </c>
      <c r="B814" s="22" t="s">
        <v>187</v>
      </c>
      <c r="C814" s="22" t="n">
        <v>2</v>
      </c>
      <c r="D814" s="41" t="n">
        <v>5047.042</v>
      </c>
      <c r="E814" s="22" t="n">
        <f aca="false">MONTH(A814)</f>
        <v>4</v>
      </c>
    </row>
    <row r="815" customFormat="false" ht="15" hidden="false" customHeight="false" outlineLevel="0" collapsed="false">
      <c r="A815" s="21" t="n">
        <v>46134</v>
      </c>
      <c r="B815" s="22" t="s">
        <v>189</v>
      </c>
      <c r="C815" s="22" t="n">
        <v>1</v>
      </c>
      <c r="D815" s="41" t="n">
        <v>6033.51</v>
      </c>
      <c r="E815" s="22" t="n">
        <f aca="false">MONTH(A815)</f>
        <v>4</v>
      </c>
    </row>
    <row r="816" customFormat="false" ht="15" hidden="false" customHeight="false" outlineLevel="0" collapsed="false">
      <c r="A816" s="21" t="n">
        <v>46134</v>
      </c>
      <c r="B816" s="22" t="s">
        <v>189</v>
      </c>
      <c r="C816" s="22" t="n">
        <v>2</v>
      </c>
      <c r="D816" s="41" t="n">
        <v>6063.183</v>
      </c>
      <c r="E816" s="22" t="n">
        <f aca="false">MONTH(A816)</f>
        <v>4</v>
      </c>
    </row>
    <row r="817" customFormat="false" ht="15" hidden="false" customHeight="false" outlineLevel="0" collapsed="false">
      <c r="A817" s="21" t="n">
        <v>46135</v>
      </c>
      <c r="B817" s="22" t="s">
        <v>361</v>
      </c>
      <c r="C817" s="22" t="n">
        <v>1</v>
      </c>
      <c r="D817" s="41" t="n">
        <v>27972.14</v>
      </c>
      <c r="E817" s="22" t="n">
        <f aca="false">MONTH(A817)</f>
        <v>4</v>
      </c>
    </row>
    <row r="818" customFormat="false" ht="15" hidden="false" customHeight="false" outlineLevel="0" collapsed="false">
      <c r="A818" s="21" t="n">
        <v>46135</v>
      </c>
      <c r="B818" s="22" t="s">
        <v>186</v>
      </c>
      <c r="C818" s="22" t="n">
        <v>1</v>
      </c>
      <c r="D818" s="41" t="n">
        <v>10854.9</v>
      </c>
      <c r="E818" s="22" t="n">
        <f aca="false">MONTH(A818)</f>
        <v>4</v>
      </c>
    </row>
    <row r="819" customFormat="false" ht="15" hidden="false" customHeight="false" outlineLevel="0" collapsed="false">
      <c r="A819" s="21" t="n">
        <v>46135</v>
      </c>
      <c r="B819" s="22" t="s">
        <v>186</v>
      </c>
      <c r="C819" s="22" t="n">
        <v>2</v>
      </c>
      <c r="D819" s="41" t="n">
        <v>9107.778</v>
      </c>
      <c r="E819" s="22" t="n">
        <f aca="false">MONTH(A819)</f>
        <v>4</v>
      </c>
    </row>
    <row r="820" customFormat="false" ht="15" hidden="false" customHeight="false" outlineLevel="0" collapsed="false">
      <c r="A820" s="21" t="n">
        <v>46135</v>
      </c>
      <c r="B820" s="22" t="s">
        <v>374</v>
      </c>
      <c r="C820" s="22" t="n">
        <v>1</v>
      </c>
      <c r="D820" s="41" t="n">
        <v>906.093</v>
      </c>
      <c r="E820" s="22" t="n">
        <f aca="false">MONTH(A820)</f>
        <v>4</v>
      </c>
    </row>
    <row r="821" customFormat="false" ht="15" hidden="false" customHeight="false" outlineLevel="0" collapsed="false">
      <c r="A821" s="21" t="n">
        <v>46135</v>
      </c>
      <c r="B821" s="22" t="s">
        <v>375</v>
      </c>
      <c r="C821" s="22" t="n">
        <v>1</v>
      </c>
      <c r="D821" s="41" t="n">
        <v>9123.246</v>
      </c>
      <c r="E821" s="22" t="n">
        <f aca="false">MONTH(A821)</f>
        <v>4</v>
      </c>
    </row>
    <row r="822" customFormat="false" ht="15" hidden="false" customHeight="false" outlineLevel="0" collapsed="false">
      <c r="A822" s="21" t="n">
        <v>46135</v>
      </c>
      <c r="B822" s="22" t="s">
        <v>375</v>
      </c>
      <c r="C822" s="22" t="n">
        <v>2</v>
      </c>
      <c r="D822" s="41" t="n">
        <v>7679.5</v>
      </c>
      <c r="E822" s="22" t="n">
        <f aca="false">MONTH(A822)</f>
        <v>4</v>
      </c>
    </row>
    <row r="823" customFormat="false" ht="15" hidden="false" customHeight="false" outlineLevel="0" collapsed="false">
      <c r="A823" s="21" t="n">
        <v>46135</v>
      </c>
      <c r="B823" s="22" t="s">
        <v>187</v>
      </c>
      <c r="C823" s="22" t="n">
        <v>1</v>
      </c>
      <c r="D823" s="41" t="n">
        <v>8759.03</v>
      </c>
      <c r="E823" s="22" t="n">
        <f aca="false">MONTH(A823)</f>
        <v>4</v>
      </c>
    </row>
    <row r="824" customFormat="false" ht="15" hidden="false" customHeight="false" outlineLevel="0" collapsed="false">
      <c r="A824" s="21" t="n">
        <v>46135</v>
      </c>
      <c r="B824" s="22" t="s">
        <v>187</v>
      </c>
      <c r="C824" s="22" t="n">
        <v>2</v>
      </c>
      <c r="D824" s="41" t="n">
        <v>7660.03</v>
      </c>
      <c r="E824" s="22" t="n">
        <f aca="false">MONTH(A824)</f>
        <v>4</v>
      </c>
    </row>
    <row r="825" customFormat="false" ht="15" hidden="false" customHeight="false" outlineLevel="0" collapsed="false">
      <c r="A825" s="21" t="n">
        <v>46135</v>
      </c>
      <c r="B825" s="22" t="s">
        <v>189</v>
      </c>
      <c r="C825" s="22" t="n">
        <v>1</v>
      </c>
      <c r="D825" s="41" t="n">
        <v>8120.925</v>
      </c>
      <c r="E825" s="22" t="n">
        <f aca="false">MONTH(A825)</f>
        <v>4</v>
      </c>
    </row>
    <row r="826" customFormat="false" ht="15" hidden="false" customHeight="false" outlineLevel="0" collapsed="false">
      <c r="A826" s="21" t="n">
        <v>46135</v>
      </c>
      <c r="B826" s="22" t="s">
        <v>189</v>
      </c>
      <c r="C826" s="22" t="n">
        <v>2</v>
      </c>
      <c r="D826" s="41" t="n">
        <v>13129.425</v>
      </c>
      <c r="E826" s="22" t="n">
        <f aca="false">MONTH(A826)</f>
        <v>4</v>
      </c>
    </row>
    <row r="827" customFormat="false" ht="15" hidden="false" customHeight="false" outlineLevel="0" collapsed="false">
      <c r="A827" s="21" t="n">
        <v>46136</v>
      </c>
      <c r="B827" s="22" t="s">
        <v>361</v>
      </c>
      <c r="C827" s="22" t="n">
        <v>1</v>
      </c>
      <c r="D827" s="41" t="n">
        <v>26056.24</v>
      </c>
      <c r="E827" s="22" t="n">
        <f aca="false">MONTH(A827)</f>
        <v>4</v>
      </c>
    </row>
    <row r="828" customFormat="false" ht="15" hidden="false" customHeight="false" outlineLevel="0" collapsed="false">
      <c r="A828" s="21" t="n">
        <v>46136</v>
      </c>
      <c r="B828" s="22" t="s">
        <v>186</v>
      </c>
      <c r="C828" s="22" t="n">
        <v>1</v>
      </c>
      <c r="D828" s="41" t="n">
        <v>11227.068</v>
      </c>
      <c r="E828" s="22" t="n">
        <f aca="false">MONTH(A828)</f>
        <v>4</v>
      </c>
    </row>
    <row r="829" customFormat="false" ht="15" hidden="false" customHeight="false" outlineLevel="0" collapsed="false">
      <c r="A829" s="21" t="n">
        <v>46136</v>
      </c>
      <c r="B829" s="22" t="s">
        <v>186</v>
      </c>
      <c r="C829" s="22" t="n">
        <v>2</v>
      </c>
      <c r="D829" s="41" t="n">
        <v>11785.32</v>
      </c>
      <c r="E829" s="22" t="n">
        <f aca="false">MONTH(A829)</f>
        <v>4</v>
      </c>
    </row>
    <row r="830" customFormat="false" ht="15" hidden="false" customHeight="false" outlineLevel="0" collapsed="false">
      <c r="A830" s="21" t="n">
        <v>46136</v>
      </c>
      <c r="B830" s="22" t="s">
        <v>374</v>
      </c>
      <c r="C830" s="22" t="n">
        <v>1</v>
      </c>
      <c r="D830" s="41" t="n">
        <v>7836.48</v>
      </c>
      <c r="E830" s="22" t="n">
        <f aca="false">MONTH(A830)</f>
        <v>4</v>
      </c>
    </row>
    <row r="831" customFormat="false" ht="15" hidden="false" customHeight="false" outlineLevel="0" collapsed="false">
      <c r="A831" s="21" t="n">
        <v>46136</v>
      </c>
      <c r="B831" s="22" t="s">
        <v>375</v>
      </c>
      <c r="C831" s="22" t="n">
        <v>1</v>
      </c>
      <c r="D831" s="41" t="n">
        <v>9599.375</v>
      </c>
      <c r="E831" s="22" t="n">
        <f aca="false">MONTH(A831)</f>
        <v>4</v>
      </c>
    </row>
    <row r="832" customFormat="false" ht="15" hidden="false" customHeight="false" outlineLevel="0" collapsed="false">
      <c r="A832" s="21" t="n">
        <v>46136</v>
      </c>
      <c r="B832" s="22" t="s">
        <v>375</v>
      </c>
      <c r="C832" s="22" t="n">
        <v>2</v>
      </c>
      <c r="D832" s="41" t="n">
        <v>8278.501</v>
      </c>
      <c r="E832" s="22" t="n">
        <f aca="false">MONTH(A832)</f>
        <v>4</v>
      </c>
    </row>
    <row r="833" customFormat="false" ht="15" hidden="false" customHeight="false" outlineLevel="0" collapsed="false">
      <c r="A833" s="21" t="n">
        <v>46136</v>
      </c>
      <c r="B833" s="22" t="s">
        <v>187</v>
      </c>
      <c r="C833" s="22" t="n">
        <v>1</v>
      </c>
      <c r="D833" s="41" t="n">
        <v>9901.99</v>
      </c>
      <c r="E833" s="22" t="n">
        <f aca="false">MONTH(A833)</f>
        <v>4</v>
      </c>
    </row>
    <row r="834" customFormat="false" ht="15" hidden="false" customHeight="false" outlineLevel="0" collapsed="false">
      <c r="A834" s="21" t="n">
        <v>46136</v>
      </c>
      <c r="B834" s="22" t="s">
        <v>187</v>
      </c>
      <c r="C834" s="22" t="n">
        <v>2</v>
      </c>
      <c r="D834" s="41" t="n">
        <v>8275.47</v>
      </c>
      <c r="E834" s="22" t="n">
        <f aca="false">MONTH(A834)</f>
        <v>4</v>
      </c>
    </row>
    <row r="835" customFormat="false" ht="15" hidden="false" customHeight="false" outlineLevel="0" collapsed="false">
      <c r="A835" s="21" t="n">
        <v>46136</v>
      </c>
      <c r="B835" s="22" t="s">
        <v>189</v>
      </c>
      <c r="C835" s="22" t="n">
        <v>1</v>
      </c>
      <c r="D835" s="41" t="n">
        <v>14727.375</v>
      </c>
      <c r="E835" s="22" t="n">
        <f aca="false">MONTH(A835)</f>
        <v>4</v>
      </c>
    </row>
    <row r="836" customFormat="false" ht="15" hidden="false" customHeight="false" outlineLevel="0" collapsed="false">
      <c r="A836" s="21" t="n">
        <v>46136</v>
      </c>
      <c r="B836" s="22" t="s">
        <v>189</v>
      </c>
      <c r="C836" s="22" t="n">
        <v>2</v>
      </c>
      <c r="D836" s="41" t="n">
        <v>16146.45</v>
      </c>
      <c r="E836" s="22" t="n">
        <f aca="false">MONTH(A836)</f>
        <v>4</v>
      </c>
    </row>
    <row r="837" customFormat="false" ht="15" hidden="false" customHeight="false" outlineLevel="0" collapsed="false">
      <c r="A837" s="21" t="n">
        <v>46136</v>
      </c>
      <c r="B837" s="22" t="s">
        <v>359</v>
      </c>
      <c r="C837" s="22" t="n">
        <v>1</v>
      </c>
      <c r="D837" s="41" t="n">
        <v>3039.58</v>
      </c>
      <c r="E837" s="22" t="n">
        <f aca="false">MONTH(A837)</f>
        <v>4</v>
      </c>
    </row>
    <row r="838" customFormat="false" ht="15" hidden="false" customHeight="false" outlineLevel="0" collapsed="false">
      <c r="A838" s="21" t="n">
        <v>46137</v>
      </c>
      <c r="B838" s="22" t="s">
        <v>361</v>
      </c>
      <c r="C838" s="22" t="n">
        <v>1</v>
      </c>
      <c r="D838" s="41" t="n">
        <v>7130.48</v>
      </c>
      <c r="E838" s="22" t="n">
        <f aca="false">MONTH(A838)</f>
        <v>4</v>
      </c>
    </row>
    <row r="839" customFormat="false" ht="15" hidden="false" customHeight="false" outlineLevel="0" collapsed="false">
      <c r="A839" s="21" t="n">
        <v>46137</v>
      </c>
      <c r="B839" s="22" t="s">
        <v>186</v>
      </c>
      <c r="C839" s="22" t="n">
        <v>1</v>
      </c>
      <c r="D839" s="41" t="n">
        <v>10203.606</v>
      </c>
      <c r="E839" s="22" t="n">
        <f aca="false">MONTH(A839)</f>
        <v>4</v>
      </c>
    </row>
    <row r="840" customFormat="false" ht="15" hidden="false" customHeight="false" outlineLevel="0" collapsed="false">
      <c r="A840" s="21" t="n">
        <v>46137</v>
      </c>
      <c r="B840" s="22" t="s">
        <v>186</v>
      </c>
      <c r="C840" s="22" t="n">
        <v>2</v>
      </c>
      <c r="D840" s="41" t="n">
        <v>10482.732</v>
      </c>
      <c r="E840" s="22" t="n">
        <f aca="false">MONTH(A840)</f>
        <v>4</v>
      </c>
    </row>
    <row r="841" customFormat="false" ht="15" hidden="false" customHeight="false" outlineLevel="0" collapsed="false">
      <c r="A841" s="21" t="n">
        <v>46137</v>
      </c>
      <c r="B841" s="22" t="s">
        <v>374</v>
      </c>
      <c r="C841" s="22" t="n">
        <v>1</v>
      </c>
      <c r="D841" s="41" t="n">
        <v>6627.882</v>
      </c>
      <c r="E841" s="22" t="n">
        <f aca="false">MONTH(A841)</f>
        <v>4</v>
      </c>
    </row>
    <row r="842" customFormat="false" ht="15" hidden="false" customHeight="false" outlineLevel="0" collapsed="false">
      <c r="A842" s="21" t="n">
        <v>46137</v>
      </c>
      <c r="B842" s="22" t="s">
        <v>374</v>
      </c>
      <c r="C842" s="22" t="n">
        <v>2</v>
      </c>
      <c r="D842" s="41" t="n">
        <v>471.714</v>
      </c>
      <c r="E842" s="22" t="n">
        <f aca="false">MONTH(A842)</f>
        <v>4</v>
      </c>
    </row>
    <row r="843" customFormat="false" ht="15" hidden="false" customHeight="false" outlineLevel="0" collapsed="false">
      <c r="A843" s="21" t="n">
        <v>46137</v>
      </c>
      <c r="B843" s="22" t="s">
        <v>375</v>
      </c>
      <c r="C843" s="22" t="n">
        <v>1</v>
      </c>
      <c r="D843" s="41" t="n">
        <v>8631.758</v>
      </c>
      <c r="E843" s="22" t="n">
        <f aca="false">MONTH(A843)</f>
        <v>4</v>
      </c>
    </row>
    <row r="844" customFormat="false" ht="15" hidden="false" customHeight="false" outlineLevel="0" collapsed="false">
      <c r="A844" s="21" t="n">
        <v>46137</v>
      </c>
      <c r="B844" s="22" t="s">
        <v>375</v>
      </c>
      <c r="C844" s="22" t="n">
        <v>2</v>
      </c>
      <c r="D844" s="41" t="n">
        <v>8416.732</v>
      </c>
      <c r="E844" s="22" t="n">
        <f aca="false">MONTH(A844)</f>
        <v>4</v>
      </c>
    </row>
    <row r="845" customFormat="false" ht="15" hidden="false" customHeight="false" outlineLevel="0" collapsed="false">
      <c r="A845" s="21" t="n">
        <v>46137</v>
      </c>
      <c r="B845" s="22" t="s">
        <v>187</v>
      </c>
      <c r="C845" s="22" t="n">
        <v>1</v>
      </c>
      <c r="D845" s="41" t="n">
        <v>3807.375</v>
      </c>
      <c r="E845" s="22" t="n">
        <f aca="false">MONTH(A845)</f>
        <v>4</v>
      </c>
    </row>
    <row r="846" customFormat="false" ht="15" hidden="false" customHeight="false" outlineLevel="0" collapsed="false">
      <c r="A846" s="21" t="n">
        <v>46137</v>
      </c>
      <c r="B846" s="22" t="s">
        <v>187</v>
      </c>
      <c r="C846" s="22" t="n">
        <v>2</v>
      </c>
      <c r="D846" s="41" t="n">
        <v>5138.625</v>
      </c>
      <c r="E846" s="22" t="n">
        <f aca="false">MONTH(A846)</f>
        <v>4</v>
      </c>
    </row>
    <row r="847" customFormat="false" ht="15" hidden="false" customHeight="false" outlineLevel="0" collapsed="false">
      <c r="A847" s="21" t="n">
        <v>46137</v>
      </c>
      <c r="B847" s="22" t="s">
        <v>189</v>
      </c>
      <c r="C847" s="22" t="n">
        <v>1</v>
      </c>
      <c r="D847" s="41" t="n">
        <v>13105.575</v>
      </c>
      <c r="E847" s="22" t="n">
        <f aca="false">MONTH(A847)</f>
        <v>4</v>
      </c>
    </row>
    <row r="848" customFormat="false" ht="15" hidden="false" customHeight="false" outlineLevel="0" collapsed="false">
      <c r="A848" s="21" t="n">
        <v>46137</v>
      </c>
      <c r="B848" s="22" t="s">
        <v>189</v>
      </c>
      <c r="C848" s="22" t="n">
        <v>2</v>
      </c>
      <c r="D848" s="41" t="n">
        <v>10815.975</v>
      </c>
      <c r="E848" s="22" t="n">
        <f aca="false">MONTH(A848)</f>
        <v>4</v>
      </c>
    </row>
    <row r="849" customFormat="false" ht="15" hidden="false" customHeight="false" outlineLevel="0" collapsed="false">
      <c r="A849" s="21" t="n">
        <v>46137</v>
      </c>
      <c r="B849" s="22" t="s">
        <v>359</v>
      </c>
      <c r="C849" s="22" t="n">
        <v>1</v>
      </c>
      <c r="D849" s="41" t="n">
        <v>4812.16</v>
      </c>
      <c r="E849" s="22" t="n">
        <f aca="false">MONTH(A849)</f>
        <v>4</v>
      </c>
    </row>
    <row r="850" customFormat="false" ht="15" hidden="false" customHeight="false" outlineLevel="0" collapsed="false">
      <c r="A850" s="21" t="n">
        <v>46139</v>
      </c>
      <c r="B850" s="22" t="s">
        <v>186</v>
      </c>
      <c r="C850" s="22" t="n">
        <v>1</v>
      </c>
      <c r="D850" s="41" t="n">
        <v>10245.449</v>
      </c>
      <c r="E850" s="22" t="n">
        <f aca="false">MONTH(A850)</f>
        <v>4</v>
      </c>
    </row>
    <row r="851" customFormat="false" ht="15" hidden="false" customHeight="false" outlineLevel="0" collapsed="false">
      <c r="A851" s="21" t="n">
        <v>46139</v>
      </c>
      <c r="B851" s="22" t="s">
        <v>186</v>
      </c>
      <c r="C851" s="22" t="n">
        <v>2</v>
      </c>
      <c r="D851" s="41" t="n">
        <v>11799.457</v>
      </c>
      <c r="E851" s="22" t="n">
        <f aca="false">MONTH(A851)</f>
        <v>4</v>
      </c>
    </row>
    <row r="852" customFormat="false" ht="15" hidden="false" customHeight="false" outlineLevel="0" collapsed="false">
      <c r="A852" s="21" t="n">
        <v>46139</v>
      </c>
      <c r="B852" s="22" t="s">
        <v>375</v>
      </c>
      <c r="C852" s="22" t="n">
        <v>1</v>
      </c>
      <c r="D852" s="41" t="n">
        <v>8985.015</v>
      </c>
      <c r="E852" s="22" t="n">
        <f aca="false">MONTH(A852)</f>
        <v>4</v>
      </c>
    </row>
    <row r="853" customFormat="false" ht="15" hidden="false" customHeight="false" outlineLevel="0" collapsed="false">
      <c r="A853" s="21" t="n">
        <v>46139</v>
      </c>
      <c r="B853" s="22" t="s">
        <v>375</v>
      </c>
      <c r="C853" s="22" t="n">
        <v>2</v>
      </c>
      <c r="D853" s="41" t="n">
        <v>10843.454</v>
      </c>
      <c r="E853" s="22" t="n">
        <f aca="false">MONTH(A853)</f>
        <v>4</v>
      </c>
    </row>
    <row r="854" customFormat="false" ht="15" hidden="false" customHeight="false" outlineLevel="0" collapsed="false">
      <c r="A854" s="21" t="n">
        <v>46139</v>
      </c>
      <c r="B854" s="22" t="s">
        <v>187</v>
      </c>
      <c r="C854" s="22" t="n">
        <v>1</v>
      </c>
      <c r="D854" s="41" t="n">
        <v>13241.5</v>
      </c>
      <c r="E854" s="22" t="n">
        <f aca="false">MONTH(A854)</f>
        <v>4</v>
      </c>
    </row>
    <row r="855" customFormat="false" ht="15" hidden="false" customHeight="false" outlineLevel="0" collapsed="false">
      <c r="A855" s="21" t="n">
        <v>46139</v>
      </c>
      <c r="B855" s="22" t="s">
        <v>187</v>
      </c>
      <c r="C855" s="22" t="n">
        <v>2</v>
      </c>
      <c r="D855" s="41" t="n">
        <v>14200</v>
      </c>
      <c r="E855" s="22" t="n">
        <f aca="false">MONTH(A855)</f>
        <v>4</v>
      </c>
    </row>
    <row r="856" customFormat="false" ht="15" hidden="false" customHeight="false" outlineLevel="0" collapsed="false">
      <c r="A856" s="21" t="n">
        <v>46139</v>
      </c>
      <c r="B856" s="22" t="s">
        <v>189</v>
      </c>
      <c r="C856" s="22" t="n">
        <v>1</v>
      </c>
      <c r="D856" s="41" t="n">
        <v>16074.9</v>
      </c>
      <c r="E856" s="22" t="n">
        <f aca="false">MONTH(A856)</f>
        <v>4</v>
      </c>
    </row>
    <row r="857" customFormat="false" ht="15" hidden="false" customHeight="false" outlineLevel="0" collapsed="false">
      <c r="A857" s="21" t="n">
        <v>46139</v>
      </c>
      <c r="B857" s="22" t="s">
        <v>189</v>
      </c>
      <c r="C857" s="22" t="n">
        <v>2</v>
      </c>
      <c r="D857" s="41" t="n">
        <v>15156.675</v>
      </c>
      <c r="E857" s="22" t="n">
        <f aca="false">MONTH(A857)</f>
        <v>4</v>
      </c>
    </row>
    <row r="858" customFormat="false" ht="15" hidden="false" customHeight="false" outlineLevel="0" collapsed="false">
      <c r="A858" s="21" t="n">
        <v>46139</v>
      </c>
      <c r="B858" s="22" t="s">
        <v>359</v>
      </c>
      <c r="C858" s="22" t="n">
        <v>1</v>
      </c>
      <c r="D858" s="41" t="n">
        <v>4380</v>
      </c>
      <c r="E858" s="22" t="n">
        <f aca="false">MONTH(A858)</f>
        <v>4</v>
      </c>
    </row>
    <row r="859" customFormat="false" ht="15" hidden="false" customHeight="false" outlineLevel="0" collapsed="false">
      <c r="A859" s="21" t="n">
        <v>46140</v>
      </c>
      <c r="B859" s="22" t="s">
        <v>186</v>
      </c>
      <c r="C859" s="22" t="n">
        <v>1</v>
      </c>
      <c r="D859" s="41" t="n">
        <v>11834.121</v>
      </c>
      <c r="E859" s="22" t="n">
        <f aca="false">MONTH(A859)</f>
        <v>4</v>
      </c>
    </row>
    <row r="860" customFormat="false" ht="15" hidden="false" customHeight="false" outlineLevel="0" collapsed="false">
      <c r="A860" s="21" t="n">
        <v>46140</v>
      </c>
      <c r="B860" s="22" t="s">
        <v>186</v>
      </c>
      <c r="C860" s="22" t="n">
        <v>2</v>
      </c>
      <c r="D860" s="41" t="n">
        <v>4381.722</v>
      </c>
      <c r="E860" s="22" t="n">
        <f aca="false">MONTH(A860)</f>
        <v>4</v>
      </c>
    </row>
    <row r="861" customFormat="false" ht="15" hidden="false" customHeight="false" outlineLevel="0" collapsed="false">
      <c r="A861" s="21" t="n">
        <v>46140</v>
      </c>
      <c r="B861" s="22" t="s">
        <v>375</v>
      </c>
      <c r="C861" s="22" t="n">
        <v>1</v>
      </c>
      <c r="D861" s="41" t="n">
        <v>8985.015</v>
      </c>
      <c r="E861" s="22" t="n">
        <f aca="false">MONTH(A861)</f>
        <v>4</v>
      </c>
    </row>
    <row r="862" customFormat="false" ht="15" hidden="false" customHeight="false" outlineLevel="0" collapsed="false">
      <c r="A862" s="21" t="n">
        <v>46140</v>
      </c>
      <c r="B862" s="22" t="s">
        <v>375</v>
      </c>
      <c r="C862" s="22" t="n">
        <v>2</v>
      </c>
      <c r="D862" s="41" t="n">
        <v>10597.71</v>
      </c>
      <c r="E862" s="22" t="n">
        <f aca="false">MONTH(A862)</f>
        <v>4</v>
      </c>
    </row>
    <row r="863" customFormat="false" ht="15" hidden="false" customHeight="false" outlineLevel="0" collapsed="false">
      <c r="A863" s="21" t="n">
        <v>46140</v>
      </c>
      <c r="B863" s="22" t="s">
        <v>187</v>
      </c>
      <c r="C863" s="22" t="n">
        <v>1</v>
      </c>
      <c r="D863" s="41" t="n">
        <v>14111.25</v>
      </c>
      <c r="E863" s="22" t="n">
        <f aca="false">MONTH(A863)</f>
        <v>4</v>
      </c>
    </row>
    <row r="864" customFormat="false" ht="15" hidden="false" customHeight="false" outlineLevel="0" collapsed="false">
      <c r="A864" s="21" t="n">
        <v>46140</v>
      </c>
      <c r="B864" s="22" t="s">
        <v>187</v>
      </c>
      <c r="C864" s="22" t="n">
        <v>2</v>
      </c>
      <c r="D864" s="41" t="n">
        <v>12575.875</v>
      </c>
      <c r="E864" s="22" t="n">
        <f aca="false">MONTH(A864)</f>
        <v>4</v>
      </c>
    </row>
    <row r="865" customFormat="false" ht="15" hidden="false" customHeight="false" outlineLevel="0" collapsed="false">
      <c r="A865" s="21" t="n">
        <v>46140</v>
      </c>
      <c r="B865" s="22" t="s">
        <v>189</v>
      </c>
      <c r="C865" s="22" t="n">
        <v>1</v>
      </c>
      <c r="D865" s="41" t="n">
        <v>15991.425</v>
      </c>
      <c r="E865" s="22" t="n">
        <f aca="false">MONTH(A865)</f>
        <v>4</v>
      </c>
    </row>
    <row r="866" customFormat="false" ht="15" hidden="false" customHeight="false" outlineLevel="0" collapsed="false">
      <c r="A866" s="21" t="n">
        <v>46140</v>
      </c>
      <c r="B866" s="22" t="s">
        <v>189</v>
      </c>
      <c r="C866" s="22" t="n">
        <v>2</v>
      </c>
      <c r="D866" s="41" t="n">
        <v>15180.525</v>
      </c>
      <c r="E866" s="22" t="n">
        <f aca="false">MONTH(A866)</f>
        <v>4</v>
      </c>
    </row>
    <row r="867" customFormat="false" ht="15" hidden="false" customHeight="false" outlineLevel="0" collapsed="false">
      <c r="A867" s="21" t="n">
        <v>46140</v>
      </c>
      <c r="B867" s="22" t="s">
        <v>359</v>
      </c>
      <c r="C867" s="22" t="n">
        <v>1</v>
      </c>
      <c r="D867" s="41" t="n">
        <v>4905.6</v>
      </c>
      <c r="E867" s="22" t="n">
        <f aca="false">MONTH(A867)</f>
        <v>4</v>
      </c>
    </row>
    <row r="868" customFormat="false" ht="15" hidden="false" customHeight="false" outlineLevel="0" collapsed="false">
      <c r="A868" s="21" t="n">
        <v>46140</v>
      </c>
      <c r="B868" s="22" t="s">
        <v>359</v>
      </c>
      <c r="C868" s="22" t="n">
        <v>2</v>
      </c>
      <c r="D868" s="41" t="n">
        <v>1752</v>
      </c>
      <c r="E868" s="22" t="n">
        <f aca="false">MONTH(A868)</f>
        <v>4</v>
      </c>
    </row>
    <row r="869" customFormat="false" ht="15" hidden="false" customHeight="false" outlineLevel="0" collapsed="false">
      <c r="A869" s="21" t="n">
        <v>46141</v>
      </c>
      <c r="B869" s="22" t="s">
        <v>186</v>
      </c>
      <c r="C869" s="22" t="n">
        <v>1</v>
      </c>
      <c r="D869" s="41" t="n">
        <v>11719.725</v>
      </c>
      <c r="E869" s="22" t="n">
        <f aca="false">MONTH(A869)</f>
        <v>4</v>
      </c>
    </row>
    <row r="870" customFormat="false" ht="15" hidden="false" customHeight="false" outlineLevel="0" collapsed="false">
      <c r="A870" s="21" t="n">
        <v>46141</v>
      </c>
      <c r="B870" s="22" t="s">
        <v>186</v>
      </c>
      <c r="C870" s="22" t="n">
        <v>2</v>
      </c>
      <c r="D870" s="41" t="n">
        <v>3779.325</v>
      </c>
      <c r="E870" s="22" t="n">
        <f aca="false">MONTH(A870)</f>
        <v>4</v>
      </c>
    </row>
    <row r="871" customFormat="false" ht="15" hidden="false" customHeight="false" outlineLevel="0" collapsed="false">
      <c r="A871" s="21" t="n">
        <v>46141</v>
      </c>
      <c r="B871" s="22" t="s">
        <v>375</v>
      </c>
      <c r="C871" s="22" t="n">
        <v>1</v>
      </c>
      <c r="D871" s="41" t="n">
        <v>10290.53</v>
      </c>
      <c r="E871" s="22" t="n">
        <f aca="false">MONTH(A871)</f>
        <v>4</v>
      </c>
    </row>
    <row r="872" customFormat="false" ht="15" hidden="false" customHeight="false" outlineLevel="0" collapsed="false">
      <c r="A872" s="21" t="n">
        <v>46141</v>
      </c>
      <c r="B872" s="22" t="s">
        <v>375</v>
      </c>
      <c r="C872" s="22" t="n">
        <v>2</v>
      </c>
      <c r="D872" s="41" t="n">
        <v>10735.941</v>
      </c>
      <c r="E872" s="22" t="n">
        <f aca="false">MONTH(A872)</f>
        <v>4</v>
      </c>
    </row>
    <row r="873" customFormat="false" ht="15" hidden="false" customHeight="false" outlineLevel="0" collapsed="false">
      <c r="A873" s="21" t="n">
        <v>46141</v>
      </c>
      <c r="B873" s="22" t="s">
        <v>189</v>
      </c>
      <c r="C873" s="22" t="n">
        <v>1</v>
      </c>
      <c r="D873" s="41" t="n">
        <v>16420.725</v>
      </c>
      <c r="E873" s="22" t="n">
        <f aca="false">MONTH(A873)</f>
        <v>4</v>
      </c>
    </row>
    <row r="874" customFormat="false" ht="15" hidden="false" customHeight="false" outlineLevel="0" collapsed="false">
      <c r="A874" s="21" t="n">
        <v>46141</v>
      </c>
      <c r="B874" s="22" t="s">
        <v>189</v>
      </c>
      <c r="C874" s="22" t="n">
        <v>2</v>
      </c>
      <c r="D874" s="41" t="n">
        <v>4448.025</v>
      </c>
      <c r="E874" s="22" t="n">
        <f aca="false">MONTH(A874)</f>
        <v>4</v>
      </c>
    </row>
    <row r="875" customFormat="false" ht="15" hidden="false" customHeight="false" outlineLevel="0" collapsed="false">
      <c r="A875" s="21" t="n">
        <v>46141</v>
      </c>
      <c r="B875" s="22" t="s">
        <v>359</v>
      </c>
      <c r="C875" s="22" t="n">
        <v>1</v>
      </c>
      <c r="D875" s="41" t="n">
        <v>5699.84</v>
      </c>
      <c r="E875" s="22" t="n">
        <f aca="false">MONTH(A875)</f>
        <v>4</v>
      </c>
    </row>
    <row r="876" customFormat="false" ht="15" hidden="false" customHeight="false" outlineLevel="0" collapsed="false">
      <c r="A876" s="21" t="n">
        <v>46146</v>
      </c>
      <c r="B876" s="22" t="s">
        <v>361</v>
      </c>
      <c r="C876" s="22" t="n">
        <v>2</v>
      </c>
      <c r="D876" s="41" t="n">
        <v>6026.706</v>
      </c>
      <c r="E876" s="22" t="n">
        <f aca="false">MONTH(A876)</f>
        <v>5</v>
      </c>
    </row>
    <row r="877" customFormat="false" ht="15" hidden="false" customHeight="false" outlineLevel="0" collapsed="false">
      <c r="A877" s="21" t="n">
        <v>46146</v>
      </c>
      <c r="B877" s="22" t="s">
        <v>362</v>
      </c>
      <c r="C877" s="22" t="n">
        <v>2</v>
      </c>
      <c r="D877" s="41" t="n">
        <v>1411.988</v>
      </c>
      <c r="E877" s="22" t="n">
        <f aca="false">MONTH(A877)</f>
        <v>5</v>
      </c>
    </row>
    <row r="878" customFormat="false" ht="15" hidden="false" customHeight="false" outlineLevel="0" collapsed="false">
      <c r="A878" s="21" t="n">
        <v>46146</v>
      </c>
      <c r="B878" s="22" t="s">
        <v>186</v>
      </c>
      <c r="C878" s="22" t="n">
        <v>1</v>
      </c>
      <c r="D878" s="41" t="n">
        <v>4911.85</v>
      </c>
      <c r="E878" s="22" t="n">
        <f aca="false">MONTH(A878)</f>
        <v>5</v>
      </c>
    </row>
    <row r="879" customFormat="false" ht="15" hidden="false" customHeight="false" outlineLevel="0" collapsed="false">
      <c r="A879" s="21" t="n">
        <v>46146</v>
      </c>
      <c r="B879" s="22" t="s">
        <v>186</v>
      </c>
      <c r="C879" s="22" t="n">
        <v>2</v>
      </c>
      <c r="D879" s="41" t="n">
        <v>11885.15</v>
      </c>
      <c r="E879" s="22" t="n">
        <f aca="false">MONTH(A879)</f>
        <v>5</v>
      </c>
    </row>
    <row r="880" customFormat="false" ht="15" hidden="false" customHeight="false" outlineLevel="0" collapsed="false">
      <c r="A880" s="21" t="n">
        <v>46146</v>
      </c>
      <c r="B880" s="22" t="s">
        <v>374</v>
      </c>
      <c r="C880" s="22" t="n">
        <v>2</v>
      </c>
      <c r="D880" s="41" t="n">
        <v>4192.776</v>
      </c>
      <c r="E880" s="22" t="n">
        <f aca="false">MONTH(A880)</f>
        <v>5</v>
      </c>
    </row>
    <row r="881" customFormat="false" ht="15" hidden="false" customHeight="false" outlineLevel="0" collapsed="false">
      <c r="A881" s="21" t="n">
        <v>46146</v>
      </c>
      <c r="B881" s="22" t="s">
        <v>375</v>
      </c>
      <c r="C881" s="22" t="n">
        <v>2</v>
      </c>
      <c r="D881" s="41" t="n">
        <v>1823.91</v>
      </c>
      <c r="E881" s="22" t="n">
        <f aca="false">MONTH(A881)</f>
        <v>5</v>
      </c>
    </row>
    <row r="882" customFormat="false" ht="15" hidden="false" customHeight="false" outlineLevel="0" collapsed="false">
      <c r="A882" s="21" t="n">
        <v>46146</v>
      </c>
      <c r="B882" s="22" t="s">
        <v>187</v>
      </c>
      <c r="C882" s="22" t="n">
        <v>1</v>
      </c>
      <c r="D882" s="41" t="n">
        <v>1979.653</v>
      </c>
      <c r="E882" s="22" t="n">
        <f aca="false">MONTH(A882)</f>
        <v>5</v>
      </c>
    </row>
    <row r="883" customFormat="false" ht="15" hidden="false" customHeight="false" outlineLevel="0" collapsed="false">
      <c r="A883" s="21" t="n">
        <v>46146</v>
      </c>
      <c r="B883" s="22" t="s">
        <v>189</v>
      </c>
      <c r="C883" s="22" t="n">
        <v>1</v>
      </c>
      <c r="D883" s="41" t="n">
        <v>8168.625</v>
      </c>
      <c r="E883" s="22" t="n">
        <f aca="false">MONTH(A883)</f>
        <v>5</v>
      </c>
    </row>
    <row r="884" customFormat="false" ht="15" hidden="false" customHeight="false" outlineLevel="0" collapsed="false">
      <c r="A884" s="21" t="n">
        <v>46146</v>
      </c>
      <c r="B884" s="22" t="s">
        <v>189</v>
      </c>
      <c r="C884" s="22" t="n">
        <v>2</v>
      </c>
      <c r="D884" s="41" t="n">
        <v>16921.575</v>
      </c>
      <c r="E884" s="22" t="n">
        <f aca="false">MONTH(A884)</f>
        <v>5</v>
      </c>
    </row>
    <row r="885" customFormat="false" ht="15" hidden="false" customHeight="false" outlineLevel="0" collapsed="false">
      <c r="A885" s="21" t="n">
        <v>46147</v>
      </c>
      <c r="B885" s="22" t="s">
        <v>361</v>
      </c>
      <c r="C885" s="22" t="n">
        <v>2</v>
      </c>
      <c r="D885" s="41" t="n">
        <v>16877.51</v>
      </c>
      <c r="E885" s="22" t="n">
        <f aca="false">MONTH(A885)</f>
        <v>5</v>
      </c>
    </row>
    <row r="886" customFormat="false" ht="15" hidden="false" customHeight="false" outlineLevel="0" collapsed="false">
      <c r="A886" s="21" t="n">
        <v>46147</v>
      </c>
      <c r="B886" s="22" t="s">
        <v>186</v>
      </c>
      <c r="C886" s="22" t="n">
        <v>1</v>
      </c>
      <c r="D886" s="41" t="n">
        <v>13603.025</v>
      </c>
      <c r="E886" s="22" t="n">
        <f aca="false">MONTH(A886)</f>
        <v>5</v>
      </c>
    </row>
    <row r="887" customFormat="false" ht="15" hidden="false" customHeight="false" outlineLevel="0" collapsed="false">
      <c r="A887" s="21" t="n">
        <v>46147</v>
      </c>
      <c r="B887" s="22" t="s">
        <v>186</v>
      </c>
      <c r="C887" s="22" t="n">
        <v>2</v>
      </c>
      <c r="D887" s="41" t="n">
        <v>4551.83</v>
      </c>
      <c r="E887" s="22" t="n">
        <f aca="false">MONTH(A887)</f>
        <v>5</v>
      </c>
    </row>
    <row r="888" customFormat="false" ht="15" hidden="false" customHeight="false" outlineLevel="0" collapsed="false">
      <c r="A888" s="21" t="n">
        <v>46147</v>
      </c>
      <c r="B888" s="22" t="s">
        <v>374</v>
      </c>
      <c r="C888" s="22" t="n">
        <v>2</v>
      </c>
      <c r="D888" s="41" t="n">
        <v>6072.024</v>
      </c>
      <c r="E888" s="22" t="n">
        <f aca="false">MONTH(A888)</f>
        <v>5</v>
      </c>
    </row>
    <row r="889" customFormat="false" ht="15" hidden="false" customHeight="false" outlineLevel="0" collapsed="false">
      <c r="A889" s="21" t="n">
        <v>46147</v>
      </c>
      <c r="B889" s="22" t="s">
        <v>375</v>
      </c>
      <c r="C889" s="22" t="n">
        <v>2</v>
      </c>
      <c r="D889" s="41" t="n">
        <v>4907.976</v>
      </c>
      <c r="E889" s="22" t="n">
        <f aca="false">MONTH(A889)</f>
        <v>5</v>
      </c>
    </row>
    <row r="890" customFormat="false" ht="15" hidden="false" customHeight="false" outlineLevel="0" collapsed="false">
      <c r="A890" s="21" t="n">
        <v>46147</v>
      </c>
      <c r="B890" s="22" t="s">
        <v>187</v>
      </c>
      <c r="C890" s="22" t="n">
        <v>1</v>
      </c>
      <c r="D890" s="41" t="n">
        <v>2102.581</v>
      </c>
      <c r="E890" s="22" t="n">
        <f aca="false">MONTH(A890)</f>
        <v>5</v>
      </c>
    </row>
    <row r="891" customFormat="false" ht="15" hidden="false" customHeight="false" outlineLevel="0" collapsed="false">
      <c r="A891" s="21" t="n">
        <v>46147</v>
      </c>
      <c r="B891" s="22" t="s">
        <v>189</v>
      </c>
      <c r="C891" s="22" t="n">
        <v>1</v>
      </c>
      <c r="D891" s="41" t="n">
        <v>11340.675</v>
      </c>
      <c r="E891" s="22" t="n">
        <f aca="false">MONTH(A891)</f>
        <v>5</v>
      </c>
    </row>
    <row r="892" customFormat="false" ht="15" hidden="false" customHeight="false" outlineLevel="0" collapsed="false">
      <c r="A892" s="21" t="n">
        <v>46147</v>
      </c>
      <c r="B892" s="22" t="s">
        <v>189</v>
      </c>
      <c r="C892" s="22" t="n">
        <v>2</v>
      </c>
      <c r="D892" s="41" t="n">
        <v>5507.462</v>
      </c>
      <c r="E892" s="22" t="n">
        <f aca="false">MONTH(A892)</f>
        <v>5</v>
      </c>
    </row>
    <row r="893" customFormat="false" ht="15" hidden="false" customHeight="false" outlineLevel="0" collapsed="false">
      <c r="A893" s="21" t="n">
        <v>46147</v>
      </c>
      <c r="B893" s="22" t="s">
        <v>359</v>
      </c>
      <c r="C893" s="22" t="n">
        <v>2</v>
      </c>
      <c r="D893" s="41" t="n">
        <v>2406.08</v>
      </c>
      <c r="E893" s="22" t="n">
        <f aca="false">MONTH(A893)</f>
        <v>5</v>
      </c>
    </row>
    <row r="894" customFormat="false" ht="15" hidden="false" customHeight="false" outlineLevel="0" collapsed="false">
      <c r="A894" s="21" t="n">
        <v>46148</v>
      </c>
      <c r="B894" s="22" t="s">
        <v>361</v>
      </c>
      <c r="C894" s="22" t="n">
        <v>2</v>
      </c>
      <c r="D894" s="41" t="n">
        <v>21660.61</v>
      </c>
      <c r="E894" s="22" t="n">
        <f aca="false">MONTH(A894)</f>
        <v>5</v>
      </c>
    </row>
    <row r="895" customFormat="false" ht="15" hidden="false" customHeight="false" outlineLevel="0" collapsed="false">
      <c r="A895" s="21" t="n">
        <v>46148</v>
      </c>
      <c r="B895" s="22" t="s">
        <v>186</v>
      </c>
      <c r="C895" s="22" t="n">
        <v>1</v>
      </c>
      <c r="D895" s="41" t="n">
        <v>10291.008</v>
      </c>
      <c r="E895" s="22" t="n">
        <f aca="false">MONTH(A895)</f>
        <v>5</v>
      </c>
    </row>
    <row r="896" customFormat="false" ht="15" hidden="false" customHeight="false" outlineLevel="0" collapsed="false">
      <c r="A896" s="21" t="n">
        <v>46148</v>
      </c>
      <c r="B896" s="22" t="s">
        <v>186</v>
      </c>
      <c r="C896" s="22" t="n">
        <v>2</v>
      </c>
      <c r="D896" s="41" t="n">
        <v>9247.68</v>
      </c>
      <c r="E896" s="22" t="n">
        <f aca="false">MONTH(A896)</f>
        <v>5</v>
      </c>
    </row>
    <row r="897" customFormat="false" ht="15" hidden="false" customHeight="false" outlineLevel="0" collapsed="false">
      <c r="A897" s="21" t="n">
        <v>46148</v>
      </c>
      <c r="B897" s="22" t="s">
        <v>374</v>
      </c>
      <c r="C897" s="22" t="n">
        <v>2</v>
      </c>
      <c r="D897" s="41" t="n">
        <v>7690.704</v>
      </c>
      <c r="E897" s="22" t="n">
        <f aca="false">MONTH(A897)</f>
        <v>5</v>
      </c>
    </row>
    <row r="898" customFormat="false" ht="15" hidden="false" customHeight="false" outlineLevel="0" collapsed="false">
      <c r="A898" s="21" t="n">
        <v>46148</v>
      </c>
      <c r="B898" s="22" t="s">
        <v>375</v>
      </c>
      <c r="C898" s="22" t="n">
        <v>2</v>
      </c>
      <c r="D898" s="41" t="n">
        <v>2288.178</v>
      </c>
      <c r="E898" s="22" t="n">
        <f aca="false">MONTH(A898)</f>
        <v>5</v>
      </c>
    </row>
    <row r="899" customFormat="false" ht="15" hidden="false" customHeight="false" outlineLevel="0" collapsed="false">
      <c r="A899" s="21" t="n">
        <v>46148</v>
      </c>
      <c r="B899" s="22" t="s">
        <v>187</v>
      </c>
      <c r="C899" s="22" t="n">
        <v>1</v>
      </c>
      <c r="D899" s="41" t="n">
        <v>2225.509</v>
      </c>
      <c r="E899" s="22" t="n">
        <f aca="false">MONTH(A899)</f>
        <v>5</v>
      </c>
    </row>
    <row r="900" customFormat="false" ht="15" hidden="false" customHeight="false" outlineLevel="0" collapsed="false">
      <c r="A900" s="21" t="n">
        <v>46148</v>
      </c>
      <c r="B900" s="22" t="s">
        <v>189</v>
      </c>
      <c r="C900" s="22" t="n">
        <v>1</v>
      </c>
      <c r="D900" s="41" t="n">
        <v>8353.22</v>
      </c>
      <c r="E900" s="22" t="n">
        <f aca="false">MONTH(A900)</f>
        <v>5</v>
      </c>
    </row>
    <row r="901" customFormat="false" ht="15" hidden="false" customHeight="false" outlineLevel="0" collapsed="false">
      <c r="A901" s="21" t="n">
        <v>46148</v>
      </c>
      <c r="B901" s="22" t="s">
        <v>189</v>
      </c>
      <c r="C901" s="22" t="n">
        <v>2</v>
      </c>
      <c r="D901" s="41" t="n">
        <v>8820.434</v>
      </c>
      <c r="E901" s="22" t="n">
        <f aca="false">MONTH(A901)</f>
        <v>5</v>
      </c>
    </row>
    <row r="902" customFormat="false" ht="15" hidden="false" customHeight="false" outlineLevel="0" collapsed="false">
      <c r="A902" s="21" t="n">
        <v>46149</v>
      </c>
      <c r="B902" s="22" t="s">
        <v>361</v>
      </c>
      <c r="C902" s="22" t="n">
        <v>2</v>
      </c>
      <c r="D902" s="41" t="n">
        <v>16713.518</v>
      </c>
      <c r="E902" s="22" t="n">
        <f aca="false">MONTH(A902)</f>
        <v>5</v>
      </c>
    </row>
    <row r="903" customFormat="false" ht="15" hidden="false" customHeight="false" outlineLevel="0" collapsed="false">
      <c r="A903" s="21" t="n">
        <v>46149</v>
      </c>
      <c r="B903" s="22" t="s">
        <v>362</v>
      </c>
      <c r="C903" s="22" t="n">
        <v>2</v>
      </c>
      <c r="D903" s="41" t="n">
        <v>7299.26</v>
      </c>
      <c r="E903" s="22" t="n">
        <f aca="false">MONTH(A903)</f>
        <v>5</v>
      </c>
    </row>
    <row r="904" customFormat="false" ht="15" hidden="false" customHeight="false" outlineLevel="0" collapsed="false">
      <c r="A904" s="21" t="n">
        <v>46149</v>
      </c>
      <c r="B904" s="22" t="s">
        <v>186</v>
      </c>
      <c r="C904" s="22" t="n">
        <v>1</v>
      </c>
      <c r="D904" s="41" t="n">
        <v>8405.904</v>
      </c>
      <c r="E904" s="22" t="n">
        <f aca="false">MONTH(A904)</f>
        <v>5</v>
      </c>
    </row>
    <row r="905" customFormat="false" ht="15" hidden="false" customHeight="false" outlineLevel="0" collapsed="false">
      <c r="A905" s="21" t="n">
        <v>46149</v>
      </c>
      <c r="B905" s="22" t="s">
        <v>186</v>
      </c>
      <c r="C905" s="22" t="n">
        <v>2</v>
      </c>
      <c r="D905" s="41" t="n">
        <v>7687.095</v>
      </c>
      <c r="E905" s="22" t="n">
        <f aca="false">MONTH(A905)</f>
        <v>5</v>
      </c>
    </row>
    <row r="906" customFormat="false" ht="15" hidden="false" customHeight="false" outlineLevel="0" collapsed="false">
      <c r="A906" s="21" t="n">
        <v>46149</v>
      </c>
      <c r="B906" s="22" t="s">
        <v>374</v>
      </c>
      <c r="C906" s="22" t="n">
        <v>2</v>
      </c>
      <c r="D906" s="41" t="n">
        <v>6577.368</v>
      </c>
      <c r="E906" s="22" t="n">
        <f aca="false">MONTH(A906)</f>
        <v>5</v>
      </c>
    </row>
    <row r="907" customFormat="false" ht="15" hidden="false" customHeight="false" outlineLevel="0" collapsed="false">
      <c r="A907" s="21" t="n">
        <v>46149</v>
      </c>
      <c r="B907" s="22" t="s">
        <v>375</v>
      </c>
      <c r="C907" s="22" t="n">
        <v>2</v>
      </c>
      <c r="D907" s="41" t="n">
        <v>4017.792</v>
      </c>
      <c r="E907" s="22" t="n">
        <f aca="false">MONTH(A907)</f>
        <v>5</v>
      </c>
    </row>
    <row r="908" customFormat="false" ht="15" hidden="false" customHeight="false" outlineLevel="0" collapsed="false">
      <c r="A908" s="21" t="n">
        <v>46149</v>
      </c>
      <c r="B908" s="22" t="s">
        <v>187</v>
      </c>
      <c r="C908" s="22" t="n">
        <v>1</v>
      </c>
      <c r="D908" s="41" t="n">
        <v>2189.655</v>
      </c>
      <c r="E908" s="22" t="n">
        <f aca="false">MONTH(A908)</f>
        <v>5</v>
      </c>
    </row>
    <row r="909" customFormat="false" ht="15" hidden="false" customHeight="false" outlineLevel="0" collapsed="false">
      <c r="A909" s="21" t="n">
        <v>46149</v>
      </c>
      <c r="B909" s="22" t="s">
        <v>189</v>
      </c>
      <c r="C909" s="22" t="n">
        <v>1</v>
      </c>
      <c r="D909" s="41" t="n">
        <v>9089.436</v>
      </c>
      <c r="E909" s="22" t="n">
        <f aca="false">MONTH(A909)</f>
        <v>5</v>
      </c>
    </row>
    <row r="910" customFormat="false" ht="15" hidden="false" customHeight="false" outlineLevel="0" collapsed="false">
      <c r="A910" s="21" t="n">
        <v>46149</v>
      </c>
      <c r="B910" s="22" t="s">
        <v>189</v>
      </c>
      <c r="C910" s="22" t="n">
        <v>2</v>
      </c>
      <c r="D910" s="41" t="n">
        <v>8395.694</v>
      </c>
      <c r="E910" s="22" t="n">
        <f aca="false">MONTH(A910)</f>
        <v>5</v>
      </c>
    </row>
    <row r="911" customFormat="false" ht="15" hidden="false" customHeight="false" outlineLevel="0" collapsed="false">
      <c r="A911" s="21" t="n">
        <v>46149</v>
      </c>
      <c r="B911" s="22" t="s">
        <v>359</v>
      </c>
      <c r="C911" s="22" t="n">
        <v>2</v>
      </c>
      <c r="D911" s="41" t="n">
        <v>514.898</v>
      </c>
      <c r="E911" s="22" t="n">
        <f aca="false">MONTH(A911)</f>
        <v>5</v>
      </c>
    </row>
    <row r="912" customFormat="false" ht="15" hidden="false" customHeight="false" outlineLevel="0" collapsed="false">
      <c r="A912" s="21" t="n">
        <v>46150</v>
      </c>
      <c r="B912" s="22" t="s">
        <v>361</v>
      </c>
      <c r="C912" s="22" t="n">
        <v>2</v>
      </c>
      <c r="D912" s="41" t="n">
        <v>12758.598</v>
      </c>
      <c r="E912" s="22" t="n">
        <f aca="false">MONTH(A912)</f>
        <v>5</v>
      </c>
    </row>
    <row r="913" customFormat="false" ht="15" hidden="false" customHeight="false" outlineLevel="0" collapsed="false">
      <c r="A913" s="21" t="n">
        <v>46150</v>
      </c>
      <c r="B913" s="22" t="s">
        <v>362</v>
      </c>
      <c r="C913" s="22" t="n">
        <v>2</v>
      </c>
      <c r="D913" s="41" t="n">
        <v>4369.233</v>
      </c>
      <c r="E913" s="22" t="n">
        <f aca="false">MONTH(A913)</f>
        <v>5</v>
      </c>
    </row>
    <row r="914" customFormat="false" ht="15" hidden="false" customHeight="false" outlineLevel="0" collapsed="false">
      <c r="A914" s="21" t="n">
        <v>46150</v>
      </c>
      <c r="B914" s="22" t="s">
        <v>186</v>
      </c>
      <c r="C914" s="22" t="n">
        <v>1</v>
      </c>
      <c r="D914" s="41" t="n">
        <v>8580.057</v>
      </c>
      <c r="E914" s="22" t="n">
        <f aca="false">MONTH(A914)</f>
        <v>5</v>
      </c>
    </row>
    <row r="915" customFormat="false" ht="15" hidden="false" customHeight="false" outlineLevel="0" collapsed="false">
      <c r="A915" s="21" t="n">
        <v>46150</v>
      </c>
      <c r="B915" s="22" t="s">
        <v>186</v>
      </c>
      <c r="C915" s="22" t="n">
        <v>2</v>
      </c>
      <c r="D915" s="41" t="n">
        <v>11019.12</v>
      </c>
      <c r="E915" s="22" t="n">
        <f aca="false">MONTH(A915)</f>
        <v>5</v>
      </c>
    </row>
    <row r="916" customFormat="false" ht="15" hidden="false" customHeight="false" outlineLevel="0" collapsed="false">
      <c r="A916" s="21" t="n">
        <v>46150</v>
      </c>
      <c r="B916" s="22" t="s">
        <v>374</v>
      </c>
      <c r="C916" s="22" t="n">
        <v>2</v>
      </c>
      <c r="D916" s="41" t="n">
        <v>8360.724</v>
      </c>
      <c r="E916" s="22" t="n">
        <f aca="false">MONTH(A916)</f>
        <v>5</v>
      </c>
    </row>
    <row r="917" customFormat="false" ht="15" hidden="false" customHeight="false" outlineLevel="0" collapsed="false">
      <c r="A917" s="21" t="n">
        <v>46150</v>
      </c>
      <c r="B917" s="22" t="s">
        <v>375</v>
      </c>
      <c r="C917" s="22" t="n">
        <v>2</v>
      </c>
      <c r="D917" s="41" t="n">
        <v>6225.485</v>
      </c>
      <c r="E917" s="22" t="n">
        <f aca="false">MONTH(A917)</f>
        <v>5</v>
      </c>
    </row>
    <row r="918" customFormat="false" ht="15" hidden="false" customHeight="false" outlineLevel="0" collapsed="false">
      <c r="A918" s="21" t="n">
        <v>46150</v>
      </c>
      <c r="B918" s="22" t="s">
        <v>187</v>
      </c>
      <c r="C918" s="22" t="n">
        <v>1</v>
      </c>
      <c r="D918" s="41" t="n">
        <v>2222.948</v>
      </c>
      <c r="E918" s="22" t="n">
        <f aca="false">MONTH(A918)</f>
        <v>5</v>
      </c>
    </row>
    <row r="919" customFormat="false" ht="15" hidden="false" customHeight="false" outlineLevel="0" collapsed="false">
      <c r="A919" s="21" t="n">
        <v>46150</v>
      </c>
      <c r="B919" s="22" t="s">
        <v>189</v>
      </c>
      <c r="C919" s="22" t="n">
        <v>1</v>
      </c>
      <c r="D919" s="41" t="n">
        <v>8820.434</v>
      </c>
      <c r="E919" s="22" t="n">
        <f aca="false">MONTH(A919)</f>
        <v>5</v>
      </c>
    </row>
    <row r="920" customFormat="false" ht="15" hidden="false" customHeight="false" outlineLevel="0" collapsed="false">
      <c r="A920" s="21" t="n">
        <v>46150</v>
      </c>
      <c r="B920" s="22" t="s">
        <v>189</v>
      </c>
      <c r="C920" s="22" t="n">
        <v>2</v>
      </c>
      <c r="D920" s="41" t="n">
        <v>8098.376</v>
      </c>
      <c r="E920" s="22" t="n">
        <f aca="false">MONTH(A920)</f>
        <v>5</v>
      </c>
    </row>
    <row r="921" customFormat="false" ht="15" hidden="false" customHeight="false" outlineLevel="0" collapsed="false">
      <c r="A921" s="21" t="n">
        <v>46150</v>
      </c>
      <c r="B921" s="22" t="s">
        <v>359</v>
      </c>
      <c r="C921" s="22" t="n">
        <v>2</v>
      </c>
      <c r="D921" s="41" t="n">
        <v>351.762</v>
      </c>
      <c r="E921" s="22" t="n">
        <f aca="false">MONTH(A921)</f>
        <v>5</v>
      </c>
    </row>
    <row r="922" customFormat="false" ht="15" hidden="false" customHeight="false" outlineLevel="0" collapsed="false">
      <c r="A922" s="21" t="n">
        <v>46153</v>
      </c>
      <c r="B922" s="22" t="s">
        <v>362</v>
      </c>
      <c r="C922" s="22" t="n">
        <v>1</v>
      </c>
      <c r="D922" s="41" t="n">
        <v>4860.8</v>
      </c>
      <c r="E922" s="22" t="n">
        <f aca="false">MONTH(A922)</f>
        <v>5</v>
      </c>
    </row>
    <row r="923" customFormat="false" ht="15" hidden="false" customHeight="false" outlineLevel="0" collapsed="false">
      <c r="A923" s="21" t="n">
        <v>46153</v>
      </c>
      <c r="B923" s="22" t="s">
        <v>186</v>
      </c>
      <c r="C923" s="22" t="n">
        <v>2</v>
      </c>
      <c r="D923" s="41" t="n">
        <v>9144.35</v>
      </c>
      <c r="E923" s="22" t="n">
        <f aca="false">MONTH(A923)</f>
        <v>5</v>
      </c>
    </row>
    <row r="924" customFormat="false" ht="15" hidden="false" customHeight="false" outlineLevel="0" collapsed="false">
      <c r="A924" s="21" t="n">
        <v>46153</v>
      </c>
      <c r="B924" s="22" t="s">
        <v>188</v>
      </c>
      <c r="C924" s="22" t="n">
        <v>2</v>
      </c>
      <c r="D924" s="41" t="n">
        <v>666.4</v>
      </c>
      <c r="E924" s="22" t="n">
        <f aca="false">MONTH(A924)</f>
        <v>5</v>
      </c>
    </row>
    <row r="925" customFormat="false" ht="15" hidden="false" customHeight="false" outlineLevel="0" collapsed="false">
      <c r="A925" s="21" t="n">
        <v>46153</v>
      </c>
      <c r="B925" s="22" t="s">
        <v>374</v>
      </c>
      <c r="C925" s="22" t="n">
        <v>1</v>
      </c>
      <c r="D925" s="41" t="n">
        <v>6523.5</v>
      </c>
      <c r="E925" s="22" t="n">
        <f aca="false">MONTH(A925)</f>
        <v>5</v>
      </c>
    </row>
    <row r="926" customFormat="false" ht="15" hidden="false" customHeight="false" outlineLevel="0" collapsed="false">
      <c r="A926" s="21" t="n">
        <v>46153</v>
      </c>
      <c r="B926" s="22" t="s">
        <v>375</v>
      </c>
      <c r="C926" s="22" t="n">
        <v>1</v>
      </c>
      <c r="D926" s="41" t="n">
        <v>9521.33</v>
      </c>
      <c r="E926" s="22" t="n">
        <f aca="false">MONTH(A926)</f>
        <v>5</v>
      </c>
    </row>
    <row r="927" customFormat="false" ht="15" hidden="false" customHeight="false" outlineLevel="0" collapsed="false">
      <c r="A927" s="21" t="n">
        <v>46153</v>
      </c>
      <c r="B927" s="22" t="s">
        <v>375</v>
      </c>
      <c r="C927" s="22" t="n">
        <v>2</v>
      </c>
      <c r="D927" s="41" t="n">
        <v>12890.416</v>
      </c>
      <c r="E927" s="22" t="n">
        <f aca="false">MONTH(A927)</f>
        <v>5</v>
      </c>
    </row>
    <row r="928" customFormat="false" ht="15" hidden="false" customHeight="false" outlineLevel="0" collapsed="false">
      <c r="A928" s="21" t="n">
        <v>46153</v>
      </c>
      <c r="B928" s="22" t="s">
        <v>187</v>
      </c>
      <c r="C928" s="22" t="n">
        <v>1</v>
      </c>
      <c r="D928" s="41" t="n">
        <v>2025.751</v>
      </c>
      <c r="E928" s="22" t="n">
        <f aca="false">MONTH(A928)</f>
        <v>5</v>
      </c>
    </row>
    <row r="929" customFormat="false" ht="15" hidden="false" customHeight="false" outlineLevel="0" collapsed="false">
      <c r="A929" s="21" t="n">
        <v>46153</v>
      </c>
      <c r="B929" s="22" t="s">
        <v>187</v>
      </c>
      <c r="C929" s="22" t="n">
        <v>2</v>
      </c>
      <c r="D929" s="41" t="n">
        <v>2010.385</v>
      </c>
      <c r="E929" s="22" t="n">
        <f aca="false">MONTH(A929)</f>
        <v>5</v>
      </c>
    </row>
    <row r="930" customFormat="false" ht="15" hidden="false" customHeight="false" outlineLevel="0" collapsed="false">
      <c r="A930" s="21" t="n">
        <v>46153</v>
      </c>
      <c r="B930" s="22" t="s">
        <v>189</v>
      </c>
      <c r="C930" s="22" t="n">
        <v>1</v>
      </c>
      <c r="D930" s="41" t="n">
        <v>3270.498</v>
      </c>
      <c r="E930" s="22" t="n">
        <f aca="false">MONTH(A930)</f>
        <v>5</v>
      </c>
    </row>
    <row r="931" customFormat="false" ht="15" hidden="false" customHeight="false" outlineLevel="0" collapsed="false">
      <c r="A931" s="21" t="n">
        <v>46153</v>
      </c>
      <c r="B931" s="22" t="s">
        <v>189</v>
      </c>
      <c r="C931" s="22" t="n">
        <v>2</v>
      </c>
      <c r="D931" s="41" t="n">
        <v>6866.63</v>
      </c>
      <c r="E931" s="22" t="n">
        <f aca="false">MONTH(A931)</f>
        <v>5</v>
      </c>
    </row>
    <row r="932" customFormat="false" ht="15" hidden="false" customHeight="false" outlineLevel="0" collapsed="false">
      <c r="A932" s="21" t="n">
        <v>46153</v>
      </c>
      <c r="B932" s="22" t="s">
        <v>359</v>
      </c>
      <c r="C932" s="22" t="n">
        <v>1</v>
      </c>
      <c r="D932" s="41" t="n">
        <v>917.64</v>
      </c>
      <c r="E932" s="22" t="n">
        <f aca="false">MONTH(A932)</f>
        <v>5</v>
      </c>
    </row>
    <row r="933" customFormat="false" ht="15" hidden="false" customHeight="false" outlineLevel="0" collapsed="false">
      <c r="A933" s="21" t="n">
        <v>46154</v>
      </c>
      <c r="B933" s="22" t="s">
        <v>361</v>
      </c>
      <c r="C933" s="22" t="n">
        <v>1</v>
      </c>
      <c r="D933" s="41" t="n">
        <v>15077.3</v>
      </c>
      <c r="E933" s="22" t="n">
        <f aca="false">MONTH(A933)</f>
        <v>5</v>
      </c>
    </row>
    <row r="934" customFormat="false" ht="15" hidden="false" customHeight="false" outlineLevel="0" collapsed="false">
      <c r="A934" s="21" t="n">
        <v>46154</v>
      </c>
      <c r="B934" s="22" t="s">
        <v>362</v>
      </c>
      <c r="C934" s="22" t="n">
        <v>1</v>
      </c>
      <c r="D934" s="41" t="n">
        <v>5654.4</v>
      </c>
      <c r="E934" s="22" t="n">
        <f aca="false">MONTH(A934)</f>
        <v>5</v>
      </c>
    </row>
    <row r="935" customFormat="false" ht="15" hidden="false" customHeight="false" outlineLevel="0" collapsed="false">
      <c r="A935" s="21" t="n">
        <v>46154</v>
      </c>
      <c r="B935" s="22" t="s">
        <v>186</v>
      </c>
      <c r="C935" s="22" t="n">
        <v>1</v>
      </c>
      <c r="D935" s="41" t="n">
        <v>3389.965</v>
      </c>
      <c r="E935" s="22" t="n">
        <f aca="false">MONTH(A935)</f>
        <v>5</v>
      </c>
    </row>
    <row r="936" customFormat="false" ht="15" hidden="false" customHeight="false" outlineLevel="0" collapsed="false">
      <c r="A936" s="21" t="n">
        <v>46154</v>
      </c>
      <c r="B936" s="22" t="s">
        <v>186</v>
      </c>
      <c r="C936" s="22" t="n">
        <v>2</v>
      </c>
      <c r="D936" s="41" t="n">
        <v>6865.473</v>
      </c>
      <c r="E936" s="22" t="n">
        <f aca="false">MONTH(A936)</f>
        <v>5</v>
      </c>
    </row>
    <row r="937" customFormat="false" ht="15" hidden="false" customHeight="false" outlineLevel="0" collapsed="false">
      <c r="A937" s="21" t="n">
        <v>46154</v>
      </c>
      <c r="B937" s="22" t="s">
        <v>188</v>
      </c>
      <c r="C937" s="22" t="n">
        <v>1</v>
      </c>
      <c r="D937" s="41" t="n">
        <v>2048.2</v>
      </c>
      <c r="E937" s="22" t="n">
        <f aca="false">MONTH(A937)</f>
        <v>5</v>
      </c>
    </row>
    <row r="938" customFormat="false" ht="15" hidden="false" customHeight="false" outlineLevel="0" collapsed="false">
      <c r="A938" s="21" t="n">
        <v>46154</v>
      </c>
      <c r="B938" s="22" t="s">
        <v>188</v>
      </c>
      <c r="C938" s="22" t="n">
        <v>2</v>
      </c>
      <c r="D938" s="41" t="n">
        <v>2018.8</v>
      </c>
      <c r="E938" s="22" t="n">
        <f aca="false">MONTH(A938)</f>
        <v>5</v>
      </c>
    </row>
    <row r="939" customFormat="false" ht="15" hidden="false" customHeight="false" outlineLevel="0" collapsed="false">
      <c r="A939" s="21" t="n">
        <v>46154</v>
      </c>
      <c r="B939" s="22" t="s">
        <v>374</v>
      </c>
      <c r="C939" s="22" t="n">
        <v>1</v>
      </c>
      <c r="D939" s="41" t="n">
        <v>7754.85</v>
      </c>
      <c r="E939" s="22" t="n">
        <f aca="false">MONTH(A939)</f>
        <v>5</v>
      </c>
    </row>
    <row r="940" customFormat="false" ht="15" hidden="false" customHeight="false" outlineLevel="0" collapsed="false">
      <c r="A940" s="21" t="n">
        <v>46154</v>
      </c>
      <c r="B940" s="22" t="s">
        <v>375</v>
      </c>
      <c r="C940" s="22" t="n">
        <v>1</v>
      </c>
      <c r="D940" s="41" t="n">
        <v>12838.101</v>
      </c>
      <c r="E940" s="22" t="n">
        <f aca="false">MONTH(A940)</f>
        <v>5</v>
      </c>
    </row>
    <row r="941" customFormat="false" ht="15" hidden="false" customHeight="false" outlineLevel="0" collapsed="false">
      <c r="A941" s="21" t="n">
        <v>46154</v>
      </c>
      <c r="B941" s="22" t="s">
        <v>375</v>
      </c>
      <c r="C941" s="22" t="n">
        <v>2</v>
      </c>
      <c r="D941" s="41" t="n">
        <v>13015.972</v>
      </c>
      <c r="E941" s="22" t="n">
        <f aca="false">MONTH(A941)</f>
        <v>5</v>
      </c>
    </row>
    <row r="942" customFormat="false" ht="15" hidden="false" customHeight="false" outlineLevel="0" collapsed="false">
      <c r="A942" s="21" t="n">
        <v>46154</v>
      </c>
      <c r="B942" s="22" t="s">
        <v>187</v>
      </c>
      <c r="C942" s="22" t="n">
        <v>2</v>
      </c>
      <c r="D942" s="41" t="n">
        <v>1884.896</v>
      </c>
      <c r="E942" s="22" t="n">
        <f aca="false">MONTH(A942)</f>
        <v>5</v>
      </c>
    </row>
    <row r="943" customFormat="false" ht="15" hidden="false" customHeight="false" outlineLevel="0" collapsed="false">
      <c r="A943" s="21" t="n">
        <v>46154</v>
      </c>
      <c r="B943" s="22" t="s">
        <v>189</v>
      </c>
      <c r="C943" s="22" t="n">
        <v>1</v>
      </c>
      <c r="D943" s="41" t="n">
        <v>5921.944</v>
      </c>
      <c r="E943" s="22" t="n">
        <f aca="false">MONTH(A943)</f>
        <v>5</v>
      </c>
    </row>
    <row r="944" customFormat="false" ht="15" hidden="false" customHeight="false" outlineLevel="0" collapsed="false">
      <c r="A944" s="21" t="n">
        <v>46154</v>
      </c>
      <c r="B944" s="22" t="s">
        <v>189</v>
      </c>
      <c r="C944" s="22" t="n">
        <v>2</v>
      </c>
      <c r="D944" s="41" t="n">
        <v>7697.749</v>
      </c>
      <c r="E944" s="22" t="n">
        <f aca="false">MONTH(A944)</f>
        <v>5</v>
      </c>
    </row>
    <row r="945" customFormat="false" ht="15" hidden="false" customHeight="false" outlineLevel="0" collapsed="false">
      <c r="A945" s="21" t="n">
        <v>46155</v>
      </c>
      <c r="B945" s="22" t="s">
        <v>361</v>
      </c>
      <c r="C945" s="22" t="n">
        <v>1</v>
      </c>
      <c r="D945" s="41" t="n">
        <v>20208.58</v>
      </c>
      <c r="E945" s="22" t="n">
        <f aca="false">MONTH(A945)</f>
        <v>5</v>
      </c>
    </row>
    <row r="946" customFormat="false" ht="15" hidden="false" customHeight="false" outlineLevel="0" collapsed="false">
      <c r="A946" s="21" t="n">
        <v>46155</v>
      </c>
      <c r="B946" s="22" t="s">
        <v>362</v>
      </c>
      <c r="C946" s="22" t="n">
        <v>1</v>
      </c>
      <c r="D946" s="41" t="n">
        <v>4275.35</v>
      </c>
      <c r="E946" s="22" t="n">
        <f aca="false">MONTH(A946)</f>
        <v>5</v>
      </c>
    </row>
    <row r="947" customFormat="false" ht="15" hidden="false" customHeight="false" outlineLevel="0" collapsed="false">
      <c r="A947" s="21" t="n">
        <v>46155</v>
      </c>
      <c r="B947" s="22" t="s">
        <v>186</v>
      </c>
      <c r="C947" s="22" t="n">
        <v>1</v>
      </c>
      <c r="D947" s="41" t="n">
        <v>6404.703</v>
      </c>
      <c r="E947" s="22" t="n">
        <f aca="false">MONTH(A947)</f>
        <v>5</v>
      </c>
    </row>
    <row r="948" customFormat="false" ht="15" hidden="false" customHeight="false" outlineLevel="0" collapsed="false">
      <c r="A948" s="21" t="n">
        <v>46155</v>
      </c>
      <c r="B948" s="22" t="s">
        <v>186</v>
      </c>
      <c r="C948" s="22" t="n">
        <v>2</v>
      </c>
      <c r="D948" s="41" t="n">
        <v>6450.78</v>
      </c>
      <c r="E948" s="22" t="n">
        <f aca="false">MONTH(A948)</f>
        <v>5</v>
      </c>
    </row>
    <row r="949" customFormat="false" ht="15" hidden="false" customHeight="false" outlineLevel="0" collapsed="false">
      <c r="A949" s="21" t="n">
        <v>46155</v>
      </c>
      <c r="B949" s="22" t="s">
        <v>188</v>
      </c>
      <c r="C949" s="22" t="n">
        <v>1</v>
      </c>
      <c r="D949" s="41" t="n">
        <v>1680.7</v>
      </c>
      <c r="E949" s="22" t="n">
        <f aca="false">MONTH(A949)</f>
        <v>5</v>
      </c>
    </row>
    <row r="950" customFormat="false" ht="15" hidden="false" customHeight="false" outlineLevel="0" collapsed="false">
      <c r="A950" s="21" t="n">
        <v>46155</v>
      </c>
      <c r="B950" s="22" t="s">
        <v>188</v>
      </c>
      <c r="C950" s="22" t="n">
        <v>2</v>
      </c>
      <c r="D950" s="41" t="n">
        <v>1411.2</v>
      </c>
      <c r="E950" s="22" t="n">
        <f aca="false">MONTH(A950)</f>
        <v>5</v>
      </c>
    </row>
    <row r="951" customFormat="false" ht="15" hidden="false" customHeight="false" outlineLevel="0" collapsed="false">
      <c r="A951" s="21" t="n">
        <v>46155</v>
      </c>
      <c r="B951" s="22" t="s">
        <v>374</v>
      </c>
      <c r="C951" s="22" t="n">
        <v>1</v>
      </c>
      <c r="D951" s="41" t="n">
        <v>6963.039</v>
      </c>
      <c r="E951" s="22" t="n">
        <f aca="false">MONTH(A951)</f>
        <v>5</v>
      </c>
    </row>
    <row r="952" customFormat="false" ht="15" hidden="false" customHeight="false" outlineLevel="0" collapsed="false">
      <c r="A952" s="21" t="n">
        <v>46155</v>
      </c>
      <c r="B952" s="22" t="s">
        <v>375</v>
      </c>
      <c r="C952" s="22" t="n">
        <v>1</v>
      </c>
      <c r="D952" s="41" t="n">
        <v>7962.343</v>
      </c>
      <c r="E952" s="22" t="n">
        <f aca="false">MONTH(A952)</f>
        <v>5</v>
      </c>
    </row>
    <row r="953" customFormat="false" ht="15" hidden="false" customHeight="false" outlineLevel="0" collapsed="false">
      <c r="A953" s="21" t="n">
        <v>46155</v>
      </c>
      <c r="B953" s="22" t="s">
        <v>375</v>
      </c>
      <c r="C953" s="22" t="n">
        <v>2</v>
      </c>
      <c r="D953" s="41" t="n">
        <v>7878.639</v>
      </c>
      <c r="E953" s="22" t="n">
        <f aca="false">MONTH(A953)</f>
        <v>5</v>
      </c>
    </row>
    <row r="954" customFormat="false" ht="15" hidden="false" customHeight="false" outlineLevel="0" collapsed="false">
      <c r="A954" s="21" t="n">
        <v>46155</v>
      </c>
      <c r="B954" s="22" t="s">
        <v>187</v>
      </c>
      <c r="C954" s="22" t="n">
        <v>2</v>
      </c>
      <c r="D954" s="41" t="n">
        <v>2076.971</v>
      </c>
      <c r="E954" s="22" t="n">
        <f aca="false">MONTH(A954)</f>
        <v>5</v>
      </c>
    </row>
    <row r="955" customFormat="false" ht="15" hidden="false" customHeight="false" outlineLevel="0" collapsed="false">
      <c r="A955" s="21" t="n">
        <v>46155</v>
      </c>
      <c r="B955" s="22" t="s">
        <v>189</v>
      </c>
      <c r="C955" s="22" t="n">
        <v>1</v>
      </c>
      <c r="D955" s="41" t="n">
        <v>6862.434</v>
      </c>
      <c r="E955" s="22" t="n">
        <f aca="false">MONTH(A955)</f>
        <v>5</v>
      </c>
    </row>
    <row r="956" customFormat="false" ht="15" hidden="false" customHeight="false" outlineLevel="0" collapsed="false">
      <c r="A956" s="21" t="n">
        <v>46155</v>
      </c>
      <c r="B956" s="22" t="s">
        <v>189</v>
      </c>
      <c r="C956" s="22" t="n">
        <v>2</v>
      </c>
      <c r="D956" s="41" t="n">
        <v>7260.815</v>
      </c>
      <c r="E956" s="22" t="n">
        <f aca="false">MONTH(A956)</f>
        <v>5</v>
      </c>
    </row>
    <row r="957" customFormat="false" ht="15" hidden="false" customHeight="false" outlineLevel="0" collapsed="false">
      <c r="A957" s="21" t="n">
        <v>46156</v>
      </c>
      <c r="B957" s="22" t="s">
        <v>361</v>
      </c>
      <c r="C957" s="22" t="n">
        <v>1</v>
      </c>
      <c r="D957" s="41" t="n">
        <v>14427.56</v>
      </c>
      <c r="E957" s="22" t="n">
        <f aca="false">MONTH(A957)</f>
        <v>5</v>
      </c>
    </row>
    <row r="958" customFormat="false" ht="15" hidden="false" customHeight="false" outlineLevel="0" collapsed="false">
      <c r="A958" s="21" t="n">
        <v>46156</v>
      </c>
      <c r="B958" s="22" t="s">
        <v>362</v>
      </c>
      <c r="C958" s="22" t="n">
        <v>1</v>
      </c>
      <c r="D958" s="41" t="n">
        <v>4249.77</v>
      </c>
      <c r="E958" s="22" t="n">
        <f aca="false">MONTH(A958)</f>
        <v>5</v>
      </c>
    </row>
    <row r="959" customFormat="false" ht="15" hidden="false" customHeight="false" outlineLevel="0" collapsed="false">
      <c r="A959" s="21" t="n">
        <v>46156</v>
      </c>
      <c r="B959" s="22" t="s">
        <v>186</v>
      </c>
      <c r="C959" s="22" t="n">
        <v>1</v>
      </c>
      <c r="D959" s="41" t="n">
        <v>6558.293</v>
      </c>
      <c r="E959" s="22" t="n">
        <f aca="false">MONTH(A959)</f>
        <v>5</v>
      </c>
    </row>
    <row r="960" customFormat="false" ht="15" hidden="false" customHeight="false" outlineLevel="0" collapsed="false">
      <c r="A960" s="21" t="n">
        <v>46156</v>
      </c>
      <c r="B960" s="22" t="s">
        <v>186</v>
      </c>
      <c r="C960" s="22" t="n">
        <v>2</v>
      </c>
      <c r="D960" s="41" t="n">
        <v>6604.37</v>
      </c>
      <c r="E960" s="22" t="n">
        <f aca="false">MONTH(A960)</f>
        <v>5</v>
      </c>
    </row>
    <row r="961" customFormat="false" ht="15" hidden="false" customHeight="false" outlineLevel="0" collapsed="false">
      <c r="A961" s="21" t="n">
        <v>46156</v>
      </c>
      <c r="B961" s="22" t="s">
        <v>188</v>
      </c>
      <c r="C961" s="22" t="n">
        <v>1</v>
      </c>
      <c r="D961" s="41" t="n">
        <v>1739.5</v>
      </c>
      <c r="E961" s="22" t="n">
        <f aca="false">MONTH(A961)</f>
        <v>5</v>
      </c>
    </row>
    <row r="962" customFormat="false" ht="15" hidden="false" customHeight="false" outlineLevel="0" collapsed="false">
      <c r="A962" s="21" t="n">
        <v>46156</v>
      </c>
      <c r="B962" s="22" t="s">
        <v>188</v>
      </c>
      <c r="C962" s="22" t="n">
        <v>2</v>
      </c>
      <c r="D962" s="41" t="n">
        <v>2489.2</v>
      </c>
      <c r="E962" s="22" t="n">
        <f aca="false">MONTH(A962)</f>
        <v>5</v>
      </c>
    </row>
    <row r="963" customFormat="false" ht="15" hidden="false" customHeight="false" outlineLevel="0" collapsed="false">
      <c r="A963" s="21" t="n">
        <v>46156</v>
      </c>
      <c r="B963" s="22" t="s">
        <v>374</v>
      </c>
      <c r="C963" s="22" t="n">
        <v>1</v>
      </c>
      <c r="D963" s="41" t="n">
        <v>8032.392</v>
      </c>
      <c r="E963" s="22" t="n">
        <f aca="false">MONTH(A963)</f>
        <v>5</v>
      </c>
    </row>
    <row r="964" customFormat="false" ht="15" hidden="false" customHeight="false" outlineLevel="0" collapsed="false">
      <c r="A964" s="21" t="n">
        <v>46156</v>
      </c>
      <c r="B964" s="22" t="s">
        <v>375</v>
      </c>
      <c r="C964" s="22" t="n">
        <v>1</v>
      </c>
      <c r="D964" s="41" t="n">
        <v>2107.564</v>
      </c>
      <c r="E964" s="22" t="n">
        <f aca="false">MONTH(A964)</f>
        <v>5</v>
      </c>
    </row>
    <row r="965" customFormat="false" ht="15" hidden="false" customHeight="false" outlineLevel="0" collapsed="false">
      <c r="A965" s="21" t="n">
        <v>46156</v>
      </c>
      <c r="B965" s="22" t="s">
        <v>375</v>
      </c>
      <c r="C965" s="22" t="n">
        <v>2</v>
      </c>
      <c r="D965" s="41" t="n">
        <v>19173.692</v>
      </c>
      <c r="E965" s="22" t="n">
        <f aca="false">MONTH(A965)</f>
        <v>5</v>
      </c>
    </row>
    <row r="966" customFormat="false" ht="15" hidden="false" customHeight="false" outlineLevel="0" collapsed="false">
      <c r="A966" s="21" t="n">
        <v>46156</v>
      </c>
      <c r="B966" s="22" t="s">
        <v>187</v>
      </c>
      <c r="C966" s="22" t="n">
        <v>2</v>
      </c>
      <c r="D966" s="41" t="n">
        <v>2137.191</v>
      </c>
      <c r="E966" s="22" t="n">
        <f aca="false">MONTH(A966)</f>
        <v>5</v>
      </c>
    </row>
    <row r="967" customFormat="false" ht="15" hidden="false" customHeight="false" outlineLevel="0" collapsed="false">
      <c r="A967" s="21" t="n">
        <v>46156</v>
      </c>
      <c r="B967" s="22" t="s">
        <v>189</v>
      </c>
      <c r="C967" s="22" t="n">
        <v>1</v>
      </c>
      <c r="D967" s="41" t="n">
        <v>6811.03</v>
      </c>
      <c r="E967" s="22" t="n">
        <f aca="false">MONTH(A967)</f>
        <v>5</v>
      </c>
    </row>
    <row r="968" customFormat="false" ht="15" hidden="false" customHeight="false" outlineLevel="0" collapsed="false">
      <c r="A968" s="21" t="n">
        <v>46156</v>
      </c>
      <c r="B968" s="22" t="s">
        <v>189</v>
      </c>
      <c r="C968" s="22" t="n">
        <v>2</v>
      </c>
      <c r="D968" s="41" t="n">
        <v>4084.983</v>
      </c>
      <c r="E968" s="22" t="n">
        <f aca="false">MONTH(A968)</f>
        <v>5</v>
      </c>
    </row>
    <row r="969" customFormat="false" ht="15" hidden="false" customHeight="false" outlineLevel="0" collapsed="false">
      <c r="A969" s="21" t="n">
        <v>46157</v>
      </c>
      <c r="B969" s="22" t="s">
        <v>361</v>
      </c>
      <c r="C969" s="22" t="n">
        <v>1</v>
      </c>
      <c r="D969" s="41" t="n">
        <v>23607.22</v>
      </c>
      <c r="E969" s="22" t="n">
        <f aca="false">MONTH(A969)</f>
        <v>5</v>
      </c>
    </row>
    <row r="970" customFormat="false" ht="15" hidden="false" customHeight="false" outlineLevel="0" collapsed="false">
      <c r="A970" s="21" t="n">
        <v>46157</v>
      </c>
      <c r="B970" s="22" t="s">
        <v>186</v>
      </c>
      <c r="C970" s="22" t="n">
        <v>1</v>
      </c>
      <c r="D970" s="41" t="n">
        <v>6404.703</v>
      </c>
      <c r="E970" s="22" t="n">
        <f aca="false">MONTH(A970)</f>
        <v>5</v>
      </c>
    </row>
    <row r="971" customFormat="false" ht="15" hidden="false" customHeight="false" outlineLevel="0" collapsed="false">
      <c r="A971" s="21" t="n">
        <v>46157</v>
      </c>
      <c r="B971" s="22" t="s">
        <v>186</v>
      </c>
      <c r="C971" s="22" t="n">
        <v>2</v>
      </c>
      <c r="D971" s="41" t="n">
        <v>6143.6</v>
      </c>
      <c r="E971" s="22" t="n">
        <f aca="false">MONTH(A971)</f>
        <v>5</v>
      </c>
    </row>
    <row r="972" customFormat="false" ht="15" hidden="false" customHeight="false" outlineLevel="0" collapsed="false">
      <c r="A972" s="21" t="n">
        <v>46157</v>
      </c>
      <c r="B972" s="22" t="s">
        <v>188</v>
      </c>
      <c r="C972" s="22" t="n">
        <v>1</v>
      </c>
      <c r="D972" s="41" t="n">
        <v>1318.1</v>
      </c>
      <c r="E972" s="22" t="n">
        <f aca="false">MONTH(A972)</f>
        <v>5</v>
      </c>
    </row>
    <row r="973" customFormat="false" ht="15" hidden="false" customHeight="false" outlineLevel="0" collapsed="false">
      <c r="A973" s="21" t="n">
        <v>46157</v>
      </c>
      <c r="B973" s="22" t="s">
        <v>188</v>
      </c>
      <c r="C973" s="22" t="n">
        <v>2</v>
      </c>
      <c r="D973" s="41" t="n">
        <v>1612.1</v>
      </c>
      <c r="E973" s="22" t="n">
        <f aca="false">MONTH(A973)</f>
        <v>5</v>
      </c>
    </row>
    <row r="974" customFormat="false" ht="15" hidden="false" customHeight="false" outlineLevel="0" collapsed="false">
      <c r="A974" s="21" t="n">
        <v>46157</v>
      </c>
      <c r="B974" s="22" t="s">
        <v>374</v>
      </c>
      <c r="C974" s="22" t="n">
        <v>1</v>
      </c>
      <c r="D974" s="41" t="n">
        <v>4514.139</v>
      </c>
      <c r="E974" s="22" t="n">
        <f aca="false">MONTH(A974)</f>
        <v>5</v>
      </c>
    </row>
    <row r="975" customFormat="false" ht="15" hidden="false" customHeight="false" outlineLevel="0" collapsed="false">
      <c r="A975" s="21" t="n">
        <v>46157</v>
      </c>
      <c r="B975" s="22" t="s">
        <v>375</v>
      </c>
      <c r="C975" s="22" t="n">
        <v>1</v>
      </c>
      <c r="D975" s="41" t="n">
        <v>17117.532</v>
      </c>
      <c r="E975" s="22" t="n">
        <f aca="false">MONTH(A975)</f>
        <v>5</v>
      </c>
    </row>
    <row r="976" customFormat="false" ht="15" hidden="false" customHeight="false" outlineLevel="0" collapsed="false">
      <c r="A976" s="21" t="n">
        <v>46157</v>
      </c>
      <c r="B976" s="22" t="s">
        <v>375</v>
      </c>
      <c r="C976" s="22" t="n">
        <v>2</v>
      </c>
      <c r="D976" s="41" t="n">
        <v>13843.811</v>
      </c>
      <c r="E976" s="22" t="n">
        <f aca="false">MONTH(A976)</f>
        <v>5</v>
      </c>
    </row>
    <row r="977" customFormat="false" ht="15" hidden="false" customHeight="false" outlineLevel="0" collapsed="false">
      <c r="A977" s="21" t="n">
        <v>46157</v>
      </c>
      <c r="B977" s="22" t="s">
        <v>187</v>
      </c>
      <c r="C977" s="22" t="n">
        <v>1</v>
      </c>
      <c r="D977" s="41" t="n">
        <v>2496.536</v>
      </c>
      <c r="E977" s="22" t="n">
        <f aca="false">MONTH(A977)</f>
        <v>5</v>
      </c>
    </row>
    <row r="978" customFormat="false" ht="15" hidden="false" customHeight="false" outlineLevel="0" collapsed="false">
      <c r="A978" s="21" t="n">
        <v>46157</v>
      </c>
      <c r="B978" s="22" t="s">
        <v>187</v>
      </c>
      <c r="C978" s="22" t="n">
        <v>2</v>
      </c>
      <c r="D978" s="41" t="n">
        <v>2603.356</v>
      </c>
      <c r="E978" s="22" t="n">
        <f aca="false">MONTH(A978)</f>
        <v>5</v>
      </c>
    </row>
    <row r="979" customFormat="false" ht="15" hidden="false" customHeight="false" outlineLevel="0" collapsed="false">
      <c r="A979" s="21" t="n">
        <v>46157</v>
      </c>
      <c r="B979" s="22" t="s">
        <v>189</v>
      </c>
      <c r="C979" s="22" t="n">
        <v>1</v>
      </c>
      <c r="D979" s="41" t="n">
        <v>5934.6</v>
      </c>
      <c r="E979" s="22" t="n">
        <f aca="false">MONTH(A979)</f>
        <v>5</v>
      </c>
    </row>
    <row r="980" customFormat="false" ht="15" hidden="false" customHeight="false" outlineLevel="0" collapsed="false">
      <c r="A980" s="21" t="n">
        <v>46157</v>
      </c>
      <c r="B980" s="22" t="s">
        <v>189</v>
      </c>
      <c r="C980" s="22" t="n">
        <v>2</v>
      </c>
      <c r="D980" s="41" t="n">
        <v>5637.87</v>
      </c>
      <c r="E980" s="22" t="n">
        <f aca="false">MONTH(A980)</f>
        <v>5</v>
      </c>
    </row>
    <row r="981" customFormat="false" ht="15" hidden="false" customHeight="false" outlineLevel="0" collapsed="false">
      <c r="A981" s="21" t="n">
        <v>46158</v>
      </c>
      <c r="B981" s="22" t="s">
        <v>361</v>
      </c>
      <c r="C981" s="22" t="n">
        <v>1</v>
      </c>
      <c r="D981" s="41" t="n">
        <v>11212.18</v>
      </c>
      <c r="E981" s="22" t="n">
        <f aca="false">MONTH(A981)</f>
        <v>5</v>
      </c>
    </row>
    <row r="982" customFormat="false" ht="15" hidden="false" customHeight="false" outlineLevel="0" collapsed="false">
      <c r="A982" s="21" t="n">
        <v>46158</v>
      </c>
      <c r="B982" s="22" t="s">
        <v>186</v>
      </c>
      <c r="C982" s="22" t="n">
        <v>1</v>
      </c>
      <c r="D982" s="41" t="n">
        <v>5559.958</v>
      </c>
      <c r="E982" s="22" t="n">
        <f aca="false">MONTH(A982)</f>
        <v>5</v>
      </c>
    </row>
    <row r="983" customFormat="false" ht="15" hidden="false" customHeight="false" outlineLevel="0" collapsed="false">
      <c r="A983" s="21" t="n">
        <v>46158</v>
      </c>
      <c r="B983" s="22" t="s">
        <v>186</v>
      </c>
      <c r="C983" s="22" t="n">
        <v>2</v>
      </c>
      <c r="D983" s="41" t="n">
        <v>5667.471</v>
      </c>
      <c r="E983" s="22" t="n">
        <f aca="false">MONTH(A983)</f>
        <v>5</v>
      </c>
    </row>
    <row r="984" customFormat="false" ht="15" hidden="false" customHeight="false" outlineLevel="0" collapsed="false">
      <c r="A984" s="21" t="n">
        <v>46158</v>
      </c>
      <c r="B984" s="22" t="s">
        <v>188</v>
      </c>
      <c r="C984" s="22" t="n">
        <v>1</v>
      </c>
      <c r="D984" s="41" t="n">
        <v>1117.2</v>
      </c>
      <c r="E984" s="22" t="n">
        <f aca="false">MONTH(A984)</f>
        <v>5</v>
      </c>
    </row>
    <row r="985" customFormat="false" ht="15" hidden="false" customHeight="false" outlineLevel="0" collapsed="false">
      <c r="A985" s="21" t="n">
        <v>46158</v>
      </c>
      <c r="B985" s="22" t="s">
        <v>188</v>
      </c>
      <c r="C985" s="22" t="n">
        <v>2</v>
      </c>
      <c r="D985" s="41" t="n">
        <v>401.8</v>
      </c>
      <c r="E985" s="22" t="n">
        <f aca="false">MONTH(A985)</f>
        <v>5</v>
      </c>
    </row>
    <row r="986" customFormat="false" ht="15" hidden="false" customHeight="false" outlineLevel="0" collapsed="false">
      <c r="A986" s="21" t="n">
        <v>46158</v>
      </c>
      <c r="B986" s="22" t="s">
        <v>374</v>
      </c>
      <c r="C986" s="22" t="n">
        <v>1</v>
      </c>
      <c r="D986" s="41" t="n">
        <v>3550.905</v>
      </c>
      <c r="E986" s="22" t="n">
        <f aca="false">MONTH(A986)</f>
        <v>5</v>
      </c>
    </row>
    <row r="987" customFormat="false" ht="15" hidden="false" customHeight="false" outlineLevel="0" collapsed="false">
      <c r="A987" s="21" t="n">
        <v>46158</v>
      </c>
      <c r="B987" s="22" t="s">
        <v>375</v>
      </c>
      <c r="C987" s="22" t="n">
        <v>1</v>
      </c>
      <c r="D987" s="41" t="n">
        <v>15063.892</v>
      </c>
      <c r="E987" s="22" t="n">
        <f aca="false">MONTH(A987)</f>
        <v>5</v>
      </c>
    </row>
    <row r="988" customFormat="false" ht="15" hidden="false" customHeight="false" outlineLevel="0" collapsed="false">
      <c r="A988" s="21" t="n">
        <v>46158</v>
      </c>
      <c r="B988" s="22" t="s">
        <v>375</v>
      </c>
      <c r="C988" s="22" t="n">
        <v>2</v>
      </c>
      <c r="D988" s="41" t="n">
        <v>16166.128</v>
      </c>
      <c r="E988" s="22" t="n">
        <f aca="false">MONTH(A988)</f>
        <v>5</v>
      </c>
    </row>
    <row r="989" customFormat="false" ht="15" hidden="false" customHeight="false" outlineLevel="0" collapsed="false">
      <c r="A989" s="21" t="n">
        <v>46158</v>
      </c>
      <c r="B989" s="22" t="s">
        <v>187</v>
      </c>
      <c r="C989" s="22" t="n">
        <v>1</v>
      </c>
      <c r="D989" s="41" t="n">
        <v>1818.88</v>
      </c>
      <c r="E989" s="22" t="n">
        <f aca="false">MONTH(A989)</f>
        <v>5</v>
      </c>
    </row>
    <row r="990" customFormat="false" ht="15" hidden="false" customHeight="false" outlineLevel="0" collapsed="false">
      <c r="A990" s="21" t="n">
        <v>46158</v>
      </c>
      <c r="B990" s="22" t="s">
        <v>187</v>
      </c>
      <c r="C990" s="22" t="n">
        <v>2</v>
      </c>
      <c r="D990" s="41" t="n">
        <v>1892.579</v>
      </c>
      <c r="E990" s="22" t="n">
        <f aca="false">MONTH(A990)</f>
        <v>5</v>
      </c>
    </row>
    <row r="991" customFormat="false" ht="15" hidden="false" customHeight="false" outlineLevel="0" collapsed="false">
      <c r="A991" s="21" t="n">
        <v>46158</v>
      </c>
      <c r="B991" s="22" t="s">
        <v>189</v>
      </c>
      <c r="C991" s="22" t="n">
        <v>1</v>
      </c>
      <c r="D991" s="41" t="n">
        <v>4846.59</v>
      </c>
      <c r="E991" s="22" t="n">
        <f aca="false">MONTH(A991)</f>
        <v>5</v>
      </c>
    </row>
    <row r="992" customFormat="false" ht="15" hidden="false" customHeight="false" outlineLevel="0" collapsed="false">
      <c r="A992" s="21" t="n">
        <v>46158</v>
      </c>
      <c r="B992" s="22" t="s">
        <v>189</v>
      </c>
      <c r="C992" s="22" t="n">
        <v>2</v>
      </c>
      <c r="D992" s="41" t="n">
        <v>4925.718</v>
      </c>
      <c r="E992" s="22" t="n">
        <f aca="false">MONTH(A992)</f>
        <v>5</v>
      </c>
    </row>
    <row r="993" customFormat="false" ht="15" hidden="false" customHeight="false" outlineLevel="0" collapsed="false">
      <c r="A993" s="21" t="n">
        <v>46161</v>
      </c>
      <c r="B993" s="22" t="s">
        <v>361</v>
      </c>
      <c r="C993" s="22" t="n">
        <v>1</v>
      </c>
      <c r="D993" s="41" t="n">
        <v>26705.98</v>
      </c>
      <c r="E993" s="22" t="n">
        <f aca="false">MONTH(A993)</f>
        <v>5</v>
      </c>
    </row>
    <row r="994" customFormat="false" ht="15" hidden="false" customHeight="false" outlineLevel="0" collapsed="false">
      <c r="A994" s="21" t="n">
        <v>46161</v>
      </c>
      <c r="B994" s="22" t="s">
        <v>186</v>
      </c>
      <c r="C994" s="22" t="n">
        <v>1</v>
      </c>
      <c r="D994" s="41" t="n">
        <v>5606.035</v>
      </c>
      <c r="E994" s="22" t="n">
        <f aca="false">MONTH(A994)</f>
        <v>5</v>
      </c>
    </row>
    <row r="995" customFormat="false" ht="15" hidden="false" customHeight="false" outlineLevel="0" collapsed="false">
      <c r="A995" s="21" t="n">
        <v>46161</v>
      </c>
      <c r="B995" s="22" t="s">
        <v>186</v>
      </c>
      <c r="C995" s="22" t="n">
        <v>2</v>
      </c>
      <c r="D995" s="41" t="n">
        <v>6619.729</v>
      </c>
      <c r="E995" s="22" t="n">
        <f aca="false">MONTH(A995)</f>
        <v>5</v>
      </c>
    </row>
    <row r="996" customFormat="false" ht="15" hidden="false" customHeight="false" outlineLevel="0" collapsed="false">
      <c r="A996" s="21" t="n">
        <v>46161</v>
      </c>
      <c r="B996" s="22" t="s">
        <v>188</v>
      </c>
      <c r="C996" s="22" t="n">
        <v>1</v>
      </c>
      <c r="D996" s="41" t="n">
        <v>1303.4</v>
      </c>
      <c r="E996" s="22" t="n">
        <f aca="false">MONTH(A996)</f>
        <v>5</v>
      </c>
    </row>
    <row r="997" customFormat="false" ht="15" hidden="false" customHeight="false" outlineLevel="0" collapsed="false">
      <c r="A997" s="21" t="n">
        <v>46161</v>
      </c>
      <c r="B997" s="22" t="s">
        <v>188</v>
      </c>
      <c r="C997" s="22" t="n">
        <v>2</v>
      </c>
      <c r="D997" s="41" t="n">
        <v>2303</v>
      </c>
      <c r="E997" s="22" t="n">
        <f aca="false">MONTH(A997)</f>
        <v>5</v>
      </c>
    </row>
    <row r="998" customFormat="false" ht="15" hidden="false" customHeight="false" outlineLevel="0" collapsed="false">
      <c r="A998" s="21" t="n">
        <v>46161</v>
      </c>
      <c r="B998" s="22" t="s">
        <v>375</v>
      </c>
      <c r="C998" s="22" t="n">
        <v>1</v>
      </c>
      <c r="D998" s="41" t="n">
        <v>20266.92</v>
      </c>
      <c r="E998" s="22" t="n">
        <f aca="false">MONTH(A998)</f>
        <v>5</v>
      </c>
    </row>
    <row r="999" customFormat="false" ht="15" hidden="false" customHeight="false" outlineLevel="0" collapsed="false">
      <c r="A999" s="21" t="n">
        <v>46161</v>
      </c>
      <c r="B999" s="22" t="s">
        <v>187</v>
      </c>
      <c r="C999" s="22" t="n">
        <v>1</v>
      </c>
      <c r="D999" s="41" t="n">
        <v>2205.021</v>
      </c>
      <c r="E999" s="22" t="n">
        <f aca="false">MONTH(A999)</f>
        <v>5</v>
      </c>
    </row>
    <row r="1000" customFormat="false" ht="15" hidden="false" customHeight="false" outlineLevel="0" collapsed="false">
      <c r="A1000" s="21" t="n">
        <v>46161</v>
      </c>
      <c r="B1000" s="22" t="s">
        <v>187</v>
      </c>
      <c r="C1000" s="22" t="n">
        <v>2</v>
      </c>
      <c r="D1000" s="41" t="n">
        <v>2146.118</v>
      </c>
      <c r="E1000" s="22" t="n">
        <f aca="false">MONTH(A1000)</f>
        <v>5</v>
      </c>
    </row>
    <row r="1001" customFormat="false" ht="15" hidden="false" customHeight="false" outlineLevel="0" collapsed="false">
      <c r="A1001" s="21" t="n">
        <v>46161</v>
      </c>
      <c r="B1001" s="22" t="s">
        <v>189</v>
      </c>
      <c r="C1001" s="22" t="n">
        <v>1</v>
      </c>
      <c r="D1001" s="41" t="n">
        <v>5331.249</v>
      </c>
      <c r="E1001" s="22" t="n">
        <f aca="false">MONTH(A1001)</f>
        <v>5</v>
      </c>
    </row>
    <row r="1002" customFormat="false" ht="15" hidden="false" customHeight="false" outlineLevel="0" collapsed="false">
      <c r="A1002" s="21" t="n">
        <v>46161</v>
      </c>
      <c r="B1002" s="22" t="s">
        <v>189</v>
      </c>
      <c r="C1002" s="22" t="n">
        <v>2</v>
      </c>
      <c r="D1002" s="41" t="n">
        <v>5657.652</v>
      </c>
      <c r="E1002" s="22" t="n">
        <f aca="false">MONTH(A1002)</f>
        <v>5</v>
      </c>
    </row>
    <row r="1003" customFormat="false" ht="15" hidden="false" customHeight="false" outlineLevel="0" collapsed="false">
      <c r="A1003" s="21" t="n">
        <v>46161</v>
      </c>
      <c r="B1003" s="22" t="s">
        <v>359</v>
      </c>
      <c r="C1003" s="22" t="n">
        <v>2</v>
      </c>
      <c r="D1003" s="41" t="n">
        <v>1090.972</v>
      </c>
      <c r="E1003" s="22" t="n">
        <f aca="false">MONTH(A1003)</f>
        <v>5</v>
      </c>
    </row>
    <row r="1004" customFormat="false" ht="15" hidden="false" customHeight="false" outlineLevel="0" collapsed="false">
      <c r="A1004" s="21" t="n">
        <v>46162</v>
      </c>
      <c r="B1004" s="22" t="s">
        <v>361</v>
      </c>
      <c r="C1004" s="22" t="n">
        <v>1</v>
      </c>
      <c r="D1004" s="41" t="n">
        <v>25089.96</v>
      </c>
      <c r="E1004" s="22" t="n">
        <f aca="false">MONTH(A1004)</f>
        <v>5</v>
      </c>
    </row>
    <row r="1005" customFormat="false" ht="15" hidden="false" customHeight="false" outlineLevel="0" collapsed="false">
      <c r="A1005" s="21" t="n">
        <v>46162</v>
      </c>
      <c r="B1005" s="22" t="s">
        <v>186</v>
      </c>
      <c r="C1005" s="22" t="n">
        <v>1</v>
      </c>
      <c r="D1005" s="41" t="n">
        <v>6066.805</v>
      </c>
      <c r="E1005" s="22" t="n">
        <f aca="false">MONTH(A1005)</f>
        <v>5</v>
      </c>
    </row>
    <row r="1006" customFormat="false" ht="15" hidden="false" customHeight="false" outlineLevel="0" collapsed="false">
      <c r="A1006" s="21" t="n">
        <v>46162</v>
      </c>
      <c r="B1006" s="22" t="s">
        <v>186</v>
      </c>
      <c r="C1006" s="22" t="n">
        <v>2</v>
      </c>
      <c r="D1006" s="41" t="n">
        <v>7095.858</v>
      </c>
      <c r="E1006" s="22" t="n">
        <f aca="false">MONTH(A1006)</f>
        <v>5</v>
      </c>
    </row>
    <row r="1007" customFormat="false" ht="15" hidden="false" customHeight="false" outlineLevel="0" collapsed="false">
      <c r="A1007" s="21" t="n">
        <v>46162</v>
      </c>
      <c r="B1007" s="22" t="s">
        <v>188</v>
      </c>
      <c r="C1007" s="22" t="n">
        <v>1</v>
      </c>
      <c r="D1007" s="41" t="n">
        <v>1999.2</v>
      </c>
      <c r="E1007" s="22" t="n">
        <f aca="false">MONTH(A1007)</f>
        <v>5</v>
      </c>
    </row>
    <row r="1008" customFormat="false" ht="15" hidden="false" customHeight="false" outlineLevel="0" collapsed="false">
      <c r="A1008" s="21" t="n">
        <v>46162</v>
      </c>
      <c r="B1008" s="22" t="s">
        <v>188</v>
      </c>
      <c r="C1008" s="22" t="n">
        <v>2</v>
      </c>
      <c r="D1008" s="41" t="n">
        <v>2151.1</v>
      </c>
      <c r="E1008" s="22" t="n">
        <f aca="false">MONTH(A1008)</f>
        <v>5</v>
      </c>
    </row>
    <row r="1009" customFormat="false" ht="15" hidden="false" customHeight="false" outlineLevel="0" collapsed="false">
      <c r="A1009" s="21" t="n">
        <v>46162</v>
      </c>
      <c r="B1009" s="22" t="s">
        <v>375</v>
      </c>
      <c r="C1009" s="22" t="n">
        <v>1</v>
      </c>
      <c r="D1009" s="41" t="n">
        <v>18453.564</v>
      </c>
      <c r="E1009" s="22" t="n">
        <f aca="false">MONTH(A1009)</f>
        <v>5</v>
      </c>
    </row>
    <row r="1010" customFormat="false" ht="15" hidden="false" customHeight="false" outlineLevel="0" collapsed="false">
      <c r="A1010" s="21" t="n">
        <v>46162</v>
      </c>
      <c r="B1010" s="22" t="s">
        <v>187</v>
      </c>
      <c r="C1010" s="22" t="n">
        <v>1</v>
      </c>
      <c r="D1010" s="41" t="n">
        <v>2343.286</v>
      </c>
      <c r="E1010" s="22" t="n">
        <f aca="false">MONTH(A1010)</f>
        <v>5</v>
      </c>
    </row>
    <row r="1011" customFormat="false" ht="15" hidden="false" customHeight="false" outlineLevel="0" collapsed="false">
      <c r="A1011" s="21" t="n">
        <v>46162</v>
      </c>
      <c r="B1011" s="22" t="s">
        <v>187</v>
      </c>
      <c r="C1011" s="22" t="n">
        <v>2</v>
      </c>
      <c r="D1011" s="41" t="n">
        <v>5143.663</v>
      </c>
      <c r="E1011" s="22" t="n">
        <f aca="false">MONTH(A1011)</f>
        <v>5</v>
      </c>
    </row>
    <row r="1012" customFormat="false" ht="15" hidden="false" customHeight="false" outlineLevel="0" collapsed="false">
      <c r="A1012" s="21" t="n">
        <v>46162</v>
      </c>
      <c r="B1012" s="22" t="s">
        <v>189</v>
      </c>
      <c r="C1012" s="22" t="n">
        <v>1</v>
      </c>
      <c r="D1012" s="41" t="n">
        <v>5153.211</v>
      </c>
      <c r="E1012" s="22" t="n">
        <f aca="false">MONTH(A1012)</f>
        <v>5</v>
      </c>
    </row>
    <row r="1013" customFormat="false" ht="15" hidden="false" customHeight="false" outlineLevel="0" collapsed="false">
      <c r="A1013" s="21" t="n">
        <v>46162</v>
      </c>
      <c r="B1013" s="22" t="s">
        <v>189</v>
      </c>
      <c r="C1013" s="22" t="n">
        <v>2</v>
      </c>
      <c r="D1013" s="41" t="n">
        <v>6073.074</v>
      </c>
      <c r="E1013" s="22" t="n">
        <f aca="false">MONTH(A1013)</f>
        <v>5</v>
      </c>
    </row>
    <row r="1014" customFormat="false" ht="15" hidden="false" customHeight="false" outlineLevel="0" collapsed="false">
      <c r="A1014" s="21" t="n">
        <v>46162</v>
      </c>
      <c r="B1014" s="22" t="s">
        <v>359</v>
      </c>
      <c r="C1014" s="22" t="n">
        <v>2</v>
      </c>
      <c r="D1014" s="41" t="n">
        <v>759.602</v>
      </c>
      <c r="E1014" s="22" t="n">
        <f aca="false">MONTH(A1014)</f>
        <v>5</v>
      </c>
    </row>
    <row r="1015" customFormat="false" ht="15" hidden="false" customHeight="false" outlineLevel="0" collapsed="false">
      <c r="A1015" s="21" t="n">
        <v>46163</v>
      </c>
      <c r="B1015" s="22" t="s">
        <v>361</v>
      </c>
      <c r="C1015" s="22" t="n">
        <v>1</v>
      </c>
      <c r="D1015" s="41" t="n">
        <v>21991.2</v>
      </c>
      <c r="E1015" s="22" t="n">
        <f aca="false">MONTH(A1015)</f>
        <v>5</v>
      </c>
    </row>
    <row r="1016" customFormat="false" ht="15" hidden="false" customHeight="false" outlineLevel="0" collapsed="false">
      <c r="A1016" s="21" t="n">
        <v>46163</v>
      </c>
      <c r="B1016" s="22" t="s">
        <v>186</v>
      </c>
      <c r="C1016" s="22" t="n">
        <v>2</v>
      </c>
      <c r="D1016" s="41" t="n">
        <v>6757.96</v>
      </c>
      <c r="E1016" s="22" t="n">
        <f aca="false">MONTH(A1016)</f>
        <v>5</v>
      </c>
    </row>
    <row r="1017" customFormat="false" ht="15" hidden="false" customHeight="false" outlineLevel="0" collapsed="false">
      <c r="A1017" s="21" t="n">
        <v>46163</v>
      </c>
      <c r="B1017" s="22" t="s">
        <v>188</v>
      </c>
      <c r="C1017" s="22" t="n">
        <v>1</v>
      </c>
      <c r="D1017" s="41" t="n">
        <v>1901.2</v>
      </c>
      <c r="E1017" s="22" t="n">
        <f aca="false">MONTH(A1017)</f>
        <v>5</v>
      </c>
    </row>
    <row r="1018" customFormat="false" ht="15" hidden="false" customHeight="false" outlineLevel="0" collapsed="false">
      <c r="A1018" s="21" t="n">
        <v>46163</v>
      </c>
      <c r="B1018" s="22" t="s">
        <v>188</v>
      </c>
      <c r="C1018" s="22" t="n">
        <v>2</v>
      </c>
      <c r="D1018" s="41" t="n">
        <v>1411.2</v>
      </c>
      <c r="E1018" s="22" t="n">
        <f aca="false">MONTH(A1018)</f>
        <v>5</v>
      </c>
    </row>
    <row r="1019" customFormat="false" ht="15" hidden="false" customHeight="false" outlineLevel="0" collapsed="false">
      <c r="A1019" s="21" t="n">
        <v>46163</v>
      </c>
      <c r="B1019" s="22" t="s">
        <v>375</v>
      </c>
      <c r="C1019" s="22" t="n">
        <v>1</v>
      </c>
      <c r="D1019" s="41" t="n">
        <v>16948.36</v>
      </c>
      <c r="E1019" s="22" t="n">
        <f aca="false">MONTH(A1019)</f>
        <v>5</v>
      </c>
    </row>
    <row r="1020" customFormat="false" ht="15" hidden="false" customHeight="false" outlineLevel="0" collapsed="false">
      <c r="A1020" s="21" t="n">
        <v>46163</v>
      </c>
      <c r="B1020" s="22" t="s">
        <v>187</v>
      </c>
      <c r="C1020" s="22" t="n">
        <v>1</v>
      </c>
      <c r="D1020" s="41" t="n">
        <v>4783.881</v>
      </c>
      <c r="E1020" s="22" t="n">
        <f aca="false">MONTH(A1020)</f>
        <v>5</v>
      </c>
    </row>
    <row r="1021" customFormat="false" ht="15" hidden="false" customHeight="false" outlineLevel="0" collapsed="false">
      <c r="A1021" s="21" t="n">
        <v>46163</v>
      </c>
      <c r="B1021" s="22" t="s">
        <v>187</v>
      </c>
      <c r="C1021" s="22" t="n">
        <v>2</v>
      </c>
      <c r="D1021" s="41" t="n">
        <v>2425.696</v>
      </c>
      <c r="E1021" s="22" t="n">
        <f aca="false">MONTH(A1021)</f>
        <v>5</v>
      </c>
    </row>
    <row r="1022" customFormat="false" ht="15" hidden="false" customHeight="false" outlineLevel="0" collapsed="false">
      <c r="A1022" s="21" t="n">
        <v>46163</v>
      </c>
      <c r="B1022" s="22" t="s">
        <v>189</v>
      </c>
      <c r="C1022" s="22" t="n">
        <v>1</v>
      </c>
      <c r="D1022" s="41" t="n">
        <v>5192.775</v>
      </c>
      <c r="E1022" s="22" t="n">
        <f aca="false">MONTH(A1022)</f>
        <v>5</v>
      </c>
    </row>
    <row r="1023" customFormat="false" ht="15" hidden="false" customHeight="false" outlineLevel="0" collapsed="false">
      <c r="A1023" s="21" t="n">
        <v>46163</v>
      </c>
      <c r="B1023" s="22" t="s">
        <v>189</v>
      </c>
      <c r="C1023" s="22" t="n">
        <v>2</v>
      </c>
      <c r="D1023" s="41" t="n">
        <v>6350.022</v>
      </c>
      <c r="E1023" s="22" t="n">
        <f aca="false">MONTH(A1023)</f>
        <v>5</v>
      </c>
    </row>
    <row r="1024" customFormat="false" ht="15" hidden="false" customHeight="false" outlineLevel="0" collapsed="false">
      <c r="A1024" s="21" t="n">
        <v>46164</v>
      </c>
      <c r="B1024" s="22" t="s">
        <v>361</v>
      </c>
      <c r="C1024" s="22" t="n">
        <v>1</v>
      </c>
      <c r="D1024" s="41" t="n">
        <v>28721.84</v>
      </c>
      <c r="E1024" s="22" t="n">
        <f aca="false">MONTH(A1024)</f>
        <v>5</v>
      </c>
    </row>
    <row r="1025" customFormat="false" ht="15" hidden="false" customHeight="false" outlineLevel="0" collapsed="false">
      <c r="A1025" s="21" t="n">
        <v>46164</v>
      </c>
      <c r="B1025" s="22" t="s">
        <v>186</v>
      </c>
      <c r="C1025" s="22" t="n">
        <v>2</v>
      </c>
      <c r="D1025" s="41" t="n">
        <v>6327.908</v>
      </c>
      <c r="E1025" s="22" t="n">
        <f aca="false">MONTH(A1025)</f>
        <v>5</v>
      </c>
    </row>
    <row r="1026" customFormat="false" ht="15" hidden="false" customHeight="false" outlineLevel="0" collapsed="false">
      <c r="A1026" s="21" t="n">
        <v>46164</v>
      </c>
      <c r="B1026" s="22" t="s">
        <v>188</v>
      </c>
      <c r="C1026" s="22" t="n">
        <v>1</v>
      </c>
      <c r="D1026" s="41" t="n">
        <v>333.2</v>
      </c>
      <c r="E1026" s="22" t="n">
        <f aca="false">MONTH(A1026)</f>
        <v>5</v>
      </c>
    </row>
    <row r="1027" customFormat="false" ht="15" hidden="false" customHeight="false" outlineLevel="0" collapsed="false">
      <c r="A1027" s="21" t="n">
        <v>46164</v>
      </c>
      <c r="B1027" s="22" t="s">
        <v>188</v>
      </c>
      <c r="C1027" s="22" t="n">
        <v>2</v>
      </c>
      <c r="D1027" s="41" t="n">
        <v>1038.8</v>
      </c>
      <c r="E1027" s="22" t="n">
        <f aca="false">MONTH(A1027)</f>
        <v>5</v>
      </c>
    </row>
    <row r="1028" customFormat="false" ht="15" hidden="false" customHeight="false" outlineLevel="0" collapsed="false">
      <c r="A1028" s="21" t="n">
        <v>46164</v>
      </c>
      <c r="B1028" s="22" t="s">
        <v>375</v>
      </c>
      <c r="C1028" s="22" t="n">
        <v>1</v>
      </c>
      <c r="D1028" s="41" t="n">
        <v>7822.976</v>
      </c>
      <c r="E1028" s="22" t="n">
        <f aca="false">MONTH(A1028)</f>
        <v>5</v>
      </c>
    </row>
    <row r="1029" customFormat="false" ht="15" hidden="false" customHeight="false" outlineLevel="0" collapsed="false">
      <c r="A1029" s="21" t="n">
        <v>46164</v>
      </c>
      <c r="B1029" s="22" t="s">
        <v>187</v>
      </c>
      <c r="C1029" s="22" t="n">
        <v>1</v>
      </c>
      <c r="D1029" s="41" t="n">
        <v>6565.706</v>
      </c>
      <c r="E1029" s="22" t="n">
        <f aca="false">MONTH(A1029)</f>
        <v>5</v>
      </c>
    </row>
    <row r="1030" customFormat="false" ht="15" hidden="false" customHeight="false" outlineLevel="0" collapsed="false">
      <c r="A1030" s="21" t="n">
        <v>46164</v>
      </c>
      <c r="B1030" s="22" t="s">
        <v>187</v>
      </c>
      <c r="C1030" s="22" t="n">
        <v>2</v>
      </c>
      <c r="D1030" s="41" t="n">
        <v>7341.229</v>
      </c>
      <c r="E1030" s="22" t="n">
        <f aca="false">MONTH(A1030)</f>
        <v>5</v>
      </c>
    </row>
    <row r="1031" customFormat="false" ht="15" hidden="false" customHeight="false" outlineLevel="0" collapsed="false">
      <c r="A1031" s="21" t="n">
        <v>46164</v>
      </c>
      <c r="B1031" s="22" t="s">
        <v>189</v>
      </c>
      <c r="C1031" s="22" t="n">
        <v>1</v>
      </c>
      <c r="D1031" s="41" t="n">
        <v>5875.254</v>
      </c>
      <c r="E1031" s="22" t="n">
        <f aca="false">MONTH(A1031)</f>
        <v>5</v>
      </c>
    </row>
    <row r="1032" customFormat="false" ht="15" hidden="false" customHeight="false" outlineLevel="0" collapsed="false">
      <c r="A1032" s="21" t="n">
        <v>46164</v>
      </c>
      <c r="B1032" s="22" t="s">
        <v>189</v>
      </c>
      <c r="C1032" s="22" t="n">
        <v>2</v>
      </c>
      <c r="D1032" s="41" t="n">
        <v>6310.458</v>
      </c>
      <c r="E1032" s="22" t="n">
        <f aca="false">MONTH(A1032)</f>
        <v>5</v>
      </c>
    </row>
    <row r="1033" customFormat="false" ht="15" hidden="false" customHeight="false" outlineLevel="0" collapsed="false">
      <c r="A1033" s="21" t="n">
        <v>46165</v>
      </c>
      <c r="B1033" s="22" t="s">
        <v>361</v>
      </c>
      <c r="C1033" s="22" t="n">
        <v>1</v>
      </c>
      <c r="D1033" s="41" t="n">
        <v>24323.6</v>
      </c>
      <c r="E1033" s="22" t="n">
        <f aca="false">MONTH(A1033)</f>
        <v>5</v>
      </c>
    </row>
    <row r="1034" customFormat="false" ht="15" hidden="false" customHeight="false" outlineLevel="0" collapsed="false">
      <c r="A1034" s="21" t="n">
        <v>46165</v>
      </c>
      <c r="B1034" s="22" t="s">
        <v>186</v>
      </c>
      <c r="C1034" s="22" t="n">
        <v>1</v>
      </c>
      <c r="D1034" s="41" t="n">
        <v>5452.445</v>
      </c>
      <c r="E1034" s="22" t="n">
        <f aca="false">MONTH(A1034)</f>
        <v>5</v>
      </c>
    </row>
    <row r="1035" customFormat="false" ht="15" hidden="false" customHeight="false" outlineLevel="0" collapsed="false">
      <c r="A1035" s="21" t="n">
        <v>46165</v>
      </c>
      <c r="B1035" s="22" t="s">
        <v>186</v>
      </c>
      <c r="C1035" s="22" t="n">
        <v>2</v>
      </c>
      <c r="D1035" s="41" t="n">
        <v>4976.316</v>
      </c>
      <c r="E1035" s="22" t="n">
        <f aca="false">MONTH(A1035)</f>
        <v>5</v>
      </c>
    </row>
    <row r="1036" customFormat="false" ht="15" hidden="false" customHeight="false" outlineLevel="0" collapsed="false">
      <c r="A1036" s="21" t="n">
        <v>46165</v>
      </c>
      <c r="B1036" s="22" t="s">
        <v>188</v>
      </c>
      <c r="C1036" s="22" t="n">
        <v>2</v>
      </c>
      <c r="D1036" s="41" t="n">
        <v>1950.2</v>
      </c>
      <c r="E1036" s="22" t="n">
        <f aca="false">MONTH(A1036)</f>
        <v>5</v>
      </c>
    </row>
    <row r="1037" customFormat="false" ht="15" hidden="false" customHeight="false" outlineLevel="0" collapsed="false">
      <c r="A1037" s="21" t="n">
        <v>46165</v>
      </c>
      <c r="B1037" s="22" t="s">
        <v>375</v>
      </c>
      <c r="C1037" s="22" t="n">
        <v>1</v>
      </c>
      <c r="D1037" s="41" t="n">
        <v>15388.248</v>
      </c>
      <c r="E1037" s="22" t="n">
        <f aca="false">MONTH(A1037)</f>
        <v>5</v>
      </c>
    </row>
    <row r="1038" customFormat="false" ht="15" hidden="false" customHeight="false" outlineLevel="0" collapsed="false">
      <c r="A1038" s="21" t="n">
        <v>46165</v>
      </c>
      <c r="B1038" s="22" t="s">
        <v>187</v>
      </c>
      <c r="C1038" s="22" t="n">
        <v>1</v>
      </c>
      <c r="D1038" s="41" t="n">
        <v>5247.9</v>
      </c>
      <c r="E1038" s="22" t="n">
        <f aca="false">MONTH(A1038)</f>
        <v>5</v>
      </c>
    </row>
    <row r="1039" customFormat="false" ht="15" hidden="false" customHeight="false" outlineLevel="0" collapsed="false">
      <c r="A1039" s="21" t="n">
        <v>46165</v>
      </c>
      <c r="B1039" s="22" t="s">
        <v>187</v>
      </c>
      <c r="C1039" s="22" t="n">
        <v>2</v>
      </c>
      <c r="D1039" s="41" t="n">
        <v>4414.067</v>
      </c>
      <c r="E1039" s="22" t="n">
        <f aca="false">MONTH(A1039)</f>
        <v>5</v>
      </c>
    </row>
    <row r="1040" customFormat="false" ht="15" hidden="false" customHeight="false" outlineLevel="0" collapsed="false">
      <c r="A1040" s="21" t="n">
        <v>46165</v>
      </c>
      <c r="B1040" s="22" t="s">
        <v>189</v>
      </c>
      <c r="C1040" s="22" t="n">
        <v>1</v>
      </c>
      <c r="D1040" s="41" t="n">
        <v>4638.879</v>
      </c>
      <c r="E1040" s="22" t="n">
        <f aca="false">MONTH(A1040)</f>
        <v>5</v>
      </c>
    </row>
    <row r="1041" customFormat="false" ht="15" hidden="false" customHeight="false" outlineLevel="0" collapsed="false">
      <c r="A1041" s="21" t="n">
        <v>46165</v>
      </c>
      <c r="B1041" s="22" t="s">
        <v>189</v>
      </c>
      <c r="C1041" s="22" t="n">
        <v>2</v>
      </c>
      <c r="D1041" s="41" t="n">
        <v>3790.44</v>
      </c>
      <c r="E1041" s="22" t="n">
        <f aca="false">MONTH(A1041)</f>
        <v>5</v>
      </c>
    </row>
    <row r="1042" customFormat="false" ht="15" hidden="false" customHeight="false" outlineLevel="0" collapsed="false">
      <c r="A1042" s="21" t="n">
        <v>46166</v>
      </c>
      <c r="B1042" s="22" t="s">
        <v>188</v>
      </c>
      <c r="C1042" s="22" t="n">
        <v>1</v>
      </c>
      <c r="D1042" s="41" t="n">
        <v>1754.2</v>
      </c>
      <c r="E1042" s="22" t="n">
        <f aca="false">MONTH(A1042)</f>
        <v>5</v>
      </c>
    </row>
    <row r="1043" customFormat="false" ht="15" hidden="false" customHeight="false" outlineLevel="0" collapsed="false">
      <c r="A1043" s="21" t="n">
        <v>46167</v>
      </c>
      <c r="B1043" s="22" t="s">
        <v>361</v>
      </c>
      <c r="C1043" s="22" t="n">
        <v>1</v>
      </c>
      <c r="D1043" s="41" t="n">
        <v>12095.16</v>
      </c>
      <c r="E1043" s="22" t="n">
        <f aca="false">MONTH(A1043)</f>
        <v>5</v>
      </c>
    </row>
    <row r="1044" customFormat="false" ht="15" hidden="false" customHeight="false" outlineLevel="0" collapsed="false">
      <c r="A1044" s="21" t="n">
        <v>46167</v>
      </c>
      <c r="B1044" s="22" t="s">
        <v>186</v>
      </c>
      <c r="C1044" s="22" t="n">
        <v>1</v>
      </c>
      <c r="D1044" s="41" t="n">
        <v>3345.177</v>
      </c>
      <c r="E1044" s="22" t="n">
        <f aca="false">MONTH(A1044)</f>
        <v>5</v>
      </c>
    </row>
    <row r="1045" customFormat="false" ht="15" hidden="false" customHeight="false" outlineLevel="0" collapsed="false">
      <c r="A1045" s="21" t="n">
        <v>46167</v>
      </c>
      <c r="B1045" s="22" t="s">
        <v>186</v>
      </c>
      <c r="C1045" s="22" t="n">
        <v>2</v>
      </c>
      <c r="D1045" s="41" t="n">
        <v>4166.448</v>
      </c>
      <c r="E1045" s="22" t="n">
        <f aca="false">MONTH(A1045)</f>
        <v>5</v>
      </c>
    </row>
    <row r="1046" customFormat="false" ht="15" hidden="false" customHeight="false" outlineLevel="0" collapsed="false">
      <c r="A1046" s="21" t="n">
        <v>46167</v>
      </c>
      <c r="B1046" s="22" t="s">
        <v>188</v>
      </c>
      <c r="C1046" s="22" t="n">
        <v>1</v>
      </c>
      <c r="D1046" s="41" t="n">
        <v>1176</v>
      </c>
      <c r="E1046" s="22" t="n">
        <f aca="false">MONTH(A1046)</f>
        <v>5</v>
      </c>
    </row>
    <row r="1047" customFormat="false" ht="15" hidden="false" customHeight="false" outlineLevel="0" collapsed="false">
      <c r="A1047" s="21" t="n">
        <v>46167</v>
      </c>
      <c r="B1047" s="22" t="s">
        <v>188</v>
      </c>
      <c r="C1047" s="22" t="n">
        <v>2</v>
      </c>
      <c r="D1047" s="41" t="n">
        <v>485.1</v>
      </c>
      <c r="E1047" s="22" t="n">
        <f aca="false">MONTH(A1047)</f>
        <v>5</v>
      </c>
    </row>
    <row r="1048" customFormat="false" ht="15" hidden="false" customHeight="false" outlineLevel="0" collapsed="false">
      <c r="A1048" s="21" t="n">
        <v>46167</v>
      </c>
      <c r="B1048" s="22" t="s">
        <v>375</v>
      </c>
      <c r="C1048" s="22" t="n">
        <v>1</v>
      </c>
      <c r="D1048" s="41" t="n">
        <v>15495.276</v>
      </c>
      <c r="E1048" s="22" t="n">
        <f aca="false">MONTH(A1048)</f>
        <v>5</v>
      </c>
    </row>
    <row r="1049" customFormat="false" ht="15" hidden="false" customHeight="false" outlineLevel="0" collapsed="false">
      <c r="A1049" s="21" t="n">
        <v>46167</v>
      </c>
      <c r="B1049" s="22" t="s">
        <v>375</v>
      </c>
      <c r="C1049" s="22" t="n">
        <v>2</v>
      </c>
      <c r="D1049" s="41" t="n">
        <v>15174.192</v>
      </c>
      <c r="E1049" s="22" t="n">
        <f aca="false">MONTH(A1049)</f>
        <v>5</v>
      </c>
    </row>
    <row r="1050" customFormat="false" ht="15" hidden="false" customHeight="false" outlineLevel="0" collapsed="false">
      <c r="A1050" s="21" t="n">
        <v>46167</v>
      </c>
      <c r="B1050" s="22" t="s">
        <v>187</v>
      </c>
      <c r="C1050" s="22" t="n">
        <v>1</v>
      </c>
      <c r="D1050" s="41" t="n">
        <v>1994.202</v>
      </c>
      <c r="E1050" s="22" t="n">
        <f aca="false">MONTH(A1050)</f>
        <v>5</v>
      </c>
    </row>
    <row r="1051" customFormat="false" ht="15" hidden="false" customHeight="false" outlineLevel="0" collapsed="false">
      <c r="A1051" s="21" t="n">
        <v>46167</v>
      </c>
      <c r="B1051" s="22" t="s">
        <v>187</v>
      </c>
      <c r="C1051" s="22" t="n">
        <v>2</v>
      </c>
      <c r="D1051" s="41" t="n">
        <v>9833.5</v>
      </c>
      <c r="E1051" s="22" t="n">
        <f aca="false">MONTH(A1051)</f>
        <v>5</v>
      </c>
    </row>
    <row r="1052" customFormat="false" ht="15" hidden="false" customHeight="false" outlineLevel="0" collapsed="false">
      <c r="A1052" s="21" t="n">
        <v>46167</v>
      </c>
      <c r="B1052" s="22" t="s">
        <v>189</v>
      </c>
      <c r="C1052" s="22" t="n">
        <v>2</v>
      </c>
      <c r="D1052" s="41" t="n">
        <v>13391.775</v>
      </c>
      <c r="E1052" s="22" t="n">
        <f aca="false">MONTH(A1052)</f>
        <v>5</v>
      </c>
    </row>
    <row r="1053" customFormat="false" ht="15" hidden="false" customHeight="false" outlineLevel="0" collapsed="false">
      <c r="A1053" s="21" t="n">
        <v>46167</v>
      </c>
      <c r="B1053" s="22" t="s">
        <v>359</v>
      </c>
      <c r="C1053" s="22" t="n">
        <v>1</v>
      </c>
      <c r="D1053" s="41" t="n">
        <v>1295.912</v>
      </c>
      <c r="E1053" s="22" t="n">
        <f aca="false">MONTH(A1053)</f>
        <v>5</v>
      </c>
    </row>
    <row r="1054" customFormat="false" ht="15" hidden="false" customHeight="false" outlineLevel="0" collapsed="false">
      <c r="A1054" s="21" t="n">
        <v>46168</v>
      </c>
      <c r="B1054" s="22" t="s">
        <v>361</v>
      </c>
      <c r="C1054" s="22" t="n">
        <v>1</v>
      </c>
      <c r="D1054" s="41" t="n">
        <v>11525.4</v>
      </c>
      <c r="E1054" s="22" t="n">
        <f aca="false">MONTH(A1054)</f>
        <v>5</v>
      </c>
    </row>
    <row r="1055" customFormat="false" ht="15" hidden="false" customHeight="false" outlineLevel="0" collapsed="false">
      <c r="A1055" s="21" t="n">
        <v>46168</v>
      </c>
      <c r="B1055" s="22" t="s">
        <v>361</v>
      </c>
      <c r="C1055" s="22" t="n">
        <v>2</v>
      </c>
      <c r="D1055" s="41" t="n">
        <v>4085.114</v>
      </c>
      <c r="E1055" s="22" t="n">
        <f aca="false">MONTH(A1055)</f>
        <v>5</v>
      </c>
    </row>
    <row r="1056" customFormat="false" ht="15" hidden="false" customHeight="false" outlineLevel="0" collapsed="false">
      <c r="A1056" s="21" t="n">
        <v>46168</v>
      </c>
      <c r="B1056" s="22" t="s">
        <v>186</v>
      </c>
      <c r="C1056" s="22" t="n">
        <v>1</v>
      </c>
      <c r="D1056" s="41" t="n">
        <v>7585.072</v>
      </c>
      <c r="E1056" s="22" t="n">
        <f aca="false">MONTH(A1056)</f>
        <v>5</v>
      </c>
    </row>
    <row r="1057" customFormat="false" ht="15" hidden="false" customHeight="false" outlineLevel="0" collapsed="false">
      <c r="A1057" s="21" t="n">
        <v>46168</v>
      </c>
      <c r="B1057" s="22" t="s">
        <v>186</v>
      </c>
      <c r="C1057" s="22" t="n">
        <v>2</v>
      </c>
      <c r="D1057" s="41" t="n">
        <v>4019.82</v>
      </c>
      <c r="E1057" s="22" t="n">
        <f aca="false">MONTH(A1057)</f>
        <v>5</v>
      </c>
    </row>
    <row r="1058" customFormat="false" ht="15" hidden="false" customHeight="false" outlineLevel="0" collapsed="false">
      <c r="A1058" s="21" t="n">
        <v>46168</v>
      </c>
      <c r="B1058" s="22" t="s">
        <v>375</v>
      </c>
      <c r="C1058" s="22" t="n">
        <v>1</v>
      </c>
      <c r="D1058" s="41" t="n">
        <v>15483.384</v>
      </c>
      <c r="E1058" s="22" t="n">
        <f aca="false">MONTH(A1058)</f>
        <v>5</v>
      </c>
    </row>
    <row r="1059" customFormat="false" ht="15" hidden="false" customHeight="false" outlineLevel="0" collapsed="false">
      <c r="A1059" s="21" t="n">
        <v>46168</v>
      </c>
      <c r="B1059" s="22" t="s">
        <v>187</v>
      </c>
      <c r="C1059" s="22" t="n">
        <v>1</v>
      </c>
      <c r="D1059" s="41" t="n">
        <v>14182.25</v>
      </c>
      <c r="E1059" s="22" t="n">
        <f aca="false">MONTH(A1059)</f>
        <v>5</v>
      </c>
    </row>
    <row r="1060" customFormat="false" ht="15" hidden="false" customHeight="false" outlineLevel="0" collapsed="false">
      <c r="A1060" s="21" t="n">
        <v>46168</v>
      </c>
      <c r="B1060" s="22" t="s">
        <v>187</v>
      </c>
      <c r="C1060" s="22" t="n">
        <v>2</v>
      </c>
      <c r="D1060" s="41" t="n">
        <v>14342</v>
      </c>
      <c r="E1060" s="22" t="n">
        <f aca="false">MONTH(A1060)</f>
        <v>5</v>
      </c>
    </row>
    <row r="1061" customFormat="false" ht="15" hidden="false" customHeight="false" outlineLevel="0" collapsed="false">
      <c r="A1061" s="21" t="n">
        <v>46168</v>
      </c>
      <c r="B1061" s="22" t="s">
        <v>189</v>
      </c>
      <c r="C1061" s="22" t="n">
        <v>2</v>
      </c>
      <c r="D1061" s="41" t="n">
        <v>14572.35</v>
      </c>
      <c r="E1061" s="22" t="n">
        <f aca="false">MONTH(A1061)</f>
        <v>5</v>
      </c>
    </row>
    <row r="1062" customFormat="false" ht="15" hidden="false" customHeight="false" outlineLevel="0" collapsed="false">
      <c r="A1062" s="21" t="n">
        <v>46168</v>
      </c>
      <c r="B1062" s="22" t="s">
        <v>359</v>
      </c>
      <c r="C1062" s="22" t="n">
        <v>1</v>
      </c>
      <c r="D1062" s="41" t="n">
        <v>3077.791</v>
      </c>
      <c r="E1062" s="22" t="n">
        <f aca="false">MONTH(A1062)</f>
        <v>5</v>
      </c>
    </row>
    <row r="1063" customFormat="false" ht="15" hidden="false" customHeight="false" outlineLevel="0" collapsed="false">
      <c r="A1063" s="21" t="n">
        <v>46169</v>
      </c>
      <c r="B1063" s="22" t="s">
        <v>186</v>
      </c>
      <c r="C1063" s="22" t="n">
        <v>1</v>
      </c>
      <c r="D1063" s="41" t="n">
        <v>11149.089</v>
      </c>
      <c r="E1063" s="22" t="n">
        <f aca="false">MONTH(A1063)</f>
        <v>5</v>
      </c>
    </row>
    <row r="1064" customFormat="false" ht="15" hidden="false" customHeight="false" outlineLevel="0" collapsed="false">
      <c r="A1064" s="21" t="n">
        <v>46169</v>
      </c>
      <c r="B1064" s="22" t="s">
        <v>187</v>
      </c>
      <c r="C1064" s="22" t="n">
        <v>1</v>
      </c>
      <c r="D1064" s="41" t="n">
        <v>10552.375</v>
      </c>
      <c r="E1064" s="22" t="n">
        <f aca="false">MONTH(A1064)</f>
        <v>5</v>
      </c>
    </row>
    <row r="1065" customFormat="false" ht="15" hidden="false" customHeight="false" outlineLevel="0" collapsed="false">
      <c r="A1065" s="21" t="n">
        <v>46169</v>
      </c>
      <c r="B1065" s="22" t="s">
        <v>189</v>
      </c>
      <c r="C1065" s="22" t="n">
        <v>1</v>
      </c>
      <c r="D1065" s="41" t="n">
        <v>6606.45</v>
      </c>
      <c r="E1065" s="22" t="n">
        <f aca="false">MONTH(A1065)</f>
        <v>5</v>
      </c>
    </row>
    <row r="1066" customFormat="false" ht="15" hidden="false" customHeight="false" outlineLevel="0" collapsed="false">
      <c r="A1066" s="21" t="n">
        <v>46170</v>
      </c>
      <c r="B1066" s="22" t="s">
        <v>361</v>
      </c>
      <c r="C1066" s="22" t="n">
        <v>1</v>
      </c>
      <c r="D1066" s="41" t="n">
        <v>13800.576</v>
      </c>
      <c r="E1066" s="22" t="n">
        <f aca="false">MONTH(A1066)</f>
        <v>5</v>
      </c>
    </row>
    <row r="1067" customFormat="false" ht="15" hidden="false" customHeight="false" outlineLevel="0" collapsed="false">
      <c r="A1067" s="21" t="n">
        <v>46170</v>
      </c>
      <c r="B1067" s="22" t="s">
        <v>361</v>
      </c>
      <c r="C1067" s="22" t="n">
        <v>2</v>
      </c>
      <c r="D1067" s="41" t="n">
        <v>17449.92</v>
      </c>
      <c r="E1067" s="22" t="n">
        <f aca="false">MONTH(A1067)</f>
        <v>5</v>
      </c>
    </row>
    <row r="1068" customFormat="false" ht="15" hidden="false" customHeight="false" outlineLevel="0" collapsed="false">
      <c r="A1068" s="21" t="n">
        <v>46170</v>
      </c>
      <c r="B1068" s="22" t="s">
        <v>362</v>
      </c>
      <c r="C1068" s="22" t="n">
        <v>1</v>
      </c>
      <c r="D1068" s="41" t="n">
        <v>3394.86</v>
      </c>
      <c r="E1068" s="22" t="n">
        <f aca="false">MONTH(A1068)</f>
        <v>5</v>
      </c>
    </row>
    <row r="1069" customFormat="false" ht="15" hidden="false" customHeight="false" outlineLevel="0" collapsed="false">
      <c r="A1069" s="21" t="n">
        <v>46170</v>
      </c>
      <c r="B1069" s="22" t="s">
        <v>186</v>
      </c>
      <c r="C1069" s="22" t="n">
        <v>1</v>
      </c>
      <c r="D1069" s="41" t="n">
        <v>10947.942</v>
      </c>
      <c r="E1069" s="22" t="n">
        <f aca="false">MONTH(A1069)</f>
        <v>5</v>
      </c>
    </row>
    <row r="1070" customFormat="false" ht="15" hidden="false" customHeight="false" outlineLevel="0" collapsed="false">
      <c r="A1070" s="21" t="n">
        <v>46170</v>
      </c>
      <c r="B1070" s="22" t="s">
        <v>186</v>
      </c>
      <c r="C1070" s="22" t="n">
        <v>2</v>
      </c>
      <c r="D1070" s="41" t="n">
        <v>8063.64</v>
      </c>
      <c r="E1070" s="22" t="n">
        <f aca="false">MONTH(A1070)</f>
        <v>5</v>
      </c>
    </row>
    <row r="1071" customFormat="false" ht="15" hidden="false" customHeight="false" outlineLevel="0" collapsed="false">
      <c r="A1071" s="21" t="n">
        <v>46170</v>
      </c>
      <c r="B1071" s="22" t="s">
        <v>188</v>
      </c>
      <c r="C1071" s="22" t="n">
        <v>1</v>
      </c>
      <c r="D1071" s="41" t="n">
        <v>1577.8</v>
      </c>
      <c r="E1071" s="22" t="n">
        <f aca="false">MONTH(A1071)</f>
        <v>5</v>
      </c>
    </row>
    <row r="1072" customFormat="false" ht="15" hidden="false" customHeight="false" outlineLevel="0" collapsed="false">
      <c r="A1072" s="21" t="n">
        <v>46170</v>
      </c>
      <c r="B1072" s="22" t="s">
        <v>374</v>
      </c>
      <c r="C1072" s="22" t="n">
        <v>1</v>
      </c>
      <c r="D1072" s="41" t="n">
        <v>6669.88</v>
      </c>
      <c r="E1072" s="22" t="n">
        <f aca="false">MONTH(A1072)</f>
        <v>5</v>
      </c>
    </row>
    <row r="1073" customFormat="false" ht="15" hidden="false" customHeight="false" outlineLevel="0" collapsed="false">
      <c r="A1073" s="21" t="n">
        <v>46170</v>
      </c>
      <c r="B1073" s="22" t="s">
        <v>374</v>
      </c>
      <c r="C1073" s="22" t="n">
        <v>2</v>
      </c>
      <c r="D1073" s="41" t="n">
        <v>1098.09</v>
      </c>
      <c r="E1073" s="22" t="n">
        <f aca="false">MONTH(A1073)</f>
        <v>5</v>
      </c>
    </row>
    <row r="1074" customFormat="false" ht="15" hidden="false" customHeight="false" outlineLevel="0" collapsed="false">
      <c r="A1074" s="21" t="n">
        <v>46170</v>
      </c>
      <c r="B1074" s="22" t="s">
        <v>187</v>
      </c>
      <c r="C1074" s="22" t="n">
        <v>1</v>
      </c>
      <c r="D1074" s="41" t="n">
        <v>7484.19</v>
      </c>
      <c r="E1074" s="22" t="n">
        <f aca="false">MONTH(A1074)</f>
        <v>5</v>
      </c>
    </row>
    <row r="1075" customFormat="false" ht="15" hidden="false" customHeight="false" outlineLevel="0" collapsed="false">
      <c r="A1075" s="21" t="n">
        <v>46170</v>
      </c>
      <c r="B1075" s="22" t="s">
        <v>187</v>
      </c>
      <c r="C1075" s="22" t="n">
        <v>2</v>
      </c>
      <c r="D1075" s="41" t="n">
        <v>8209.53</v>
      </c>
      <c r="E1075" s="22" t="n">
        <f aca="false">MONTH(A1075)</f>
        <v>5</v>
      </c>
    </row>
    <row r="1076" customFormat="false" ht="15" hidden="false" customHeight="false" outlineLevel="0" collapsed="false">
      <c r="A1076" s="21" t="n">
        <v>46170</v>
      </c>
      <c r="B1076" s="22" t="s">
        <v>189</v>
      </c>
      <c r="C1076" s="22" t="n">
        <v>1</v>
      </c>
      <c r="D1076" s="41" t="n">
        <v>14047.65</v>
      </c>
      <c r="E1076" s="22" t="n">
        <f aca="false">MONTH(A1076)</f>
        <v>5</v>
      </c>
    </row>
    <row r="1077" customFormat="false" ht="15" hidden="false" customHeight="false" outlineLevel="0" collapsed="false">
      <c r="A1077" s="21" t="n">
        <v>46170</v>
      </c>
      <c r="B1077" s="22" t="s">
        <v>189</v>
      </c>
      <c r="C1077" s="22" t="n">
        <v>2</v>
      </c>
      <c r="D1077" s="41" t="n">
        <v>11817.675</v>
      </c>
      <c r="E1077" s="22" t="n">
        <f aca="false">MONTH(A1077)</f>
        <v>5</v>
      </c>
    </row>
    <row r="1078" customFormat="false" ht="15" hidden="false" customHeight="false" outlineLevel="0" collapsed="false">
      <c r="A1078" s="21" t="n">
        <v>46171</v>
      </c>
      <c r="B1078" s="22" t="s">
        <v>361</v>
      </c>
      <c r="C1078" s="22" t="n">
        <v>1</v>
      </c>
      <c r="D1078" s="41" t="n">
        <v>7610.925</v>
      </c>
      <c r="E1078" s="22" t="n">
        <f aca="false">MONTH(A1078)</f>
        <v>5</v>
      </c>
    </row>
    <row r="1079" customFormat="false" ht="15" hidden="false" customHeight="false" outlineLevel="0" collapsed="false">
      <c r="A1079" s="21" t="n">
        <v>46171</v>
      </c>
      <c r="B1079" s="22" t="s">
        <v>362</v>
      </c>
      <c r="C1079" s="22" t="n">
        <v>1</v>
      </c>
      <c r="D1079" s="41" t="n">
        <v>1511.58</v>
      </c>
      <c r="E1079" s="22" t="n">
        <f aca="false">MONTH(A1079)</f>
        <v>5</v>
      </c>
    </row>
    <row r="1080" customFormat="false" ht="15" hidden="false" customHeight="false" outlineLevel="0" collapsed="false">
      <c r="A1080" s="21" t="n">
        <v>46171</v>
      </c>
      <c r="B1080" s="22" t="s">
        <v>186</v>
      </c>
      <c r="C1080" s="22" t="n">
        <v>1</v>
      </c>
      <c r="D1080" s="41" t="n">
        <v>11237.406</v>
      </c>
      <c r="E1080" s="22" t="n">
        <f aca="false">MONTH(A1080)</f>
        <v>5</v>
      </c>
    </row>
    <row r="1081" customFormat="false" ht="15" hidden="false" customHeight="false" outlineLevel="0" collapsed="false">
      <c r="A1081" s="21" t="n">
        <v>46171</v>
      </c>
      <c r="B1081" s="22" t="s">
        <v>186</v>
      </c>
      <c r="C1081" s="22" t="n">
        <v>2</v>
      </c>
      <c r="D1081" s="41" t="n">
        <v>3597.624</v>
      </c>
      <c r="E1081" s="22" t="n">
        <f aca="false">MONTH(A1081)</f>
        <v>5</v>
      </c>
    </row>
    <row r="1082" customFormat="false" ht="15" hidden="false" customHeight="false" outlineLevel="0" collapsed="false">
      <c r="A1082" s="21" t="n">
        <v>46171</v>
      </c>
      <c r="B1082" s="22" t="s">
        <v>188</v>
      </c>
      <c r="C1082" s="22" t="n">
        <v>2</v>
      </c>
      <c r="D1082" s="41" t="n">
        <v>720.3</v>
      </c>
      <c r="E1082" s="22" t="n">
        <f aca="false">MONTH(A1082)</f>
        <v>5</v>
      </c>
    </row>
    <row r="1083" customFormat="false" ht="15" hidden="false" customHeight="false" outlineLevel="0" collapsed="false">
      <c r="A1083" s="21" t="n">
        <v>46171</v>
      </c>
      <c r="B1083" s="22" t="s">
        <v>375</v>
      </c>
      <c r="C1083" s="22" t="n">
        <v>2</v>
      </c>
      <c r="D1083" s="41" t="n">
        <v>1862.414</v>
      </c>
      <c r="E1083" s="22" t="n">
        <f aca="false">MONTH(A1083)</f>
        <v>5</v>
      </c>
    </row>
    <row r="1084" customFormat="false" ht="15" hidden="false" customHeight="false" outlineLevel="0" collapsed="false">
      <c r="A1084" s="21" t="n">
        <v>46171</v>
      </c>
      <c r="B1084" s="22" t="s">
        <v>187</v>
      </c>
      <c r="C1084" s="22" t="n">
        <v>1</v>
      </c>
      <c r="D1084" s="41" t="n">
        <v>1213.618</v>
      </c>
      <c r="E1084" s="22" t="n">
        <f aca="false">MONTH(A1084)</f>
        <v>5</v>
      </c>
    </row>
    <row r="1085" customFormat="false" ht="15" hidden="false" customHeight="false" outlineLevel="0" collapsed="false">
      <c r="A1085" s="21" t="n">
        <v>46171</v>
      </c>
      <c r="B1085" s="22" t="s">
        <v>187</v>
      </c>
      <c r="C1085" s="22" t="n">
        <v>2</v>
      </c>
      <c r="D1085" s="41" t="n">
        <v>1782.368</v>
      </c>
      <c r="E1085" s="22" t="n">
        <f aca="false">MONTH(A1085)</f>
        <v>5</v>
      </c>
    </row>
    <row r="1086" customFormat="false" ht="15" hidden="false" customHeight="false" outlineLevel="0" collapsed="false">
      <c r="A1086" s="21" t="n">
        <v>46171</v>
      </c>
      <c r="B1086" s="22" t="s">
        <v>189</v>
      </c>
      <c r="C1086" s="22" t="n">
        <v>1</v>
      </c>
      <c r="D1086" s="41" t="n">
        <v>14596.2</v>
      </c>
      <c r="E1086" s="22" t="n">
        <f aca="false">MONTH(A1086)</f>
        <v>5</v>
      </c>
    </row>
    <row r="1087" customFormat="false" ht="15" hidden="false" customHeight="false" outlineLevel="0" collapsed="false">
      <c r="A1087" s="21" t="n">
        <v>46171</v>
      </c>
      <c r="B1087" s="22" t="s">
        <v>189</v>
      </c>
      <c r="C1087" s="22" t="n">
        <v>2</v>
      </c>
      <c r="D1087" s="41" t="n">
        <v>13952.25</v>
      </c>
      <c r="E1087" s="22" t="n">
        <f aca="false">MONTH(A1087)</f>
        <v>5</v>
      </c>
    </row>
    <row r="1088" customFormat="false" ht="15" hidden="false" customHeight="false" outlineLevel="0" collapsed="false">
      <c r="A1088" s="21" t="n">
        <v>46171</v>
      </c>
      <c r="B1088" s="22" t="s">
        <v>359</v>
      </c>
      <c r="C1088" s="22" t="n">
        <v>1</v>
      </c>
      <c r="D1088" s="41" t="n">
        <v>2000.212</v>
      </c>
      <c r="E1088" s="22" t="n">
        <f aca="false">MONTH(A1088)</f>
        <v>5</v>
      </c>
    </row>
    <row r="1089" customFormat="false" ht="15" hidden="false" customHeight="false" outlineLevel="0" collapsed="false">
      <c r="A1089" s="21" t="n">
        <v>46174</v>
      </c>
      <c r="B1089" s="22" t="s">
        <v>361</v>
      </c>
      <c r="C1089" s="22" t="n">
        <v>1</v>
      </c>
      <c r="D1089" s="41" t="n">
        <v>23553.81</v>
      </c>
      <c r="E1089" s="22" t="n">
        <f aca="false">MONTH(A1089)</f>
        <v>6</v>
      </c>
    </row>
    <row r="1090" customFormat="false" ht="15" hidden="false" customHeight="false" outlineLevel="0" collapsed="false">
      <c r="A1090" s="21" t="n">
        <v>46174</v>
      </c>
      <c r="B1090" s="22" t="s">
        <v>362</v>
      </c>
      <c r="C1090" s="22" t="n">
        <v>1</v>
      </c>
      <c r="D1090" s="41" t="n">
        <v>2242.59</v>
      </c>
      <c r="E1090" s="22" t="n">
        <f aca="false">MONTH(A1090)</f>
        <v>6</v>
      </c>
    </row>
    <row r="1091" customFormat="false" ht="15" hidden="false" customHeight="false" outlineLevel="0" collapsed="false">
      <c r="A1091" s="21" t="n">
        <v>46174</v>
      </c>
      <c r="B1091" s="22" t="s">
        <v>186</v>
      </c>
      <c r="C1091" s="22" t="n">
        <v>2</v>
      </c>
      <c r="D1091" s="41" t="n">
        <v>11454.504</v>
      </c>
      <c r="E1091" s="22" t="n">
        <f aca="false">MONTH(A1091)</f>
        <v>6</v>
      </c>
    </row>
    <row r="1092" customFormat="false" ht="15" hidden="false" customHeight="false" outlineLevel="0" collapsed="false">
      <c r="A1092" s="21" t="n">
        <v>46174</v>
      </c>
      <c r="B1092" s="22" t="s">
        <v>188</v>
      </c>
      <c r="C1092" s="22" t="n">
        <v>1</v>
      </c>
      <c r="D1092" s="41" t="n">
        <v>2239.3</v>
      </c>
      <c r="E1092" s="22" t="n">
        <f aca="false">MONTH(A1092)</f>
        <v>6</v>
      </c>
    </row>
    <row r="1093" customFormat="false" ht="15" hidden="false" customHeight="false" outlineLevel="0" collapsed="false">
      <c r="A1093" s="21" t="n">
        <v>46174</v>
      </c>
      <c r="B1093" s="22" t="s">
        <v>374</v>
      </c>
      <c r="C1093" s="22" t="n">
        <v>2</v>
      </c>
      <c r="D1093" s="41" t="n">
        <v>2490.106</v>
      </c>
      <c r="E1093" s="22" t="n">
        <f aca="false">MONTH(A1093)</f>
        <v>6</v>
      </c>
    </row>
    <row r="1094" customFormat="false" ht="15" hidden="false" customHeight="false" outlineLevel="0" collapsed="false">
      <c r="A1094" s="21" t="n">
        <v>46174</v>
      </c>
      <c r="B1094" s="22" t="s">
        <v>375</v>
      </c>
      <c r="C1094" s="22" t="n">
        <v>1</v>
      </c>
      <c r="D1094" s="41" t="n">
        <v>9877.072</v>
      </c>
      <c r="E1094" s="22" t="n">
        <f aca="false">MONTH(A1094)</f>
        <v>6</v>
      </c>
    </row>
    <row r="1095" customFormat="false" ht="15" hidden="false" customHeight="false" outlineLevel="0" collapsed="false">
      <c r="A1095" s="21" t="n">
        <v>46174</v>
      </c>
      <c r="B1095" s="22" t="s">
        <v>187</v>
      </c>
      <c r="C1095" s="22" t="n">
        <v>1</v>
      </c>
      <c r="D1095" s="41" t="n">
        <v>2450.756</v>
      </c>
      <c r="E1095" s="22" t="n">
        <f aca="false">MONTH(A1095)</f>
        <v>6</v>
      </c>
    </row>
    <row r="1096" customFormat="false" ht="15" hidden="false" customHeight="false" outlineLevel="0" collapsed="false">
      <c r="A1096" s="21" t="n">
        <v>46174</v>
      </c>
      <c r="B1096" s="22" t="s">
        <v>187</v>
      </c>
      <c r="C1096" s="22" t="n">
        <v>2</v>
      </c>
      <c r="D1096" s="41" t="n">
        <v>2506.204</v>
      </c>
      <c r="E1096" s="22" t="n">
        <f aca="false">MONTH(A1096)</f>
        <v>6</v>
      </c>
    </row>
    <row r="1097" customFormat="false" ht="15" hidden="false" customHeight="false" outlineLevel="0" collapsed="false">
      <c r="A1097" s="21" t="n">
        <v>46174</v>
      </c>
      <c r="B1097" s="22" t="s">
        <v>189</v>
      </c>
      <c r="C1097" s="22" t="n">
        <v>2</v>
      </c>
      <c r="D1097" s="41" t="n">
        <v>13117.5</v>
      </c>
      <c r="E1097" s="22" t="n">
        <f aca="false">MONTH(A1097)</f>
        <v>6</v>
      </c>
    </row>
    <row r="1098" customFormat="false" ht="15" hidden="false" customHeight="false" outlineLevel="0" collapsed="false">
      <c r="A1098" s="21" t="n">
        <v>46174</v>
      </c>
      <c r="B1098" s="22" t="s">
        <v>359</v>
      </c>
      <c r="C1098" s="22" t="n">
        <v>1</v>
      </c>
      <c r="D1098" s="41" t="n">
        <v>1866.395</v>
      </c>
      <c r="E1098" s="22" t="n">
        <f aca="false">MONTH(A1098)</f>
        <v>6</v>
      </c>
    </row>
    <row r="1099" customFormat="false" ht="15" hidden="false" customHeight="false" outlineLevel="0" collapsed="false">
      <c r="A1099" s="21" t="n">
        <v>46175</v>
      </c>
      <c r="B1099" s="22" t="s">
        <v>361</v>
      </c>
      <c r="C1099" s="22" t="n">
        <v>1</v>
      </c>
      <c r="D1099" s="41" t="n">
        <v>21679.119</v>
      </c>
      <c r="E1099" s="22" t="n">
        <f aca="false">MONTH(A1099)</f>
        <v>6</v>
      </c>
    </row>
    <row r="1100" customFormat="false" ht="15" hidden="false" customHeight="false" outlineLevel="0" collapsed="false">
      <c r="A1100" s="21" t="n">
        <v>46175</v>
      </c>
      <c r="B1100" s="22" t="s">
        <v>362</v>
      </c>
      <c r="C1100" s="22" t="n">
        <v>1</v>
      </c>
      <c r="D1100" s="41" t="n">
        <v>2393.2</v>
      </c>
      <c r="E1100" s="22" t="n">
        <f aca="false">MONTH(A1100)</f>
        <v>6</v>
      </c>
    </row>
    <row r="1101" customFormat="false" ht="15" hidden="false" customHeight="false" outlineLevel="0" collapsed="false">
      <c r="A1101" s="21" t="n">
        <v>46175</v>
      </c>
      <c r="B1101" s="22" t="s">
        <v>188</v>
      </c>
      <c r="C1101" s="22" t="n">
        <v>1</v>
      </c>
      <c r="D1101" s="41" t="n">
        <v>1612.1</v>
      </c>
      <c r="E1101" s="22" t="n">
        <f aca="false">MONTH(A1101)</f>
        <v>6</v>
      </c>
    </row>
    <row r="1102" customFormat="false" ht="15" hidden="false" customHeight="false" outlineLevel="0" collapsed="false">
      <c r="A1102" s="21" t="n">
        <v>46175</v>
      </c>
      <c r="B1102" s="22" t="s">
        <v>374</v>
      </c>
      <c r="C1102" s="22" t="n">
        <v>2</v>
      </c>
      <c r="D1102" s="41" t="n">
        <v>7109.973</v>
      </c>
      <c r="E1102" s="22" t="n">
        <f aca="false">MONTH(A1102)</f>
        <v>6</v>
      </c>
    </row>
    <row r="1103" customFormat="false" ht="15" hidden="false" customHeight="false" outlineLevel="0" collapsed="false">
      <c r="A1103" s="21" t="n">
        <v>46175</v>
      </c>
      <c r="B1103" s="22" t="s">
        <v>187</v>
      </c>
      <c r="C1103" s="22" t="n">
        <v>1</v>
      </c>
      <c r="D1103" s="41" t="n">
        <v>2597.6</v>
      </c>
      <c r="E1103" s="22" t="n">
        <f aca="false">MONTH(A1103)</f>
        <v>6</v>
      </c>
    </row>
    <row r="1104" customFormat="false" ht="15" hidden="false" customHeight="false" outlineLevel="0" collapsed="false">
      <c r="A1104" s="21" t="n">
        <v>46175</v>
      </c>
      <c r="B1104" s="22" t="s">
        <v>187</v>
      </c>
      <c r="C1104" s="22" t="n">
        <v>2</v>
      </c>
      <c r="D1104" s="41" t="n">
        <v>2603.712</v>
      </c>
      <c r="E1104" s="22" t="n">
        <f aca="false">MONTH(A1104)</f>
        <v>6</v>
      </c>
    </row>
    <row r="1105" customFormat="false" ht="15" hidden="false" customHeight="false" outlineLevel="0" collapsed="false">
      <c r="A1105" s="21" t="n">
        <v>46175</v>
      </c>
      <c r="B1105" s="22" t="s">
        <v>189</v>
      </c>
      <c r="C1105" s="22" t="n">
        <v>1</v>
      </c>
      <c r="D1105" s="41" t="n">
        <v>13415.625</v>
      </c>
      <c r="E1105" s="22" t="n">
        <f aca="false">MONTH(A1105)</f>
        <v>6</v>
      </c>
    </row>
    <row r="1106" customFormat="false" ht="15" hidden="false" customHeight="false" outlineLevel="0" collapsed="false">
      <c r="A1106" s="21" t="n">
        <v>46175</v>
      </c>
      <c r="B1106" s="22" t="s">
        <v>189</v>
      </c>
      <c r="C1106" s="22" t="n">
        <v>2</v>
      </c>
      <c r="D1106" s="41" t="n">
        <v>12592.8</v>
      </c>
      <c r="E1106" s="22" t="n">
        <f aca="false">MONTH(A1106)</f>
        <v>6</v>
      </c>
    </row>
    <row r="1107" customFormat="false" ht="15" hidden="false" customHeight="false" outlineLevel="0" collapsed="false">
      <c r="A1107" s="21" t="n">
        <v>46175</v>
      </c>
      <c r="B1107" s="22" t="s">
        <v>359</v>
      </c>
      <c r="C1107" s="22" t="n">
        <v>1</v>
      </c>
      <c r="D1107" s="41" t="n">
        <v>1694.16</v>
      </c>
      <c r="E1107" s="22" t="n">
        <f aca="false">MONTH(A1107)</f>
        <v>6</v>
      </c>
    </row>
    <row r="1108" customFormat="false" ht="15" hidden="false" customHeight="false" outlineLevel="0" collapsed="false">
      <c r="A1108" s="21" t="n">
        <v>46175</v>
      </c>
      <c r="B1108" s="22" t="s">
        <v>359</v>
      </c>
      <c r="C1108" s="22" t="n">
        <v>2</v>
      </c>
      <c r="D1108" s="41" t="n">
        <v>3141.255</v>
      </c>
      <c r="E1108" s="22" t="n">
        <f aca="false">MONTH(A1108)</f>
        <v>6</v>
      </c>
    </row>
    <row r="1109" customFormat="false" ht="15" hidden="false" customHeight="false" outlineLevel="0" collapsed="false">
      <c r="A1109" s="21" t="n">
        <v>46176</v>
      </c>
      <c r="B1109" s="22" t="s">
        <v>361</v>
      </c>
      <c r="C1109" s="22" t="n">
        <v>1</v>
      </c>
      <c r="D1109" s="41" t="n">
        <v>9581.754</v>
      </c>
      <c r="E1109" s="22" t="n">
        <f aca="false">MONTH(A1109)</f>
        <v>6</v>
      </c>
    </row>
    <row r="1110" customFormat="false" ht="15" hidden="false" customHeight="false" outlineLevel="0" collapsed="false">
      <c r="A1110" s="21" t="n">
        <v>46176</v>
      </c>
      <c r="B1110" s="22" t="s">
        <v>362</v>
      </c>
      <c r="C1110" s="22" t="n">
        <v>1</v>
      </c>
      <c r="D1110" s="41" t="n">
        <v>5040.6</v>
      </c>
      <c r="E1110" s="22" t="n">
        <f aca="false">MONTH(A1110)</f>
        <v>6</v>
      </c>
    </row>
    <row r="1111" customFormat="false" ht="15" hidden="false" customHeight="false" outlineLevel="0" collapsed="false">
      <c r="A1111" s="21" t="n">
        <v>46176</v>
      </c>
      <c r="B1111" s="22" t="s">
        <v>186</v>
      </c>
      <c r="C1111" s="22" t="n">
        <v>1</v>
      </c>
      <c r="D1111" s="41" t="n">
        <v>5468.802</v>
      </c>
      <c r="E1111" s="22" t="n">
        <f aca="false">MONTH(A1111)</f>
        <v>6</v>
      </c>
    </row>
    <row r="1112" customFormat="false" ht="15" hidden="false" customHeight="false" outlineLevel="0" collapsed="false">
      <c r="A1112" s="21" t="n">
        <v>46176</v>
      </c>
      <c r="B1112" s="22" t="s">
        <v>186</v>
      </c>
      <c r="C1112" s="22" t="n">
        <v>2</v>
      </c>
      <c r="D1112" s="41" t="n">
        <v>10617.126</v>
      </c>
      <c r="E1112" s="22" t="n">
        <f aca="false">MONTH(A1112)</f>
        <v>6</v>
      </c>
    </row>
    <row r="1113" customFormat="false" ht="15" hidden="false" customHeight="false" outlineLevel="0" collapsed="false">
      <c r="A1113" s="21" t="n">
        <v>46176</v>
      </c>
      <c r="B1113" s="22" t="s">
        <v>188</v>
      </c>
      <c r="C1113" s="22" t="n">
        <v>1</v>
      </c>
      <c r="D1113" s="41" t="n">
        <v>2489.2</v>
      </c>
      <c r="E1113" s="22" t="n">
        <f aca="false">MONTH(A1113)</f>
        <v>6</v>
      </c>
    </row>
    <row r="1114" customFormat="false" ht="15" hidden="false" customHeight="false" outlineLevel="0" collapsed="false">
      <c r="A1114" s="21" t="n">
        <v>46176</v>
      </c>
      <c r="B1114" s="22" t="s">
        <v>374</v>
      </c>
      <c r="C1114" s="22" t="n">
        <v>2</v>
      </c>
      <c r="D1114" s="41" t="n">
        <v>6522.237</v>
      </c>
      <c r="E1114" s="22" t="n">
        <f aca="false">MONTH(A1114)</f>
        <v>6</v>
      </c>
    </row>
    <row r="1115" customFormat="false" ht="15" hidden="false" customHeight="false" outlineLevel="0" collapsed="false">
      <c r="A1115" s="21" t="n">
        <v>46176</v>
      </c>
      <c r="B1115" s="22" t="s">
        <v>187</v>
      </c>
      <c r="C1115" s="22" t="n">
        <v>1</v>
      </c>
      <c r="D1115" s="41" t="n">
        <v>2570.096</v>
      </c>
      <c r="E1115" s="22" t="n">
        <f aca="false">MONTH(A1115)</f>
        <v>6</v>
      </c>
    </row>
    <row r="1116" customFormat="false" ht="15" hidden="false" customHeight="false" outlineLevel="0" collapsed="false">
      <c r="A1116" s="21" t="n">
        <v>46176</v>
      </c>
      <c r="B1116" s="22" t="s">
        <v>187</v>
      </c>
      <c r="C1116" s="22" t="n">
        <v>2</v>
      </c>
      <c r="D1116" s="41" t="n">
        <v>2210.472</v>
      </c>
      <c r="E1116" s="22" t="n">
        <f aca="false">MONTH(A1116)</f>
        <v>6</v>
      </c>
    </row>
    <row r="1117" customFormat="false" ht="15" hidden="false" customHeight="false" outlineLevel="0" collapsed="false">
      <c r="A1117" s="21" t="n">
        <v>46176</v>
      </c>
      <c r="B1117" s="22" t="s">
        <v>189</v>
      </c>
      <c r="C1117" s="22" t="n">
        <v>1</v>
      </c>
      <c r="D1117" s="41" t="n">
        <v>15252.075</v>
      </c>
      <c r="E1117" s="22" t="n">
        <f aca="false">MONTH(A1117)</f>
        <v>6</v>
      </c>
    </row>
    <row r="1118" customFormat="false" ht="15" hidden="false" customHeight="false" outlineLevel="0" collapsed="false">
      <c r="A1118" s="21" t="n">
        <v>46176</v>
      </c>
      <c r="B1118" s="22" t="s">
        <v>189</v>
      </c>
      <c r="C1118" s="22" t="n">
        <v>2</v>
      </c>
      <c r="D1118" s="41" t="n">
        <v>14488.875</v>
      </c>
      <c r="E1118" s="22" t="n">
        <f aca="false">MONTH(A1118)</f>
        <v>6</v>
      </c>
    </row>
    <row r="1119" customFormat="false" ht="15" hidden="false" customHeight="false" outlineLevel="0" collapsed="false">
      <c r="A1119" s="21" t="n">
        <v>46176</v>
      </c>
      <c r="B1119" s="22" t="s">
        <v>359</v>
      </c>
      <c r="C1119" s="22" t="n">
        <v>1</v>
      </c>
      <c r="D1119" s="41" t="n">
        <v>2823.6</v>
      </c>
      <c r="E1119" s="22" t="n">
        <f aca="false">MONTH(A1119)</f>
        <v>6</v>
      </c>
    </row>
    <row r="1120" customFormat="false" ht="15" hidden="false" customHeight="false" outlineLevel="0" collapsed="false">
      <c r="A1120" s="21" t="n">
        <v>46176</v>
      </c>
      <c r="B1120" s="22" t="s">
        <v>359</v>
      </c>
      <c r="C1120" s="22" t="n">
        <v>2</v>
      </c>
      <c r="D1120" s="41" t="n">
        <v>3451.851</v>
      </c>
      <c r="E1120" s="22" t="n">
        <f aca="false">MONTH(A1120)</f>
        <v>6</v>
      </c>
    </row>
    <row r="1121" customFormat="false" ht="15" hidden="false" customHeight="false" outlineLevel="0" collapsed="false">
      <c r="A1121" s="21" t="n">
        <v>46177</v>
      </c>
      <c r="B1121" s="22" t="s">
        <v>361</v>
      </c>
      <c r="C1121" s="22" t="n">
        <v>1</v>
      </c>
      <c r="D1121" s="41" t="n">
        <v>1844.064</v>
      </c>
      <c r="E1121" s="22" t="n">
        <f aca="false">MONTH(A1121)</f>
        <v>6</v>
      </c>
    </row>
    <row r="1122" customFormat="false" ht="15" hidden="false" customHeight="false" outlineLevel="0" collapsed="false">
      <c r="A1122" s="21" t="n">
        <v>46177</v>
      </c>
      <c r="B1122" s="22" t="s">
        <v>362</v>
      </c>
      <c r="C1122" s="22" t="n">
        <v>1</v>
      </c>
      <c r="D1122" s="41" t="n">
        <v>5635.8</v>
      </c>
      <c r="E1122" s="22" t="n">
        <f aca="false">MONTH(A1122)</f>
        <v>6</v>
      </c>
    </row>
    <row r="1123" customFormat="false" ht="15" hidden="false" customHeight="false" outlineLevel="0" collapsed="false">
      <c r="A1123" s="21" t="n">
        <v>46177</v>
      </c>
      <c r="B1123" s="22" t="s">
        <v>186</v>
      </c>
      <c r="C1123" s="22" t="n">
        <v>1</v>
      </c>
      <c r="D1123" s="41" t="n">
        <v>5561.844</v>
      </c>
      <c r="E1123" s="22" t="n">
        <f aca="false">MONTH(A1123)</f>
        <v>6</v>
      </c>
    </row>
    <row r="1124" customFormat="false" ht="15" hidden="false" customHeight="false" outlineLevel="0" collapsed="false">
      <c r="A1124" s="21" t="n">
        <v>46177</v>
      </c>
      <c r="B1124" s="22" t="s">
        <v>186</v>
      </c>
      <c r="C1124" s="22" t="n">
        <v>2</v>
      </c>
      <c r="D1124" s="41" t="n">
        <v>10534.422</v>
      </c>
      <c r="E1124" s="22" t="n">
        <f aca="false">MONTH(A1124)</f>
        <v>6</v>
      </c>
    </row>
    <row r="1125" customFormat="false" ht="15" hidden="false" customHeight="false" outlineLevel="0" collapsed="false">
      <c r="A1125" s="21" t="n">
        <v>46177</v>
      </c>
      <c r="B1125" s="22" t="s">
        <v>188</v>
      </c>
      <c r="C1125" s="22" t="n">
        <v>1</v>
      </c>
      <c r="D1125" s="41" t="n">
        <v>2405.9</v>
      </c>
      <c r="E1125" s="22" t="n">
        <f aca="false">MONTH(A1125)</f>
        <v>6</v>
      </c>
    </row>
    <row r="1126" customFormat="false" ht="15" hidden="false" customHeight="false" outlineLevel="0" collapsed="false">
      <c r="A1126" s="21" t="n">
        <v>46177</v>
      </c>
      <c r="B1126" s="22" t="s">
        <v>374</v>
      </c>
      <c r="C1126" s="22" t="n">
        <v>2</v>
      </c>
      <c r="D1126" s="41" t="n">
        <v>5877.36</v>
      </c>
      <c r="E1126" s="22" t="n">
        <f aca="false">MONTH(A1126)</f>
        <v>6</v>
      </c>
    </row>
    <row r="1127" customFormat="false" ht="15" hidden="false" customHeight="false" outlineLevel="0" collapsed="false">
      <c r="A1127" s="21" t="n">
        <v>46177</v>
      </c>
      <c r="B1127" s="22" t="s">
        <v>187</v>
      </c>
      <c r="C1127" s="22" t="n">
        <v>1</v>
      </c>
      <c r="D1127" s="41" t="n">
        <v>2253.68</v>
      </c>
      <c r="E1127" s="22" t="n">
        <f aca="false">MONTH(A1127)</f>
        <v>6</v>
      </c>
    </row>
    <row r="1128" customFormat="false" ht="15" hidden="false" customHeight="false" outlineLevel="0" collapsed="false">
      <c r="A1128" s="21" t="n">
        <v>46177</v>
      </c>
      <c r="B1128" s="22" t="s">
        <v>187</v>
      </c>
      <c r="C1128" s="22" t="n">
        <v>2</v>
      </c>
      <c r="D1128" s="41" t="n">
        <v>2271.607</v>
      </c>
      <c r="E1128" s="22" t="n">
        <f aca="false">MONTH(A1128)</f>
        <v>6</v>
      </c>
    </row>
    <row r="1129" customFormat="false" ht="15" hidden="false" customHeight="false" outlineLevel="0" collapsed="false">
      <c r="A1129" s="21" t="n">
        <v>46177</v>
      </c>
      <c r="B1129" s="22" t="s">
        <v>189</v>
      </c>
      <c r="C1129" s="22" t="n">
        <v>1</v>
      </c>
      <c r="D1129" s="41" t="n">
        <v>4700.456</v>
      </c>
      <c r="E1129" s="22" t="n">
        <f aca="false">MONTH(A1129)</f>
        <v>6</v>
      </c>
    </row>
    <row r="1130" customFormat="false" ht="15" hidden="false" customHeight="false" outlineLevel="0" collapsed="false">
      <c r="A1130" s="21" t="n">
        <v>46177</v>
      </c>
      <c r="B1130" s="22" t="s">
        <v>189</v>
      </c>
      <c r="C1130" s="22" t="n">
        <v>2</v>
      </c>
      <c r="D1130" s="41" t="n">
        <v>5408.356</v>
      </c>
      <c r="E1130" s="22" t="n">
        <f aca="false">MONTH(A1130)</f>
        <v>6</v>
      </c>
    </row>
    <row r="1131" customFormat="false" ht="15" hidden="false" customHeight="false" outlineLevel="0" collapsed="false">
      <c r="A1131" s="21" t="n">
        <v>46177</v>
      </c>
      <c r="B1131" s="22" t="s">
        <v>359</v>
      </c>
      <c r="C1131" s="22" t="n">
        <v>1</v>
      </c>
      <c r="D1131" s="41" t="n">
        <v>2562.417</v>
      </c>
      <c r="E1131" s="22" t="n">
        <f aca="false">MONTH(A1131)</f>
        <v>6</v>
      </c>
    </row>
    <row r="1132" customFormat="false" ht="15" hidden="false" customHeight="false" outlineLevel="0" collapsed="false">
      <c r="A1132" s="21" t="n">
        <v>46177</v>
      </c>
      <c r="B1132" s="22" t="s">
        <v>359</v>
      </c>
      <c r="C1132" s="22" t="n">
        <v>2</v>
      </c>
      <c r="D1132" s="41" t="n">
        <v>3571.854</v>
      </c>
      <c r="E1132" s="22" t="n">
        <f aca="false">MONTH(A1132)</f>
        <v>6</v>
      </c>
    </row>
    <row r="1133" customFormat="false" ht="15" hidden="false" customHeight="false" outlineLevel="0" collapsed="false">
      <c r="A1133" s="21" t="n">
        <v>46178</v>
      </c>
      <c r="B1133" s="22" t="s">
        <v>361</v>
      </c>
      <c r="C1133" s="22" t="n">
        <v>1</v>
      </c>
      <c r="D1133" s="41" t="n">
        <v>17633.862</v>
      </c>
      <c r="E1133" s="22" t="n">
        <f aca="false">MONTH(A1133)</f>
        <v>6</v>
      </c>
    </row>
    <row r="1134" customFormat="false" ht="15" hidden="false" customHeight="false" outlineLevel="0" collapsed="false">
      <c r="A1134" s="21" t="n">
        <v>46178</v>
      </c>
      <c r="B1134" s="22" t="s">
        <v>362</v>
      </c>
      <c r="C1134" s="22" t="n">
        <v>1</v>
      </c>
      <c r="D1134" s="41" t="n">
        <v>1872.4</v>
      </c>
      <c r="E1134" s="22" t="n">
        <f aca="false">MONTH(A1134)</f>
        <v>6</v>
      </c>
    </row>
    <row r="1135" customFormat="false" ht="15" hidden="false" customHeight="false" outlineLevel="0" collapsed="false">
      <c r="A1135" s="21" t="n">
        <v>46178</v>
      </c>
      <c r="B1135" s="22" t="s">
        <v>186</v>
      </c>
      <c r="C1135" s="22" t="n">
        <v>1</v>
      </c>
      <c r="D1135" s="41" t="n">
        <v>5561.844</v>
      </c>
      <c r="E1135" s="22" t="n">
        <f aca="false">MONTH(A1135)</f>
        <v>6</v>
      </c>
    </row>
    <row r="1136" customFormat="false" ht="15" hidden="false" customHeight="false" outlineLevel="0" collapsed="false">
      <c r="A1136" s="21" t="n">
        <v>46178</v>
      </c>
      <c r="B1136" s="22" t="s">
        <v>186</v>
      </c>
      <c r="C1136" s="22" t="n">
        <v>2</v>
      </c>
      <c r="D1136" s="41" t="n">
        <v>11557.884</v>
      </c>
      <c r="E1136" s="22" t="n">
        <f aca="false">MONTH(A1136)</f>
        <v>6</v>
      </c>
    </row>
    <row r="1137" customFormat="false" ht="15" hidden="false" customHeight="false" outlineLevel="0" collapsed="false">
      <c r="A1137" s="21" t="n">
        <v>46178</v>
      </c>
      <c r="B1137" s="22" t="s">
        <v>188</v>
      </c>
      <c r="C1137" s="22" t="n">
        <v>1</v>
      </c>
      <c r="D1137" s="41" t="n">
        <v>2445.1</v>
      </c>
      <c r="E1137" s="22" t="n">
        <f aca="false">MONTH(A1137)</f>
        <v>6</v>
      </c>
    </row>
    <row r="1138" customFormat="false" ht="15" hidden="false" customHeight="false" outlineLevel="0" collapsed="false">
      <c r="A1138" s="21" t="n">
        <v>46178</v>
      </c>
      <c r="B1138" s="22" t="s">
        <v>374</v>
      </c>
      <c r="C1138" s="22" t="n">
        <v>2</v>
      </c>
      <c r="D1138" s="41" t="n">
        <v>7314.048</v>
      </c>
      <c r="E1138" s="22" t="n">
        <f aca="false">MONTH(A1138)</f>
        <v>6</v>
      </c>
    </row>
    <row r="1139" customFormat="false" ht="15" hidden="false" customHeight="false" outlineLevel="0" collapsed="false">
      <c r="A1139" s="21" t="n">
        <v>46178</v>
      </c>
      <c r="B1139" s="22" t="s">
        <v>187</v>
      </c>
      <c r="C1139" s="22" t="n">
        <v>1</v>
      </c>
      <c r="D1139" s="41" t="n">
        <v>2197.338</v>
      </c>
      <c r="E1139" s="22" t="n">
        <f aca="false">MONTH(A1139)</f>
        <v>6</v>
      </c>
    </row>
    <row r="1140" customFormat="false" ht="15" hidden="false" customHeight="false" outlineLevel="0" collapsed="false">
      <c r="A1140" s="21" t="n">
        <v>46178</v>
      </c>
      <c r="B1140" s="22" t="s">
        <v>187</v>
      </c>
      <c r="C1140" s="22" t="n">
        <v>2</v>
      </c>
      <c r="D1140" s="41" t="n">
        <v>2240.875</v>
      </c>
      <c r="E1140" s="22" t="n">
        <f aca="false">MONTH(A1140)</f>
        <v>6</v>
      </c>
    </row>
    <row r="1141" customFormat="false" ht="15" hidden="false" customHeight="false" outlineLevel="0" collapsed="false">
      <c r="A1141" s="21" t="n">
        <v>46178</v>
      </c>
      <c r="B1141" s="22" t="s">
        <v>189</v>
      </c>
      <c r="C1141" s="22" t="n">
        <v>1</v>
      </c>
      <c r="D1141" s="41" t="n">
        <v>6540.996</v>
      </c>
      <c r="E1141" s="22" t="n">
        <f aca="false">MONTH(A1141)</f>
        <v>6</v>
      </c>
    </row>
    <row r="1142" customFormat="false" ht="15" hidden="false" customHeight="false" outlineLevel="0" collapsed="false">
      <c r="A1142" s="21" t="n">
        <v>46178</v>
      </c>
      <c r="B1142" s="22" t="s">
        <v>189</v>
      </c>
      <c r="C1142" s="22" t="n">
        <v>2</v>
      </c>
      <c r="D1142" s="41" t="n">
        <v>8084.218</v>
      </c>
      <c r="E1142" s="22" t="n">
        <f aca="false">MONTH(A1142)</f>
        <v>6</v>
      </c>
    </row>
    <row r="1143" customFormat="false" ht="15" hidden="false" customHeight="false" outlineLevel="0" collapsed="false">
      <c r="A1143" s="21" t="n">
        <v>46178</v>
      </c>
      <c r="B1143" s="22" t="s">
        <v>359</v>
      </c>
      <c r="C1143" s="22" t="n">
        <v>1</v>
      </c>
      <c r="D1143" s="41" t="n">
        <v>3628.326</v>
      </c>
      <c r="E1143" s="22" t="n">
        <f aca="false">MONTH(A1143)</f>
        <v>6</v>
      </c>
    </row>
    <row r="1144" customFormat="false" ht="15" hidden="false" customHeight="false" outlineLevel="0" collapsed="false">
      <c r="A1144" s="21" t="n">
        <v>46178</v>
      </c>
      <c r="B1144" s="22" t="s">
        <v>359</v>
      </c>
      <c r="C1144" s="22" t="n">
        <v>2</v>
      </c>
      <c r="D1144" s="41" t="n">
        <v>409.422</v>
      </c>
      <c r="E1144" s="22" t="n">
        <f aca="false">MONTH(A1144)</f>
        <v>6</v>
      </c>
    </row>
    <row r="1145" customFormat="false" ht="15" hidden="false" customHeight="false" outlineLevel="0" collapsed="false">
      <c r="A1145" s="21" t="n">
        <v>46179</v>
      </c>
      <c r="B1145" s="22" t="s">
        <v>361</v>
      </c>
      <c r="C1145" s="22" t="n">
        <v>1</v>
      </c>
      <c r="D1145" s="41" t="n">
        <v>7542.734</v>
      </c>
      <c r="E1145" s="22" t="n">
        <f aca="false">MONTH(A1145)</f>
        <v>6</v>
      </c>
    </row>
    <row r="1146" customFormat="false" ht="15" hidden="false" customHeight="false" outlineLevel="0" collapsed="false">
      <c r="A1146" s="21" t="n">
        <v>46179</v>
      </c>
      <c r="B1146" s="22" t="s">
        <v>362</v>
      </c>
      <c r="C1146" s="22" t="n">
        <v>1</v>
      </c>
      <c r="D1146" s="41" t="n">
        <v>2585.4</v>
      </c>
      <c r="E1146" s="22" t="n">
        <f aca="false">MONTH(A1146)</f>
        <v>6</v>
      </c>
    </row>
    <row r="1147" customFormat="false" ht="15" hidden="false" customHeight="false" outlineLevel="0" collapsed="false">
      <c r="A1147" s="21" t="n">
        <v>46179</v>
      </c>
      <c r="B1147" s="22" t="s">
        <v>186</v>
      </c>
      <c r="C1147" s="22" t="n">
        <v>2</v>
      </c>
      <c r="D1147" s="41" t="n">
        <v>9821.1</v>
      </c>
      <c r="E1147" s="22" t="n">
        <f aca="false">MONTH(A1147)</f>
        <v>6</v>
      </c>
    </row>
    <row r="1148" customFormat="false" ht="15" hidden="false" customHeight="false" outlineLevel="0" collapsed="false">
      <c r="A1148" s="21" t="n">
        <v>46179</v>
      </c>
      <c r="B1148" s="22" t="s">
        <v>188</v>
      </c>
      <c r="C1148" s="22" t="n">
        <v>1</v>
      </c>
      <c r="D1148" s="41" t="n">
        <v>1960</v>
      </c>
      <c r="E1148" s="22" t="n">
        <f aca="false">MONTH(A1148)</f>
        <v>6</v>
      </c>
    </row>
    <row r="1149" customFormat="false" ht="15" hidden="false" customHeight="false" outlineLevel="0" collapsed="false">
      <c r="A1149" s="21" t="n">
        <v>46179</v>
      </c>
      <c r="B1149" s="22" t="s">
        <v>374</v>
      </c>
      <c r="C1149" s="22" t="n">
        <v>2</v>
      </c>
      <c r="D1149" s="41" t="n">
        <v>2808.072</v>
      </c>
      <c r="E1149" s="22" t="n">
        <f aca="false">MONTH(A1149)</f>
        <v>6</v>
      </c>
    </row>
    <row r="1150" customFormat="false" ht="15" hidden="false" customHeight="false" outlineLevel="0" collapsed="false">
      <c r="A1150" s="21" t="n">
        <v>46179</v>
      </c>
      <c r="B1150" s="22" t="s">
        <v>187</v>
      </c>
      <c r="C1150" s="22" t="n">
        <v>1</v>
      </c>
      <c r="D1150" s="41" t="n">
        <v>1864.408</v>
      </c>
      <c r="E1150" s="22" t="n">
        <f aca="false">MONTH(A1150)</f>
        <v>6</v>
      </c>
    </row>
    <row r="1151" customFormat="false" ht="15" hidden="false" customHeight="false" outlineLevel="0" collapsed="false">
      <c r="A1151" s="21" t="n">
        <v>46179</v>
      </c>
      <c r="B1151" s="22" t="s">
        <v>187</v>
      </c>
      <c r="C1151" s="22" t="n">
        <v>2</v>
      </c>
      <c r="D1151" s="41" t="n">
        <v>1815.749</v>
      </c>
      <c r="E1151" s="22" t="n">
        <f aca="false">MONTH(A1151)</f>
        <v>6</v>
      </c>
    </row>
    <row r="1152" customFormat="false" ht="15" hidden="false" customHeight="false" outlineLevel="0" collapsed="false">
      <c r="A1152" s="21" t="n">
        <v>46179</v>
      </c>
      <c r="B1152" s="22" t="s">
        <v>189</v>
      </c>
      <c r="C1152" s="22" t="n">
        <v>1</v>
      </c>
      <c r="D1152" s="41" t="n">
        <v>7093.158</v>
      </c>
      <c r="E1152" s="22" t="n">
        <f aca="false">MONTH(A1152)</f>
        <v>6</v>
      </c>
    </row>
    <row r="1153" customFormat="false" ht="15" hidden="false" customHeight="false" outlineLevel="0" collapsed="false">
      <c r="A1153" s="21" t="n">
        <v>46179</v>
      </c>
      <c r="B1153" s="22" t="s">
        <v>189</v>
      </c>
      <c r="C1153" s="22" t="n">
        <v>2</v>
      </c>
      <c r="D1153" s="41" t="n">
        <v>5352.12</v>
      </c>
      <c r="E1153" s="22" t="n">
        <f aca="false">MONTH(A1153)</f>
        <v>6</v>
      </c>
    </row>
    <row r="1154" customFormat="false" ht="15" hidden="false" customHeight="false" outlineLevel="0" collapsed="false">
      <c r="A1154" s="21" t="n">
        <v>46179</v>
      </c>
      <c r="B1154" s="22" t="s">
        <v>359</v>
      </c>
      <c r="C1154" s="22" t="n">
        <v>1</v>
      </c>
      <c r="D1154" s="41" t="n">
        <v>1704.24</v>
      </c>
      <c r="E1154" s="22" t="n">
        <f aca="false">MONTH(A1154)</f>
        <v>6</v>
      </c>
    </row>
    <row r="1155" customFormat="false" ht="15" hidden="false" customHeight="false" outlineLevel="0" collapsed="false">
      <c r="A1155" s="21" t="n">
        <v>46179</v>
      </c>
      <c r="B1155" s="22" t="s">
        <v>359</v>
      </c>
      <c r="C1155" s="22" t="n">
        <v>2</v>
      </c>
      <c r="D1155" s="41" t="n">
        <v>2669.976</v>
      </c>
      <c r="E1155" s="22" t="n">
        <f aca="false">MONTH(A1155)</f>
        <v>6</v>
      </c>
    </row>
    <row r="1156" customFormat="false" ht="15" hidden="false" customHeight="false" outlineLevel="0" collapsed="false">
      <c r="A1156" s="21" t="n">
        <v>46182</v>
      </c>
      <c r="B1156" s="22" t="s">
        <v>361</v>
      </c>
      <c r="C1156" s="22" t="n">
        <v>2</v>
      </c>
      <c r="D1156" s="41" t="n">
        <v>17704.214</v>
      </c>
      <c r="E1156" s="22" t="n">
        <f aca="false">MONTH(A1156)</f>
        <v>6</v>
      </c>
    </row>
    <row r="1157" customFormat="false" ht="15" hidden="false" customHeight="false" outlineLevel="0" collapsed="false">
      <c r="A1157" s="21" t="n">
        <v>46182</v>
      </c>
      <c r="B1157" s="22" t="s">
        <v>362</v>
      </c>
      <c r="C1157" s="22" t="n">
        <v>1</v>
      </c>
      <c r="D1157" s="41" t="n">
        <v>5872.86</v>
      </c>
      <c r="E1157" s="22" t="n">
        <f aca="false">MONTH(A1157)</f>
        <v>6</v>
      </c>
    </row>
    <row r="1158" customFormat="false" ht="15" hidden="false" customHeight="false" outlineLevel="0" collapsed="false">
      <c r="A1158" s="21" t="n">
        <v>46182</v>
      </c>
      <c r="B1158" s="22" t="s">
        <v>186</v>
      </c>
      <c r="C1158" s="22" t="n">
        <v>1</v>
      </c>
      <c r="D1158" s="41" t="n">
        <v>10544.76</v>
      </c>
      <c r="E1158" s="22" t="n">
        <f aca="false">MONTH(A1158)</f>
        <v>6</v>
      </c>
    </row>
    <row r="1159" customFormat="false" ht="15" hidden="false" customHeight="false" outlineLevel="0" collapsed="false">
      <c r="A1159" s="21" t="n">
        <v>46182</v>
      </c>
      <c r="B1159" s="22" t="s">
        <v>186</v>
      </c>
      <c r="C1159" s="22" t="n">
        <v>2</v>
      </c>
      <c r="D1159" s="41" t="n">
        <v>11302.368</v>
      </c>
      <c r="E1159" s="22" t="n">
        <f aca="false">MONTH(A1159)</f>
        <v>6</v>
      </c>
    </row>
    <row r="1160" customFormat="false" ht="15" hidden="false" customHeight="false" outlineLevel="0" collapsed="false">
      <c r="A1160" s="21" t="n">
        <v>46182</v>
      </c>
      <c r="B1160" s="22" t="s">
        <v>188</v>
      </c>
      <c r="C1160" s="22" t="n">
        <v>1</v>
      </c>
      <c r="D1160" s="41" t="n">
        <v>1891.4</v>
      </c>
      <c r="E1160" s="22" t="n">
        <f aca="false">MONTH(A1160)</f>
        <v>6</v>
      </c>
    </row>
    <row r="1161" customFormat="false" ht="15" hidden="false" customHeight="false" outlineLevel="0" collapsed="false">
      <c r="A1161" s="21" t="n">
        <v>46182</v>
      </c>
      <c r="B1161" s="22" t="s">
        <v>374</v>
      </c>
      <c r="C1161" s="22" t="n">
        <v>1</v>
      </c>
      <c r="D1161" s="41" t="n">
        <v>7379.352</v>
      </c>
      <c r="E1161" s="22" t="n">
        <f aca="false">MONTH(A1161)</f>
        <v>6</v>
      </c>
    </row>
    <row r="1162" customFormat="false" ht="15" hidden="false" customHeight="false" outlineLevel="0" collapsed="false">
      <c r="A1162" s="21" t="n">
        <v>46182</v>
      </c>
      <c r="B1162" s="22" t="s">
        <v>375</v>
      </c>
      <c r="C1162" s="22" t="n">
        <v>1</v>
      </c>
      <c r="D1162" s="41" t="n">
        <v>10044.48</v>
      </c>
      <c r="E1162" s="22" t="n">
        <f aca="false">MONTH(A1162)</f>
        <v>6</v>
      </c>
    </row>
    <row r="1163" customFormat="false" ht="15" hidden="false" customHeight="false" outlineLevel="0" collapsed="false">
      <c r="A1163" s="21" t="n">
        <v>46182</v>
      </c>
      <c r="B1163" s="22" t="s">
        <v>375</v>
      </c>
      <c r="C1163" s="22" t="n">
        <v>2</v>
      </c>
      <c r="D1163" s="41" t="n">
        <v>11477.911</v>
      </c>
      <c r="E1163" s="22" t="n">
        <f aca="false">MONTH(A1163)</f>
        <v>6</v>
      </c>
    </row>
    <row r="1164" customFormat="false" ht="15" hidden="false" customHeight="false" outlineLevel="0" collapsed="false">
      <c r="A1164" s="21" t="n">
        <v>46182</v>
      </c>
      <c r="B1164" s="22" t="s">
        <v>187</v>
      </c>
      <c r="C1164" s="22" t="n">
        <v>1</v>
      </c>
      <c r="D1164" s="41" t="n">
        <v>2158.923</v>
      </c>
      <c r="E1164" s="22" t="n">
        <f aca="false">MONTH(A1164)</f>
        <v>6</v>
      </c>
    </row>
    <row r="1165" customFormat="false" ht="15" hidden="false" customHeight="false" outlineLevel="0" collapsed="false">
      <c r="A1165" s="21" t="n">
        <v>46182</v>
      </c>
      <c r="B1165" s="22" t="s">
        <v>187</v>
      </c>
      <c r="C1165" s="22" t="n">
        <v>2</v>
      </c>
      <c r="D1165" s="41" t="n">
        <v>2343.315</v>
      </c>
      <c r="E1165" s="22" t="n">
        <f aca="false">MONTH(A1165)</f>
        <v>6</v>
      </c>
    </row>
    <row r="1166" customFormat="false" ht="15" hidden="false" customHeight="false" outlineLevel="0" collapsed="false">
      <c r="A1166" s="21" t="n">
        <v>46182</v>
      </c>
      <c r="B1166" s="22" t="s">
        <v>189</v>
      </c>
      <c r="C1166" s="22" t="n">
        <v>1</v>
      </c>
      <c r="D1166" s="41" t="n">
        <v>7106.603</v>
      </c>
      <c r="E1166" s="22" t="n">
        <f aca="false">MONTH(A1166)</f>
        <v>6</v>
      </c>
    </row>
    <row r="1167" customFormat="false" ht="15" hidden="false" customHeight="false" outlineLevel="0" collapsed="false">
      <c r="A1167" s="21" t="n">
        <v>46182</v>
      </c>
      <c r="B1167" s="22" t="s">
        <v>359</v>
      </c>
      <c r="C1167" s="22" t="n">
        <v>1</v>
      </c>
      <c r="D1167" s="41" t="n">
        <v>3777.732</v>
      </c>
      <c r="E1167" s="22" t="n">
        <f aca="false">MONTH(A1167)</f>
        <v>6</v>
      </c>
    </row>
    <row r="1168" customFormat="false" ht="15" hidden="false" customHeight="false" outlineLevel="0" collapsed="false">
      <c r="A1168" s="21" t="n">
        <v>46183</v>
      </c>
      <c r="B1168" s="22" t="s">
        <v>361</v>
      </c>
      <c r="C1168" s="22" t="n">
        <v>2</v>
      </c>
      <c r="D1168" s="41" t="n">
        <v>8611.887</v>
      </c>
      <c r="E1168" s="22" t="n">
        <f aca="false">MONTH(A1168)</f>
        <v>6</v>
      </c>
    </row>
    <row r="1169" customFormat="false" ht="15" hidden="false" customHeight="false" outlineLevel="0" collapsed="false">
      <c r="A1169" s="21" t="n">
        <v>46183</v>
      </c>
      <c r="B1169" s="22" t="s">
        <v>362</v>
      </c>
      <c r="C1169" s="22" t="n">
        <v>1</v>
      </c>
      <c r="D1169" s="41" t="n">
        <v>5939.424</v>
      </c>
      <c r="E1169" s="22" t="n">
        <f aca="false">MONTH(A1169)</f>
        <v>6</v>
      </c>
    </row>
    <row r="1170" customFormat="false" ht="15" hidden="false" customHeight="false" outlineLevel="0" collapsed="false">
      <c r="A1170" s="21" t="n">
        <v>46183</v>
      </c>
      <c r="B1170" s="22" t="s">
        <v>186</v>
      </c>
      <c r="C1170" s="22" t="n">
        <v>1</v>
      </c>
      <c r="D1170" s="41" t="n">
        <v>12182.676</v>
      </c>
      <c r="E1170" s="22" t="n">
        <f aca="false">MONTH(A1170)</f>
        <v>6</v>
      </c>
    </row>
    <row r="1171" customFormat="false" ht="15" hidden="false" customHeight="false" outlineLevel="0" collapsed="false">
      <c r="A1171" s="21" t="n">
        <v>46183</v>
      </c>
      <c r="B1171" s="22" t="s">
        <v>186</v>
      </c>
      <c r="C1171" s="22" t="n">
        <v>2</v>
      </c>
      <c r="D1171" s="41" t="n">
        <v>12488.124</v>
      </c>
      <c r="E1171" s="22" t="n">
        <f aca="false">MONTH(A1171)</f>
        <v>6</v>
      </c>
    </row>
    <row r="1172" customFormat="false" ht="15" hidden="false" customHeight="false" outlineLevel="0" collapsed="false">
      <c r="A1172" s="21" t="n">
        <v>46183</v>
      </c>
      <c r="B1172" s="22" t="s">
        <v>188</v>
      </c>
      <c r="C1172" s="22" t="n">
        <v>1</v>
      </c>
      <c r="D1172" s="41" t="n">
        <v>2239.3</v>
      </c>
      <c r="E1172" s="22" t="n">
        <f aca="false">MONTH(A1172)</f>
        <v>6</v>
      </c>
    </row>
    <row r="1173" customFormat="false" ht="15" hidden="false" customHeight="false" outlineLevel="0" collapsed="false">
      <c r="A1173" s="21" t="n">
        <v>46183</v>
      </c>
      <c r="B1173" s="22" t="s">
        <v>374</v>
      </c>
      <c r="C1173" s="22" t="n">
        <v>1</v>
      </c>
      <c r="D1173" s="41" t="n">
        <v>8016.066</v>
      </c>
      <c r="E1173" s="22" t="n">
        <f aca="false">MONTH(A1173)</f>
        <v>6</v>
      </c>
    </row>
    <row r="1174" customFormat="false" ht="15" hidden="false" customHeight="false" outlineLevel="0" collapsed="false">
      <c r="A1174" s="21" t="n">
        <v>46183</v>
      </c>
      <c r="B1174" s="22" t="s">
        <v>374</v>
      </c>
      <c r="C1174" s="22" t="n">
        <v>2</v>
      </c>
      <c r="D1174" s="41" t="n">
        <v>383.661</v>
      </c>
      <c r="E1174" s="22" t="n">
        <f aca="false">MONTH(A1174)</f>
        <v>6</v>
      </c>
    </row>
    <row r="1175" customFormat="false" ht="15" hidden="false" customHeight="false" outlineLevel="0" collapsed="false">
      <c r="A1175" s="21" t="n">
        <v>46183</v>
      </c>
      <c r="B1175" s="22" t="s">
        <v>375</v>
      </c>
      <c r="C1175" s="22" t="n">
        <v>1</v>
      </c>
      <c r="D1175" s="41" t="n">
        <v>1768.247</v>
      </c>
      <c r="E1175" s="22" t="n">
        <f aca="false">MONTH(A1175)</f>
        <v>6</v>
      </c>
    </row>
    <row r="1176" customFormat="false" ht="15" hidden="false" customHeight="false" outlineLevel="0" collapsed="false">
      <c r="A1176" s="21" t="n">
        <v>46183</v>
      </c>
      <c r="B1176" s="22" t="s">
        <v>375</v>
      </c>
      <c r="C1176" s="22" t="n">
        <v>2</v>
      </c>
      <c r="D1176" s="41" t="n">
        <v>12183.856</v>
      </c>
      <c r="E1176" s="22" t="n">
        <f aca="false">MONTH(A1176)</f>
        <v>6</v>
      </c>
    </row>
    <row r="1177" customFormat="false" ht="15" hidden="false" customHeight="false" outlineLevel="0" collapsed="false">
      <c r="A1177" s="21" t="n">
        <v>46183</v>
      </c>
      <c r="B1177" s="22" t="s">
        <v>187</v>
      </c>
      <c r="C1177" s="22" t="n">
        <v>1</v>
      </c>
      <c r="D1177" s="41" t="n">
        <v>2235.753</v>
      </c>
      <c r="E1177" s="22" t="n">
        <f aca="false">MONTH(A1177)</f>
        <v>6</v>
      </c>
    </row>
    <row r="1178" customFormat="false" ht="15" hidden="false" customHeight="false" outlineLevel="0" collapsed="false">
      <c r="A1178" s="21" t="n">
        <v>46183</v>
      </c>
      <c r="B1178" s="22" t="s">
        <v>187</v>
      </c>
      <c r="C1178" s="22" t="n">
        <v>2</v>
      </c>
      <c r="D1178" s="41" t="n">
        <v>2358.681</v>
      </c>
      <c r="E1178" s="22" t="n">
        <f aca="false">MONTH(A1178)</f>
        <v>6</v>
      </c>
    </row>
    <row r="1179" customFormat="false" ht="15" hidden="false" customHeight="false" outlineLevel="0" collapsed="false">
      <c r="A1179" s="21" t="n">
        <v>46183</v>
      </c>
      <c r="B1179" s="22" t="s">
        <v>189</v>
      </c>
      <c r="C1179" s="22" t="n">
        <v>1</v>
      </c>
      <c r="D1179" s="41" t="n">
        <v>7826.259</v>
      </c>
      <c r="E1179" s="22" t="n">
        <f aca="false">MONTH(A1179)</f>
        <v>6</v>
      </c>
    </row>
    <row r="1180" customFormat="false" ht="15" hidden="false" customHeight="false" outlineLevel="0" collapsed="false">
      <c r="A1180" s="21" t="n">
        <v>46184</v>
      </c>
      <c r="B1180" s="22" t="s">
        <v>361</v>
      </c>
      <c r="C1180" s="22" t="n">
        <v>2</v>
      </c>
      <c r="D1180" s="41" t="n">
        <v>30616.039</v>
      </c>
      <c r="E1180" s="22" t="n">
        <f aca="false">MONTH(A1180)</f>
        <v>6</v>
      </c>
    </row>
    <row r="1181" customFormat="false" ht="15" hidden="false" customHeight="false" outlineLevel="0" collapsed="false">
      <c r="A1181" s="21" t="n">
        <v>46184</v>
      </c>
      <c r="B1181" s="22" t="s">
        <v>362</v>
      </c>
      <c r="C1181" s="22" t="n">
        <v>1</v>
      </c>
      <c r="D1181" s="41" t="n">
        <v>7281.311</v>
      </c>
      <c r="E1181" s="22" t="n">
        <f aca="false">MONTH(A1181)</f>
        <v>6</v>
      </c>
    </row>
    <row r="1182" customFormat="false" ht="15" hidden="false" customHeight="false" outlineLevel="0" collapsed="false">
      <c r="A1182" s="21" t="n">
        <v>46184</v>
      </c>
      <c r="B1182" s="22" t="s">
        <v>186</v>
      </c>
      <c r="C1182" s="22" t="n">
        <v>1</v>
      </c>
      <c r="D1182" s="41" t="n">
        <v>12417.636</v>
      </c>
      <c r="E1182" s="22" t="n">
        <f aca="false">MONTH(A1182)</f>
        <v>6</v>
      </c>
    </row>
    <row r="1183" customFormat="false" ht="15" hidden="false" customHeight="false" outlineLevel="0" collapsed="false">
      <c r="A1183" s="21" t="n">
        <v>46184</v>
      </c>
      <c r="B1183" s="22" t="s">
        <v>186</v>
      </c>
      <c r="C1183" s="22" t="n">
        <v>2</v>
      </c>
      <c r="D1183" s="41" t="n">
        <v>5650.788</v>
      </c>
      <c r="E1183" s="22" t="n">
        <f aca="false">MONTH(A1183)</f>
        <v>6</v>
      </c>
    </row>
    <row r="1184" customFormat="false" ht="15" hidden="false" customHeight="false" outlineLevel="0" collapsed="false">
      <c r="A1184" s="21" t="n">
        <v>46184</v>
      </c>
      <c r="B1184" s="22" t="s">
        <v>188</v>
      </c>
      <c r="C1184" s="22" t="n">
        <v>1</v>
      </c>
      <c r="D1184" s="41" t="n">
        <v>2386.3</v>
      </c>
      <c r="E1184" s="22" t="n">
        <f aca="false">MONTH(A1184)</f>
        <v>6</v>
      </c>
    </row>
    <row r="1185" customFormat="false" ht="15" hidden="false" customHeight="false" outlineLevel="0" collapsed="false">
      <c r="A1185" s="21" t="n">
        <v>46184</v>
      </c>
      <c r="B1185" s="22" t="s">
        <v>374</v>
      </c>
      <c r="C1185" s="22" t="n">
        <v>1</v>
      </c>
      <c r="D1185" s="41" t="n">
        <v>4865.148</v>
      </c>
      <c r="E1185" s="22" t="n">
        <f aca="false">MONTH(A1185)</f>
        <v>6</v>
      </c>
    </row>
    <row r="1186" customFormat="false" ht="15" hidden="false" customHeight="false" outlineLevel="0" collapsed="false">
      <c r="A1186" s="21" t="n">
        <v>46184</v>
      </c>
      <c r="B1186" s="22" t="s">
        <v>375</v>
      </c>
      <c r="C1186" s="22" t="n">
        <v>1</v>
      </c>
      <c r="D1186" s="41" t="n">
        <v>16332.056</v>
      </c>
      <c r="E1186" s="22" t="n">
        <f aca="false">MONTH(A1186)</f>
        <v>6</v>
      </c>
    </row>
    <row r="1187" customFormat="false" ht="15" hidden="false" customHeight="false" outlineLevel="0" collapsed="false">
      <c r="A1187" s="21" t="n">
        <v>46184</v>
      </c>
      <c r="B1187" s="22" t="s">
        <v>375</v>
      </c>
      <c r="C1187" s="22" t="n">
        <v>2</v>
      </c>
      <c r="D1187" s="41" t="n">
        <v>17991.336</v>
      </c>
      <c r="E1187" s="22" t="n">
        <f aca="false">MONTH(A1187)</f>
        <v>6</v>
      </c>
    </row>
    <row r="1188" customFormat="false" ht="15" hidden="false" customHeight="false" outlineLevel="0" collapsed="false">
      <c r="A1188" s="21" t="n">
        <v>46184</v>
      </c>
      <c r="B1188" s="22" t="s">
        <v>187</v>
      </c>
      <c r="C1188" s="22" t="n">
        <v>1</v>
      </c>
      <c r="D1188" s="41" t="n">
        <v>2169.167</v>
      </c>
      <c r="E1188" s="22" t="n">
        <f aca="false">MONTH(A1188)</f>
        <v>6</v>
      </c>
    </row>
    <row r="1189" customFormat="false" ht="15" hidden="false" customHeight="false" outlineLevel="0" collapsed="false">
      <c r="A1189" s="21" t="n">
        <v>46184</v>
      </c>
      <c r="B1189" s="22" t="s">
        <v>187</v>
      </c>
      <c r="C1189" s="22" t="n">
        <v>2</v>
      </c>
      <c r="D1189" s="41" t="n">
        <v>2281.851</v>
      </c>
      <c r="E1189" s="22" t="n">
        <f aca="false">MONTH(A1189)</f>
        <v>6</v>
      </c>
    </row>
    <row r="1190" customFormat="false" ht="15" hidden="false" customHeight="false" outlineLevel="0" collapsed="false">
      <c r="A1190" s="21" t="n">
        <v>46184</v>
      </c>
      <c r="B1190" s="22" t="s">
        <v>189</v>
      </c>
      <c r="C1190" s="22" t="n">
        <v>1</v>
      </c>
      <c r="D1190" s="41" t="n">
        <v>7916.216</v>
      </c>
      <c r="E1190" s="22" t="n">
        <f aca="false">MONTH(A1190)</f>
        <v>6</v>
      </c>
    </row>
    <row r="1191" customFormat="false" ht="15" hidden="false" customHeight="false" outlineLevel="0" collapsed="false">
      <c r="A1191" s="21" t="n">
        <v>46184</v>
      </c>
      <c r="B1191" s="22" t="s">
        <v>359</v>
      </c>
      <c r="C1191" s="22" t="n">
        <v>1</v>
      </c>
      <c r="D1191" s="41" t="n">
        <v>2546.24</v>
      </c>
      <c r="E1191" s="22" t="n">
        <f aca="false">MONTH(A1191)</f>
        <v>6</v>
      </c>
    </row>
    <row r="1192" customFormat="false" ht="15" hidden="false" customHeight="false" outlineLevel="0" collapsed="false">
      <c r="A1192" s="21" t="n">
        <v>46185</v>
      </c>
      <c r="B1192" s="22" t="s">
        <v>361</v>
      </c>
      <c r="C1192" s="22" t="n">
        <v>2</v>
      </c>
      <c r="D1192" s="41" t="n">
        <v>35408.428</v>
      </c>
      <c r="E1192" s="22" t="n">
        <f aca="false">MONTH(A1192)</f>
        <v>6</v>
      </c>
    </row>
    <row r="1193" customFormat="false" ht="15" hidden="false" customHeight="false" outlineLevel="0" collapsed="false">
      <c r="A1193" s="21" t="n">
        <v>46185</v>
      </c>
      <c r="B1193" s="22" t="s">
        <v>362</v>
      </c>
      <c r="C1193" s="22" t="n">
        <v>1</v>
      </c>
      <c r="D1193" s="41" t="n">
        <v>6665.062</v>
      </c>
      <c r="E1193" s="22" t="n">
        <f aca="false">MONTH(A1193)</f>
        <v>6</v>
      </c>
    </row>
    <row r="1194" customFormat="false" ht="15" hidden="false" customHeight="false" outlineLevel="0" collapsed="false">
      <c r="A1194" s="21" t="n">
        <v>46185</v>
      </c>
      <c r="B1194" s="22" t="s">
        <v>186</v>
      </c>
      <c r="C1194" s="22" t="n">
        <v>1</v>
      </c>
      <c r="D1194" s="41" t="n">
        <v>5867.138</v>
      </c>
      <c r="E1194" s="22" t="n">
        <f aca="false">MONTH(A1194)</f>
        <v>6</v>
      </c>
    </row>
    <row r="1195" customFormat="false" ht="15" hidden="false" customHeight="false" outlineLevel="0" collapsed="false">
      <c r="A1195" s="21" t="n">
        <v>46185</v>
      </c>
      <c r="B1195" s="22" t="s">
        <v>186</v>
      </c>
      <c r="C1195" s="22" t="n">
        <v>2</v>
      </c>
      <c r="D1195" s="41" t="n">
        <v>6327.908</v>
      </c>
      <c r="E1195" s="22" t="n">
        <f aca="false">MONTH(A1195)</f>
        <v>6</v>
      </c>
    </row>
    <row r="1196" customFormat="false" ht="15" hidden="false" customHeight="false" outlineLevel="0" collapsed="false">
      <c r="A1196" s="21" t="n">
        <v>46185</v>
      </c>
      <c r="B1196" s="22" t="s">
        <v>188</v>
      </c>
      <c r="C1196" s="22" t="n">
        <v>1</v>
      </c>
      <c r="D1196" s="41" t="n">
        <v>2111.9</v>
      </c>
      <c r="E1196" s="22" t="n">
        <f aca="false">MONTH(A1196)</f>
        <v>6</v>
      </c>
    </row>
    <row r="1197" customFormat="false" ht="15" hidden="false" customHeight="false" outlineLevel="0" collapsed="false">
      <c r="A1197" s="21" t="n">
        <v>46185</v>
      </c>
      <c r="B1197" s="22" t="s">
        <v>374</v>
      </c>
      <c r="C1197" s="22" t="n">
        <v>1</v>
      </c>
      <c r="D1197" s="41" t="n">
        <v>3999.87</v>
      </c>
      <c r="E1197" s="22" t="n">
        <f aca="false">MONTH(A1197)</f>
        <v>6</v>
      </c>
    </row>
    <row r="1198" customFormat="false" ht="15" hidden="false" customHeight="false" outlineLevel="0" collapsed="false">
      <c r="A1198" s="21" t="n">
        <v>46185</v>
      </c>
      <c r="B1198" s="22" t="s">
        <v>375</v>
      </c>
      <c r="C1198" s="22" t="n">
        <v>1</v>
      </c>
      <c r="D1198" s="41" t="n">
        <v>16569.096</v>
      </c>
      <c r="E1198" s="22" t="n">
        <f aca="false">MONTH(A1198)</f>
        <v>6</v>
      </c>
    </row>
    <row r="1199" customFormat="false" ht="15" hidden="false" customHeight="false" outlineLevel="0" collapsed="false">
      <c r="A1199" s="21" t="n">
        <v>46185</v>
      </c>
      <c r="B1199" s="22" t="s">
        <v>375</v>
      </c>
      <c r="C1199" s="22" t="n">
        <v>2</v>
      </c>
      <c r="D1199" s="41" t="n">
        <v>19010.608</v>
      </c>
      <c r="E1199" s="22" t="n">
        <f aca="false">MONTH(A1199)</f>
        <v>6</v>
      </c>
    </row>
    <row r="1200" customFormat="false" ht="15" hidden="false" customHeight="false" outlineLevel="0" collapsed="false">
      <c r="A1200" s="21" t="n">
        <v>46185</v>
      </c>
      <c r="B1200" s="22" t="s">
        <v>187</v>
      </c>
      <c r="C1200" s="22" t="n">
        <v>1</v>
      </c>
      <c r="D1200" s="41" t="n">
        <v>2079.532</v>
      </c>
      <c r="E1200" s="22" t="n">
        <f aca="false">MONTH(A1200)</f>
        <v>6</v>
      </c>
    </row>
    <row r="1201" customFormat="false" ht="15" hidden="false" customHeight="false" outlineLevel="0" collapsed="false">
      <c r="A1201" s="21" t="n">
        <v>46185</v>
      </c>
      <c r="B1201" s="22" t="s">
        <v>187</v>
      </c>
      <c r="C1201" s="22" t="n">
        <v>2</v>
      </c>
      <c r="D1201" s="41" t="n">
        <v>2112.825</v>
      </c>
      <c r="E1201" s="22" t="n">
        <f aca="false">MONTH(A1201)</f>
        <v>6</v>
      </c>
    </row>
    <row r="1202" customFormat="false" ht="15" hidden="false" customHeight="false" outlineLevel="0" collapsed="false">
      <c r="A1202" s="21" t="n">
        <v>46185</v>
      </c>
      <c r="B1202" s="22" t="s">
        <v>189</v>
      </c>
      <c r="C1202" s="22" t="n">
        <v>1</v>
      </c>
      <c r="D1202" s="41" t="n">
        <v>5178.672</v>
      </c>
      <c r="E1202" s="22" t="n">
        <f aca="false">MONTH(A1202)</f>
        <v>6</v>
      </c>
    </row>
    <row r="1203" customFormat="false" ht="15" hidden="false" customHeight="false" outlineLevel="0" collapsed="false">
      <c r="A1203" s="21" t="n">
        <v>46185</v>
      </c>
      <c r="B1203" s="22" t="s">
        <v>359</v>
      </c>
      <c r="C1203" s="22" t="n">
        <v>1</v>
      </c>
      <c r="D1203" s="41" t="n">
        <v>4952.32</v>
      </c>
      <c r="E1203" s="22" t="n">
        <f aca="false">MONTH(A1203)</f>
        <v>6</v>
      </c>
    </row>
    <row r="1204" customFormat="false" ht="15" hidden="false" customHeight="false" outlineLevel="0" collapsed="false">
      <c r="A1204" s="21" t="n">
        <v>46185</v>
      </c>
      <c r="B1204" s="22" t="s">
        <v>359</v>
      </c>
      <c r="C1204" s="22" t="n">
        <v>2</v>
      </c>
      <c r="D1204" s="41" t="n">
        <v>93.44</v>
      </c>
      <c r="E1204" s="22" t="n">
        <f aca="false">MONTH(A1204)</f>
        <v>6</v>
      </c>
    </row>
    <row r="1205" customFormat="false" ht="15" hidden="false" customHeight="false" outlineLevel="0" collapsed="false">
      <c r="A1205" s="21" t="n">
        <v>46186</v>
      </c>
      <c r="B1205" s="22" t="s">
        <v>361</v>
      </c>
      <c r="C1205" s="22" t="n">
        <v>2</v>
      </c>
      <c r="D1205" s="41" t="n">
        <v>20598.865</v>
      </c>
      <c r="E1205" s="22" t="n">
        <f aca="false">MONTH(A1205)</f>
        <v>6</v>
      </c>
    </row>
    <row r="1206" customFormat="false" ht="15" hidden="false" customHeight="false" outlineLevel="0" collapsed="false">
      <c r="A1206" s="21" t="n">
        <v>46186</v>
      </c>
      <c r="B1206" s="22" t="s">
        <v>362</v>
      </c>
      <c r="C1206" s="22" t="n">
        <v>1</v>
      </c>
      <c r="D1206" s="41" t="n">
        <v>5558.207</v>
      </c>
      <c r="E1206" s="22" t="n">
        <f aca="false">MONTH(A1206)</f>
        <v>6</v>
      </c>
    </row>
    <row r="1207" customFormat="false" ht="15" hidden="false" customHeight="false" outlineLevel="0" collapsed="false">
      <c r="A1207" s="21" t="n">
        <v>46186</v>
      </c>
      <c r="B1207" s="22" t="s">
        <v>186</v>
      </c>
      <c r="C1207" s="22" t="n">
        <v>1</v>
      </c>
      <c r="D1207" s="41" t="n">
        <v>5114.547</v>
      </c>
      <c r="E1207" s="22" t="n">
        <f aca="false">MONTH(A1207)</f>
        <v>6</v>
      </c>
    </row>
    <row r="1208" customFormat="false" ht="15" hidden="false" customHeight="false" outlineLevel="0" collapsed="false">
      <c r="A1208" s="21" t="n">
        <v>46186</v>
      </c>
      <c r="B1208" s="22" t="s">
        <v>186</v>
      </c>
      <c r="C1208" s="22" t="n">
        <v>2</v>
      </c>
      <c r="D1208" s="41" t="n">
        <v>5559.958</v>
      </c>
      <c r="E1208" s="22" t="n">
        <f aca="false">MONTH(A1208)</f>
        <v>6</v>
      </c>
    </row>
    <row r="1209" customFormat="false" ht="15" hidden="false" customHeight="false" outlineLevel="0" collapsed="false">
      <c r="A1209" s="21" t="n">
        <v>46186</v>
      </c>
      <c r="B1209" s="22" t="s">
        <v>188</v>
      </c>
      <c r="C1209" s="22" t="n">
        <v>1</v>
      </c>
      <c r="D1209" s="41" t="n">
        <v>1631.7</v>
      </c>
      <c r="E1209" s="22" t="n">
        <f aca="false">MONTH(A1209)</f>
        <v>6</v>
      </c>
    </row>
    <row r="1210" customFormat="false" ht="15" hidden="false" customHeight="false" outlineLevel="0" collapsed="false">
      <c r="A1210" s="21" t="n">
        <v>46186</v>
      </c>
      <c r="B1210" s="22" t="s">
        <v>374</v>
      </c>
      <c r="C1210" s="22" t="n">
        <v>1</v>
      </c>
      <c r="D1210" s="41" t="n">
        <v>6190.464</v>
      </c>
      <c r="E1210" s="22" t="n">
        <f aca="false">MONTH(A1210)</f>
        <v>6</v>
      </c>
    </row>
    <row r="1211" customFormat="false" ht="15" hidden="false" customHeight="false" outlineLevel="0" collapsed="false">
      <c r="A1211" s="21" t="n">
        <v>46186</v>
      </c>
      <c r="B1211" s="22" t="s">
        <v>375</v>
      </c>
      <c r="C1211" s="22" t="n">
        <v>1</v>
      </c>
      <c r="D1211" s="41" t="n">
        <v>14897.964</v>
      </c>
      <c r="E1211" s="22" t="n">
        <f aca="false">MONTH(A1211)</f>
        <v>6</v>
      </c>
    </row>
    <row r="1212" customFormat="false" ht="15" hidden="false" customHeight="false" outlineLevel="0" collapsed="false">
      <c r="A1212" s="21" t="n">
        <v>46186</v>
      </c>
      <c r="B1212" s="22" t="s">
        <v>375</v>
      </c>
      <c r="C1212" s="22" t="n">
        <v>2</v>
      </c>
      <c r="D1212" s="41" t="n">
        <v>16166.128</v>
      </c>
      <c r="E1212" s="22" t="n">
        <f aca="false">MONTH(A1212)</f>
        <v>6</v>
      </c>
    </row>
    <row r="1213" customFormat="false" ht="15" hidden="false" customHeight="false" outlineLevel="0" collapsed="false">
      <c r="A1213" s="21" t="n">
        <v>46186</v>
      </c>
      <c r="B1213" s="22" t="s">
        <v>187</v>
      </c>
      <c r="C1213" s="22" t="n">
        <v>1</v>
      </c>
      <c r="D1213" s="41" t="n">
        <v>1859.286</v>
      </c>
      <c r="E1213" s="22" t="n">
        <f aca="false">MONTH(A1213)</f>
        <v>6</v>
      </c>
    </row>
    <row r="1214" customFormat="false" ht="15" hidden="false" customHeight="false" outlineLevel="0" collapsed="false">
      <c r="A1214" s="21" t="n">
        <v>46186</v>
      </c>
      <c r="B1214" s="22" t="s">
        <v>187</v>
      </c>
      <c r="C1214" s="22" t="n">
        <v>2</v>
      </c>
      <c r="D1214" s="41" t="n">
        <v>973.18</v>
      </c>
      <c r="E1214" s="22" t="n">
        <f aca="false">MONTH(A1214)</f>
        <v>6</v>
      </c>
    </row>
    <row r="1215" customFormat="false" ht="15" hidden="false" customHeight="false" outlineLevel="0" collapsed="false">
      <c r="A1215" s="21" t="n">
        <v>46186</v>
      </c>
      <c r="B1215" s="22" t="s">
        <v>189</v>
      </c>
      <c r="C1215" s="22" t="n">
        <v>1</v>
      </c>
      <c r="D1215" s="41" t="n">
        <v>5083.974</v>
      </c>
      <c r="E1215" s="22" t="n">
        <f aca="false">MONTH(A1215)</f>
        <v>6</v>
      </c>
    </row>
    <row r="1216" customFormat="false" ht="15" hidden="false" customHeight="false" outlineLevel="0" collapsed="false">
      <c r="A1216" s="21" t="n">
        <v>46186</v>
      </c>
      <c r="B1216" s="22" t="s">
        <v>359</v>
      </c>
      <c r="C1216" s="22" t="n">
        <v>1</v>
      </c>
      <c r="D1216" s="41" t="n">
        <v>2884.96</v>
      </c>
      <c r="E1216" s="22" t="n">
        <f aca="false">MONTH(A1216)</f>
        <v>6</v>
      </c>
    </row>
    <row r="1217" customFormat="false" ht="15" hidden="false" customHeight="false" outlineLevel="0" collapsed="false">
      <c r="A1217" s="21" t="n">
        <v>46186</v>
      </c>
      <c r="B1217" s="22" t="s">
        <v>359</v>
      </c>
      <c r="C1217" s="22" t="n">
        <v>2</v>
      </c>
      <c r="D1217" s="41" t="n">
        <v>268.64</v>
      </c>
      <c r="E1217" s="22" t="n">
        <f aca="false">MONTH(A1217)</f>
        <v>6</v>
      </c>
    </row>
    <row r="1218" customFormat="false" ht="15" hidden="false" customHeight="false" outlineLevel="0" collapsed="false">
      <c r="A1218" s="21" t="n">
        <v>46189</v>
      </c>
      <c r="B1218" s="22" t="s">
        <v>361</v>
      </c>
      <c r="C1218" s="22" t="n">
        <v>1</v>
      </c>
      <c r="D1218" s="41" t="n">
        <v>16541.105</v>
      </c>
      <c r="E1218" s="22" t="n">
        <f aca="false">MONTH(A1218)</f>
        <v>6</v>
      </c>
    </row>
    <row r="1219" customFormat="false" ht="15" hidden="false" customHeight="false" outlineLevel="0" collapsed="false">
      <c r="A1219" s="21" t="n">
        <v>46189</v>
      </c>
      <c r="B1219" s="22" t="s">
        <v>186</v>
      </c>
      <c r="C1219" s="22" t="n">
        <v>1</v>
      </c>
      <c r="D1219" s="41" t="n">
        <v>6450.78</v>
      </c>
      <c r="E1219" s="22" t="n">
        <f aca="false">MONTH(A1219)</f>
        <v>6</v>
      </c>
    </row>
    <row r="1220" customFormat="false" ht="15" hidden="false" customHeight="false" outlineLevel="0" collapsed="false">
      <c r="A1220" s="21" t="n">
        <v>46189</v>
      </c>
      <c r="B1220" s="22" t="s">
        <v>186</v>
      </c>
      <c r="C1220" s="22" t="n">
        <v>2</v>
      </c>
      <c r="D1220" s="41" t="n">
        <v>6420.062</v>
      </c>
      <c r="E1220" s="22" t="n">
        <f aca="false">MONTH(A1220)</f>
        <v>6</v>
      </c>
    </row>
    <row r="1221" customFormat="false" ht="15" hidden="false" customHeight="false" outlineLevel="0" collapsed="false">
      <c r="A1221" s="21" t="n">
        <v>46189</v>
      </c>
      <c r="B1221" s="22" t="s">
        <v>188</v>
      </c>
      <c r="C1221" s="22" t="n">
        <v>1</v>
      </c>
      <c r="D1221" s="41" t="n">
        <v>333.2</v>
      </c>
      <c r="E1221" s="22" t="n">
        <f aca="false">MONTH(A1221)</f>
        <v>6</v>
      </c>
    </row>
    <row r="1222" customFormat="false" ht="15" hidden="false" customHeight="false" outlineLevel="0" collapsed="false">
      <c r="A1222" s="21" t="n">
        <v>46189</v>
      </c>
      <c r="B1222" s="22" t="s">
        <v>374</v>
      </c>
      <c r="C1222" s="22" t="n">
        <v>1</v>
      </c>
      <c r="D1222" s="41" t="n">
        <v>7422.24</v>
      </c>
      <c r="E1222" s="22" t="n">
        <f aca="false">MONTH(A1222)</f>
        <v>6</v>
      </c>
    </row>
    <row r="1223" customFormat="false" ht="15" hidden="false" customHeight="false" outlineLevel="0" collapsed="false">
      <c r="A1223" s="21" t="n">
        <v>46189</v>
      </c>
      <c r="B1223" s="22" t="s">
        <v>375</v>
      </c>
      <c r="C1223" s="22" t="n">
        <v>2</v>
      </c>
      <c r="D1223" s="41" t="n">
        <v>16071.312</v>
      </c>
      <c r="E1223" s="22" t="n">
        <f aca="false">MONTH(A1223)</f>
        <v>6</v>
      </c>
    </row>
    <row r="1224" customFormat="false" ht="15" hidden="false" customHeight="false" outlineLevel="0" collapsed="false">
      <c r="A1224" s="21" t="n">
        <v>46189</v>
      </c>
      <c r="B1224" s="22" t="s">
        <v>187</v>
      </c>
      <c r="C1224" s="22" t="n">
        <v>1</v>
      </c>
      <c r="D1224" s="41" t="n">
        <v>2179.411</v>
      </c>
      <c r="E1224" s="22" t="n">
        <f aca="false">MONTH(A1224)</f>
        <v>6</v>
      </c>
    </row>
    <row r="1225" customFormat="false" ht="15" hidden="false" customHeight="false" outlineLevel="0" collapsed="false">
      <c r="A1225" s="21" t="n">
        <v>46189</v>
      </c>
      <c r="B1225" s="22" t="s">
        <v>187</v>
      </c>
      <c r="C1225" s="22" t="n">
        <v>2</v>
      </c>
      <c r="D1225" s="41" t="n">
        <v>2002.702</v>
      </c>
      <c r="E1225" s="22" t="n">
        <f aca="false">MONTH(A1225)</f>
        <v>6</v>
      </c>
    </row>
    <row r="1226" customFormat="false" ht="15" hidden="false" customHeight="false" outlineLevel="0" collapsed="false">
      <c r="A1226" s="21" t="n">
        <v>46189</v>
      </c>
      <c r="B1226" s="22" t="s">
        <v>189</v>
      </c>
      <c r="C1226" s="22" t="n">
        <v>1</v>
      </c>
      <c r="D1226" s="41" t="n">
        <v>5815.908</v>
      </c>
      <c r="E1226" s="22" t="n">
        <f aca="false">MONTH(A1226)</f>
        <v>6</v>
      </c>
    </row>
    <row r="1227" customFormat="false" ht="15" hidden="false" customHeight="false" outlineLevel="0" collapsed="false">
      <c r="A1227" s="21" t="n">
        <v>46189</v>
      </c>
      <c r="B1227" s="22" t="s">
        <v>189</v>
      </c>
      <c r="C1227" s="22" t="n">
        <v>2</v>
      </c>
      <c r="D1227" s="41" t="n">
        <v>5568.633</v>
      </c>
      <c r="E1227" s="22" t="n">
        <f aca="false">MONTH(A1227)</f>
        <v>6</v>
      </c>
    </row>
    <row r="1228" customFormat="false" ht="15" hidden="false" customHeight="false" outlineLevel="0" collapsed="false">
      <c r="A1228" s="21" t="n">
        <v>46190</v>
      </c>
      <c r="B1228" s="22" t="s">
        <v>361</v>
      </c>
      <c r="C1228" s="22" t="n">
        <v>1</v>
      </c>
      <c r="D1228" s="41" t="n">
        <v>15773.425</v>
      </c>
      <c r="E1228" s="22" t="n">
        <f aca="false">MONTH(A1228)</f>
        <v>6</v>
      </c>
    </row>
    <row r="1229" customFormat="false" ht="15" hidden="false" customHeight="false" outlineLevel="0" collapsed="false">
      <c r="A1229" s="21" t="n">
        <v>46190</v>
      </c>
      <c r="B1229" s="22" t="s">
        <v>362</v>
      </c>
      <c r="C1229" s="22" t="n">
        <v>1</v>
      </c>
      <c r="D1229" s="41" t="n">
        <v>7329.175</v>
      </c>
      <c r="E1229" s="22" t="n">
        <f aca="false">MONTH(A1229)</f>
        <v>6</v>
      </c>
    </row>
    <row r="1230" customFormat="false" ht="15" hidden="false" customHeight="false" outlineLevel="0" collapsed="false">
      <c r="A1230" s="21" t="n">
        <v>46190</v>
      </c>
      <c r="B1230" s="22" t="s">
        <v>186</v>
      </c>
      <c r="C1230" s="22" t="n">
        <v>1</v>
      </c>
      <c r="D1230" s="41" t="n">
        <v>6281.831</v>
      </c>
      <c r="E1230" s="22" t="n">
        <f aca="false">MONTH(A1230)</f>
        <v>6</v>
      </c>
    </row>
    <row r="1231" customFormat="false" ht="15" hidden="false" customHeight="false" outlineLevel="0" collapsed="false">
      <c r="A1231" s="21" t="n">
        <v>46190</v>
      </c>
      <c r="B1231" s="22" t="s">
        <v>186</v>
      </c>
      <c r="C1231" s="22" t="n">
        <v>2</v>
      </c>
      <c r="D1231" s="41" t="n">
        <v>5053.111</v>
      </c>
      <c r="E1231" s="22" t="n">
        <f aca="false">MONTH(A1231)</f>
        <v>6</v>
      </c>
    </row>
    <row r="1232" customFormat="false" ht="15" hidden="false" customHeight="false" outlineLevel="0" collapsed="false">
      <c r="A1232" s="21" t="n">
        <v>46190</v>
      </c>
      <c r="B1232" s="22" t="s">
        <v>188</v>
      </c>
      <c r="C1232" s="22" t="n">
        <v>1</v>
      </c>
      <c r="D1232" s="41" t="n">
        <v>1386.7</v>
      </c>
      <c r="E1232" s="22" t="n">
        <f aca="false">MONTH(A1232)</f>
        <v>6</v>
      </c>
    </row>
    <row r="1233" customFormat="false" ht="15" hidden="false" customHeight="false" outlineLevel="0" collapsed="false">
      <c r="A1233" s="21" t="n">
        <v>46190</v>
      </c>
      <c r="B1233" s="22" t="s">
        <v>374</v>
      </c>
      <c r="C1233" s="22" t="n">
        <v>1</v>
      </c>
      <c r="D1233" s="41" t="n">
        <v>7477.512</v>
      </c>
      <c r="E1233" s="22" t="n">
        <f aca="false">MONTH(A1233)</f>
        <v>6</v>
      </c>
    </row>
    <row r="1234" customFormat="false" ht="15" hidden="false" customHeight="false" outlineLevel="0" collapsed="false">
      <c r="A1234" s="21" t="n">
        <v>46190</v>
      </c>
      <c r="B1234" s="22" t="s">
        <v>375</v>
      </c>
      <c r="C1234" s="22" t="n">
        <v>2</v>
      </c>
      <c r="D1234" s="41" t="n">
        <v>12551.268</v>
      </c>
      <c r="E1234" s="22" t="n">
        <f aca="false">MONTH(A1234)</f>
        <v>6</v>
      </c>
    </row>
    <row r="1235" customFormat="false" ht="15" hidden="false" customHeight="false" outlineLevel="0" collapsed="false">
      <c r="A1235" s="21" t="n">
        <v>46190</v>
      </c>
      <c r="B1235" s="22" t="s">
        <v>187</v>
      </c>
      <c r="C1235" s="22" t="n">
        <v>1</v>
      </c>
      <c r="D1235" s="41" t="n">
        <v>3506.35</v>
      </c>
      <c r="E1235" s="22" t="n">
        <f aca="false">MONTH(A1235)</f>
        <v>6</v>
      </c>
    </row>
    <row r="1236" customFormat="false" ht="15" hidden="false" customHeight="false" outlineLevel="0" collapsed="false">
      <c r="A1236" s="21" t="n">
        <v>46190</v>
      </c>
      <c r="B1236" s="22" t="s">
        <v>187</v>
      </c>
      <c r="C1236" s="22" t="n">
        <v>2</v>
      </c>
      <c r="D1236" s="41" t="n">
        <v>3658.8</v>
      </c>
      <c r="E1236" s="22" t="n">
        <f aca="false">MONTH(A1236)</f>
        <v>6</v>
      </c>
    </row>
    <row r="1237" customFormat="false" ht="15" hidden="false" customHeight="false" outlineLevel="0" collapsed="false">
      <c r="A1237" s="21" t="n">
        <v>46190</v>
      </c>
      <c r="B1237" s="22" t="s">
        <v>189</v>
      </c>
      <c r="C1237" s="22" t="n">
        <v>1</v>
      </c>
      <c r="D1237" s="41" t="n">
        <v>5252.121</v>
      </c>
      <c r="E1237" s="22" t="n">
        <f aca="false">MONTH(A1237)</f>
        <v>6</v>
      </c>
    </row>
    <row r="1238" customFormat="false" ht="15" hidden="false" customHeight="false" outlineLevel="0" collapsed="false">
      <c r="A1238" s="21" t="n">
        <v>46190</v>
      </c>
      <c r="B1238" s="22" t="s">
        <v>189</v>
      </c>
      <c r="C1238" s="22" t="n">
        <v>2</v>
      </c>
      <c r="D1238" s="41" t="n">
        <v>4243.239</v>
      </c>
      <c r="E1238" s="22" t="n">
        <f aca="false">MONTH(A1238)</f>
        <v>6</v>
      </c>
    </row>
    <row r="1239" customFormat="false" ht="15" hidden="false" customHeight="false" outlineLevel="0" collapsed="false">
      <c r="A1239" s="21" t="n">
        <v>46191</v>
      </c>
      <c r="B1239" s="22" t="s">
        <v>361</v>
      </c>
      <c r="C1239" s="22" t="n">
        <v>1</v>
      </c>
      <c r="D1239" s="41" t="n">
        <v>22502.62</v>
      </c>
      <c r="E1239" s="22" t="n">
        <f aca="false">MONTH(A1239)</f>
        <v>6</v>
      </c>
    </row>
    <row r="1240" customFormat="false" ht="15" hidden="false" customHeight="false" outlineLevel="0" collapsed="false">
      <c r="A1240" s="21" t="n">
        <v>46191</v>
      </c>
      <c r="B1240" s="22" t="s">
        <v>186</v>
      </c>
      <c r="C1240" s="22" t="n">
        <v>1</v>
      </c>
      <c r="D1240" s="41" t="n">
        <v>5621.394</v>
      </c>
      <c r="E1240" s="22" t="n">
        <f aca="false">MONTH(A1240)</f>
        <v>6</v>
      </c>
    </row>
    <row r="1241" customFormat="false" ht="15" hidden="false" customHeight="false" outlineLevel="0" collapsed="false">
      <c r="A1241" s="21" t="n">
        <v>46191</v>
      </c>
      <c r="B1241" s="22" t="s">
        <v>186</v>
      </c>
      <c r="C1241" s="22" t="n">
        <v>2</v>
      </c>
      <c r="D1241" s="41" t="n">
        <v>5575.317</v>
      </c>
      <c r="E1241" s="22" t="n">
        <f aca="false">MONTH(A1241)</f>
        <v>6</v>
      </c>
    </row>
    <row r="1242" customFormat="false" ht="15" hidden="false" customHeight="false" outlineLevel="0" collapsed="false">
      <c r="A1242" s="21" t="n">
        <v>46191</v>
      </c>
      <c r="B1242" s="22" t="s">
        <v>188</v>
      </c>
      <c r="C1242" s="22" t="n">
        <v>1</v>
      </c>
      <c r="D1242" s="41" t="n">
        <v>1974.7</v>
      </c>
      <c r="E1242" s="22" t="n">
        <f aca="false">MONTH(A1242)</f>
        <v>6</v>
      </c>
    </row>
    <row r="1243" customFormat="false" ht="15" hidden="false" customHeight="false" outlineLevel="0" collapsed="false">
      <c r="A1243" s="21" t="n">
        <v>46191</v>
      </c>
      <c r="B1243" s="22" t="s">
        <v>375</v>
      </c>
      <c r="C1243" s="22" t="n">
        <v>2</v>
      </c>
      <c r="D1243" s="41" t="n">
        <v>16035.756</v>
      </c>
      <c r="E1243" s="22" t="n">
        <f aca="false">MONTH(A1243)</f>
        <v>6</v>
      </c>
    </row>
    <row r="1244" customFormat="false" ht="15" hidden="false" customHeight="false" outlineLevel="0" collapsed="false">
      <c r="A1244" s="21" t="n">
        <v>46191</v>
      </c>
      <c r="B1244" s="22" t="s">
        <v>187</v>
      </c>
      <c r="C1244" s="22" t="n">
        <v>1</v>
      </c>
      <c r="D1244" s="41" t="n">
        <v>4046.023</v>
      </c>
      <c r="E1244" s="22" t="n">
        <f aca="false">MONTH(A1244)</f>
        <v>6</v>
      </c>
    </row>
    <row r="1245" customFormat="false" ht="15" hidden="false" customHeight="false" outlineLevel="0" collapsed="false">
      <c r="A1245" s="21" t="n">
        <v>46191</v>
      </c>
      <c r="B1245" s="22" t="s">
        <v>187</v>
      </c>
      <c r="C1245" s="22" t="n">
        <v>2</v>
      </c>
      <c r="D1245" s="41" t="n">
        <v>4134.444</v>
      </c>
      <c r="E1245" s="22" t="n">
        <f aca="false">MONTH(A1245)</f>
        <v>6</v>
      </c>
    </row>
    <row r="1246" customFormat="false" ht="15" hidden="false" customHeight="false" outlineLevel="0" collapsed="false">
      <c r="A1246" s="21" t="n">
        <v>46191</v>
      </c>
      <c r="B1246" s="22" t="s">
        <v>189</v>
      </c>
      <c r="C1246" s="22" t="n">
        <v>1</v>
      </c>
      <c r="D1246" s="41" t="n">
        <v>4846.59</v>
      </c>
      <c r="E1246" s="22" t="n">
        <f aca="false">MONTH(A1246)</f>
        <v>6</v>
      </c>
    </row>
    <row r="1247" customFormat="false" ht="15" hidden="false" customHeight="false" outlineLevel="0" collapsed="false">
      <c r="A1247" s="21" t="n">
        <v>46191</v>
      </c>
      <c r="B1247" s="22" t="s">
        <v>189</v>
      </c>
      <c r="C1247" s="22" t="n">
        <v>2</v>
      </c>
      <c r="D1247" s="41" t="n">
        <v>5469.723</v>
      </c>
      <c r="E1247" s="22" t="n">
        <f aca="false">MONTH(A1247)</f>
        <v>6</v>
      </c>
    </row>
    <row r="1248" customFormat="false" ht="15" hidden="false" customHeight="false" outlineLevel="0" collapsed="false">
      <c r="A1248" s="21" t="n">
        <v>46191</v>
      </c>
      <c r="B1248" s="22" t="s">
        <v>359</v>
      </c>
      <c r="C1248" s="22" t="n">
        <v>1</v>
      </c>
      <c r="D1248" s="41" t="n">
        <v>2476.16</v>
      </c>
      <c r="E1248" s="22" t="n">
        <f aca="false">MONTH(A1248)</f>
        <v>6</v>
      </c>
    </row>
    <row r="1249" customFormat="false" ht="15" hidden="false" customHeight="false" outlineLevel="0" collapsed="false">
      <c r="A1249" s="21" t="n">
        <v>46191</v>
      </c>
      <c r="B1249" s="22" t="s">
        <v>360</v>
      </c>
      <c r="C1249" s="22" t="n">
        <v>1</v>
      </c>
      <c r="D1249" s="41" t="n">
        <v>786.41</v>
      </c>
      <c r="E1249" s="22" t="n">
        <f aca="false">MONTH(A1249)</f>
        <v>6</v>
      </c>
    </row>
    <row r="1250" customFormat="false" ht="15" hidden="false" customHeight="false" outlineLevel="0" collapsed="false">
      <c r="A1250" s="21" t="n">
        <v>46192</v>
      </c>
      <c r="B1250" s="22" t="s">
        <v>361</v>
      </c>
      <c r="C1250" s="22" t="n">
        <v>1</v>
      </c>
      <c r="D1250" s="41" t="n">
        <v>18532.275</v>
      </c>
      <c r="E1250" s="22" t="n">
        <f aca="false">MONTH(A1250)</f>
        <v>6</v>
      </c>
    </row>
    <row r="1251" customFormat="false" ht="15" hidden="false" customHeight="false" outlineLevel="0" collapsed="false">
      <c r="A1251" s="21" t="n">
        <v>46192</v>
      </c>
      <c r="B1251" s="22" t="s">
        <v>186</v>
      </c>
      <c r="C1251" s="22" t="n">
        <v>1</v>
      </c>
      <c r="D1251" s="41" t="n">
        <v>6143.6</v>
      </c>
      <c r="E1251" s="22" t="n">
        <f aca="false">MONTH(A1251)</f>
        <v>6</v>
      </c>
    </row>
    <row r="1252" customFormat="false" ht="15" hidden="false" customHeight="false" outlineLevel="0" collapsed="false">
      <c r="A1252" s="21" t="n">
        <v>46192</v>
      </c>
      <c r="B1252" s="22" t="s">
        <v>186</v>
      </c>
      <c r="C1252" s="22" t="n">
        <v>2</v>
      </c>
      <c r="D1252" s="41" t="n">
        <v>6466.139</v>
      </c>
      <c r="E1252" s="22" t="n">
        <f aca="false">MONTH(A1252)</f>
        <v>6</v>
      </c>
    </row>
    <row r="1253" customFormat="false" ht="15" hidden="false" customHeight="false" outlineLevel="0" collapsed="false">
      <c r="A1253" s="21" t="n">
        <v>46192</v>
      </c>
      <c r="B1253" s="22" t="s">
        <v>188</v>
      </c>
      <c r="C1253" s="22" t="n">
        <v>1</v>
      </c>
      <c r="D1253" s="41" t="n">
        <v>1519</v>
      </c>
      <c r="E1253" s="22" t="n">
        <f aca="false">MONTH(A1253)</f>
        <v>6</v>
      </c>
    </row>
    <row r="1254" customFormat="false" ht="15" hidden="false" customHeight="false" outlineLevel="0" collapsed="false">
      <c r="A1254" s="21" t="n">
        <v>46192</v>
      </c>
      <c r="B1254" s="22" t="s">
        <v>375</v>
      </c>
      <c r="C1254" s="22" t="n">
        <v>2</v>
      </c>
      <c r="D1254" s="41" t="n">
        <v>17043.176</v>
      </c>
      <c r="E1254" s="22" t="n">
        <f aca="false">MONTH(A1254)</f>
        <v>6</v>
      </c>
    </row>
    <row r="1255" customFormat="false" ht="15" hidden="false" customHeight="false" outlineLevel="0" collapsed="false">
      <c r="A1255" s="21" t="n">
        <v>46192</v>
      </c>
      <c r="B1255" s="22" t="s">
        <v>187</v>
      </c>
      <c r="C1255" s="22" t="n">
        <v>1</v>
      </c>
      <c r="D1255" s="41" t="n">
        <v>5064.389</v>
      </c>
      <c r="E1255" s="22" t="n">
        <f aca="false">MONTH(A1255)</f>
        <v>6</v>
      </c>
    </row>
    <row r="1256" customFormat="false" ht="15" hidden="false" customHeight="false" outlineLevel="0" collapsed="false">
      <c r="A1256" s="21" t="n">
        <v>46192</v>
      </c>
      <c r="B1256" s="22" t="s">
        <v>187</v>
      </c>
      <c r="C1256" s="22" t="n">
        <v>2</v>
      </c>
      <c r="D1256" s="41" t="n">
        <v>2088.565</v>
      </c>
      <c r="E1256" s="22" t="n">
        <f aca="false">MONTH(A1256)</f>
        <v>6</v>
      </c>
    </row>
    <row r="1257" customFormat="false" ht="15" hidden="false" customHeight="false" outlineLevel="0" collapsed="false">
      <c r="A1257" s="21" t="n">
        <v>46192</v>
      </c>
      <c r="B1257" s="22" t="s">
        <v>189</v>
      </c>
      <c r="C1257" s="22" t="n">
        <v>1</v>
      </c>
      <c r="D1257" s="41" t="n">
        <v>5440.05</v>
      </c>
      <c r="E1257" s="22" t="n">
        <f aca="false">MONTH(A1257)</f>
        <v>6</v>
      </c>
    </row>
    <row r="1258" customFormat="false" ht="15" hidden="false" customHeight="false" outlineLevel="0" collapsed="false">
      <c r="A1258" s="21" t="n">
        <v>46192</v>
      </c>
      <c r="B1258" s="22" t="s">
        <v>189</v>
      </c>
      <c r="C1258" s="22" t="n">
        <v>2</v>
      </c>
      <c r="D1258" s="41" t="n">
        <v>6152.202</v>
      </c>
      <c r="E1258" s="22" t="n">
        <f aca="false">MONTH(A1258)</f>
        <v>6</v>
      </c>
    </row>
    <row r="1259" customFormat="false" ht="15" hidden="false" customHeight="false" outlineLevel="0" collapsed="false">
      <c r="A1259" s="21" t="n">
        <v>46192</v>
      </c>
      <c r="B1259" s="22" t="s">
        <v>359</v>
      </c>
      <c r="C1259" s="22" t="n">
        <v>1</v>
      </c>
      <c r="D1259" s="41" t="n">
        <v>4368.32</v>
      </c>
      <c r="E1259" s="22" t="n">
        <f aca="false">MONTH(A1259)</f>
        <v>6</v>
      </c>
    </row>
    <row r="1260" customFormat="false" ht="15" hidden="false" customHeight="false" outlineLevel="0" collapsed="false">
      <c r="A1260" s="21" t="n">
        <v>46192</v>
      </c>
      <c r="B1260" s="22" t="s">
        <v>360</v>
      </c>
      <c r="C1260" s="22" t="n">
        <v>1</v>
      </c>
      <c r="D1260" s="41" t="n">
        <v>980.943</v>
      </c>
      <c r="E1260" s="22" t="n">
        <f aca="false">MONTH(A1260)</f>
        <v>6</v>
      </c>
    </row>
    <row r="1261" customFormat="false" ht="15" hidden="false" customHeight="false" outlineLevel="0" collapsed="false">
      <c r="A1261" s="21" t="n">
        <v>46193</v>
      </c>
      <c r="B1261" s="22" t="s">
        <v>361</v>
      </c>
      <c r="C1261" s="22" t="n">
        <v>1</v>
      </c>
      <c r="D1261" s="41" t="n">
        <v>16025.32</v>
      </c>
      <c r="E1261" s="22" t="n">
        <f aca="false">MONTH(A1261)</f>
        <v>6</v>
      </c>
    </row>
    <row r="1262" customFormat="false" ht="15" hidden="false" customHeight="false" outlineLevel="0" collapsed="false">
      <c r="A1262" s="21" t="n">
        <v>46193</v>
      </c>
      <c r="B1262" s="22" t="s">
        <v>186</v>
      </c>
      <c r="C1262" s="22" t="n">
        <v>1</v>
      </c>
      <c r="D1262" s="41" t="n">
        <v>4454.11</v>
      </c>
      <c r="E1262" s="22" t="n">
        <f aca="false">MONTH(A1262)</f>
        <v>6</v>
      </c>
    </row>
    <row r="1263" customFormat="false" ht="15" hidden="false" customHeight="false" outlineLevel="0" collapsed="false">
      <c r="A1263" s="21" t="n">
        <v>46193</v>
      </c>
      <c r="B1263" s="22" t="s">
        <v>186</v>
      </c>
      <c r="C1263" s="22" t="n">
        <v>2</v>
      </c>
      <c r="D1263" s="41" t="n">
        <v>5283.496</v>
      </c>
      <c r="E1263" s="22" t="n">
        <f aca="false">MONTH(A1263)</f>
        <v>6</v>
      </c>
    </row>
    <row r="1264" customFormat="false" ht="15" hidden="false" customHeight="false" outlineLevel="0" collapsed="false">
      <c r="A1264" s="21" t="n">
        <v>46193</v>
      </c>
      <c r="B1264" s="22" t="s">
        <v>188</v>
      </c>
      <c r="C1264" s="22" t="n">
        <v>1</v>
      </c>
      <c r="D1264" s="41" t="n">
        <v>259.7</v>
      </c>
      <c r="E1264" s="22" t="n">
        <f aca="false">MONTH(A1264)</f>
        <v>6</v>
      </c>
    </row>
    <row r="1265" customFormat="false" ht="15" hidden="false" customHeight="false" outlineLevel="0" collapsed="false">
      <c r="A1265" s="21" t="n">
        <v>46193</v>
      </c>
      <c r="B1265" s="22" t="s">
        <v>374</v>
      </c>
      <c r="C1265" s="22" t="n">
        <v>1</v>
      </c>
      <c r="D1265" s="41" t="n">
        <v>5945.688</v>
      </c>
      <c r="E1265" s="22" t="n">
        <f aca="false">MONTH(A1265)</f>
        <v>6</v>
      </c>
    </row>
    <row r="1266" customFormat="false" ht="15" hidden="false" customHeight="false" outlineLevel="0" collapsed="false">
      <c r="A1266" s="21" t="n">
        <v>46193</v>
      </c>
      <c r="B1266" s="22" t="s">
        <v>375</v>
      </c>
      <c r="C1266" s="22" t="n">
        <v>2</v>
      </c>
      <c r="D1266" s="41" t="n">
        <v>8129.751</v>
      </c>
      <c r="E1266" s="22" t="n">
        <f aca="false">MONTH(A1266)</f>
        <v>6</v>
      </c>
    </row>
    <row r="1267" customFormat="false" ht="15" hidden="false" customHeight="false" outlineLevel="0" collapsed="false">
      <c r="A1267" s="21" t="n">
        <v>46193</v>
      </c>
      <c r="B1267" s="22" t="s">
        <v>187</v>
      </c>
      <c r="C1267" s="22" t="n">
        <v>1</v>
      </c>
      <c r="D1267" s="41" t="n">
        <v>3067.106</v>
      </c>
      <c r="E1267" s="22" t="n">
        <f aca="false">MONTH(A1267)</f>
        <v>6</v>
      </c>
    </row>
    <row r="1268" customFormat="false" ht="15" hidden="false" customHeight="false" outlineLevel="0" collapsed="false">
      <c r="A1268" s="21" t="n">
        <v>46193</v>
      </c>
      <c r="B1268" s="22" t="s">
        <v>187</v>
      </c>
      <c r="C1268" s="22" t="n">
        <v>2</v>
      </c>
      <c r="D1268" s="41" t="n">
        <v>5539.45</v>
      </c>
      <c r="E1268" s="22" t="n">
        <f aca="false">MONTH(A1268)</f>
        <v>6</v>
      </c>
    </row>
    <row r="1269" customFormat="false" ht="15" hidden="false" customHeight="false" outlineLevel="0" collapsed="false">
      <c r="A1269" s="21" t="n">
        <v>46193</v>
      </c>
      <c r="B1269" s="22" t="s">
        <v>189</v>
      </c>
      <c r="C1269" s="22" t="n">
        <v>1</v>
      </c>
      <c r="D1269" s="41" t="n">
        <v>4876.263</v>
      </c>
      <c r="E1269" s="22" t="n">
        <f aca="false">MONTH(A1269)</f>
        <v>6</v>
      </c>
    </row>
    <row r="1270" customFormat="false" ht="15" hidden="false" customHeight="false" outlineLevel="0" collapsed="false">
      <c r="A1270" s="21" t="n">
        <v>46193</v>
      </c>
      <c r="B1270" s="22" t="s">
        <v>189</v>
      </c>
      <c r="C1270" s="22" t="n">
        <v>2</v>
      </c>
      <c r="D1270" s="41" t="n">
        <v>4628.988</v>
      </c>
      <c r="E1270" s="22" t="n">
        <f aca="false">MONTH(A1270)</f>
        <v>6</v>
      </c>
    </row>
    <row r="1271" customFormat="false" ht="15" hidden="false" customHeight="false" outlineLevel="0" collapsed="false">
      <c r="A1271" s="21" t="n">
        <v>46193</v>
      </c>
      <c r="B1271" s="22" t="s">
        <v>359</v>
      </c>
      <c r="C1271" s="22" t="n">
        <v>1</v>
      </c>
      <c r="D1271" s="41" t="n">
        <v>3725.92</v>
      </c>
      <c r="E1271" s="22" t="n">
        <f aca="false">MONTH(A1271)</f>
        <v>6</v>
      </c>
    </row>
    <row r="1272" customFormat="false" ht="15" hidden="false" customHeight="false" outlineLevel="0" collapsed="false">
      <c r="A1272" s="21" t="n">
        <v>46193</v>
      </c>
      <c r="B1272" s="22" t="s">
        <v>360</v>
      </c>
      <c r="C1272" s="22" t="n">
        <v>1</v>
      </c>
      <c r="D1272" s="41" t="n">
        <v>542.209</v>
      </c>
      <c r="E1272" s="22" t="n">
        <f aca="false">MONTH(A1272)</f>
        <v>6</v>
      </c>
    </row>
    <row r="1273" customFormat="false" ht="15" hidden="false" customHeight="false" outlineLevel="0" collapsed="false">
      <c r="A1273" s="21" t="n">
        <v>46195</v>
      </c>
      <c r="B1273" s="22" t="s">
        <v>361</v>
      </c>
      <c r="C1273" s="22" t="n">
        <v>1</v>
      </c>
      <c r="D1273" s="41" t="n">
        <v>21051.225</v>
      </c>
      <c r="E1273" s="22" t="n">
        <f aca="false">MONTH(A1273)</f>
        <v>6</v>
      </c>
    </row>
    <row r="1274" customFormat="false" ht="15" hidden="false" customHeight="false" outlineLevel="0" collapsed="false">
      <c r="A1274" s="21" t="n">
        <v>46195</v>
      </c>
      <c r="B1274" s="22" t="s">
        <v>361</v>
      </c>
      <c r="C1274" s="22" t="n">
        <v>2</v>
      </c>
      <c r="D1274" s="41" t="n">
        <v>24517.78</v>
      </c>
      <c r="E1274" s="22" t="n">
        <f aca="false">MONTH(A1274)</f>
        <v>6</v>
      </c>
    </row>
    <row r="1275" customFormat="false" ht="15" hidden="false" customHeight="false" outlineLevel="0" collapsed="false">
      <c r="A1275" s="21" t="n">
        <v>46195</v>
      </c>
      <c r="B1275" s="22" t="s">
        <v>186</v>
      </c>
      <c r="C1275" s="22" t="n">
        <v>1</v>
      </c>
      <c r="D1275" s="41" t="n">
        <v>5821.061</v>
      </c>
      <c r="E1275" s="22" t="n">
        <f aca="false">MONTH(A1275)</f>
        <v>6</v>
      </c>
    </row>
    <row r="1276" customFormat="false" ht="15" hidden="false" customHeight="false" outlineLevel="0" collapsed="false">
      <c r="A1276" s="21" t="n">
        <v>46195</v>
      </c>
      <c r="B1276" s="22" t="s">
        <v>186</v>
      </c>
      <c r="C1276" s="22" t="n">
        <v>2</v>
      </c>
      <c r="D1276" s="41" t="n">
        <v>6681.165</v>
      </c>
      <c r="E1276" s="22" t="n">
        <f aca="false">MONTH(A1276)</f>
        <v>6</v>
      </c>
    </row>
    <row r="1277" customFormat="false" ht="15" hidden="false" customHeight="false" outlineLevel="0" collapsed="false">
      <c r="A1277" s="21" t="n">
        <v>46195</v>
      </c>
      <c r="B1277" s="22" t="s">
        <v>188</v>
      </c>
      <c r="C1277" s="22" t="n">
        <v>1</v>
      </c>
      <c r="D1277" s="41" t="n">
        <v>411.6</v>
      </c>
      <c r="E1277" s="22" t="n">
        <f aca="false">MONTH(A1277)</f>
        <v>6</v>
      </c>
    </row>
    <row r="1278" customFormat="false" ht="15" hidden="false" customHeight="false" outlineLevel="0" collapsed="false">
      <c r="A1278" s="21" t="n">
        <v>46195</v>
      </c>
      <c r="B1278" s="22" t="s">
        <v>374</v>
      </c>
      <c r="C1278" s="22" t="n">
        <v>1</v>
      </c>
      <c r="D1278" s="41" t="n">
        <v>6135.192</v>
      </c>
      <c r="E1278" s="22" t="n">
        <f aca="false">MONTH(A1278)</f>
        <v>6</v>
      </c>
    </row>
    <row r="1279" customFormat="false" ht="15" hidden="false" customHeight="false" outlineLevel="0" collapsed="false">
      <c r="A1279" s="21" t="n">
        <v>46195</v>
      </c>
      <c r="B1279" s="22" t="s">
        <v>375</v>
      </c>
      <c r="C1279" s="22" t="n">
        <v>2</v>
      </c>
      <c r="D1279" s="41" t="n">
        <v>12482.359</v>
      </c>
      <c r="E1279" s="22" t="n">
        <f aca="false">MONTH(A1279)</f>
        <v>6</v>
      </c>
    </row>
    <row r="1280" customFormat="false" ht="15" hidden="false" customHeight="false" outlineLevel="0" collapsed="false">
      <c r="A1280" s="21" t="n">
        <v>46195</v>
      </c>
      <c r="B1280" s="22" t="s">
        <v>187</v>
      </c>
      <c r="C1280" s="22" t="n">
        <v>1</v>
      </c>
      <c r="D1280" s="41" t="n">
        <v>6577.368</v>
      </c>
      <c r="E1280" s="22" t="n">
        <f aca="false">MONTH(A1280)</f>
        <v>6</v>
      </c>
    </row>
    <row r="1281" customFormat="false" ht="15" hidden="false" customHeight="false" outlineLevel="0" collapsed="false">
      <c r="A1281" s="21" t="n">
        <v>46195</v>
      </c>
      <c r="B1281" s="22" t="s">
        <v>187</v>
      </c>
      <c r="C1281" s="22" t="n">
        <v>2</v>
      </c>
      <c r="D1281" s="41" t="n">
        <v>6682.326</v>
      </c>
      <c r="E1281" s="22" t="n">
        <f aca="false">MONTH(A1281)</f>
        <v>6</v>
      </c>
    </row>
    <row r="1282" customFormat="false" ht="15" hidden="false" customHeight="false" outlineLevel="0" collapsed="false">
      <c r="A1282" s="21" t="n">
        <v>46195</v>
      </c>
      <c r="B1282" s="22" t="s">
        <v>189</v>
      </c>
      <c r="C1282" s="22" t="n">
        <v>1</v>
      </c>
      <c r="D1282" s="41" t="n">
        <v>5598.306</v>
      </c>
      <c r="E1282" s="22" t="n">
        <f aca="false">MONTH(A1282)</f>
        <v>6</v>
      </c>
    </row>
    <row r="1283" customFormat="false" ht="15" hidden="false" customHeight="false" outlineLevel="0" collapsed="false">
      <c r="A1283" s="21" t="n">
        <v>46195</v>
      </c>
      <c r="B1283" s="22" t="s">
        <v>359</v>
      </c>
      <c r="C1283" s="22" t="n">
        <v>1</v>
      </c>
      <c r="D1283" s="41" t="n">
        <v>3515.68</v>
      </c>
      <c r="E1283" s="22" t="n">
        <f aca="false">MONTH(A1283)</f>
        <v>6</v>
      </c>
    </row>
    <row r="1284" customFormat="false" ht="15" hidden="false" customHeight="false" outlineLevel="0" collapsed="false">
      <c r="A1284" s="21" t="n">
        <v>46196</v>
      </c>
      <c r="B1284" s="22" t="s">
        <v>361</v>
      </c>
      <c r="C1284" s="22" t="n">
        <v>1</v>
      </c>
      <c r="D1284" s="41" t="n">
        <v>23102.37</v>
      </c>
      <c r="E1284" s="22" t="n">
        <f aca="false">MONTH(A1284)</f>
        <v>6</v>
      </c>
    </row>
    <row r="1285" customFormat="false" ht="15" hidden="false" customHeight="false" outlineLevel="0" collapsed="false">
      <c r="A1285" s="21" t="n">
        <v>46196</v>
      </c>
      <c r="B1285" s="22" t="s">
        <v>361</v>
      </c>
      <c r="C1285" s="22" t="n">
        <v>2</v>
      </c>
      <c r="D1285" s="41" t="n">
        <v>12424.16</v>
      </c>
      <c r="E1285" s="22" t="n">
        <f aca="false">MONTH(A1285)</f>
        <v>6</v>
      </c>
    </row>
    <row r="1286" customFormat="false" ht="15" hidden="false" customHeight="false" outlineLevel="0" collapsed="false">
      <c r="A1286" s="21" t="n">
        <v>46196</v>
      </c>
      <c r="B1286" s="22" t="s">
        <v>186</v>
      </c>
      <c r="C1286" s="22" t="n">
        <v>1</v>
      </c>
      <c r="D1286" s="41" t="n">
        <v>5283.496</v>
      </c>
      <c r="E1286" s="22" t="n">
        <f aca="false">MONTH(A1286)</f>
        <v>6</v>
      </c>
    </row>
    <row r="1287" customFormat="false" ht="15" hidden="false" customHeight="false" outlineLevel="0" collapsed="false">
      <c r="A1287" s="21" t="n">
        <v>46196</v>
      </c>
      <c r="B1287" s="22" t="s">
        <v>186</v>
      </c>
      <c r="C1287" s="22" t="n">
        <v>2</v>
      </c>
      <c r="D1287" s="41" t="n">
        <v>4761.29</v>
      </c>
      <c r="E1287" s="22" t="n">
        <f aca="false">MONTH(A1287)</f>
        <v>6</v>
      </c>
    </row>
    <row r="1288" customFormat="false" ht="15" hidden="false" customHeight="false" outlineLevel="0" collapsed="false">
      <c r="A1288" s="21" t="n">
        <v>46196</v>
      </c>
      <c r="B1288" s="22" t="s">
        <v>188</v>
      </c>
      <c r="C1288" s="22" t="n">
        <v>1</v>
      </c>
      <c r="D1288" s="41" t="n">
        <v>1200.5</v>
      </c>
      <c r="E1288" s="22" t="n">
        <f aca="false">MONTH(A1288)</f>
        <v>6</v>
      </c>
    </row>
    <row r="1289" customFormat="false" ht="15" hidden="false" customHeight="false" outlineLevel="0" collapsed="false">
      <c r="A1289" s="21" t="n">
        <v>46196</v>
      </c>
      <c r="B1289" s="22" t="s">
        <v>374</v>
      </c>
      <c r="C1289" s="22" t="n">
        <v>1</v>
      </c>
      <c r="D1289" s="41" t="n">
        <v>6439.281</v>
      </c>
      <c r="E1289" s="22" t="n">
        <f aca="false">MONTH(A1289)</f>
        <v>6</v>
      </c>
    </row>
    <row r="1290" customFormat="false" ht="15" hidden="false" customHeight="false" outlineLevel="0" collapsed="false">
      <c r="A1290" s="21" t="n">
        <v>46196</v>
      </c>
      <c r="B1290" s="22" t="s">
        <v>375</v>
      </c>
      <c r="C1290" s="22" t="n">
        <v>1</v>
      </c>
      <c r="D1290" s="41" t="n">
        <v>1088.152</v>
      </c>
      <c r="E1290" s="22" t="n">
        <f aca="false">MONTH(A1290)</f>
        <v>6</v>
      </c>
    </row>
    <row r="1291" customFormat="false" ht="15" hidden="false" customHeight="false" outlineLevel="0" collapsed="false">
      <c r="A1291" s="21" t="n">
        <v>46196</v>
      </c>
      <c r="B1291" s="22" t="s">
        <v>375</v>
      </c>
      <c r="C1291" s="22" t="n">
        <v>2</v>
      </c>
      <c r="D1291" s="41" t="n">
        <v>9772.442</v>
      </c>
      <c r="E1291" s="22" t="n">
        <f aca="false">MONTH(A1291)</f>
        <v>6</v>
      </c>
    </row>
    <row r="1292" customFormat="false" ht="15" hidden="false" customHeight="false" outlineLevel="0" collapsed="false">
      <c r="A1292" s="21" t="n">
        <v>46196</v>
      </c>
      <c r="B1292" s="22" t="s">
        <v>187</v>
      </c>
      <c r="C1292" s="22" t="n">
        <v>1</v>
      </c>
      <c r="D1292" s="41" t="n">
        <v>5475.309</v>
      </c>
      <c r="E1292" s="22" t="n">
        <f aca="false">MONTH(A1292)</f>
        <v>6</v>
      </c>
    </row>
    <row r="1293" customFormat="false" ht="15" hidden="false" customHeight="false" outlineLevel="0" collapsed="false">
      <c r="A1293" s="21" t="n">
        <v>46196</v>
      </c>
      <c r="B1293" s="22" t="s">
        <v>187</v>
      </c>
      <c r="C1293" s="22" t="n">
        <v>2</v>
      </c>
      <c r="D1293" s="41" t="n">
        <v>5172.097</v>
      </c>
      <c r="E1293" s="22" t="n">
        <f aca="false">MONTH(A1293)</f>
        <v>6</v>
      </c>
    </row>
    <row r="1294" customFormat="false" ht="15" hidden="false" customHeight="false" outlineLevel="0" collapsed="false">
      <c r="A1294" s="21" t="n">
        <v>46196</v>
      </c>
      <c r="B1294" s="22" t="s">
        <v>189</v>
      </c>
      <c r="C1294" s="22" t="n">
        <v>1</v>
      </c>
      <c r="D1294" s="41" t="n">
        <v>6856.875</v>
      </c>
      <c r="E1294" s="22" t="n">
        <f aca="false">MONTH(A1294)</f>
        <v>6</v>
      </c>
    </row>
    <row r="1295" customFormat="false" ht="15" hidden="false" customHeight="false" outlineLevel="0" collapsed="false">
      <c r="A1295" s="21" t="n">
        <v>46196</v>
      </c>
      <c r="B1295" s="22" t="s">
        <v>359</v>
      </c>
      <c r="C1295" s="22" t="n">
        <v>1</v>
      </c>
      <c r="D1295" s="41" t="n">
        <v>4064.64</v>
      </c>
      <c r="E1295" s="22" t="n">
        <f aca="false">MONTH(A1295)</f>
        <v>6</v>
      </c>
    </row>
    <row r="1296" customFormat="false" ht="15" hidden="false" customHeight="false" outlineLevel="0" collapsed="false">
      <c r="A1296" s="21" t="n">
        <v>46197</v>
      </c>
      <c r="B1296" s="22" t="s">
        <v>361</v>
      </c>
      <c r="C1296" s="22" t="n">
        <v>1</v>
      </c>
      <c r="D1296" s="41" t="n">
        <v>18259.36</v>
      </c>
      <c r="E1296" s="22" t="n">
        <f aca="false">MONTH(A1296)</f>
        <v>6</v>
      </c>
    </row>
    <row r="1297" customFormat="false" ht="15" hidden="false" customHeight="false" outlineLevel="0" collapsed="false">
      <c r="A1297" s="21" t="n">
        <v>46197</v>
      </c>
      <c r="B1297" s="22" t="s">
        <v>361</v>
      </c>
      <c r="C1297" s="22" t="n">
        <v>2</v>
      </c>
      <c r="D1297" s="41" t="n">
        <v>26439.42</v>
      </c>
      <c r="E1297" s="22" t="n">
        <f aca="false">MONTH(A1297)</f>
        <v>6</v>
      </c>
    </row>
    <row r="1298" customFormat="false" ht="15" hidden="false" customHeight="false" outlineLevel="0" collapsed="false">
      <c r="A1298" s="21" t="n">
        <v>46197</v>
      </c>
      <c r="B1298" s="22" t="s">
        <v>186</v>
      </c>
      <c r="C1298" s="22" t="n">
        <v>2</v>
      </c>
      <c r="D1298" s="41" t="n">
        <v>6512.216</v>
      </c>
      <c r="E1298" s="22" t="n">
        <f aca="false">MONTH(A1298)</f>
        <v>6</v>
      </c>
    </row>
    <row r="1299" customFormat="false" ht="15" hidden="false" customHeight="false" outlineLevel="0" collapsed="false">
      <c r="A1299" s="21" t="n">
        <v>46197</v>
      </c>
      <c r="B1299" s="22" t="s">
        <v>188</v>
      </c>
      <c r="C1299" s="22" t="n">
        <v>1</v>
      </c>
      <c r="D1299" s="41" t="n">
        <v>2244.2</v>
      </c>
      <c r="E1299" s="22" t="n">
        <f aca="false">MONTH(A1299)</f>
        <v>6</v>
      </c>
    </row>
    <row r="1300" customFormat="false" ht="15" hidden="false" customHeight="false" outlineLevel="0" collapsed="false">
      <c r="A1300" s="21" t="n">
        <v>46197</v>
      </c>
      <c r="B1300" s="22" t="s">
        <v>374</v>
      </c>
      <c r="C1300" s="22" t="n">
        <v>1</v>
      </c>
      <c r="D1300" s="41" t="n">
        <v>7384.764</v>
      </c>
      <c r="E1300" s="22" t="n">
        <f aca="false">MONTH(A1300)</f>
        <v>6</v>
      </c>
    </row>
    <row r="1301" customFormat="false" ht="15" hidden="false" customHeight="false" outlineLevel="0" collapsed="false">
      <c r="A1301" s="21" t="n">
        <v>46197</v>
      </c>
      <c r="B1301" s="22" t="s">
        <v>375</v>
      </c>
      <c r="C1301" s="22" t="n">
        <v>1</v>
      </c>
      <c r="D1301" s="41" t="n">
        <v>11875.505</v>
      </c>
      <c r="E1301" s="22" t="n">
        <f aca="false">MONTH(A1301)</f>
        <v>6</v>
      </c>
    </row>
    <row r="1302" customFormat="false" ht="15" hidden="false" customHeight="false" outlineLevel="0" collapsed="false">
      <c r="A1302" s="21" t="n">
        <v>46197</v>
      </c>
      <c r="B1302" s="22" t="s">
        <v>375</v>
      </c>
      <c r="C1302" s="22" t="n">
        <v>2</v>
      </c>
      <c r="D1302" s="41" t="n">
        <v>12231.247</v>
      </c>
      <c r="E1302" s="22" t="n">
        <f aca="false">MONTH(A1302)</f>
        <v>6</v>
      </c>
    </row>
    <row r="1303" customFormat="false" ht="15" hidden="false" customHeight="false" outlineLevel="0" collapsed="false">
      <c r="A1303" s="21" t="n">
        <v>46197</v>
      </c>
      <c r="B1303" s="22" t="s">
        <v>187</v>
      </c>
      <c r="C1303" s="22" t="n">
        <v>1</v>
      </c>
      <c r="D1303" s="41" t="n">
        <v>6810.608</v>
      </c>
      <c r="E1303" s="22" t="n">
        <f aca="false">MONTH(A1303)</f>
        <v>6</v>
      </c>
    </row>
    <row r="1304" customFormat="false" ht="15" hidden="false" customHeight="false" outlineLevel="0" collapsed="false">
      <c r="A1304" s="21" t="n">
        <v>46197</v>
      </c>
      <c r="B1304" s="22" t="s">
        <v>187</v>
      </c>
      <c r="C1304" s="22" t="n">
        <v>2</v>
      </c>
      <c r="D1304" s="41" t="n">
        <v>7148.806</v>
      </c>
      <c r="E1304" s="22" t="n">
        <f aca="false">MONTH(A1304)</f>
        <v>6</v>
      </c>
    </row>
    <row r="1305" customFormat="false" ht="15" hidden="false" customHeight="false" outlineLevel="0" collapsed="false">
      <c r="A1305" s="21" t="n">
        <v>46197</v>
      </c>
      <c r="B1305" s="22" t="s">
        <v>189</v>
      </c>
      <c r="C1305" s="22" t="n">
        <v>1</v>
      </c>
      <c r="D1305" s="41" t="n">
        <v>14274.225</v>
      </c>
      <c r="E1305" s="22" t="n">
        <f aca="false">MONTH(A1305)</f>
        <v>6</v>
      </c>
    </row>
    <row r="1306" customFormat="false" ht="15" hidden="false" customHeight="false" outlineLevel="0" collapsed="false">
      <c r="A1306" s="21" t="n">
        <v>46198</v>
      </c>
      <c r="B1306" s="22" t="s">
        <v>361</v>
      </c>
      <c r="C1306" s="22" t="n">
        <v>1</v>
      </c>
      <c r="D1306" s="41" t="n">
        <v>25689.72</v>
      </c>
      <c r="E1306" s="22" t="n">
        <f aca="false">MONTH(A1306)</f>
        <v>6</v>
      </c>
    </row>
    <row r="1307" customFormat="false" ht="15" hidden="false" customHeight="false" outlineLevel="0" collapsed="false">
      <c r="A1307" s="21" t="n">
        <v>46198</v>
      </c>
      <c r="B1307" s="22" t="s">
        <v>361</v>
      </c>
      <c r="C1307" s="22" t="n">
        <v>2</v>
      </c>
      <c r="D1307" s="41" t="n">
        <v>33419.96</v>
      </c>
      <c r="E1307" s="22" t="n">
        <f aca="false">MONTH(A1307)</f>
        <v>6</v>
      </c>
    </row>
    <row r="1308" customFormat="false" ht="15" hidden="false" customHeight="false" outlineLevel="0" collapsed="false">
      <c r="A1308" s="21" t="n">
        <v>46198</v>
      </c>
      <c r="B1308" s="22" t="s">
        <v>186</v>
      </c>
      <c r="C1308" s="22" t="n">
        <v>1</v>
      </c>
      <c r="D1308" s="41" t="n">
        <v>6512.216</v>
      </c>
      <c r="E1308" s="22" t="n">
        <f aca="false">MONTH(A1308)</f>
        <v>6</v>
      </c>
    </row>
    <row r="1309" customFormat="false" ht="15" hidden="false" customHeight="false" outlineLevel="0" collapsed="false">
      <c r="A1309" s="21" t="n">
        <v>46198</v>
      </c>
      <c r="B1309" s="22" t="s">
        <v>186</v>
      </c>
      <c r="C1309" s="22" t="n">
        <v>2</v>
      </c>
      <c r="D1309" s="41" t="n">
        <v>5990.01</v>
      </c>
      <c r="E1309" s="22" t="n">
        <f aca="false">MONTH(A1309)</f>
        <v>6</v>
      </c>
    </row>
    <row r="1310" customFormat="false" ht="15" hidden="false" customHeight="false" outlineLevel="0" collapsed="false">
      <c r="A1310" s="21" t="n">
        <v>46198</v>
      </c>
      <c r="B1310" s="22" t="s">
        <v>188</v>
      </c>
      <c r="C1310" s="22" t="n">
        <v>1</v>
      </c>
      <c r="D1310" s="41" t="n">
        <v>2312.8</v>
      </c>
      <c r="E1310" s="22" t="n">
        <f aca="false">MONTH(A1310)</f>
        <v>6</v>
      </c>
    </row>
    <row r="1311" customFormat="false" ht="15" hidden="false" customHeight="false" outlineLevel="0" collapsed="false">
      <c r="A1311" s="21" t="n">
        <v>46198</v>
      </c>
      <c r="B1311" s="22" t="s">
        <v>374</v>
      </c>
      <c r="C1311" s="22" t="n">
        <v>1</v>
      </c>
      <c r="D1311" s="41" t="n">
        <v>7238.37</v>
      </c>
      <c r="E1311" s="22" t="n">
        <f aca="false">MONTH(A1311)</f>
        <v>6</v>
      </c>
    </row>
    <row r="1312" customFormat="false" ht="15" hidden="false" customHeight="false" outlineLevel="0" collapsed="false">
      <c r="A1312" s="21" t="n">
        <v>46198</v>
      </c>
      <c r="B1312" s="22" t="s">
        <v>375</v>
      </c>
      <c r="C1312" s="22" t="n">
        <v>1</v>
      </c>
      <c r="D1312" s="41" t="n">
        <v>11174.484</v>
      </c>
      <c r="E1312" s="22" t="n">
        <f aca="false">MONTH(A1312)</f>
        <v>6</v>
      </c>
    </row>
    <row r="1313" customFormat="false" ht="15" hidden="false" customHeight="false" outlineLevel="0" collapsed="false">
      <c r="A1313" s="21" t="n">
        <v>46198</v>
      </c>
      <c r="B1313" s="22" t="s">
        <v>375</v>
      </c>
      <c r="C1313" s="22" t="n">
        <v>2</v>
      </c>
      <c r="D1313" s="41" t="n">
        <v>12660.23</v>
      </c>
      <c r="E1313" s="22" t="n">
        <f aca="false">MONTH(A1313)</f>
        <v>6</v>
      </c>
    </row>
    <row r="1314" customFormat="false" ht="15" hidden="false" customHeight="false" outlineLevel="0" collapsed="false">
      <c r="A1314" s="21" t="n">
        <v>46198</v>
      </c>
      <c r="B1314" s="22" t="s">
        <v>187</v>
      </c>
      <c r="C1314" s="22" t="n">
        <v>1</v>
      </c>
      <c r="D1314" s="41" t="n">
        <v>3656.037</v>
      </c>
      <c r="E1314" s="22" t="n">
        <f aca="false">MONTH(A1314)</f>
        <v>6</v>
      </c>
    </row>
    <row r="1315" customFormat="false" ht="15" hidden="false" customHeight="false" outlineLevel="0" collapsed="false">
      <c r="A1315" s="21" t="n">
        <v>46198</v>
      </c>
      <c r="B1315" s="22" t="s">
        <v>187</v>
      </c>
      <c r="C1315" s="22" t="n">
        <v>2</v>
      </c>
      <c r="D1315" s="41" t="n">
        <v>3580.234</v>
      </c>
      <c r="E1315" s="22" t="n">
        <f aca="false">MONTH(A1315)</f>
        <v>6</v>
      </c>
    </row>
    <row r="1316" customFormat="false" ht="15" hidden="false" customHeight="false" outlineLevel="0" collapsed="false">
      <c r="A1316" s="21" t="n">
        <v>46198</v>
      </c>
      <c r="B1316" s="22" t="s">
        <v>189</v>
      </c>
      <c r="C1316" s="22" t="n">
        <v>1</v>
      </c>
      <c r="D1316" s="41" t="n">
        <v>15407.1</v>
      </c>
      <c r="E1316" s="22" t="n">
        <f aca="false">MONTH(A1316)</f>
        <v>6</v>
      </c>
    </row>
    <row r="1317" customFormat="false" ht="15" hidden="false" customHeight="false" outlineLevel="0" collapsed="false">
      <c r="A1317" s="21" t="n">
        <v>46199</v>
      </c>
      <c r="B1317" s="22" t="s">
        <v>361</v>
      </c>
      <c r="C1317" s="22" t="n">
        <v>1</v>
      </c>
      <c r="D1317" s="41" t="n">
        <v>36535.38</v>
      </c>
      <c r="E1317" s="22" t="n">
        <f aca="false">MONTH(A1317)</f>
        <v>6</v>
      </c>
    </row>
    <row r="1318" customFormat="false" ht="15" hidden="false" customHeight="false" outlineLevel="0" collapsed="false">
      <c r="A1318" s="21" t="n">
        <v>46199</v>
      </c>
      <c r="B1318" s="22" t="s">
        <v>361</v>
      </c>
      <c r="C1318" s="22" t="n">
        <v>2</v>
      </c>
      <c r="D1318" s="41" t="n">
        <v>7880.18</v>
      </c>
      <c r="E1318" s="22" t="n">
        <f aca="false">MONTH(A1318)</f>
        <v>6</v>
      </c>
    </row>
    <row r="1319" customFormat="false" ht="15" hidden="false" customHeight="false" outlineLevel="0" collapsed="false">
      <c r="A1319" s="21" t="n">
        <v>46199</v>
      </c>
      <c r="B1319" s="22" t="s">
        <v>186</v>
      </c>
      <c r="C1319" s="22" t="n">
        <v>2</v>
      </c>
      <c r="D1319" s="41" t="n">
        <v>4699.854</v>
      </c>
      <c r="E1319" s="22" t="n">
        <f aca="false">MONTH(A1319)</f>
        <v>6</v>
      </c>
    </row>
    <row r="1320" customFormat="false" ht="15" hidden="false" customHeight="false" outlineLevel="0" collapsed="false">
      <c r="A1320" s="21" t="n">
        <v>46199</v>
      </c>
      <c r="B1320" s="22" t="s">
        <v>188</v>
      </c>
      <c r="C1320" s="22" t="n">
        <v>1</v>
      </c>
      <c r="D1320" s="41" t="n">
        <v>2013.9</v>
      </c>
      <c r="E1320" s="22" t="n">
        <f aca="false">MONTH(A1320)</f>
        <v>6</v>
      </c>
    </row>
    <row r="1321" customFormat="false" ht="15" hidden="false" customHeight="false" outlineLevel="0" collapsed="false">
      <c r="A1321" s="21" t="n">
        <v>46199</v>
      </c>
      <c r="B1321" s="22" t="s">
        <v>374</v>
      </c>
      <c r="C1321" s="22" t="n">
        <v>1</v>
      </c>
      <c r="D1321" s="41" t="n">
        <v>5183.178</v>
      </c>
      <c r="E1321" s="22" t="n">
        <f aca="false">MONTH(A1321)</f>
        <v>6</v>
      </c>
    </row>
    <row r="1322" customFormat="false" ht="15" hidden="false" customHeight="false" outlineLevel="0" collapsed="false">
      <c r="A1322" s="21" t="n">
        <v>46199</v>
      </c>
      <c r="B1322" s="22" t="s">
        <v>375</v>
      </c>
      <c r="C1322" s="22" t="n">
        <v>1</v>
      </c>
      <c r="D1322" s="41" t="n">
        <v>11885.968</v>
      </c>
      <c r="E1322" s="22" t="n">
        <f aca="false">MONTH(A1322)</f>
        <v>6</v>
      </c>
    </row>
    <row r="1323" customFormat="false" ht="15" hidden="false" customHeight="false" outlineLevel="0" collapsed="false">
      <c r="A1323" s="21" t="n">
        <v>46199</v>
      </c>
      <c r="B1323" s="22" t="s">
        <v>375</v>
      </c>
      <c r="C1323" s="22" t="n">
        <v>2</v>
      </c>
      <c r="D1323" s="41" t="n">
        <v>12723.008</v>
      </c>
      <c r="E1323" s="22" t="n">
        <f aca="false">MONTH(A1323)</f>
        <v>6</v>
      </c>
    </row>
    <row r="1324" customFormat="false" ht="15" hidden="false" customHeight="false" outlineLevel="0" collapsed="false">
      <c r="A1324" s="21" t="n">
        <v>46199</v>
      </c>
      <c r="B1324" s="22" t="s">
        <v>187</v>
      </c>
      <c r="C1324" s="22" t="n">
        <v>1</v>
      </c>
      <c r="D1324" s="41" t="n">
        <v>5189.59</v>
      </c>
      <c r="E1324" s="22" t="n">
        <f aca="false">MONTH(A1324)</f>
        <v>6</v>
      </c>
    </row>
    <row r="1325" customFormat="false" ht="15" hidden="false" customHeight="false" outlineLevel="0" collapsed="false">
      <c r="A1325" s="21" t="n">
        <v>46199</v>
      </c>
      <c r="B1325" s="22" t="s">
        <v>187</v>
      </c>
      <c r="C1325" s="22" t="n">
        <v>2</v>
      </c>
      <c r="D1325" s="41" t="n">
        <v>6349.959</v>
      </c>
      <c r="E1325" s="22" t="n">
        <f aca="false">MONTH(A1325)</f>
        <v>6</v>
      </c>
    </row>
    <row r="1326" customFormat="false" ht="15" hidden="false" customHeight="false" outlineLevel="0" collapsed="false">
      <c r="A1326" s="21" t="n">
        <v>46199</v>
      </c>
      <c r="B1326" s="22" t="s">
        <v>189</v>
      </c>
      <c r="C1326" s="22" t="n">
        <v>1</v>
      </c>
      <c r="D1326" s="41" t="n">
        <v>12175.425</v>
      </c>
      <c r="E1326" s="22" t="n">
        <f aca="false">MONTH(A1326)</f>
        <v>6</v>
      </c>
    </row>
    <row r="1327" customFormat="false" ht="15" hidden="false" customHeight="false" outlineLevel="0" collapsed="false">
      <c r="A1327" s="21" t="n">
        <v>46199</v>
      </c>
      <c r="B1327" s="22" t="s">
        <v>359</v>
      </c>
      <c r="C1327" s="22" t="n">
        <v>1</v>
      </c>
      <c r="D1327" s="41" t="n">
        <v>3141.92</v>
      </c>
      <c r="E1327" s="22" t="n">
        <f aca="false">MONTH(A1327)</f>
        <v>6</v>
      </c>
    </row>
    <row r="1328" customFormat="false" ht="15" hidden="false" customHeight="false" outlineLevel="0" collapsed="false">
      <c r="A1328" s="21" t="n">
        <v>46205</v>
      </c>
      <c r="B1328" s="22" t="s">
        <v>361</v>
      </c>
      <c r="C1328" s="22" t="n">
        <v>2</v>
      </c>
      <c r="D1328" s="41" t="n">
        <v>26356.12</v>
      </c>
      <c r="E1328" s="22" t="n">
        <f aca="false">MONTH(A1328)</f>
        <v>7</v>
      </c>
    </row>
    <row r="1329" customFormat="false" ht="15" hidden="false" customHeight="false" outlineLevel="0" collapsed="false">
      <c r="A1329" s="21" t="n">
        <v>46205</v>
      </c>
      <c r="B1329" s="22" t="s">
        <v>362</v>
      </c>
      <c r="C1329" s="22" t="n">
        <v>2</v>
      </c>
      <c r="D1329" s="41" t="n">
        <v>4804.349</v>
      </c>
      <c r="E1329" s="22" t="n">
        <f aca="false">MONTH(A1329)</f>
        <v>7</v>
      </c>
    </row>
    <row r="1330" customFormat="false" ht="15" hidden="false" customHeight="false" outlineLevel="0" collapsed="false">
      <c r="A1330" s="21" t="n">
        <v>46205</v>
      </c>
      <c r="B1330" s="22" t="s">
        <v>188</v>
      </c>
      <c r="C1330" s="22" t="n">
        <v>1</v>
      </c>
      <c r="D1330" s="41" t="n">
        <v>1793.4</v>
      </c>
      <c r="E1330" s="22" t="n">
        <f aca="false">MONTH(A1330)</f>
        <v>7</v>
      </c>
    </row>
    <row r="1331" customFormat="false" ht="15" hidden="false" customHeight="false" outlineLevel="0" collapsed="false">
      <c r="A1331" s="21" t="n">
        <v>46205</v>
      </c>
      <c r="B1331" s="22" t="s">
        <v>374</v>
      </c>
      <c r="C1331" s="22" t="n">
        <v>2</v>
      </c>
      <c r="D1331" s="41" t="n">
        <v>4954.941</v>
      </c>
      <c r="E1331" s="22" t="n">
        <f aca="false">MONTH(A1331)</f>
        <v>7</v>
      </c>
    </row>
    <row r="1332" customFormat="false" ht="15" hidden="false" customHeight="false" outlineLevel="0" collapsed="false">
      <c r="A1332" s="21" t="n">
        <v>46205</v>
      </c>
      <c r="B1332" s="22" t="s">
        <v>375</v>
      </c>
      <c r="C1332" s="22" t="n">
        <v>1</v>
      </c>
      <c r="D1332" s="41" t="n">
        <v>11425.596</v>
      </c>
      <c r="E1332" s="22" t="n">
        <f aca="false">MONTH(A1332)</f>
        <v>7</v>
      </c>
    </row>
    <row r="1333" customFormat="false" ht="15" hidden="false" customHeight="false" outlineLevel="0" collapsed="false">
      <c r="A1333" s="21" t="n">
        <v>46205</v>
      </c>
      <c r="B1333" s="22" t="s">
        <v>375</v>
      </c>
      <c r="C1333" s="22" t="n">
        <v>2</v>
      </c>
      <c r="D1333" s="41" t="n">
        <v>9730.59</v>
      </c>
      <c r="E1333" s="22" t="n">
        <f aca="false">MONTH(A1333)</f>
        <v>7</v>
      </c>
    </row>
    <row r="1334" customFormat="false" ht="15" hidden="false" customHeight="false" outlineLevel="0" collapsed="false">
      <c r="A1334" s="21" t="n">
        <v>46205</v>
      </c>
      <c r="B1334" s="22" t="s">
        <v>187</v>
      </c>
      <c r="C1334" s="22" t="n">
        <v>2</v>
      </c>
      <c r="D1334" s="41" t="n">
        <v>945.009</v>
      </c>
      <c r="E1334" s="22" t="n">
        <f aca="false">MONTH(A1334)</f>
        <v>7</v>
      </c>
    </row>
    <row r="1335" customFormat="false" ht="15" hidden="false" customHeight="false" outlineLevel="0" collapsed="false">
      <c r="A1335" s="21" t="n">
        <v>46205</v>
      </c>
      <c r="B1335" s="22" t="s">
        <v>189</v>
      </c>
      <c r="C1335" s="22" t="n">
        <v>1</v>
      </c>
      <c r="D1335" s="41" t="n">
        <v>12628.575</v>
      </c>
      <c r="E1335" s="22" t="n">
        <f aca="false">MONTH(A1335)</f>
        <v>7</v>
      </c>
    </row>
    <row r="1336" customFormat="false" ht="15" hidden="false" customHeight="false" outlineLevel="0" collapsed="false">
      <c r="A1336" s="21" t="n">
        <v>46205</v>
      </c>
      <c r="B1336" s="22" t="s">
        <v>189</v>
      </c>
      <c r="C1336" s="22" t="n">
        <v>2</v>
      </c>
      <c r="D1336" s="41" t="n">
        <v>12449.7</v>
      </c>
      <c r="E1336" s="22" t="n">
        <f aca="false">MONTH(A1336)</f>
        <v>7</v>
      </c>
    </row>
    <row r="1337" customFormat="false" ht="15" hidden="false" customHeight="false" outlineLevel="0" collapsed="false">
      <c r="A1337" s="21" t="n">
        <v>46206</v>
      </c>
      <c r="B1337" s="22" t="s">
        <v>361</v>
      </c>
      <c r="C1337" s="22" t="n">
        <v>2</v>
      </c>
      <c r="D1337" s="41" t="n">
        <v>31387.44</v>
      </c>
      <c r="E1337" s="22" t="n">
        <f aca="false">MONTH(A1337)</f>
        <v>7</v>
      </c>
    </row>
    <row r="1338" customFormat="false" ht="15" hidden="false" customHeight="false" outlineLevel="0" collapsed="false">
      <c r="A1338" s="21" t="n">
        <v>46206</v>
      </c>
      <c r="B1338" s="22" t="s">
        <v>362</v>
      </c>
      <c r="C1338" s="22" t="n">
        <v>2</v>
      </c>
      <c r="D1338" s="41" t="n">
        <v>8400.132</v>
      </c>
      <c r="E1338" s="22" t="n">
        <f aca="false">MONTH(A1338)</f>
        <v>7</v>
      </c>
    </row>
    <row r="1339" customFormat="false" ht="15" hidden="false" customHeight="false" outlineLevel="0" collapsed="false">
      <c r="A1339" s="21" t="n">
        <v>46206</v>
      </c>
      <c r="B1339" s="22" t="s">
        <v>186</v>
      </c>
      <c r="C1339" s="22" t="n">
        <v>1</v>
      </c>
      <c r="D1339" s="41" t="n">
        <v>4607.7</v>
      </c>
      <c r="E1339" s="22" t="n">
        <f aca="false">MONTH(A1339)</f>
        <v>7</v>
      </c>
    </row>
    <row r="1340" customFormat="false" ht="15" hidden="false" customHeight="false" outlineLevel="0" collapsed="false">
      <c r="A1340" s="21" t="n">
        <v>46206</v>
      </c>
      <c r="B1340" s="22" t="s">
        <v>188</v>
      </c>
      <c r="C1340" s="22" t="n">
        <v>1</v>
      </c>
      <c r="D1340" s="41" t="n">
        <v>2254</v>
      </c>
      <c r="E1340" s="22" t="n">
        <f aca="false">MONTH(A1340)</f>
        <v>7</v>
      </c>
    </row>
    <row r="1341" customFormat="false" ht="15" hidden="false" customHeight="false" outlineLevel="0" collapsed="false">
      <c r="A1341" s="21" t="n">
        <v>46206</v>
      </c>
      <c r="B1341" s="22" t="s">
        <v>374</v>
      </c>
      <c r="C1341" s="22" t="n">
        <v>2</v>
      </c>
      <c r="D1341" s="41" t="n">
        <v>6596.674</v>
      </c>
      <c r="E1341" s="22" t="n">
        <f aca="false">MONTH(A1341)</f>
        <v>7</v>
      </c>
    </row>
    <row r="1342" customFormat="false" ht="15" hidden="false" customHeight="false" outlineLevel="0" collapsed="false">
      <c r="A1342" s="21" t="n">
        <v>46206</v>
      </c>
      <c r="B1342" s="22" t="s">
        <v>375</v>
      </c>
      <c r="C1342" s="22" t="n">
        <v>1</v>
      </c>
      <c r="D1342" s="41" t="n">
        <v>12566.063</v>
      </c>
      <c r="E1342" s="22" t="n">
        <f aca="false">MONTH(A1342)</f>
        <v>7</v>
      </c>
    </row>
    <row r="1343" customFormat="false" ht="15" hidden="false" customHeight="false" outlineLevel="0" collapsed="false">
      <c r="A1343" s="21" t="n">
        <v>46206</v>
      </c>
      <c r="B1343" s="22" t="s">
        <v>375</v>
      </c>
      <c r="C1343" s="22" t="n">
        <v>2</v>
      </c>
      <c r="D1343" s="41" t="n">
        <v>12346.34</v>
      </c>
      <c r="E1343" s="22" t="n">
        <f aca="false">MONTH(A1343)</f>
        <v>7</v>
      </c>
    </row>
    <row r="1344" customFormat="false" ht="15" hidden="false" customHeight="false" outlineLevel="0" collapsed="false">
      <c r="A1344" s="21" t="n">
        <v>46206</v>
      </c>
      <c r="B1344" s="22" t="s">
        <v>187</v>
      </c>
      <c r="C1344" s="22" t="n">
        <v>1</v>
      </c>
      <c r="D1344" s="41" t="n">
        <v>384.15</v>
      </c>
      <c r="E1344" s="22" t="n">
        <f aca="false">MONTH(A1344)</f>
        <v>7</v>
      </c>
    </row>
    <row r="1345" customFormat="false" ht="15" hidden="false" customHeight="false" outlineLevel="0" collapsed="false">
      <c r="A1345" s="21" t="n">
        <v>46206</v>
      </c>
      <c r="B1345" s="22" t="s">
        <v>187</v>
      </c>
      <c r="C1345" s="22" t="n">
        <v>2</v>
      </c>
      <c r="D1345" s="41" t="n">
        <v>2374.047</v>
      </c>
      <c r="E1345" s="22" t="n">
        <f aca="false">MONTH(A1345)</f>
        <v>7</v>
      </c>
    </row>
    <row r="1346" customFormat="false" ht="15" hidden="false" customHeight="false" outlineLevel="0" collapsed="false">
      <c r="A1346" s="21" t="n">
        <v>46206</v>
      </c>
      <c r="B1346" s="22" t="s">
        <v>189</v>
      </c>
      <c r="C1346" s="22" t="n">
        <v>1</v>
      </c>
      <c r="D1346" s="41" t="n">
        <v>15073.2</v>
      </c>
      <c r="E1346" s="22" t="n">
        <f aca="false">MONTH(A1346)</f>
        <v>7</v>
      </c>
    </row>
    <row r="1347" customFormat="false" ht="15" hidden="false" customHeight="false" outlineLevel="0" collapsed="false">
      <c r="A1347" s="21" t="n">
        <v>46206</v>
      </c>
      <c r="B1347" s="22" t="s">
        <v>189</v>
      </c>
      <c r="C1347" s="22" t="n">
        <v>2</v>
      </c>
      <c r="D1347" s="41" t="n">
        <v>15478.65</v>
      </c>
      <c r="E1347" s="22" t="n">
        <f aca="false">MONTH(A1347)</f>
        <v>7</v>
      </c>
    </row>
    <row r="1348" customFormat="false" ht="15" hidden="false" customHeight="false" outlineLevel="0" collapsed="false">
      <c r="A1348" s="21" t="n">
        <v>46207</v>
      </c>
      <c r="B1348" s="22" t="s">
        <v>361</v>
      </c>
      <c r="C1348" s="22" t="n">
        <v>2</v>
      </c>
      <c r="D1348" s="41" t="n">
        <v>21041.58</v>
      </c>
      <c r="E1348" s="22" t="n">
        <f aca="false">MONTH(A1348)</f>
        <v>7</v>
      </c>
    </row>
    <row r="1349" customFormat="false" ht="15" hidden="false" customHeight="false" outlineLevel="0" collapsed="false">
      <c r="A1349" s="21" t="n">
        <v>46207</v>
      </c>
      <c r="B1349" s="22" t="s">
        <v>362</v>
      </c>
      <c r="C1349" s="22" t="n">
        <v>2</v>
      </c>
      <c r="D1349" s="41" t="n">
        <v>6377.878</v>
      </c>
      <c r="E1349" s="22" t="n">
        <f aca="false">MONTH(A1349)</f>
        <v>7</v>
      </c>
    </row>
    <row r="1350" customFormat="false" ht="15" hidden="false" customHeight="false" outlineLevel="0" collapsed="false">
      <c r="A1350" s="21" t="n">
        <v>46207</v>
      </c>
      <c r="B1350" s="22" t="s">
        <v>186</v>
      </c>
      <c r="C1350" s="22" t="n">
        <v>1</v>
      </c>
      <c r="D1350" s="41" t="n">
        <v>1198.002</v>
      </c>
      <c r="E1350" s="22" t="n">
        <f aca="false">MONTH(A1350)</f>
        <v>7</v>
      </c>
    </row>
    <row r="1351" customFormat="false" ht="15" hidden="false" customHeight="false" outlineLevel="0" collapsed="false">
      <c r="A1351" s="21" t="n">
        <v>46207</v>
      </c>
      <c r="B1351" s="22" t="s">
        <v>188</v>
      </c>
      <c r="C1351" s="22" t="n">
        <v>1</v>
      </c>
      <c r="D1351" s="41" t="n">
        <v>1852.2</v>
      </c>
      <c r="E1351" s="22" t="n">
        <f aca="false">MONTH(A1351)</f>
        <v>7</v>
      </c>
    </row>
    <row r="1352" customFormat="false" ht="15" hidden="false" customHeight="false" outlineLevel="0" collapsed="false">
      <c r="A1352" s="21" t="n">
        <v>46207</v>
      </c>
      <c r="B1352" s="22" t="s">
        <v>374</v>
      </c>
      <c r="C1352" s="22" t="n">
        <v>2</v>
      </c>
      <c r="D1352" s="41" t="n">
        <v>5474.255</v>
      </c>
      <c r="E1352" s="22" t="n">
        <f aca="false">MONTH(A1352)</f>
        <v>7</v>
      </c>
    </row>
    <row r="1353" customFormat="false" ht="15" hidden="false" customHeight="false" outlineLevel="0" collapsed="false">
      <c r="A1353" s="21" t="n">
        <v>46207</v>
      </c>
      <c r="B1353" s="22" t="s">
        <v>375</v>
      </c>
      <c r="C1353" s="22" t="n">
        <v>1</v>
      </c>
      <c r="D1353" s="41" t="n">
        <v>10400.222</v>
      </c>
      <c r="E1353" s="22" t="n">
        <f aca="false">MONTH(A1353)</f>
        <v>7</v>
      </c>
    </row>
    <row r="1354" customFormat="false" ht="15" hidden="false" customHeight="false" outlineLevel="0" collapsed="false">
      <c r="A1354" s="21" t="n">
        <v>46207</v>
      </c>
      <c r="B1354" s="22" t="s">
        <v>375</v>
      </c>
      <c r="C1354" s="22" t="n">
        <v>2</v>
      </c>
      <c r="D1354" s="41" t="n">
        <v>10881.52</v>
      </c>
      <c r="E1354" s="22" t="n">
        <f aca="false">MONTH(A1354)</f>
        <v>7</v>
      </c>
    </row>
    <row r="1355" customFormat="false" ht="15" hidden="false" customHeight="false" outlineLevel="0" collapsed="false">
      <c r="A1355" s="21" t="n">
        <v>46207</v>
      </c>
      <c r="B1355" s="22" t="s">
        <v>187</v>
      </c>
      <c r="C1355" s="22" t="n">
        <v>1</v>
      </c>
      <c r="D1355" s="41" t="n">
        <v>1787.578</v>
      </c>
      <c r="E1355" s="22" t="n">
        <f aca="false">MONTH(A1355)</f>
        <v>7</v>
      </c>
    </row>
    <row r="1356" customFormat="false" ht="15" hidden="false" customHeight="false" outlineLevel="0" collapsed="false">
      <c r="A1356" s="21" t="n">
        <v>46207</v>
      </c>
      <c r="B1356" s="22" t="s">
        <v>187</v>
      </c>
      <c r="C1356" s="22" t="n">
        <v>2</v>
      </c>
      <c r="D1356" s="41" t="n">
        <v>1910.506</v>
      </c>
      <c r="E1356" s="22" t="n">
        <f aca="false">MONTH(A1356)</f>
        <v>7</v>
      </c>
    </row>
    <row r="1357" customFormat="false" ht="15" hidden="false" customHeight="false" outlineLevel="0" collapsed="false">
      <c r="A1357" s="21" t="n">
        <v>46207</v>
      </c>
      <c r="B1357" s="22" t="s">
        <v>189</v>
      </c>
      <c r="C1357" s="22" t="n">
        <v>1</v>
      </c>
      <c r="D1357" s="41" t="n">
        <v>14083.425</v>
      </c>
      <c r="E1357" s="22" t="n">
        <f aca="false">MONTH(A1357)</f>
        <v>7</v>
      </c>
    </row>
    <row r="1358" customFormat="false" ht="15" hidden="false" customHeight="false" outlineLevel="0" collapsed="false">
      <c r="A1358" s="21" t="n">
        <v>46207</v>
      </c>
      <c r="B1358" s="22" t="s">
        <v>189</v>
      </c>
      <c r="C1358" s="22" t="n">
        <v>2</v>
      </c>
      <c r="D1358" s="41" t="n">
        <v>8490.6</v>
      </c>
      <c r="E1358" s="22" t="n">
        <f aca="false">MONTH(A1358)</f>
        <v>7</v>
      </c>
    </row>
    <row r="1359" customFormat="false" ht="15" hidden="false" customHeight="false" outlineLevel="0" collapsed="false">
      <c r="A1359" s="21" t="n">
        <v>46209</v>
      </c>
      <c r="B1359" s="22" t="s">
        <v>361</v>
      </c>
      <c r="C1359" s="22" t="n">
        <v>1</v>
      </c>
      <c r="D1359" s="41" t="n">
        <v>19892.04</v>
      </c>
      <c r="E1359" s="22" t="n">
        <f aca="false">MONTH(A1359)</f>
        <v>7</v>
      </c>
    </row>
    <row r="1360" customFormat="false" ht="15" hidden="false" customHeight="false" outlineLevel="0" collapsed="false">
      <c r="A1360" s="21" t="n">
        <v>46209</v>
      </c>
      <c r="B1360" s="22" t="s">
        <v>362</v>
      </c>
      <c r="C1360" s="22" t="n">
        <v>1</v>
      </c>
      <c r="D1360" s="41" t="n">
        <v>7496.699</v>
      </c>
      <c r="E1360" s="22" t="n">
        <f aca="false">MONTH(A1360)</f>
        <v>7</v>
      </c>
    </row>
    <row r="1361" customFormat="false" ht="15" hidden="false" customHeight="false" outlineLevel="0" collapsed="false">
      <c r="A1361" s="21" t="n">
        <v>46209</v>
      </c>
      <c r="B1361" s="22" t="s">
        <v>186</v>
      </c>
      <c r="C1361" s="22" t="n">
        <v>2</v>
      </c>
      <c r="D1361" s="41" t="n">
        <v>5939.856</v>
      </c>
      <c r="E1361" s="22" t="n">
        <f aca="false">MONTH(A1361)</f>
        <v>7</v>
      </c>
    </row>
    <row r="1362" customFormat="false" ht="15" hidden="false" customHeight="false" outlineLevel="0" collapsed="false">
      <c r="A1362" s="21" t="n">
        <v>46209</v>
      </c>
      <c r="B1362" s="22" t="s">
        <v>188</v>
      </c>
      <c r="C1362" s="22" t="n">
        <v>1</v>
      </c>
      <c r="D1362" s="41" t="n">
        <v>2082.5</v>
      </c>
      <c r="E1362" s="22" t="n">
        <f aca="false">MONTH(A1362)</f>
        <v>7</v>
      </c>
    </row>
    <row r="1363" customFormat="false" ht="15" hidden="false" customHeight="false" outlineLevel="0" collapsed="false">
      <c r="A1363" s="21" t="n">
        <v>46209</v>
      </c>
      <c r="B1363" s="22" t="s">
        <v>188</v>
      </c>
      <c r="C1363" s="22" t="n">
        <v>2</v>
      </c>
      <c r="D1363" s="41" t="n">
        <v>1445.5</v>
      </c>
      <c r="E1363" s="22" t="n">
        <f aca="false">MONTH(A1363)</f>
        <v>7</v>
      </c>
    </row>
    <row r="1364" customFormat="false" ht="15" hidden="false" customHeight="false" outlineLevel="0" collapsed="false">
      <c r="A1364" s="21" t="n">
        <v>46209</v>
      </c>
      <c r="B1364" s="22" t="s">
        <v>374</v>
      </c>
      <c r="C1364" s="22" t="n">
        <v>2</v>
      </c>
      <c r="D1364" s="41" t="n">
        <v>7844.643</v>
      </c>
      <c r="E1364" s="22" t="n">
        <f aca="false">MONTH(A1364)</f>
        <v>7</v>
      </c>
    </row>
    <row r="1365" customFormat="false" ht="15" hidden="false" customHeight="false" outlineLevel="0" collapsed="false">
      <c r="A1365" s="21" t="n">
        <v>46209</v>
      </c>
      <c r="B1365" s="22" t="s">
        <v>375</v>
      </c>
      <c r="C1365" s="22" t="n">
        <v>1</v>
      </c>
      <c r="D1365" s="41" t="n">
        <v>13047.361</v>
      </c>
      <c r="E1365" s="22" t="n">
        <f aca="false">MONTH(A1365)</f>
        <v>7</v>
      </c>
    </row>
    <row r="1366" customFormat="false" ht="15" hidden="false" customHeight="false" outlineLevel="0" collapsed="false">
      <c r="A1366" s="21" t="n">
        <v>46209</v>
      </c>
      <c r="B1366" s="22" t="s">
        <v>187</v>
      </c>
      <c r="C1366" s="22" t="n">
        <v>1</v>
      </c>
      <c r="D1366" s="41" t="n">
        <v>2428.739</v>
      </c>
      <c r="E1366" s="22" t="n">
        <f aca="false">MONTH(A1366)</f>
        <v>7</v>
      </c>
    </row>
    <row r="1367" customFormat="false" ht="15" hidden="false" customHeight="false" outlineLevel="0" collapsed="false">
      <c r="A1367" s="21" t="n">
        <v>46209</v>
      </c>
      <c r="B1367" s="22" t="s">
        <v>187</v>
      </c>
      <c r="C1367" s="22" t="n">
        <v>2</v>
      </c>
      <c r="D1367" s="41" t="n">
        <v>2411.08</v>
      </c>
      <c r="E1367" s="22" t="n">
        <f aca="false">MONTH(A1367)</f>
        <v>7</v>
      </c>
    </row>
    <row r="1368" customFormat="false" ht="15" hidden="false" customHeight="false" outlineLevel="0" collapsed="false">
      <c r="A1368" s="21" t="n">
        <v>46209</v>
      </c>
      <c r="B1368" s="22" t="s">
        <v>189</v>
      </c>
      <c r="C1368" s="22" t="n">
        <v>1</v>
      </c>
      <c r="D1368" s="41" t="n">
        <v>14882.4</v>
      </c>
      <c r="E1368" s="22" t="n">
        <f aca="false">MONTH(A1368)</f>
        <v>7</v>
      </c>
    </row>
    <row r="1369" customFormat="false" ht="15" hidden="false" customHeight="false" outlineLevel="0" collapsed="false">
      <c r="A1369" s="21" t="n">
        <v>46209</v>
      </c>
      <c r="B1369" s="22" t="s">
        <v>189</v>
      </c>
      <c r="C1369" s="22" t="n">
        <v>2</v>
      </c>
      <c r="D1369" s="41" t="n">
        <v>6469.101</v>
      </c>
      <c r="E1369" s="22" t="n">
        <f aca="false">MONTH(A1369)</f>
        <v>7</v>
      </c>
    </row>
    <row r="1370" customFormat="false" ht="15" hidden="false" customHeight="false" outlineLevel="0" collapsed="false">
      <c r="A1370" s="21" t="n">
        <v>46210</v>
      </c>
      <c r="B1370" s="22" t="s">
        <v>362</v>
      </c>
      <c r="C1370" s="22" t="n">
        <v>1</v>
      </c>
      <c r="D1370" s="41" t="n">
        <v>8585.605</v>
      </c>
      <c r="E1370" s="22" t="n">
        <f aca="false">MONTH(A1370)</f>
        <v>7</v>
      </c>
    </row>
    <row r="1371" customFormat="false" ht="15" hidden="false" customHeight="false" outlineLevel="0" collapsed="false">
      <c r="A1371" s="21" t="n">
        <v>46210</v>
      </c>
      <c r="B1371" s="22" t="s">
        <v>186</v>
      </c>
      <c r="C1371" s="22" t="n">
        <v>1</v>
      </c>
      <c r="D1371" s="41" t="n">
        <v>9804.912</v>
      </c>
      <c r="E1371" s="22" t="n">
        <f aca="false">MONTH(A1371)</f>
        <v>7</v>
      </c>
    </row>
    <row r="1372" customFormat="false" ht="15" hidden="false" customHeight="false" outlineLevel="0" collapsed="false">
      <c r="A1372" s="21" t="n">
        <v>46210</v>
      </c>
      <c r="B1372" s="22" t="s">
        <v>186</v>
      </c>
      <c r="C1372" s="22" t="n">
        <v>2</v>
      </c>
      <c r="D1372" s="41" t="n">
        <v>6046.56</v>
      </c>
      <c r="E1372" s="22" t="n">
        <f aca="false">MONTH(A1372)</f>
        <v>7</v>
      </c>
    </row>
    <row r="1373" customFormat="false" ht="15" hidden="false" customHeight="false" outlineLevel="0" collapsed="false">
      <c r="A1373" s="21" t="n">
        <v>46210</v>
      </c>
      <c r="B1373" s="22" t="s">
        <v>188</v>
      </c>
      <c r="C1373" s="22" t="n">
        <v>1</v>
      </c>
      <c r="D1373" s="41" t="n">
        <v>2053.1</v>
      </c>
      <c r="E1373" s="22" t="n">
        <f aca="false">MONTH(A1373)</f>
        <v>7</v>
      </c>
    </row>
    <row r="1374" customFormat="false" ht="15" hidden="false" customHeight="false" outlineLevel="0" collapsed="false">
      <c r="A1374" s="21" t="n">
        <v>46210</v>
      </c>
      <c r="B1374" s="22" t="s">
        <v>188</v>
      </c>
      <c r="C1374" s="22" t="n">
        <v>2</v>
      </c>
      <c r="D1374" s="41" t="n">
        <v>1367.1</v>
      </c>
      <c r="E1374" s="22" t="n">
        <f aca="false">MONTH(A1374)</f>
        <v>7</v>
      </c>
    </row>
    <row r="1375" customFormat="false" ht="15" hidden="false" customHeight="false" outlineLevel="0" collapsed="false">
      <c r="A1375" s="21" t="n">
        <v>46210</v>
      </c>
      <c r="B1375" s="22" t="s">
        <v>374</v>
      </c>
      <c r="C1375" s="22" t="n">
        <v>2</v>
      </c>
      <c r="D1375" s="41" t="n">
        <v>5093.712</v>
      </c>
      <c r="E1375" s="22" t="n">
        <f aca="false">MONTH(A1375)</f>
        <v>7</v>
      </c>
    </row>
    <row r="1376" customFormat="false" ht="15" hidden="false" customHeight="false" outlineLevel="0" collapsed="false">
      <c r="A1376" s="21" t="n">
        <v>46210</v>
      </c>
      <c r="B1376" s="22" t="s">
        <v>375</v>
      </c>
      <c r="C1376" s="22" t="n">
        <v>1</v>
      </c>
      <c r="D1376" s="41" t="n">
        <v>13549.585</v>
      </c>
      <c r="E1376" s="22" t="n">
        <f aca="false">MONTH(A1376)</f>
        <v>7</v>
      </c>
    </row>
    <row r="1377" customFormat="false" ht="15" hidden="false" customHeight="false" outlineLevel="0" collapsed="false">
      <c r="A1377" s="21" t="n">
        <v>46210</v>
      </c>
      <c r="B1377" s="22" t="s">
        <v>187</v>
      </c>
      <c r="C1377" s="22" t="n">
        <v>1</v>
      </c>
      <c r="D1377" s="41" t="n">
        <v>2225.509</v>
      </c>
      <c r="E1377" s="22" t="n">
        <f aca="false">MONTH(A1377)</f>
        <v>7</v>
      </c>
    </row>
    <row r="1378" customFormat="false" ht="15" hidden="false" customHeight="false" outlineLevel="0" collapsed="false">
      <c r="A1378" s="21" t="n">
        <v>46210</v>
      </c>
      <c r="B1378" s="22" t="s">
        <v>187</v>
      </c>
      <c r="C1378" s="22" t="n">
        <v>2</v>
      </c>
      <c r="D1378" s="41" t="n">
        <v>1367.574</v>
      </c>
      <c r="E1378" s="22" t="n">
        <f aca="false">MONTH(A1378)</f>
        <v>7</v>
      </c>
    </row>
    <row r="1379" customFormat="false" ht="15" hidden="false" customHeight="false" outlineLevel="0" collapsed="false">
      <c r="A1379" s="21" t="n">
        <v>46210</v>
      </c>
      <c r="B1379" s="22" t="s">
        <v>189</v>
      </c>
      <c r="C1379" s="22" t="n">
        <v>1</v>
      </c>
      <c r="D1379" s="41" t="n">
        <v>8537.274</v>
      </c>
      <c r="E1379" s="22" t="n">
        <f aca="false">MONTH(A1379)</f>
        <v>7</v>
      </c>
    </row>
    <row r="1380" customFormat="false" ht="15" hidden="false" customHeight="false" outlineLevel="0" collapsed="false">
      <c r="A1380" s="21" t="n">
        <v>46210</v>
      </c>
      <c r="B1380" s="22" t="s">
        <v>189</v>
      </c>
      <c r="C1380" s="22" t="n">
        <v>2</v>
      </c>
      <c r="D1380" s="41" t="n">
        <v>5238.46</v>
      </c>
      <c r="E1380" s="22" t="n">
        <f aca="false">MONTH(A1380)</f>
        <v>7</v>
      </c>
    </row>
    <row r="1381" customFormat="false" ht="15" hidden="false" customHeight="false" outlineLevel="0" collapsed="false">
      <c r="A1381" s="21" t="n">
        <v>46210</v>
      </c>
      <c r="B1381" s="22" t="s">
        <v>359</v>
      </c>
      <c r="C1381" s="22" t="n">
        <v>1</v>
      </c>
      <c r="D1381" s="41" t="n">
        <v>3807.68</v>
      </c>
      <c r="E1381" s="22" t="n">
        <f aca="false">MONTH(A1381)</f>
        <v>7</v>
      </c>
    </row>
    <row r="1382" customFormat="false" ht="15" hidden="false" customHeight="false" outlineLevel="0" collapsed="false">
      <c r="A1382" s="21" t="n">
        <v>46211</v>
      </c>
      <c r="B1382" s="22" t="s">
        <v>362</v>
      </c>
      <c r="C1382" s="22" t="n">
        <v>1</v>
      </c>
      <c r="D1382" s="41" t="n">
        <v>5915.328</v>
      </c>
      <c r="E1382" s="22" t="n">
        <f aca="false">MONTH(A1382)</f>
        <v>7</v>
      </c>
    </row>
    <row r="1383" customFormat="false" ht="15" hidden="false" customHeight="false" outlineLevel="0" collapsed="false">
      <c r="A1383" s="21" t="n">
        <v>46211</v>
      </c>
      <c r="B1383" s="22" t="s">
        <v>186</v>
      </c>
      <c r="C1383" s="22" t="n">
        <v>1</v>
      </c>
      <c r="D1383" s="41" t="n">
        <v>10800.816</v>
      </c>
      <c r="E1383" s="22" t="n">
        <f aca="false">MONTH(A1383)</f>
        <v>7</v>
      </c>
    </row>
    <row r="1384" customFormat="false" ht="15" hidden="false" customHeight="false" outlineLevel="0" collapsed="false">
      <c r="A1384" s="21" t="n">
        <v>46211</v>
      </c>
      <c r="B1384" s="22" t="s">
        <v>186</v>
      </c>
      <c r="C1384" s="22" t="n">
        <v>2</v>
      </c>
      <c r="D1384" s="41" t="n">
        <v>9200.256</v>
      </c>
      <c r="E1384" s="22" t="n">
        <f aca="false">MONTH(A1384)</f>
        <v>7</v>
      </c>
    </row>
    <row r="1385" customFormat="false" ht="15" hidden="false" customHeight="false" outlineLevel="0" collapsed="false">
      <c r="A1385" s="21" t="n">
        <v>46211</v>
      </c>
      <c r="B1385" s="22" t="s">
        <v>188</v>
      </c>
      <c r="C1385" s="22" t="n">
        <v>1</v>
      </c>
      <c r="D1385" s="41" t="n">
        <v>2538.2</v>
      </c>
      <c r="E1385" s="22" t="n">
        <f aca="false">MONTH(A1385)</f>
        <v>7</v>
      </c>
    </row>
    <row r="1386" customFormat="false" ht="15" hidden="false" customHeight="false" outlineLevel="0" collapsed="false">
      <c r="A1386" s="21" t="n">
        <v>46211</v>
      </c>
      <c r="B1386" s="22" t="s">
        <v>188</v>
      </c>
      <c r="C1386" s="22" t="n">
        <v>2</v>
      </c>
      <c r="D1386" s="41" t="n">
        <v>2053.1</v>
      </c>
      <c r="E1386" s="22" t="n">
        <f aca="false">MONTH(A1386)</f>
        <v>7</v>
      </c>
    </row>
    <row r="1387" customFormat="false" ht="15" hidden="false" customHeight="false" outlineLevel="0" collapsed="false">
      <c r="A1387" s="21" t="n">
        <v>46211</v>
      </c>
      <c r="B1387" s="22" t="s">
        <v>374</v>
      </c>
      <c r="C1387" s="22" t="n">
        <v>2</v>
      </c>
      <c r="D1387" s="41" t="n">
        <v>8383.401</v>
      </c>
      <c r="E1387" s="22" t="n">
        <f aca="false">MONTH(A1387)</f>
        <v>7</v>
      </c>
    </row>
    <row r="1388" customFormat="false" ht="15" hidden="false" customHeight="false" outlineLevel="0" collapsed="false">
      <c r="A1388" s="21" t="n">
        <v>46211</v>
      </c>
      <c r="B1388" s="22" t="s">
        <v>375</v>
      </c>
      <c r="C1388" s="22" t="n">
        <v>1</v>
      </c>
      <c r="D1388" s="41" t="n">
        <v>10044.48</v>
      </c>
      <c r="E1388" s="22" t="n">
        <f aca="false">MONTH(A1388)</f>
        <v>7</v>
      </c>
    </row>
    <row r="1389" customFormat="false" ht="15" hidden="false" customHeight="false" outlineLevel="0" collapsed="false">
      <c r="A1389" s="21" t="n">
        <v>46211</v>
      </c>
      <c r="B1389" s="22" t="s">
        <v>187</v>
      </c>
      <c r="C1389" s="22" t="n">
        <v>1</v>
      </c>
      <c r="D1389" s="41" t="n">
        <v>1995.019</v>
      </c>
      <c r="E1389" s="22" t="n">
        <f aca="false">MONTH(A1389)</f>
        <v>7</v>
      </c>
    </row>
    <row r="1390" customFormat="false" ht="15" hidden="false" customHeight="false" outlineLevel="0" collapsed="false">
      <c r="A1390" s="21" t="n">
        <v>46211</v>
      </c>
      <c r="B1390" s="22" t="s">
        <v>187</v>
      </c>
      <c r="C1390" s="22" t="n">
        <v>2</v>
      </c>
      <c r="D1390" s="41" t="n">
        <v>2189.655</v>
      </c>
      <c r="E1390" s="22" t="n">
        <f aca="false">MONTH(A1390)</f>
        <v>7</v>
      </c>
    </row>
    <row r="1391" customFormat="false" ht="15" hidden="false" customHeight="false" outlineLevel="0" collapsed="false">
      <c r="A1391" s="21" t="n">
        <v>46211</v>
      </c>
      <c r="B1391" s="22" t="s">
        <v>189</v>
      </c>
      <c r="C1391" s="22" t="n">
        <v>1</v>
      </c>
      <c r="D1391" s="41" t="n">
        <v>8225.798</v>
      </c>
      <c r="E1391" s="22" t="n">
        <f aca="false">MONTH(A1391)</f>
        <v>7</v>
      </c>
    </row>
    <row r="1392" customFormat="false" ht="15" hidden="false" customHeight="false" outlineLevel="0" collapsed="false">
      <c r="A1392" s="21" t="n">
        <v>46211</v>
      </c>
      <c r="B1392" s="22" t="s">
        <v>189</v>
      </c>
      <c r="C1392" s="22" t="n">
        <v>2</v>
      </c>
      <c r="D1392" s="41" t="n">
        <v>7829.374</v>
      </c>
      <c r="E1392" s="22" t="n">
        <f aca="false">MONTH(A1392)</f>
        <v>7</v>
      </c>
    </row>
    <row r="1393" customFormat="false" ht="15" hidden="false" customHeight="false" outlineLevel="0" collapsed="false">
      <c r="A1393" s="21" t="n">
        <v>46211</v>
      </c>
      <c r="B1393" s="22" t="s">
        <v>359</v>
      </c>
      <c r="C1393" s="22" t="n">
        <v>1</v>
      </c>
      <c r="D1393" s="41" t="n">
        <v>4368.32</v>
      </c>
      <c r="E1393" s="22" t="n">
        <f aca="false">MONTH(A1393)</f>
        <v>7</v>
      </c>
    </row>
    <row r="1394" customFormat="false" ht="15" hidden="false" customHeight="false" outlineLevel="0" collapsed="false">
      <c r="A1394" s="21" t="n">
        <v>46212</v>
      </c>
      <c r="B1394" s="22" t="s">
        <v>362</v>
      </c>
      <c r="C1394" s="22" t="n">
        <v>1</v>
      </c>
      <c r="D1394" s="41" t="n">
        <v>5962.795</v>
      </c>
      <c r="E1394" s="22" t="n">
        <f aca="false">MONTH(A1394)</f>
        <v>7</v>
      </c>
    </row>
    <row r="1395" customFormat="false" ht="15" hidden="false" customHeight="false" outlineLevel="0" collapsed="false">
      <c r="A1395" s="21" t="n">
        <v>46212</v>
      </c>
      <c r="B1395" s="22" t="s">
        <v>186</v>
      </c>
      <c r="C1395" s="22" t="n">
        <v>1</v>
      </c>
      <c r="D1395" s="41" t="n">
        <v>9650.784</v>
      </c>
      <c r="E1395" s="22" t="n">
        <f aca="false">MONTH(A1395)</f>
        <v>7</v>
      </c>
    </row>
    <row r="1396" customFormat="false" ht="15" hidden="false" customHeight="false" outlineLevel="0" collapsed="false">
      <c r="A1396" s="21" t="n">
        <v>46212</v>
      </c>
      <c r="B1396" s="22" t="s">
        <v>186</v>
      </c>
      <c r="C1396" s="22" t="n">
        <v>2</v>
      </c>
      <c r="D1396" s="41" t="n">
        <v>6224.4</v>
      </c>
      <c r="E1396" s="22" t="n">
        <f aca="false">MONTH(A1396)</f>
        <v>7</v>
      </c>
    </row>
    <row r="1397" customFormat="false" ht="15" hidden="false" customHeight="false" outlineLevel="0" collapsed="false">
      <c r="A1397" s="21" t="n">
        <v>46212</v>
      </c>
      <c r="B1397" s="22" t="s">
        <v>188</v>
      </c>
      <c r="C1397" s="22" t="n">
        <v>1</v>
      </c>
      <c r="D1397" s="41" t="n">
        <v>1690.5</v>
      </c>
      <c r="E1397" s="22" t="n">
        <f aca="false">MONTH(A1397)</f>
        <v>7</v>
      </c>
    </row>
    <row r="1398" customFormat="false" ht="15" hidden="false" customHeight="false" outlineLevel="0" collapsed="false">
      <c r="A1398" s="21" t="n">
        <v>46212</v>
      </c>
      <c r="B1398" s="22" t="s">
        <v>188</v>
      </c>
      <c r="C1398" s="22" t="n">
        <v>2</v>
      </c>
      <c r="D1398" s="41" t="n">
        <v>2557.8</v>
      </c>
      <c r="E1398" s="22" t="n">
        <f aca="false">MONTH(A1398)</f>
        <v>7</v>
      </c>
    </row>
    <row r="1399" customFormat="false" ht="15" hidden="false" customHeight="false" outlineLevel="0" collapsed="false">
      <c r="A1399" s="21" t="n">
        <v>46212</v>
      </c>
      <c r="B1399" s="22" t="s">
        <v>374</v>
      </c>
      <c r="C1399" s="22" t="n">
        <v>2</v>
      </c>
      <c r="D1399" s="41" t="n">
        <v>8085.009</v>
      </c>
      <c r="E1399" s="22" t="n">
        <f aca="false">MONTH(A1399)</f>
        <v>7</v>
      </c>
    </row>
    <row r="1400" customFormat="false" ht="15" hidden="false" customHeight="false" outlineLevel="0" collapsed="false">
      <c r="A1400" s="21" t="n">
        <v>46212</v>
      </c>
      <c r="B1400" s="22" t="s">
        <v>375</v>
      </c>
      <c r="C1400" s="22" t="n">
        <v>1</v>
      </c>
      <c r="D1400" s="41" t="n">
        <v>11509.3</v>
      </c>
      <c r="E1400" s="22" t="n">
        <f aca="false">MONTH(A1400)</f>
        <v>7</v>
      </c>
    </row>
    <row r="1401" customFormat="false" ht="15" hidden="false" customHeight="false" outlineLevel="0" collapsed="false">
      <c r="A1401" s="21" t="n">
        <v>46212</v>
      </c>
      <c r="B1401" s="22" t="s">
        <v>187</v>
      </c>
      <c r="C1401" s="22" t="n">
        <v>1</v>
      </c>
      <c r="D1401" s="41" t="n">
        <v>2261.363</v>
      </c>
      <c r="E1401" s="22" t="n">
        <f aca="false">MONTH(A1401)</f>
        <v>7</v>
      </c>
    </row>
    <row r="1402" customFormat="false" ht="15" hidden="false" customHeight="false" outlineLevel="0" collapsed="false">
      <c r="A1402" s="21" t="n">
        <v>46212</v>
      </c>
      <c r="B1402" s="22" t="s">
        <v>187</v>
      </c>
      <c r="C1402" s="22" t="n">
        <v>2</v>
      </c>
      <c r="D1402" s="41" t="n">
        <v>2245.997</v>
      </c>
      <c r="E1402" s="22" t="n">
        <f aca="false">MONTH(A1402)</f>
        <v>7</v>
      </c>
    </row>
    <row r="1403" customFormat="false" ht="15" hidden="false" customHeight="false" outlineLevel="0" collapsed="false">
      <c r="A1403" s="21" t="n">
        <v>46212</v>
      </c>
      <c r="B1403" s="22" t="s">
        <v>189</v>
      </c>
      <c r="C1403" s="22" t="n">
        <v>1</v>
      </c>
      <c r="D1403" s="41" t="n">
        <v>8919.54</v>
      </c>
      <c r="E1403" s="22" t="n">
        <f aca="false">MONTH(A1403)</f>
        <v>7</v>
      </c>
    </row>
    <row r="1404" customFormat="false" ht="15" hidden="false" customHeight="false" outlineLevel="0" collapsed="false">
      <c r="A1404" s="21" t="n">
        <v>46212</v>
      </c>
      <c r="B1404" s="22" t="s">
        <v>189</v>
      </c>
      <c r="C1404" s="22" t="n">
        <v>2</v>
      </c>
      <c r="D1404" s="41" t="n">
        <v>6993.812</v>
      </c>
      <c r="E1404" s="22" t="n">
        <f aca="false">MONTH(A1404)</f>
        <v>7</v>
      </c>
    </row>
    <row r="1405" customFormat="false" ht="15" hidden="false" customHeight="false" outlineLevel="0" collapsed="false">
      <c r="A1405" s="21" t="n">
        <v>46212</v>
      </c>
      <c r="B1405" s="22" t="s">
        <v>359</v>
      </c>
      <c r="C1405" s="22" t="n">
        <v>1</v>
      </c>
      <c r="D1405" s="41" t="n">
        <v>4368.32</v>
      </c>
      <c r="E1405" s="22" t="n">
        <f aca="false">MONTH(A1405)</f>
        <v>7</v>
      </c>
    </row>
    <row r="1406" customFormat="false" ht="15" hidden="false" customHeight="false" outlineLevel="0" collapsed="false">
      <c r="A1406" s="21" t="n">
        <v>46213</v>
      </c>
      <c r="B1406" s="22" t="s">
        <v>362</v>
      </c>
      <c r="C1406" s="22" t="n">
        <v>1</v>
      </c>
      <c r="D1406" s="41" t="n">
        <v>6206.2</v>
      </c>
      <c r="E1406" s="22" t="n">
        <f aca="false">MONTH(A1406)</f>
        <v>7</v>
      </c>
    </row>
    <row r="1407" customFormat="false" ht="15" hidden="false" customHeight="false" outlineLevel="0" collapsed="false">
      <c r="A1407" s="21" t="n">
        <v>46213</v>
      </c>
      <c r="B1407" s="22" t="s">
        <v>186</v>
      </c>
      <c r="C1407" s="22" t="n">
        <v>1</v>
      </c>
      <c r="D1407" s="41" t="n">
        <v>9781.2</v>
      </c>
      <c r="E1407" s="22" t="n">
        <f aca="false">MONTH(A1407)</f>
        <v>7</v>
      </c>
    </row>
    <row r="1408" customFormat="false" ht="15" hidden="false" customHeight="false" outlineLevel="0" collapsed="false">
      <c r="A1408" s="21" t="n">
        <v>46213</v>
      </c>
      <c r="B1408" s="22" t="s">
        <v>186</v>
      </c>
      <c r="C1408" s="22" t="n">
        <v>2</v>
      </c>
      <c r="D1408" s="41" t="n">
        <v>5821.296</v>
      </c>
      <c r="E1408" s="22" t="n">
        <f aca="false">MONTH(A1408)</f>
        <v>7</v>
      </c>
    </row>
    <row r="1409" customFormat="false" ht="15" hidden="false" customHeight="false" outlineLevel="0" collapsed="false">
      <c r="A1409" s="21" t="n">
        <v>46213</v>
      </c>
      <c r="B1409" s="22" t="s">
        <v>188</v>
      </c>
      <c r="C1409" s="22" t="n">
        <v>1</v>
      </c>
      <c r="D1409" s="41" t="n">
        <v>2543.1</v>
      </c>
      <c r="E1409" s="22" t="n">
        <f aca="false">MONTH(A1409)</f>
        <v>7</v>
      </c>
    </row>
    <row r="1410" customFormat="false" ht="15" hidden="false" customHeight="false" outlineLevel="0" collapsed="false">
      <c r="A1410" s="21" t="n">
        <v>46213</v>
      </c>
      <c r="B1410" s="22" t="s">
        <v>188</v>
      </c>
      <c r="C1410" s="22" t="n">
        <v>2</v>
      </c>
      <c r="D1410" s="41" t="n">
        <v>2528.4</v>
      </c>
      <c r="E1410" s="22" t="n">
        <f aca="false">MONTH(A1410)</f>
        <v>7</v>
      </c>
    </row>
    <row r="1411" customFormat="false" ht="15" hidden="false" customHeight="false" outlineLevel="0" collapsed="false">
      <c r="A1411" s="21" t="n">
        <v>46213</v>
      </c>
      <c r="B1411" s="22" t="s">
        <v>374</v>
      </c>
      <c r="C1411" s="22" t="n">
        <v>2</v>
      </c>
      <c r="D1411" s="41" t="n">
        <v>7800.506</v>
      </c>
      <c r="E1411" s="22" t="n">
        <f aca="false">MONTH(A1411)</f>
        <v>7</v>
      </c>
    </row>
    <row r="1412" customFormat="false" ht="15" hidden="false" customHeight="false" outlineLevel="0" collapsed="false">
      <c r="A1412" s="21" t="n">
        <v>46213</v>
      </c>
      <c r="B1412" s="22" t="s">
        <v>375</v>
      </c>
      <c r="C1412" s="22" t="n">
        <v>1</v>
      </c>
      <c r="D1412" s="41" t="n">
        <v>12921.805</v>
      </c>
      <c r="E1412" s="22" t="n">
        <f aca="false">MONTH(A1412)</f>
        <v>7</v>
      </c>
    </row>
    <row r="1413" customFormat="false" ht="15" hidden="false" customHeight="false" outlineLevel="0" collapsed="false">
      <c r="A1413" s="21" t="n">
        <v>46213</v>
      </c>
      <c r="B1413" s="22" t="s">
        <v>187</v>
      </c>
      <c r="C1413" s="22" t="n">
        <v>1</v>
      </c>
      <c r="D1413" s="41" t="n">
        <v>2105.142</v>
      </c>
      <c r="E1413" s="22" t="n">
        <f aca="false">MONTH(A1413)</f>
        <v>7</v>
      </c>
    </row>
    <row r="1414" customFormat="false" ht="15" hidden="false" customHeight="false" outlineLevel="0" collapsed="false">
      <c r="A1414" s="21" t="n">
        <v>46213</v>
      </c>
      <c r="B1414" s="22" t="s">
        <v>187</v>
      </c>
      <c r="C1414" s="22" t="n">
        <v>2</v>
      </c>
      <c r="D1414" s="41" t="n">
        <v>1833.676</v>
      </c>
      <c r="E1414" s="22" t="n">
        <f aca="false">MONTH(A1414)</f>
        <v>7</v>
      </c>
    </row>
    <row r="1415" customFormat="false" ht="15" hidden="false" customHeight="false" outlineLevel="0" collapsed="false">
      <c r="A1415" s="21" t="n">
        <v>46213</v>
      </c>
      <c r="B1415" s="22" t="s">
        <v>189</v>
      </c>
      <c r="C1415" s="22" t="n">
        <v>1</v>
      </c>
      <c r="D1415" s="41" t="n">
        <v>7941.918</v>
      </c>
      <c r="E1415" s="22" t="n">
        <f aca="false">MONTH(A1415)</f>
        <v>7</v>
      </c>
    </row>
    <row r="1416" customFormat="false" ht="15" hidden="false" customHeight="false" outlineLevel="0" collapsed="false">
      <c r="A1416" s="21" t="n">
        <v>46213</v>
      </c>
      <c r="B1416" s="22" t="s">
        <v>189</v>
      </c>
      <c r="C1416" s="22" t="n">
        <v>2</v>
      </c>
      <c r="D1416" s="41" t="n">
        <v>7222.262</v>
      </c>
      <c r="E1416" s="22" t="n">
        <f aca="false">MONTH(A1416)</f>
        <v>7</v>
      </c>
    </row>
    <row r="1417" customFormat="false" ht="15" hidden="false" customHeight="false" outlineLevel="0" collapsed="false">
      <c r="A1417" s="21" t="n">
        <v>46213</v>
      </c>
      <c r="B1417" s="22" t="s">
        <v>359</v>
      </c>
      <c r="C1417" s="22" t="n">
        <v>1</v>
      </c>
      <c r="D1417" s="41" t="n">
        <v>4228.16</v>
      </c>
      <c r="E1417" s="22" t="n">
        <f aca="false">MONTH(A1417)</f>
        <v>7</v>
      </c>
    </row>
    <row r="1418" customFormat="false" ht="15" hidden="false" customHeight="false" outlineLevel="0" collapsed="false">
      <c r="A1418" s="21" t="n">
        <v>46214</v>
      </c>
      <c r="B1418" s="22" t="s">
        <v>362</v>
      </c>
      <c r="C1418" s="22" t="n">
        <v>1</v>
      </c>
      <c r="D1418" s="41" t="n">
        <v>117.8</v>
      </c>
      <c r="E1418" s="22" t="n">
        <f aca="false">MONTH(A1418)</f>
        <v>7</v>
      </c>
    </row>
    <row r="1419" customFormat="false" ht="15" hidden="false" customHeight="false" outlineLevel="0" collapsed="false">
      <c r="A1419" s="21" t="n">
        <v>46214</v>
      </c>
      <c r="B1419" s="22" t="s">
        <v>186</v>
      </c>
      <c r="C1419" s="22" t="n">
        <v>1</v>
      </c>
      <c r="D1419" s="41" t="n">
        <v>8216.208</v>
      </c>
      <c r="E1419" s="22" t="n">
        <f aca="false">MONTH(A1419)</f>
        <v>7</v>
      </c>
    </row>
    <row r="1420" customFormat="false" ht="15" hidden="false" customHeight="false" outlineLevel="0" collapsed="false">
      <c r="A1420" s="21" t="n">
        <v>46214</v>
      </c>
      <c r="B1420" s="22" t="s">
        <v>186</v>
      </c>
      <c r="C1420" s="22" t="n">
        <v>2</v>
      </c>
      <c r="D1420" s="41" t="n">
        <v>4493.424</v>
      </c>
      <c r="E1420" s="22" t="n">
        <f aca="false">MONTH(A1420)</f>
        <v>7</v>
      </c>
    </row>
    <row r="1421" customFormat="false" ht="15" hidden="false" customHeight="false" outlineLevel="0" collapsed="false">
      <c r="A1421" s="21" t="n">
        <v>46214</v>
      </c>
      <c r="B1421" s="22" t="s">
        <v>188</v>
      </c>
      <c r="C1421" s="22" t="n">
        <v>1</v>
      </c>
      <c r="D1421" s="41" t="n">
        <v>2249.1</v>
      </c>
      <c r="E1421" s="22" t="n">
        <f aca="false">MONTH(A1421)</f>
        <v>7</v>
      </c>
    </row>
    <row r="1422" customFormat="false" ht="15" hidden="false" customHeight="false" outlineLevel="0" collapsed="false">
      <c r="A1422" s="21" t="n">
        <v>46214</v>
      </c>
      <c r="B1422" s="22" t="s">
        <v>188</v>
      </c>
      <c r="C1422" s="22" t="n">
        <v>2</v>
      </c>
      <c r="D1422" s="41" t="n">
        <v>1411.2</v>
      </c>
      <c r="E1422" s="22" t="n">
        <f aca="false">MONTH(A1422)</f>
        <v>7</v>
      </c>
    </row>
    <row r="1423" customFormat="false" ht="15" hidden="false" customHeight="false" outlineLevel="0" collapsed="false">
      <c r="A1423" s="21" t="n">
        <v>46214</v>
      </c>
      <c r="B1423" s="22" t="s">
        <v>374</v>
      </c>
      <c r="C1423" s="22" t="n">
        <v>2</v>
      </c>
      <c r="D1423" s="41" t="n">
        <v>6653.612</v>
      </c>
      <c r="E1423" s="22" t="n">
        <f aca="false">MONTH(A1423)</f>
        <v>7</v>
      </c>
    </row>
    <row r="1424" customFormat="false" ht="15" hidden="false" customHeight="false" outlineLevel="0" collapsed="false">
      <c r="A1424" s="21" t="n">
        <v>46214</v>
      </c>
      <c r="B1424" s="22" t="s">
        <v>375</v>
      </c>
      <c r="C1424" s="22" t="n">
        <v>1</v>
      </c>
      <c r="D1424" s="41" t="n">
        <v>10599.019</v>
      </c>
      <c r="E1424" s="22" t="n">
        <f aca="false">MONTH(A1424)</f>
        <v>7</v>
      </c>
    </row>
    <row r="1425" customFormat="false" ht="15" hidden="false" customHeight="false" outlineLevel="0" collapsed="false">
      <c r="A1425" s="21" t="n">
        <v>46214</v>
      </c>
      <c r="B1425" s="22" t="s">
        <v>187</v>
      </c>
      <c r="C1425" s="22" t="n">
        <v>1</v>
      </c>
      <c r="D1425" s="41" t="n">
        <v>3731.976</v>
      </c>
      <c r="E1425" s="22" t="n">
        <f aca="false">MONTH(A1425)</f>
        <v>7</v>
      </c>
    </row>
    <row r="1426" customFormat="false" ht="15" hidden="false" customHeight="false" outlineLevel="0" collapsed="false">
      <c r="A1426" s="21" t="n">
        <v>46214</v>
      </c>
      <c r="B1426" s="22" t="s">
        <v>187</v>
      </c>
      <c r="C1426" s="22" t="n">
        <v>2</v>
      </c>
      <c r="D1426" s="41" t="n">
        <v>3094.735</v>
      </c>
      <c r="E1426" s="22" t="n">
        <f aca="false">MONTH(A1426)</f>
        <v>7</v>
      </c>
    </row>
    <row r="1427" customFormat="false" ht="15" hidden="false" customHeight="false" outlineLevel="0" collapsed="false">
      <c r="A1427" s="21" t="n">
        <v>46214</v>
      </c>
      <c r="B1427" s="22" t="s">
        <v>189</v>
      </c>
      <c r="C1427" s="22" t="n">
        <v>1</v>
      </c>
      <c r="D1427" s="41" t="n">
        <v>5937.162</v>
      </c>
      <c r="E1427" s="22" t="n">
        <f aca="false">MONTH(A1427)</f>
        <v>7</v>
      </c>
    </row>
    <row r="1428" customFormat="false" ht="15" hidden="false" customHeight="false" outlineLevel="0" collapsed="false">
      <c r="A1428" s="21" t="n">
        <v>46214</v>
      </c>
      <c r="B1428" s="22" t="s">
        <v>189</v>
      </c>
      <c r="C1428" s="22" t="n">
        <v>2</v>
      </c>
      <c r="D1428" s="41" t="n">
        <v>6258.437</v>
      </c>
      <c r="E1428" s="22" t="n">
        <f aca="false">MONTH(A1428)</f>
        <v>7</v>
      </c>
    </row>
    <row r="1429" customFormat="false" ht="15" hidden="false" customHeight="false" outlineLevel="0" collapsed="false">
      <c r="A1429" s="21" t="n">
        <v>46214</v>
      </c>
      <c r="B1429" s="22" t="s">
        <v>359</v>
      </c>
      <c r="C1429" s="22" t="n">
        <v>1</v>
      </c>
      <c r="D1429" s="41" t="n">
        <v>4204.8</v>
      </c>
      <c r="E1429" s="22" t="n">
        <f aca="false">MONTH(A1429)</f>
        <v>7</v>
      </c>
    </row>
    <row r="1430" customFormat="false" ht="15" hidden="false" customHeight="false" outlineLevel="0" collapsed="false">
      <c r="A1430" s="21" t="n">
        <v>46217</v>
      </c>
      <c r="B1430" s="22" t="s">
        <v>361</v>
      </c>
      <c r="C1430" s="22" t="n">
        <v>2</v>
      </c>
      <c r="D1430" s="41" t="n">
        <v>15393.84</v>
      </c>
      <c r="E1430" s="22" t="n">
        <f aca="false">MONTH(A1430)</f>
        <v>7</v>
      </c>
    </row>
    <row r="1431" customFormat="false" ht="15" hidden="false" customHeight="false" outlineLevel="0" collapsed="false">
      <c r="A1431" s="21" t="n">
        <v>46217</v>
      </c>
      <c r="B1431" s="22" t="s">
        <v>186</v>
      </c>
      <c r="C1431" s="22" t="n">
        <v>1</v>
      </c>
      <c r="D1431" s="41" t="n">
        <v>8156.928</v>
      </c>
      <c r="E1431" s="22" t="n">
        <f aca="false">MONTH(A1431)</f>
        <v>7</v>
      </c>
    </row>
    <row r="1432" customFormat="false" ht="15" hidden="false" customHeight="false" outlineLevel="0" collapsed="false">
      <c r="A1432" s="21" t="n">
        <v>46217</v>
      </c>
      <c r="B1432" s="22" t="s">
        <v>186</v>
      </c>
      <c r="C1432" s="22" t="n">
        <v>2</v>
      </c>
      <c r="D1432" s="41" t="n">
        <v>5477.472</v>
      </c>
      <c r="E1432" s="22" t="n">
        <f aca="false">MONTH(A1432)</f>
        <v>7</v>
      </c>
    </row>
    <row r="1433" customFormat="false" ht="15" hidden="false" customHeight="false" outlineLevel="0" collapsed="false">
      <c r="A1433" s="21" t="n">
        <v>46217</v>
      </c>
      <c r="B1433" s="22" t="s">
        <v>374</v>
      </c>
      <c r="C1433" s="22" t="n">
        <v>1</v>
      </c>
      <c r="D1433" s="41" t="n">
        <v>8264.144</v>
      </c>
      <c r="E1433" s="22" t="n">
        <f aca="false">MONTH(A1433)</f>
        <v>7</v>
      </c>
    </row>
    <row r="1434" customFormat="false" ht="15" hidden="false" customHeight="false" outlineLevel="0" collapsed="false">
      <c r="A1434" s="21" t="n">
        <v>46217</v>
      </c>
      <c r="B1434" s="22" t="s">
        <v>374</v>
      </c>
      <c r="C1434" s="22" t="n">
        <v>2</v>
      </c>
      <c r="D1434" s="41" t="n">
        <v>122.01</v>
      </c>
      <c r="E1434" s="22" t="n">
        <f aca="false">MONTH(A1434)</f>
        <v>7</v>
      </c>
    </row>
    <row r="1435" customFormat="false" ht="15" hidden="false" customHeight="false" outlineLevel="0" collapsed="false">
      <c r="A1435" s="21" t="n">
        <v>46217</v>
      </c>
      <c r="B1435" s="22" t="s">
        <v>375</v>
      </c>
      <c r="C1435" s="22" t="n">
        <v>1</v>
      </c>
      <c r="D1435" s="41" t="n">
        <v>11655.782</v>
      </c>
      <c r="E1435" s="22" t="n">
        <f aca="false">MONTH(A1435)</f>
        <v>7</v>
      </c>
    </row>
    <row r="1436" customFormat="false" ht="15" hidden="false" customHeight="false" outlineLevel="0" collapsed="false">
      <c r="A1436" s="21" t="n">
        <v>46217</v>
      </c>
      <c r="B1436" s="22" t="s">
        <v>375</v>
      </c>
      <c r="C1436" s="22" t="n">
        <v>2</v>
      </c>
      <c r="D1436" s="41" t="n">
        <v>4606.055</v>
      </c>
      <c r="E1436" s="22" t="n">
        <f aca="false">MONTH(A1436)</f>
        <v>7</v>
      </c>
    </row>
    <row r="1437" customFormat="false" ht="15" hidden="false" customHeight="false" outlineLevel="0" collapsed="false">
      <c r="A1437" s="21" t="n">
        <v>46217</v>
      </c>
      <c r="B1437" s="22" t="s">
        <v>189</v>
      </c>
      <c r="C1437" s="22" t="n">
        <v>1</v>
      </c>
      <c r="D1437" s="41" t="n">
        <v>6214.26</v>
      </c>
      <c r="E1437" s="22" t="n">
        <f aca="false">MONTH(A1437)</f>
        <v>7</v>
      </c>
    </row>
    <row r="1438" customFormat="false" ht="15" hidden="false" customHeight="false" outlineLevel="0" collapsed="false">
      <c r="A1438" s="21" t="n">
        <v>46217</v>
      </c>
      <c r="B1438" s="22" t="s">
        <v>189</v>
      </c>
      <c r="C1438" s="22" t="n">
        <v>2</v>
      </c>
      <c r="D1438" s="41" t="n">
        <v>7588.688</v>
      </c>
      <c r="E1438" s="22" t="n">
        <f aca="false">MONTH(A1438)</f>
        <v>7</v>
      </c>
    </row>
    <row r="1439" customFormat="false" ht="15" hidden="false" customHeight="false" outlineLevel="0" collapsed="false">
      <c r="A1439" s="21" t="n">
        <v>46217</v>
      </c>
      <c r="B1439" s="22" t="s">
        <v>359</v>
      </c>
      <c r="C1439" s="22" t="n">
        <v>1</v>
      </c>
      <c r="D1439" s="41" t="n">
        <v>3171.78</v>
      </c>
      <c r="E1439" s="22" t="n">
        <f aca="false">MONTH(A1439)</f>
        <v>7</v>
      </c>
    </row>
    <row r="1440" customFormat="false" ht="15" hidden="false" customHeight="false" outlineLevel="0" collapsed="false">
      <c r="A1440" s="21" t="n">
        <v>46218</v>
      </c>
      <c r="B1440" s="22" t="s">
        <v>361</v>
      </c>
      <c r="C1440" s="22" t="n">
        <v>2</v>
      </c>
      <c r="D1440" s="41" t="n">
        <v>14927.36</v>
      </c>
      <c r="E1440" s="22" t="n">
        <f aca="false">MONTH(A1440)</f>
        <v>7</v>
      </c>
    </row>
    <row r="1441" customFormat="false" ht="15" hidden="false" customHeight="false" outlineLevel="0" collapsed="false">
      <c r="A1441" s="21" t="n">
        <v>46218</v>
      </c>
      <c r="B1441" s="22" t="s">
        <v>186</v>
      </c>
      <c r="C1441" s="22" t="n">
        <v>1</v>
      </c>
      <c r="D1441" s="41" t="n">
        <v>1600.56</v>
      </c>
      <c r="E1441" s="22" t="n">
        <f aca="false">MONTH(A1441)</f>
        <v>7</v>
      </c>
    </row>
    <row r="1442" customFormat="false" ht="15" hidden="false" customHeight="false" outlineLevel="0" collapsed="false">
      <c r="A1442" s="21" t="n">
        <v>46218</v>
      </c>
      <c r="B1442" s="22" t="s">
        <v>186</v>
      </c>
      <c r="C1442" s="22" t="n">
        <v>2</v>
      </c>
      <c r="D1442" s="41" t="n">
        <v>2326.5</v>
      </c>
      <c r="E1442" s="22" t="n">
        <f aca="false">MONTH(A1442)</f>
        <v>7</v>
      </c>
    </row>
    <row r="1443" customFormat="false" ht="15" hidden="false" customHeight="false" outlineLevel="0" collapsed="false">
      <c r="A1443" s="21" t="n">
        <v>46218</v>
      </c>
      <c r="B1443" s="22" t="s">
        <v>374</v>
      </c>
      <c r="C1443" s="22" t="n">
        <v>1</v>
      </c>
      <c r="D1443" s="41" t="n">
        <v>7690.214</v>
      </c>
      <c r="E1443" s="22" t="n">
        <f aca="false">MONTH(A1443)</f>
        <v>7</v>
      </c>
    </row>
    <row r="1444" customFormat="false" ht="15" hidden="false" customHeight="false" outlineLevel="0" collapsed="false">
      <c r="A1444" s="21" t="n">
        <v>46218</v>
      </c>
      <c r="B1444" s="22" t="s">
        <v>375</v>
      </c>
      <c r="C1444" s="22" t="n">
        <v>1</v>
      </c>
      <c r="D1444" s="41" t="n">
        <v>15881.68</v>
      </c>
      <c r="E1444" s="22" t="n">
        <f aca="false">MONTH(A1444)</f>
        <v>7</v>
      </c>
    </row>
    <row r="1445" customFormat="false" ht="15" hidden="false" customHeight="false" outlineLevel="0" collapsed="false">
      <c r="A1445" s="21" t="n">
        <v>46218</v>
      </c>
      <c r="B1445" s="22" t="s">
        <v>375</v>
      </c>
      <c r="C1445" s="22" t="n">
        <v>2</v>
      </c>
      <c r="D1445" s="41" t="n">
        <v>17706.888</v>
      </c>
      <c r="E1445" s="22" t="n">
        <f aca="false">MONTH(A1445)</f>
        <v>7</v>
      </c>
    </row>
    <row r="1446" customFormat="false" ht="15" hidden="false" customHeight="false" outlineLevel="0" collapsed="false">
      <c r="A1446" s="21" t="n">
        <v>46218</v>
      </c>
      <c r="B1446" s="22" t="s">
        <v>189</v>
      </c>
      <c r="C1446" s="22" t="n">
        <v>1</v>
      </c>
      <c r="D1446" s="41" t="n">
        <v>8055.902</v>
      </c>
      <c r="E1446" s="22" t="n">
        <f aca="false">MONTH(A1446)</f>
        <v>7</v>
      </c>
    </row>
    <row r="1447" customFormat="false" ht="15" hidden="false" customHeight="false" outlineLevel="0" collapsed="false">
      <c r="A1447" s="21" t="n">
        <v>46218</v>
      </c>
      <c r="B1447" s="22" t="s">
        <v>189</v>
      </c>
      <c r="C1447" s="22" t="n">
        <v>2</v>
      </c>
      <c r="D1447" s="41" t="n">
        <v>3660.469</v>
      </c>
      <c r="E1447" s="22" t="n">
        <f aca="false">MONTH(A1447)</f>
        <v>7</v>
      </c>
    </row>
    <row r="1448" customFormat="false" ht="15" hidden="false" customHeight="false" outlineLevel="0" collapsed="false">
      <c r="A1448" s="21" t="n">
        <v>46218</v>
      </c>
      <c r="B1448" s="22" t="s">
        <v>359</v>
      </c>
      <c r="C1448" s="22" t="n">
        <v>1</v>
      </c>
      <c r="D1448" s="41" t="n">
        <v>2082.96</v>
      </c>
      <c r="E1448" s="22" t="n">
        <f aca="false">MONTH(A1448)</f>
        <v>7</v>
      </c>
    </row>
    <row r="1449" customFormat="false" ht="15" hidden="false" customHeight="false" outlineLevel="0" collapsed="false">
      <c r="A1449" s="21" t="n">
        <v>46219</v>
      </c>
      <c r="B1449" s="22" t="s">
        <v>361</v>
      </c>
      <c r="C1449" s="22" t="n">
        <v>2</v>
      </c>
      <c r="D1449" s="41" t="n">
        <v>29554.84</v>
      </c>
      <c r="E1449" s="22" t="n">
        <f aca="false">MONTH(A1449)</f>
        <v>7</v>
      </c>
    </row>
    <row r="1450" customFormat="false" ht="15" hidden="false" customHeight="false" outlineLevel="0" collapsed="false">
      <c r="A1450" s="21" t="n">
        <v>46219</v>
      </c>
      <c r="B1450" s="22" t="s">
        <v>186</v>
      </c>
      <c r="C1450" s="22" t="n">
        <v>1</v>
      </c>
      <c r="D1450" s="41" t="n">
        <v>12705.275</v>
      </c>
      <c r="E1450" s="22" t="n">
        <f aca="false">MONTH(A1450)</f>
        <v>7</v>
      </c>
    </row>
    <row r="1451" customFormat="false" ht="15" hidden="false" customHeight="false" outlineLevel="0" collapsed="false">
      <c r="A1451" s="21" t="n">
        <v>46219</v>
      </c>
      <c r="B1451" s="22" t="s">
        <v>186</v>
      </c>
      <c r="C1451" s="22" t="n">
        <v>2</v>
      </c>
      <c r="D1451" s="41" t="n">
        <v>10538.2</v>
      </c>
      <c r="E1451" s="22" t="n">
        <f aca="false">MONTH(A1451)</f>
        <v>7</v>
      </c>
    </row>
    <row r="1452" customFormat="false" ht="15" hidden="false" customHeight="false" outlineLevel="0" collapsed="false">
      <c r="A1452" s="21" t="n">
        <v>46219</v>
      </c>
      <c r="B1452" s="22" t="s">
        <v>374</v>
      </c>
      <c r="C1452" s="22" t="n">
        <v>1</v>
      </c>
      <c r="D1452" s="41" t="n">
        <v>8464.512</v>
      </c>
      <c r="E1452" s="22" t="n">
        <f aca="false">MONTH(A1452)</f>
        <v>7</v>
      </c>
    </row>
    <row r="1453" customFormat="false" ht="15" hidden="false" customHeight="false" outlineLevel="0" collapsed="false">
      <c r="A1453" s="21" t="n">
        <v>46219</v>
      </c>
      <c r="B1453" s="22" t="s">
        <v>375</v>
      </c>
      <c r="C1453" s="22" t="n">
        <v>1</v>
      </c>
      <c r="D1453" s="41" t="n">
        <v>16960.212</v>
      </c>
      <c r="E1453" s="22" t="n">
        <f aca="false">MONTH(A1453)</f>
        <v>7</v>
      </c>
    </row>
    <row r="1454" customFormat="false" ht="15" hidden="false" customHeight="false" outlineLevel="0" collapsed="false">
      <c r="A1454" s="21" t="n">
        <v>46219</v>
      </c>
      <c r="B1454" s="22" t="s">
        <v>375</v>
      </c>
      <c r="C1454" s="22" t="n">
        <v>2</v>
      </c>
      <c r="D1454" s="41" t="n">
        <v>12243.116</v>
      </c>
      <c r="E1454" s="22" t="n">
        <f aca="false">MONTH(A1454)</f>
        <v>7</v>
      </c>
    </row>
    <row r="1455" customFormat="false" ht="15" hidden="false" customHeight="false" outlineLevel="0" collapsed="false">
      <c r="A1455" s="21" t="n">
        <v>46219</v>
      </c>
      <c r="B1455" s="22" t="s">
        <v>189</v>
      </c>
      <c r="C1455" s="22" t="n">
        <v>1</v>
      </c>
      <c r="D1455" s="41" t="n">
        <v>5697.216</v>
      </c>
      <c r="E1455" s="22" t="n">
        <f aca="false">MONTH(A1455)</f>
        <v>7</v>
      </c>
    </row>
    <row r="1456" customFormat="false" ht="15" hidden="false" customHeight="false" outlineLevel="0" collapsed="false">
      <c r="A1456" s="21" t="n">
        <v>46219</v>
      </c>
      <c r="B1456" s="22" t="s">
        <v>189</v>
      </c>
      <c r="C1456" s="22" t="n">
        <v>2</v>
      </c>
      <c r="D1456" s="41" t="n">
        <v>4846.59</v>
      </c>
      <c r="E1456" s="22" t="n">
        <f aca="false">MONTH(A1456)</f>
        <v>7</v>
      </c>
    </row>
    <row r="1457" customFormat="false" ht="15" hidden="false" customHeight="false" outlineLevel="0" collapsed="false">
      <c r="A1457" s="21" t="n">
        <v>46220</v>
      </c>
      <c r="B1457" s="22" t="s">
        <v>361</v>
      </c>
      <c r="C1457" s="22" t="n">
        <v>2</v>
      </c>
      <c r="D1457" s="41" t="n">
        <v>16443.42</v>
      </c>
      <c r="E1457" s="22" t="n">
        <f aca="false">MONTH(A1457)</f>
        <v>7</v>
      </c>
    </row>
    <row r="1458" customFormat="false" ht="15" hidden="false" customHeight="false" outlineLevel="0" collapsed="false">
      <c r="A1458" s="21" t="n">
        <v>46220</v>
      </c>
      <c r="B1458" s="22" t="s">
        <v>186</v>
      </c>
      <c r="C1458" s="22" t="n">
        <v>1</v>
      </c>
      <c r="D1458" s="41" t="n">
        <v>9607.375</v>
      </c>
      <c r="E1458" s="22" t="n">
        <f aca="false">MONTH(A1458)</f>
        <v>7</v>
      </c>
    </row>
    <row r="1459" customFormat="false" ht="15" hidden="false" customHeight="false" outlineLevel="0" collapsed="false">
      <c r="A1459" s="21" t="n">
        <v>46220</v>
      </c>
      <c r="B1459" s="22" t="s">
        <v>186</v>
      </c>
      <c r="C1459" s="22" t="n">
        <v>2</v>
      </c>
      <c r="D1459" s="41" t="n">
        <v>5535.375</v>
      </c>
      <c r="E1459" s="22" t="n">
        <f aca="false">MONTH(A1459)</f>
        <v>7</v>
      </c>
    </row>
    <row r="1460" customFormat="false" ht="15" hidden="false" customHeight="false" outlineLevel="0" collapsed="false">
      <c r="A1460" s="21" t="n">
        <v>46220</v>
      </c>
      <c r="B1460" s="22" t="s">
        <v>374</v>
      </c>
      <c r="C1460" s="22" t="n">
        <v>1</v>
      </c>
      <c r="D1460" s="41" t="n">
        <v>7643.328</v>
      </c>
      <c r="E1460" s="22" t="n">
        <f aca="false">MONTH(A1460)</f>
        <v>7</v>
      </c>
    </row>
    <row r="1461" customFormat="false" ht="15" hidden="false" customHeight="false" outlineLevel="0" collapsed="false">
      <c r="A1461" s="21" t="n">
        <v>46220</v>
      </c>
      <c r="B1461" s="22" t="s">
        <v>375</v>
      </c>
      <c r="C1461" s="22" t="n">
        <v>1</v>
      </c>
      <c r="D1461" s="41" t="n">
        <v>15952.792</v>
      </c>
      <c r="E1461" s="22" t="n">
        <f aca="false">MONTH(A1461)</f>
        <v>7</v>
      </c>
    </row>
    <row r="1462" customFormat="false" ht="15" hidden="false" customHeight="false" outlineLevel="0" collapsed="false">
      <c r="A1462" s="21" t="n">
        <v>46220</v>
      </c>
      <c r="B1462" s="22" t="s">
        <v>375</v>
      </c>
      <c r="C1462" s="22" t="n">
        <v>2</v>
      </c>
      <c r="D1462" s="41" t="n">
        <v>7703.8</v>
      </c>
      <c r="E1462" s="22" t="n">
        <f aca="false">MONTH(A1462)</f>
        <v>7</v>
      </c>
    </row>
    <row r="1463" customFormat="false" ht="15" hidden="false" customHeight="false" outlineLevel="0" collapsed="false">
      <c r="A1463" s="21" t="n">
        <v>46220</v>
      </c>
      <c r="B1463" s="22" t="s">
        <v>189</v>
      </c>
      <c r="C1463" s="22" t="n">
        <v>1</v>
      </c>
      <c r="D1463" s="41" t="n">
        <v>4500.405</v>
      </c>
      <c r="E1463" s="22" t="n">
        <f aca="false">MONTH(A1463)</f>
        <v>7</v>
      </c>
    </row>
    <row r="1464" customFormat="false" ht="15" hidden="false" customHeight="false" outlineLevel="0" collapsed="false">
      <c r="A1464" s="21" t="n">
        <v>46220</v>
      </c>
      <c r="B1464" s="22" t="s">
        <v>189</v>
      </c>
      <c r="C1464" s="22" t="n">
        <v>2</v>
      </c>
      <c r="D1464" s="41" t="n">
        <v>2492.532</v>
      </c>
      <c r="E1464" s="22" t="n">
        <f aca="false">MONTH(A1464)</f>
        <v>7</v>
      </c>
    </row>
    <row r="1465" customFormat="false" ht="15" hidden="false" customHeight="false" outlineLevel="0" collapsed="false">
      <c r="A1465" s="21" t="n">
        <v>46220</v>
      </c>
      <c r="B1465" s="22" t="s">
        <v>359</v>
      </c>
      <c r="C1465" s="22" t="n">
        <v>1</v>
      </c>
      <c r="D1465" s="41" t="n">
        <v>987.039</v>
      </c>
      <c r="E1465" s="22" t="n">
        <f aca="false">MONTH(A1465)</f>
        <v>7</v>
      </c>
    </row>
    <row r="1466" customFormat="false" ht="15" hidden="false" customHeight="false" outlineLevel="0" collapsed="false">
      <c r="A1466" s="21" t="n">
        <v>46221</v>
      </c>
      <c r="B1466" s="22" t="s">
        <v>361</v>
      </c>
      <c r="C1466" s="22" t="n">
        <v>2</v>
      </c>
      <c r="D1466" s="41" t="n">
        <v>31187.52</v>
      </c>
      <c r="E1466" s="22" t="n">
        <f aca="false">MONTH(A1466)</f>
        <v>7</v>
      </c>
    </row>
    <row r="1467" customFormat="false" ht="15" hidden="false" customHeight="false" outlineLevel="0" collapsed="false">
      <c r="A1467" s="21" t="n">
        <v>46221</v>
      </c>
      <c r="B1467" s="22" t="s">
        <v>186</v>
      </c>
      <c r="C1467" s="22" t="n">
        <v>1</v>
      </c>
      <c r="D1467" s="41" t="n">
        <v>11147.1</v>
      </c>
      <c r="E1467" s="22" t="n">
        <f aca="false">MONTH(A1467)</f>
        <v>7</v>
      </c>
    </row>
    <row r="1468" customFormat="false" ht="15" hidden="false" customHeight="false" outlineLevel="0" collapsed="false">
      <c r="A1468" s="21" t="n">
        <v>46221</v>
      </c>
      <c r="B1468" s="22" t="s">
        <v>186</v>
      </c>
      <c r="C1468" s="22" t="n">
        <v>2</v>
      </c>
      <c r="D1468" s="41" t="n">
        <v>509</v>
      </c>
      <c r="E1468" s="22" t="n">
        <f aca="false">MONTH(A1468)</f>
        <v>7</v>
      </c>
    </row>
    <row r="1469" customFormat="false" ht="15" hidden="false" customHeight="false" outlineLevel="0" collapsed="false">
      <c r="A1469" s="21" t="n">
        <v>46221</v>
      </c>
      <c r="B1469" s="22" t="s">
        <v>374</v>
      </c>
      <c r="C1469" s="22" t="n">
        <v>1</v>
      </c>
      <c r="D1469" s="41" t="n">
        <v>1918.728</v>
      </c>
      <c r="E1469" s="22" t="n">
        <f aca="false">MONTH(A1469)</f>
        <v>7</v>
      </c>
    </row>
    <row r="1470" customFormat="false" ht="15" hidden="false" customHeight="false" outlineLevel="0" collapsed="false">
      <c r="A1470" s="21" t="n">
        <v>46221</v>
      </c>
      <c r="B1470" s="22" t="s">
        <v>375</v>
      </c>
      <c r="C1470" s="22" t="n">
        <v>1</v>
      </c>
      <c r="D1470" s="41" t="n">
        <v>18346.896</v>
      </c>
      <c r="E1470" s="22" t="n">
        <f aca="false">MONTH(A1470)</f>
        <v>7</v>
      </c>
    </row>
    <row r="1471" customFormat="false" ht="15" hidden="false" customHeight="false" outlineLevel="0" collapsed="false">
      <c r="A1471" s="21" t="n">
        <v>46221</v>
      </c>
      <c r="B1471" s="22" t="s">
        <v>375</v>
      </c>
      <c r="C1471" s="22" t="n">
        <v>2</v>
      </c>
      <c r="D1471" s="41" t="n">
        <v>16770.58</v>
      </c>
      <c r="E1471" s="22" t="n">
        <f aca="false">MONTH(A1471)</f>
        <v>7</v>
      </c>
    </row>
    <row r="1472" customFormat="false" ht="15" hidden="false" customHeight="false" outlineLevel="0" collapsed="false">
      <c r="A1472" s="21" t="n">
        <v>46221</v>
      </c>
      <c r="B1472" s="22" t="s">
        <v>189</v>
      </c>
      <c r="C1472" s="22" t="n">
        <v>1</v>
      </c>
      <c r="D1472" s="41" t="n">
        <v>5262.012</v>
      </c>
      <c r="E1472" s="22" t="n">
        <f aca="false">MONTH(A1472)</f>
        <v>7</v>
      </c>
    </row>
    <row r="1473" customFormat="false" ht="15" hidden="false" customHeight="false" outlineLevel="0" collapsed="false">
      <c r="A1473" s="21" t="n">
        <v>46221</v>
      </c>
      <c r="B1473" s="22" t="s">
        <v>189</v>
      </c>
      <c r="C1473" s="22" t="n">
        <v>2</v>
      </c>
      <c r="D1473" s="41" t="n">
        <v>5311.467</v>
      </c>
      <c r="E1473" s="22" t="n">
        <f aca="false">MONTH(A1473)</f>
        <v>7</v>
      </c>
    </row>
    <row r="1474" customFormat="false" ht="15" hidden="false" customHeight="false" outlineLevel="0" collapsed="false">
      <c r="A1474" s="21" t="n">
        <v>46221</v>
      </c>
      <c r="B1474" s="22" t="s">
        <v>359</v>
      </c>
      <c r="C1474" s="22" t="n">
        <v>1</v>
      </c>
      <c r="D1474" s="41" t="n">
        <v>1242.675</v>
      </c>
      <c r="E1474" s="22" t="n">
        <f aca="false">MONTH(A1474)</f>
        <v>7</v>
      </c>
    </row>
    <row r="1475" customFormat="false" ht="15" hidden="false" customHeight="false" outlineLevel="0" collapsed="false">
      <c r="A1475" s="21" t="n">
        <v>46224</v>
      </c>
      <c r="B1475" s="22" t="s">
        <v>361</v>
      </c>
      <c r="C1475" s="22" t="n">
        <v>1</v>
      </c>
      <c r="D1475" s="41" t="n">
        <v>31953.88</v>
      </c>
      <c r="E1475" s="22" t="n">
        <f aca="false">MONTH(A1475)</f>
        <v>7</v>
      </c>
    </row>
    <row r="1476" customFormat="false" ht="15" hidden="false" customHeight="false" outlineLevel="0" collapsed="false">
      <c r="A1476" s="21" t="n">
        <v>46224</v>
      </c>
      <c r="B1476" s="22" t="s">
        <v>186</v>
      </c>
      <c r="C1476" s="22" t="n">
        <v>1</v>
      </c>
      <c r="D1476" s="41" t="n">
        <v>10459.95</v>
      </c>
      <c r="E1476" s="22" t="n">
        <f aca="false">MONTH(A1476)</f>
        <v>7</v>
      </c>
    </row>
    <row r="1477" customFormat="false" ht="15" hidden="false" customHeight="false" outlineLevel="0" collapsed="false">
      <c r="A1477" s="21" t="n">
        <v>46224</v>
      </c>
      <c r="B1477" s="22" t="s">
        <v>186</v>
      </c>
      <c r="C1477" s="22" t="n">
        <v>2</v>
      </c>
      <c r="D1477" s="41" t="n">
        <v>6655.175</v>
      </c>
      <c r="E1477" s="22" t="n">
        <f aca="false">MONTH(A1477)</f>
        <v>7</v>
      </c>
    </row>
    <row r="1478" customFormat="false" ht="15" hidden="false" customHeight="false" outlineLevel="0" collapsed="false">
      <c r="A1478" s="21" t="n">
        <v>46224</v>
      </c>
      <c r="B1478" s="22" t="s">
        <v>188</v>
      </c>
      <c r="C1478" s="22" t="n">
        <v>1</v>
      </c>
      <c r="D1478" s="41" t="n">
        <v>1984.5</v>
      </c>
      <c r="E1478" s="22" t="n">
        <f aca="false">MONTH(A1478)</f>
        <v>7</v>
      </c>
    </row>
    <row r="1479" customFormat="false" ht="15" hidden="false" customHeight="false" outlineLevel="0" collapsed="false">
      <c r="A1479" s="21" t="n">
        <v>46224</v>
      </c>
      <c r="B1479" s="22" t="s">
        <v>375</v>
      </c>
      <c r="C1479" s="22" t="n">
        <v>1</v>
      </c>
      <c r="D1479" s="41" t="n">
        <v>16332.056</v>
      </c>
      <c r="E1479" s="22" t="n">
        <f aca="false">MONTH(A1479)</f>
        <v>7</v>
      </c>
    </row>
    <row r="1480" customFormat="false" ht="15" hidden="false" customHeight="false" outlineLevel="0" collapsed="false">
      <c r="A1480" s="21" t="n">
        <v>46224</v>
      </c>
      <c r="B1480" s="22" t="s">
        <v>187</v>
      </c>
      <c r="C1480" s="22" t="n">
        <v>1</v>
      </c>
      <c r="D1480" s="41" t="n">
        <v>5008.829</v>
      </c>
      <c r="E1480" s="22" t="n">
        <f aca="false">MONTH(A1480)</f>
        <v>7</v>
      </c>
    </row>
    <row r="1481" customFormat="false" ht="15" hidden="false" customHeight="false" outlineLevel="0" collapsed="false">
      <c r="A1481" s="21" t="n">
        <v>46224</v>
      </c>
      <c r="B1481" s="22" t="s">
        <v>187</v>
      </c>
      <c r="C1481" s="22" t="n">
        <v>2</v>
      </c>
      <c r="D1481" s="41" t="n">
        <v>5271.224</v>
      </c>
      <c r="E1481" s="22" t="n">
        <f aca="false">MONTH(A1481)</f>
        <v>7</v>
      </c>
    </row>
    <row r="1482" customFormat="false" ht="15" hidden="false" customHeight="false" outlineLevel="0" collapsed="false">
      <c r="A1482" s="21" t="n">
        <v>46224</v>
      </c>
      <c r="B1482" s="22" t="s">
        <v>189</v>
      </c>
      <c r="C1482" s="22" t="n">
        <v>1</v>
      </c>
      <c r="D1482" s="41" t="n">
        <v>4807.026</v>
      </c>
      <c r="E1482" s="22" t="n">
        <f aca="false">MONTH(A1482)</f>
        <v>7</v>
      </c>
    </row>
    <row r="1483" customFormat="false" ht="15" hidden="false" customHeight="false" outlineLevel="0" collapsed="false">
      <c r="A1483" s="21" t="n">
        <v>46224</v>
      </c>
      <c r="B1483" s="22" t="s">
        <v>189</v>
      </c>
      <c r="C1483" s="22" t="n">
        <v>2</v>
      </c>
      <c r="D1483" s="41" t="n">
        <v>3313.485</v>
      </c>
      <c r="E1483" s="22" t="n">
        <f aca="false">MONTH(A1483)</f>
        <v>7</v>
      </c>
    </row>
    <row r="1484" customFormat="false" ht="15" hidden="false" customHeight="false" outlineLevel="0" collapsed="false">
      <c r="A1484" s="21" t="n">
        <v>46224</v>
      </c>
      <c r="B1484" s="22" t="s">
        <v>359</v>
      </c>
      <c r="C1484" s="22" t="n">
        <v>1</v>
      </c>
      <c r="D1484" s="41" t="n">
        <v>2911.41</v>
      </c>
      <c r="E1484" s="22" t="n">
        <f aca="false">MONTH(A1484)</f>
        <v>7</v>
      </c>
    </row>
    <row r="1485" customFormat="false" ht="15" hidden="false" customHeight="false" outlineLevel="0" collapsed="false">
      <c r="A1485" s="21" t="n">
        <v>46225</v>
      </c>
      <c r="B1485" s="22" t="s">
        <v>361</v>
      </c>
      <c r="C1485" s="22" t="n">
        <v>1</v>
      </c>
      <c r="D1485" s="41" t="n">
        <v>25706.38</v>
      </c>
      <c r="E1485" s="22" t="n">
        <f aca="false">MONTH(A1485)</f>
        <v>7</v>
      </c>
    </row>
    <row r="1486" customFormat="false" ht="15" hidden="false" customHeight="false" outlineLevel="0" collapsed="false">
      <c r="A1486" s="21" t="n">
        <v>46225</v>
      </c>
      <c r="B1486" s="22" t="s">
        <v>186</v>
      </c>
      <c r="C1486" s="22" t="n">
        <v>1</v>
      </c>
      <c r="D1486" s="41" t="n">
        <v>10855.446</v>
      </c>
      <c r="E1486" s="22" t="n">
        <f aca="false">MONTH(A1486)</f>
        <v>7</v>
      </c>
    </row>
    <row r="1487" customFormat="false" ht="15" hidden="false" customHeight="false" outlineLevel="0" collapsed="false">
      <c r="A1487" s="21" t="n">
        <v>46225</v>
      </c>
      <c r="B1487" s="22" t="s">
        <v>186</v>
      </c>
      <c r="C1487" s="22" t="n">
        <v>2</v>
      </c>
      <c r="D1487" s="41" t="n">
        <v>11565.726</v>
      </c>
      <c r="E1487" s="22" t="n">
        <f aca="false">MONTH(A1487)</f>
        <v>7</v>
      </c>
    </row>
    <row r="1488" customFormat="false" ht="15" hidden="false" customHeight="false" outlineLevel="0" collapsed="false">
      <c r="A1488" s="21" t="n">
        <v>46225</v>
      </c>
      <c r="B1488" s="22" t="s">
        <v>188</v>
      </c>
      <c r="C1488" s="22" t="n">
        <v>1</v>
      </c>
      <c r="D1488" s="41" t="n">
        <v>2401</v>
      </c>
      <c r="E1488" s="22" t="n">
        <f aca="false">MONTH(A1488)</f>
        <v>7</v>
      </c>
    </row>
    <row r="1489" customFormat="false" ht="15" hidden="false" customHeight="false" outlineLevel="0" collapsed="false">
      <c r="A1489" s="21" t="n">
        <v>46225</v>
      </c>
      <c r="B1489" s="22" t="s">
        <v>375</v>
      </c>
      <c r="C1489" s="22" t="n">
        <v>1</v>
      </c>
      <c r="D1489" s="41" t="n">
        <v>19460.984</v>
      </c>
      <c r="E1489" s="22" t="n">
        <f aca="false">MONTH(A1489)</f>
        <v>7</v>
      </c>
    </row>
    <row r="1490" customFormat="false" ht="15" hidden="false" customHeight="false" outlineLevel="0" collapsed="false">
      <c r="A1490" s="21" t="n">
        <v>46225</v>
      </c>
      <c r="B1490" s="22" t="s">
        <v>187</v>
      </c>
      <c r="C1490" s="22" t="n">
        <v>1</v>
      </c>
      <c r="D1490" s="41" t="n">
        <v>6594.861</v>
      </c>
      <c r="E1490" s="22" t="n">
        <f aca="false">MONTH(A1490)</f>
        <v>7</v>
      </c>
    </row>
    <row r="1491" customFormat="false" ht="15" hidden="false" customHeight="false" outlineLevel="0" collapsed="false">
      <c r="A1491" s="21" t="n">
        <v>46225</v>
      </c>
      <c r="B1491" s="22" t="s">
        <v>187</v>
      </c>
      <c r="C1491" s="22" t="n">
        <v>2</v>
      </c>
      <c r="D1491" s="41" t="n">
        <v>6425.762</v>
      </c>
      <c r="E1491" s="22" t="n">
        <f aca="false">MONTH(A1491)</f>
        <v>7</v>
      </c>
    </row>
    <row r="1492" customFormat="false" ht="15" hidden="false" customHeight="false" outlineLevel="0" collapsed="false">
      <c r="A1492" s="21" t="n">
        <v>46225</v>
      </c>
      <c r="B1492" s="22" t="s">
        <v>189</v>
      </c>
      <c r="C1492" s="22" t="n">
        <v>2</v>
      </c>
      <c r="D1492" s="41" t="n">
        <v>8355.296</v>
      </c>
      <c r="E1492" s="22" t="n">
        <f aca="false">MONTH(A1492)</f>
        <v>7</v>
      </c>
    </row>
    <row r="1493" customFormat="false" ht="15" hidden="false" customHeight="false" outlineLevel="0" collapsed="false">
      <c r="A1493" s="21" t="n">
        <v>46225</v>
      </c>
      <c r="B1493" s="22" t="s">
        <v>359</v>
      </c>
      <c r="C1493" s="22" t="n">
        <v>1</v>
      </c>
      <c r="D1493" s="41" t="n">
        <v>2567.583</v>
      </c>
      <c r="E1493" s="22" t="n">
        <f aca="false">MONTH(A1493)</f>
        <v>7</v>
      </c>
    </row>
    <row r="1494" customFormat="false" ht="15" hidden="false" customHeight="false" outlineLevel="0" collapsed="false">
      <c r="A1494" s="21" t="n">
        <v>46226</v>
      </c>
      <c r="B1494" s="22" t="s">
        <v>361</v>
      </c>
      <c r="C1494" s="22" t="n">
        <v>1</v>
      </c>
      <c r="D1494" s="41" t="n">
        <v>20991.6</v>
      </c>
      <c r="E1494" s="22" t="n">
        <f aca="false">MONTH(A1494)</f>
        <v>7</v>
      </c>
    </row>
    <row r="1495" customFormat="false" ht="15" hidden="false" customHeight="false" outlineLevel="0" collapsed="false">
      <c r="A1495" s="21" t="n">
        <v>46226</v>
      </c>
      <c r="B1495" s="22" t="s">
        <v>186</v>
      </c>
      <c r="C1495" s="22" t="n">
        <v>1</v>
      </c>
      <c r="D1495" s="41" t="n">
        <v>10711.638</v>
      </c>
      <c r="E1495" s="22" t="n">
        <f aca="false">MONTH(A1495)</f>
        <v>7</v>
      </c>
    </row>
    <row r="1496" customFormat="false" ht="15" hidden="false" customHeight="false" outlineLevel="0" collapsed="false">
      <c r="A1496" s="21" t="n">
        <v>46226</v>
      </c>
      <c r="B1496" s="22" t="s">
        <v>186</v>
      </c>
      <c r="C1496" s="22" t="n">
        <v>2</v>
      </c>
      <c r="D1496" s="41" t="n">
        <v>12615.141</v>
      </c>
      <c r="E1496" s="22" t="n">
        <f aca="false">MONTH(A1496)</f>
        <v>7</v>
      </c>
    </row>
    <row r="1497" customFormat="false" ht="15" hidden="false" customHeight="false" outlineLevel="0" collapsed="false">
      <c r="A1497" s="21" t="n">
        <v>46226</v>
      </c>
      <c r="B1497" s="22" t="s">
        <v>188</v>
      </c>
      <c r="C1497" s="22" t="n">
        <v>1</v>
      </c>
      <c r="D1497" s="41" t="n">
        <v>2092.3</v>
      </c>
      <c r="E1497" s="22" t="n">
        <f aca="false">MONTH(A1497)</f>
        <v>7</v>
      </c>
    </row>
    <row r="1498" customFormat="false" ht="15" hidden="false" customHeight="false" outlineLevel="0" collapsed="false">
      <c r="A1498" s="21" t="n">
        <v>46226</v>
      </c>
      <c r="B1498" s="22" t="s">
        <v>375</v>
      </c>
      <c r="C1498" s="22" t="n">
        <v>1</v>
      </c>
      <c r="D1498" s="41" t="n">
        <v>8995.668</v>
      </c>
      <c r="E1498" s="22" t="n">
        <f aca="false">MONTH(A1498)</f>
        <v>7</v>
      </c>
    </row>
    <row r="1499" customFormat="false" ht="15" hidden="false" customHeight="false" outlineLevel="0" collapsed="false">
      <c r="A1499" s="21" t="n">
        <v>46226</v>
      </c>
      <c r="B1499" s="22" t="s">
        <v>187</v>
      </c>
      <c r="C1499" s="22" t="n">
        <v>1</v>
      </c>
      <c r="D1499" s="41" t="n">
        <v>6973.155</v>
      </c>
      <c r="E1499" s="22" t="n">
        <f aca="false">MONTH(A1499)</f>
        <v>7</v>
      </c>
    </row>
    <row r="1500" customFormat="false" ht="15" hidden="false" customHeight="false" outlineLevel="0" collapsed="false">
      <c r="A1500" s="21" t="n">
        <v>46226</v>
      </c>
      <c r="B1500" s="22" t="s">
        <v>187</v>
      </c>
      <c r="C1500" s="22" t="n">
        <v>2</v>
      </c>
      <c r="D1500" s="41" t="n">
        <v>9786.595</v>
      </c>
      <c r="E1500" s="22" t="n">
        <f aca="false">MONTH(A1500)</f>
        <v>7</v>
      </c>
    </row>
    <row r="1501" customFormat="false" ht="15" hidden="false" customHeight="false" outlineLevel="0" collapsed="false">
      <c r="A1501" s="21" t="n">
        <v>46226</v>
      </c>
      <c r="B1501" s="22" t="s">
        <v>189</v>
      </c>
      <c r="C1501" s="22" t="n">
        <v>1</v>
      </c>
      <c r="D1501" s="41" t="n">
        <v>8063.475</v>
      </c>
      <c r="E1501" s="22" t="n">
        <f aca="false">MONTH(A1501)</f>
        <v>7</v>
      </c>
    </row>
    <row r="1502" customFormat="false" ht="15" hidden="false" customHeight="false" outlineLevel="0" collapsed="false">
      <c r="A1502" s="21" t="n">
        <v>46226</v>
      </c>
      <c r="B1502" s="22" t="s">
        <v>189</v>
      </c>
      <c r="C1502" s="22" t="n">
        <v>2</v>
      </c>
      <c r="D1502" s="41" t="n">
        <v>8754.63</v>
      </c>
      <c r="E1502" s="22" t="n">
        <f aca="false">MONTH(A1502)</f>
        <v>7</v>
      </c>
    </row>
    <row r="1503" customFormat="false" ht="15" hidden="false" customHeight="false" outlineLevel="0" collapsed="false">
      <c r="A1503" s="21" t="n">
        <v>46226</v>
      </c>
      <c r="B1503" s="22" t="s">
        <v>359</v>
      </c>
      <c r="C1503" s="22" t="n">
        <v>1</v>
      </c>
      <c r="D1503" s="41" t="n">
        <v>2823.6</v>
      </c>
      <c r="E1503" s="22" t="n">
        <f aca="false">MONTH(A1503)</f>
        <v>7</v>
      </c>
    </row>
    <row r="1504" customFormat="false" ht="15" hidden="false" customHeight="false" outlineLevel="0" collapsed="false">
      <c r="A1504" s="21" t="n">
        <v>46227</v>
      </c>
      <c r="B1504" s="22" t="s">
        <v>361</v>
      </c>
      <c r="C1504" s="22" t="n">
        <v>1</v>
      </c>
      <c r="D1504" s="41" t="n">
        <v>7913.5</v>
      </c>
      <c r="E1504" s="22" t="n">
        <f aca="false">MONTH(A1504)</f>
        <v>7</v>
      </c>
    </row>
    <row r="1505" customFormat="false" ht="15" hidden="false" customHeight="false" outlineLevel="0" collapsed="false">
      <c r="A1505" s="21" t="n">
        <v>46227</v>
      </c>
      <c r="B1505" s="22" t="s">
        <v>186</v>
      </c>
      <c r="C1505" s="22" t="n">
        <v>1</v>
      </c>
      <c r="D1505" s="41" t="n">
        <v>7744.065</v>
      </c>
      <c r="E1505" s="22" t="n">
        <f aca="false">MONTH(A1505)</f>
        <v>7</v>
      </c>
    </row>
    <row r="1506" customFormat="false" ht="15" hidden="false" customHeight="false" outlineLevel="0" collapsed="false">
      <c r="A1506" s="21" t="n">
        <v>46227</v>
      </c>
      <c r="B1506" s="22" t="s">
        <v>186</v>
      </c>
      <c r="C1506" s="22" t="n">
        <v>2</v>
      </c>
      <c r="D1506" s="41" t="n">
        <v>4591.3</v>
      </c>
      <c r="E1506" s="22" t="n">
        <f aca="false">MONTH(A1506)</f>
        <v>7</v>
      </c>
    </row>
    <row r="1507" customFormat="false" ht="15" hidden="false" customHeight="false" outlineLevel="0" collapsed="false">
      <c r="A1507" s="21" t="n">
        <v>46227</v>
      </c>
      <c r="B1507" s="22" t="s">
        <v>188</v>
      </c>
      <c r="C1507" s="22" t="n">
        <v>1</v>
      </c>
      <c r="D1507" s="41" t="n">
        <v>1935.5</v>
      </c>
      <c r="E1507" s="22" t="n">
        <f aca="false">MONTH(A1507)</f>
        <v>7</v>
      </c>
    </row>
    <row r="1508" customFormat="false" ht="15" hidden="false" customHeight="false" outlineLevel="0" collapsed="false">
      <c r="A1508" s="21" t="n">
        <v>46227</v>
      </c>
      <c r="B1508" s="22" t="s">
        <v>375</v>
      </c>
      <c r="C1508" s="22" t="n">
        <v>1</v>
      </c>
      <c r="D1508" s="41" t="n">
        <v>14341.716</v>
      </c>
      <c r="E1508" s="22" t="n">
        <f aca="false">MONTH(A1508)</f>
        <v>7</v>
      </c>
    </row>
    <row r="1509" customFormat="false" ht="15" hidden="false" customHeight="false" outlineLevel="0" collapsed="false">
      <c r="A1509" s="21" t="n">
        <v>46227</v>
      </c>
      <c r="B1509" s="22" t="s">
        <v>375</v>
      </c>
      <c r="C1509" s="22" t="n">
        <v>2</v>
      </c>
      <c r="D1509" s="41" t="n">
        <v>6618.265</v>
      </c>
      <c r="E1509" s="22" t="n">
        <f aca="false">MONTH(A1509)</f>
        <v>7</v>
      </c>
    </row>
    <row r="1510" customFormat="false" ht="15" hidden="false" customHeight="false" outlineLevel="0" collapsed="false">
      <c r="A1510" s="21" t="n">
        <v>46227</v>
      </c>
      <c r="B1510" s="22" t="s">
        <v>187</v>
      </c>
      <c r="C1510" s="22" t="n">
        <v>1</v>
      </c>
      <c r="D1510" s="41" t="n">
        <v>9572.29</v>
      </c>
      <c r="E1510" s="22" t="n">
        <f aca="false">MONTH(A1510)</f>
        <v>7</v>
      </c>
    </row>
    <row r="1511" customFormat="false" ht="15" hidden="false" customHeight="false" outlineLevel="0" collapsed="false">
      <c r="A1511" s="21" t="n">
        <v>46227</v>
      </c>
      <c r="B1511" s="22" t="s">
        <v>187</v>
      </c>
      <c r="C1511" s="22" t="n">
        <v>2</v>
      </c>
      <c r="D1511" s="41" t="n">
        <v>1928.745</v>
      </c>
      <c r="E1511" s="22" t="n">
        <f aca="false">MONTH(A1511)</f>
        <v>7</v>
      </c>
    </row>
    <row r="1512" customFormat="false" ht="15" hidden="false" customHeight="false" outlineLevel="0" collapsed="false">
      <c r="A1512" s="21" t="n">
        <v>46227</v>
      </c>
      <c r="B1512" s="22" t="s">
        <v>189</v>
      </c>
      <c r="C1512" s="22" t="n">
        <v>1</v>
      </c>
      <c r="D1512" s="41" t="n">
        <v>9722.247</v>
      </c>
      <c r="E1512" s="22" t="n">
        <f aca="false">MONTH(A1512)</f>
        <v>7</v>
      </c>
    </row>
    <row r="1513" customFormat="false" ht="15" hidden="false" customHeight="false" outlineLevel="0" collapsed="false">
      <c r="A1513" s="21" t="n">
        <v>46227</v>
      </c>
      <c r="B1513" s="22" t="s">
        <v>189</v>
      </c>
      <c r="C1513" s="22" t="n">
        <v>2</v>
      </c>
      <c r="D1513" s="41" t="n">
        <v>8954.297</v>
      </c>
      <c r="E1513" s="22" t="n">
        <f aca="false">MONTH(A1513)</f>
        <v>7</v>
      </c>
    </row>
    <row r="1514" customFormat="false" ht="15" hidden="false" customHeight="false" outlineLevel="0" collapsed="false">
      <c r="A1514" s="21" t="n">
        <v>46227</v>
      </c>
      <c r="B1514" s="22" t="s">
        <v>359</v>
      </c>
      <c r="C1514" s="22" t="n">
        <v>1</v>
      </c>
      <c r="D1514" s="41" t="n">
        <v>3621.267</v>
      </c>
      <c r="E1514" s="22" t="n">
        <f aca="false">MONTH(A1514)</f>
        <v>7</v>
      </c>
    </row>
    <row r="1515" customFormat="false" ht="15" hidden="false" customHeight="false" outlineLevel="0" collapsed="false">
      <c r="A1515" s="21" t="n">
        <v>46228</v>
      </c>
      <c r="B1515" s="22" t="s">
        <v>361</v>
      </c>
      <c r="C1515" s="22" t="n">
        <v>1</v>
      </c>
      <c r="D1515" s="41" t="n">
        <v>12900.704</v>
      </c>
      <c r="E1515" s="22" t="n">
        <f aca="false">MONTH(A1515)</f>
        <v>7</v>
      </c>
    </row>
    <row r="1516" customFormat="false" ht="15" hidden="false" customHeight="false" outlineLevel="0" collapsed="false">
      <c r="A1516" s="21" t="n">
        <v>46228</v>
      </c>
      <c r="B1516" s="22" t="s">
        <v>186</v>
      </c>
      <c r="C1516" s="22" t="n">
        <v>1</v>
      </c>
      <c r="D1516" s="41" t="n">
        <v>10455.046</v>
      </c>
      <c r="E1516" s="22" t="n">
        <f aca="false">MONTH(A1516)</f>
        <v>7</v>
      </c>
    </row>
    <row r="1517" customFormat="false" ht="15" hidden="false" customHeight="false" outlineLevel="0" collapsed="false">
      <c r="A1517" s="21" t="n">
        <v>46228</v>
      </c>
      <c r="B1517" s="22" t="s">
        <v>186</v>
      </c>
      <c r="C1517" s="22" t="n">
        <v>2</v>
      </c>
      <c r="D1517" s="41" t="n">
        <v>8782.528</v>
      </c>
      <c r="E1517" s="22" t="n">
        <f aca="false">MONTH(A1517)</f>
        <v>7</v>
      </c>
    </row>
    <row r="1518" customFormat="false" ht="15" hidden="false" customHeight="false" outlineLevel="0" collapsed="false">
      <c r="A1518" s="21" t="n">
        <v>46228</v>
      </c>
      <c r="B1518" s="22" t="s">
        <v>188</v>
      </c>
      <c r="C1518" s="22" t="n">
        <v>1</v>
      </c>
      <c r="D1518" s="41" t="n">
        <v>2263.8</v>
      </c>
      <c r="E1518" s="22" t="n">
        <f aca="false">MONTH(A1518)</f>
        <v>7</v>
      </c>
    </row>
    <row r="1519" customFormat="false" ht="15" hidden="false" customHeight="false" outlineLevel="0" collapsed="false">
      <c r="A1519" s="21" t="n">
        <v>46228</v>
      </c>
      <c r="B1519" s="22" t="s">
        <v>375</v>
      </c>
      <c r="C1519" s="22" t="n">
        <v>1</v>
      </c>
      <c r="D1519" s="41" t="n">
        <v>11026.158</v>
      </c>
      <c r="E1519" s="22" t="n">
        <f aca="false">MONTH(A1519)</f>
        <v>7</v>
      </c>
    </row>
    <row r="1520" customFormat="false" ht="15" hidden="false" customHeight="false" outlineLevel="0" collapsed="false">
      <c r="A1520" s="21" t="n">
        <v>46228</v>
      </c>
      <c r="B1520" s="22" t="s">
        <v>187</v>
      </c>
      <c r="C1520" s="22" t="n">
        <v>1</v>
      </c>
      <c r="D1520" s="41" t="n">
        <v>6709.5</v>
      </c>
      <c r="E1520" s="22" t="n">
        <f aca="false">MONTH(A1520)</f>
        <v>7</v>
      </c>
    </row>
    <row r="1521" customFormat="false" ht="15" hidden="false" customHeight="false" outlineLevel="0" collapsed="false">
      <c r="A1521" s="21" t="n">
        <v>46228</v>
      </c>
      <c r="B1521" s="22" t="s">
        <v>187</v>
      </c>
      <c r="C1521" s="22" t="n">
        <v>2</v>
      </c>
      <c r="D1521" s="41" t="n">
        <v>7881</v>
      </c>
      <c r="E1521" s="22" t="n">
        <f aca="false">MONTH(A1521)</f>
        <v>7</v>
      </c>
    </row>
    <row r="1522" customFormat="false" ht="15" hidden="false" customHeight="false" outlineLevel="0" collapsed="false">
      <c r="A1522" s="21" t="n">
        <v>46228</v>
      </c>
      <c r="B1522" s="22" t="s">
        <v>189</v>
      </c>
      <c r="C1522" s="22" t="n">
        <v>1</v>
      </c>
      <c r="D1522" s="41" t="n">
        <v>9024.938</v>
      </c>
      <c r="E1522" s="22" t="n">
        <f aca="false">MONTH(A1522)</f>
        <v>7</v>
      </c>
    </row>
    <row r="1523" customFormat="false" ht="15" hidden="false" customHeight="false" outlineLevel="0" collapsed="false">
      <c r="A1523" s="21" t="n">
        <v>46228</v>
      </c>
      <c r="B1523" s="22" t="s">
        <v>189</v>
      </c>
      <c r="C1523" s="22" t="n">
        <v>2</v>
      </c>
      <c r="D1523" s="41" t="n">
        <v>13785.3</v>
      </c>
      <c r="E1523" s="22" t="n">
        <f aca="false">MONTH(A1523)</f>
        <v>7</v>
      </c>
    </row>
    <row r="1524" customFormat="false" ht="15" hidden="false" customHeight="false" outlineLevel="0" collapsed="false">
      <c r="A1524" s="21" t="n">
        <v>46228</v>
      </c>
      <c r="B1524" s="22" t="s">
        <v>359</v>
      </c>
      <c r="C1524" s="22" t="n">
        <v>1</v>
      </c>
      <c r="D1524" s="41" t="n">
        <v>4058.925</v>
      </c>
      <c r="E1524" s="22" t="n">
        <f aca="false">MONTH(A1524)</f>
        <v>7</v>
      </c>
    </row>
    <row r="1525" customFormat="false" ht="15" hidden="false" customHeight="false" outlineLevel="0" collapsed="false">
      <c r="A1525" s="21" t="n">
        <v>46230</v>
      </c>
      <c r="B1525" s="22" t="s">
        <v>361</v>
      </c>
      <c r="C1525" s="22" t="n">
        <v>1</v>
      </c>
      <c r="D1525" s="41" t="n">
        <v>12190.072</v>
      </c>
      <c r="E1525" s="22" t="n">
        <f aca="false">MONTH(A1525)</f>
        <v>7</v>
      </c>
    </row>
    <row r="1526" customFormat="false" ht="15" hidden="false" customHeight="false" outlineLevel="0" collapsed="false">
      <c r="A1526" s="21" t="n">
        <v>46230</v>
      </c>
      <c r="B1526" s="22" t="s">
        <v>361</v>
      </c>
      <c r="C1526" s="22" t="n">
        <v>2</v>
      </c>
      <c r="D1526" s="41" t="n">
        <v>13310.684</v>
      </c>
      <c r="E1526" s="22" t="n">
        <f aca="false">MONTH(A1526)</f>
        <v>7</v>
      </c>
    </row>
    <row r="1527" customFormat="false" ht="15" hidden="false" customHeight="false" outlineLevel="0" collapsed="false">
      <c r="A1527" s="21" t="n">
        <v>46230</v>
      </c>
      <c r="B1527" s="22" t="s">
        <v>186</v>
      </c>
      <c r="C1527" s="22" t="n">
        <v>1</v>
      </c>
      <c r="D1527" s="41" t="n">
        <v>10805.495</v>
      </c>
      <c r="E1527" s="22" t="n">
        <f aca="false">MONTH(A1527)</f>
        <v>7</v>
      </c>
    </row>
    <row r="1528" customFormat="false" ht="15" hidden="false" customHeight="false" outlineLevel="0" collapsed="false">
      <c r="A1528" s="21" t="n">
        <v>46230</v>
      </c>
      <c r="B1528" s="22" t="s">
        <v>186</v>
      </c>
      <c r="C1528" s="22" t="n">
        <v>2</v>
      </c>
      <c r="D1528" s="41" t="n">
        <v>6316.503</v>
      </c>
      <c r="E1528" s="22" t="n">
        <f aca="false">MONTH(A1528)</f>
        <v>7</v>
      </c>
    </row>
    <row r="1529" customFormat="false" ht="15" hidden="false" customHeight="false" outlineLevel="0" collapsed="false">
      <c r="A1529" s="21" t="n">
        <v>46230</v>
      </c>
      <c r="B1529" s="22" t="s">
        <v>188</v>
      </c>
      <c r="C1529" s="22" t="n">
        <v>1</v>
      </c>
      <c r="D1529" s="41" t="n">
        <v>965.3</v>
      </c>
      <c r="E1529" s="22" t="n">
        <f aca="false">MONTH(A1529)</f>
        <v>7</v>
      </c>
    </row>
    <row r="1530" customFormat="false" ht="15" hidden="false" customHeight="false" outlineLevel="0" collapsed="false">
      <c r="A1530" s="21" t="n">
        <v>46230</v>
      </c>
      <c r="B1530" s="22" t="s">
        <v>375</v>
      </c>
      <c r="C1530" s="22" t="n">
        <v>1</v>
      </c>
      <c r="D1530" s="41" t="n">
        <v>11604.453</v>
      </c>
      <c r="E1530" s="22" t="n">
        <f aca="false">MONTH(A1530)</f>
        <v>7</v>
      </c>
    </row>
    <row r="1531" customFormat="false" ht="15" hidden="false" customHeight="false" outlineLevel="0" collapsed="false">
      <c r="A1531" s="21" t="n">
        <v>46230</v>
      </c>
      <c r="B1531" s="22" t="s">
        <v>187</v>
      </c>
      <c r="C1531" s="22" t="n">
        <v>1</v>
      </c>
      <c r="D1531" s="41" t="n">
        <v>10756.5</v>
      </c>
      <c r="E1531" s="22" t="n">
        <f aca="false">MONTH(A1531)</f>
        <v>7</v>
      </c>
    </row>
    <row r="1532" customFormat="false" ht="15" hidden="false" customHeight="false" outlineLevel="0" collapsed="false">
      <c r="A1532" s="21" t="n">
        <v>46230</v>
      </c>
      <c r="B1532" s="22" t="s">
        <v>187</v>
      </c>
      <c r="C1532" s="22" t="n">
        <v>2</v>
      </c>
      <c r="D1532" s="41" t="n">
        <v>12078.875</v>
      </c>
      <c r="E1532" s="22" t="n">
        <f aca="false">MONTH(A1532)</f>
        <v>7</v>
      </c>
    </row>
    <row r="1533" customFormat="false" ht="15" hidden="false" customHeight="false" outlineLevel="0" collapsed="false">
      <c r="A1533" s="21" t="n">
        <v>46230</v>
      </c>
      <c r="B1533" s="22" t="s">
        <v>360</v>
      </c>
      <c r="C1533" s="22" t="n">
        <v>1</v>
      </c>
      <c r="D1533" s="41" t="n">
        <v>629.128</v>
      </c>
      <c r="E1533" s="22" t="n">
        <f aca="false">MONTH(A1533)</f>
        <v>7</v>
      </c>
    </row>
    <row r="1534" customFormat="false" ht="15" hidden="false" customHeight="false" outlineLevel="0" collapsed="false">
      <c r="A1534" s="21" t="n">
        <v>46231</v>
      </c>
      <c r="B1534" s="22" t="s">
        <v>361</v>
      </c>
      <c r="C1534" s="22" t="n">
        <v>1</v>
      </c>
      <c r="D1534" s="41" t="n">
        <v>12395.062</v>
      </c>
      <c r="E1534" s="22" t="n">
        <f aca="false">MONTH(A1534)</f>
        <v>7</v>
      </c>
    </row>
    <row r="1535" customFormat="false" ht="15" hidden="false" customHeight="false" outlineLevel="0" collapsed="false">
      <c r="A1535" s="21" t="n">
        <v>46231</v>
      </c>
      <c r="B1535" s="22" t="s">
        <v>361</v>
      </c>
      <c r="C1535" s="22" t="n">
        <v>2</v>
      </c>
      <c r="D1535" s="41" t="n">
        <v>10550.152</v>
      </c>
      <c r="E1535" s="22" t="n">
        <f aca="false">MONTH(A1535)</f>
        <v>7</v>
      </c>
    </row>
    <row r="1536" customFormat="false" ht="15" hidden="false" customHeight="false" outlineLevel="0" collapsed="false">
      <c r="A1536" s="21" t="n">
        <v>46231</v>
      </c>
      <c r="B1536" s="22" t="s">
        <v>186</v>
      </c>
      <c r="C1536" s="22" t="n">
        <v>1</v>
      </c>
      <c r="D1536" s="41" t="n">
        <v>10028.508</v>
      </c>
      <c r="E1536" s="22" t="n">
        <f aca="false">MONTH(A1536)</f>
        <v>7</v>
      </c>
    </row>
    <row r="1537" customFormat="false" ht="15" hidden="false" customHeight="false" outlineLevel="0" collapsed="false">
      <c r="A1537" s="21" t="n">
        <v>46231</v>
      </c>
      <c r="B1537" s="22" t="s">
        <v>186</v>
      </c>
      <c r="C1537" s="22" t="n">
        <v>2</v>
      </c>
      <c r="D1537" s="41" t="n">
        <v>4804.842</v>
      </c>
      <c r="E1537" s="22" t="n">
        <f aca="false">MONTH(A1537)</f>
        <v>7</v>
      </c>
    </row>
    <row r="1538" customFormat="false" ht="15" hidden="false" customHeight="false" outlineLevel="0" collapsed="false">
      <c r="A1538" s="21" t="n">
        <v>46231</v>
      </c>
      <c r="B1538" s="22" t="s">
        <v>375</v>
      </c>
      <c r="C1538" s="22" t="n">
        <v>1</v>
      </c>
      <c r="D1538" s="41" t="n">
        <v>15067.164</v>
      </c>
      <c r="E1538" s="22" t="n">
        <f aca="false">MONTH(A1538)</f>
        <v>7</v>
      </c>
    </row>
    <row r="1539" customFormat="false" ht="15" hidden="false" customHeight="false" outlineLevel="0" collapsed="false">
      <c r="A1539" s="21" t="n">
        <v>46231</v>
      </c>
      <c r="B1539" s="22" t="s">
        <v>187</v>
      </c>
      <c r="C1539" s="22" t="n">
        <v>1</v>
      </c>
      <c r="D1539" s="41" t="n">
        <v>4686</v>
      </c>
      <c r="E1539" s="22" t="n">
        <f aca="false">MONTH(A1539)</f>
        <v>7</v>
      </c>
    </row>
    <row r="1540" customFormat="false" ht="15" hidden="false" customHeight="false" outlineLevel="0" collapsed="false">
      <c r="A1540" s="21" t="n">
        <v>46231</v>
      </c>
      <c r="B1540" s="22" t="s">
        <v>187</v>
      </c>
      <c r="C1540" s="22" t="n">
        <v>2</v>
      </c>
      <c r="D1540" s="41" t="n">
        <v>3523.375</v>
      </c>
      <c r="E1540" s="22" t="n">
        <f aca="false">MONTH(A1540)</f>
        <v>7</v>
      </c>
    </row>
    <row r="1541" customFormat="false" ht="15" hidden="false" customHeight="false" outlineLevel="0" collapsed="false">
      <c r="A1541" s="21" t="n">
        <v>46231</v>
      </c>
      <c r="B1541" s="22" t="s">
        <v>360</v>
      </c>
      <c r="C1541" s="22" t="n">
        <v>1</v>
      </c>
      <c r="D1541" s="41" t="n">
        <v>1055.445</v>
      </c>
      <c r="E1541" s="22" t="n">
        <f aca="false">MONTH(A1541)</f>
        <v>7</v>
      </c>
    </row>
    <row r="1542" customFormat="false" ht="15" hidden="false" customHeight="false" outlineLevel="0" collapsed="false">
      <c r="A1542" s="21" t="n">
        <v>46232</v>
      </c>
      <c r="B1542" s="22" t="s">
        <v>361</v>
      </c>
      <c r="C1542" s="22" t="n">
        <v>1</v>
      </c>
      <c r="D1542" s="41" t="n">
        <v>11653.46</v>
      </c>
      <c r="E1542" s="22" t="n">
        <f aca="false">MONTH(A1542)</f>
        <v>7</v>
      </c>
    </row>
    <row r="1543" customFormat="false" ht="15" hidden="false" customHeight="false" outlineLevel="0" collapsed="false">
      <c r="A1543" s="21" t="n">
        <v>46232</v>
      </c>
      <c r="B1543" s="22" t="s">
        <v>361</v>
      </c>
      <c r="C1543" s="22" t="n">
        <v>2</v>
      </c>
      <c r="D1543" s="41" t="n">
        <v>15917.858</v>
      </c>
      <c r="E1543" s="22" t="n">
        <f aca="false">MONTH(A1543)</f>
        <v>7</v>
      </c>
    </row>
    <row r="1544" customFormat="false" ht="15" hidden="false" customHeight="false" outlineLevel="0" collapsed="false">
      <c r="A1544" s="21" t="n">
        <v>46232</v>
      </c>
      <c r="B1544" s="22" t="s">
        <v>375</v>
      </c>
      <c r="C1544" s="22" t="n">
        <v>1</v>
      </c>
      <c r="D1544" s="41" t="n">
        <v>20501.808</v>
      </c>
      <c r="E1544" s="22" t="n">
        <f aca="false">MONTH(A1544)</f>
        <v>7</v>
      </c>
    </row>
    <row r="1545" customFormat="false" ht="15" hidden="false" customHeight="false" outlineLevel="0" collapsed="false">
      <c r="A1545" s="21" t="n">
        <v>46232</v>
      </c>
      <c r="B1545" s="22" t="s">
        <v>375</v>
      </c>
      <c r="C1545" s="22" t="n">
        <v>2</v>
      </c>
      <c r="D1545" s="41" t="n">
        <v>17873.676</v>
      </c>
      <c r="E1545" s="22" t="n">
        <f aca="false">MONTH(A1545)</f>
        <v>7</v>
      </c>
    </row>
    <row r="1546" customFormat="false" ht="15" hidden="false" customHeight="false" outlineLevel="0" collapsed="false">
      <c r="A1546" s="21" t="n">
        <v>46232</v>
      </c>
      <c r="B1546" s="22" t="s">
        <v>187</v>
      </c>
      <c r="C1546" s="22" t="n">
        <v>1</v>
      </c>
      <c r="D1546" s="41" t="n">
        <v>11990.125</v>
      </c>
      <c r="E1546" s="22" t="n">
        <f aca="false">MONTH(A1546)</f>
        <v>7</v>
      </c>
    </row>
    <row r="1547" customFormat="false" ht="15" hidden="false" customHeight="false" outlineLevel="0" collapsed="false">
      <c r="A1547" s="21" t="n">
        <v>46232</v>
      </c>
      <c r="B1547" s="22" t="s">
        <v>187</v>
      </c>
      <c r="C1547" s="22" t="n">
        <v>2</v>
      </c>
      <c r="D1547" s="41" t="n">
        <v>8599.875</v>
      </c>
      <c r="E1547" s="22" t="n">
        <f aca="false">MONTH(A1547)</f>
        <v>7</v>
      </c>
    </row>
    <row r="1548" customFormat="false" ht="15" hidden="false" customHeight="false" outlineLevel="0" collapsed="false">
      <c r="A1548" s="21" t="n">
        <v>46232</v>
      </c>
      <c r="B1548" s="22" t="s">
        <v>189</v>
      </c>
      <c r="C1548" s="22" t="n">
        <v>1</v>
      </c>
      <c r="D1548" s="41" t="n">
        <v>17231.625</v>
      </c>
      <c r="E1548" s="22" t="n">
        <f aca="false">MONTH(A1548)</f>
        <v>7</v>
      </c>
    </row>
    <row r="1549" customFormat="false" ht="15" hidden="false" customHeight="false" outlineLevel="0" collapsed="false">
      <c r="A1549" s="21" t="n">
        <v>46232</v>
      </c>
      <c r="B1549" s="22" t="s">
        <v>360</v>
      </c>
      <c r="C1549" s="22" t="n">
        <v>1</v>
      </c>
      <c r="D1549" s="41" t="n">
        <v>596.016</v>
      </c>
      <c r="E1549" s="22" t="n">
        <f aca="false">MONTH(A1549)</f>
        <v>7</v>
      </c>
    </row>
    <row r="1550" customFormat="false" ht="15" hidden="false" customHeight="false" outlineLevel="0" collapsed="false">
      <c r="A1550" s="21" t="n">
        <v>46233</v>
      </c>
      <c r="B1550" s="22" t="s">
        <v>361</v>
      </c>
      <c r="C1550" s="22" t="n">
        <v>1</v>
      </c>
      <c r="D1550" s="41" t="n">
        <v>7970.94</v>
      </c>
      <c r="E1550" s="22" t="n">
        <f aca="false">MONTH(A1550)</f>
        <v>7</v>
      </c>
    </row>
    <row r="1551" customFormat="false" ht="15" hidden="false" customHeight="false" outlineLevel="0" collapsed="false">
      <c r="A1551" s="21" t="n">
        <v>46233</v>
      </c>
      <c r="B1551" s="22" t="s">
        <v>361</v>
      </c>
      <c r="C1551" s="22" t="n">
        <v>2</v>
      </c>
      <c r="D1551" s="41" t="n">
        <v>27521.472</v>
      </c>
      <c r="E1551" s="22" t="n">
        <f aca="false">MONTH(A1551)</f>
        <v>7</v>
      </c>
    </row>
    <row r="1552" customFormat="false" ht="15" hidden="false" customHeight="false" outlineLevel="0" collapsed="false">
      <c r="A1552" s="21" t="n">
        <v>46233</v>
      </c>
      <c r="B1552" s="22" t="s">
        <v>375</v>
      </c>
      <c r="C1552" s="22" t="n">
        <v>1</v>
      </c>
      <c r="D1552" s="41" t="n">
        <v>7515.744</v>
      </c>
      <c r="E1552" s="22" t="n">
        <f aca="false">MONTH(A1552)</f>
        <v>7</v>
      </c>
    </row>
    <row r="1553" customFormat="false" ht="15" hidden="false" customHeight="false" outlineLevel="0" collapsed="false">
      <c r="A1553" s="21" t="n">
        <v>46233</v>
      </c>
      <c r="B1553" s="22" t="s">
        <v>187</v>
      </c>
      <c r="C1553" s="22" t="n">
        <v>1</v>
      </c>
      <c r="D1553" s="41" t="n">
        <v>7827.75</v>
      </c>
      <c r="E1553" s="22" t="n">
        <f aca="false">MONTH(A1553)</f>
        <v>7</v>
      </c>
    </row>
    <row r="1554" customFormat="false" ht="15" hidden="false" customHeight="false" outlineLevel="0" collapsed="false">
      <c r="A1554" s="21" t="n">
        <v>46233</v>
      </c>
      <c r="B1554" s="22" t="s">
        <v>187</v>
      </c>
      <c r="C1554" s="22" t="n">
        <v>2</v>
      </c>
      <c r="D1554" s="41" t="n">
        <v>11981.25</v>
      </c>
      <c r="E1554" s="22" t="n">
        <f aca="false">MONTH(A1554)</f>
        <v>7</v>
      </c>
    </row>
    <row r="1555" customFormat="false" ht="15" hidden="false" customHeight="false" outlineLevel="0" collapsed="false">
      <c r="A1555" s="21" t="n">
        <v>46233</v>
      </c>
      <c r="B1555" s="22" t="s">
        <v>189</v>
      </c>
      <c r="C1555" s="22" t="n">
        <v>1</v>
      </c>
      <c r="D1555" s="41" t="n">
        <v>16695</v>
      </c>
      <c r="E1555" s="22" t="n">
        <f aca="false">MONTH(A1555)</f>
        <v>7</v>
      </c>
    </row>
    <row r="1556" customFormat="false" ht="15" hidden="false" customHeight="false" outlineLevel="0" collapsed="false">
      <c r="A1556" s="21" t="n">
        <v>46235</v>
      </c>
      <c r="B1556" s="22" t="s">
        <v>361</v>
      </c>
      <c r="C1556" s="22" t="n">
        <v>1</v>
      </c>
      <c r="D1556" s="41" t="n">
        <v>19548.06</v>
      </c>
      <c r="E1556" s="22" t="n">
        <f aca="false">MONTH(A1556)</f>
        <v>8</v>
      </c>
    </row>
    <row r="1557" customFormat="false" ht="15" hidden="false" customHeight="false" outlineLevel="0" collapsed="false">
      <c r="A1557" s="21" t="n">
        <v>46235</v>
      </c>
      <c r="B1557" s="22" t="s">
        <v>361</v>
      </c>
      <c r="C1557" s="22" t="n">
        <v>2</v>
      </c>
      <c r="D1557" s="41" t="n">
        <v>14292.516</v>
      </c>
      <c r="E1557" s="22" t="n">
        <f aca="false">MONTH(A1557)</f>
        <v>8</v>
      </c>
    </row>
    <row r="1558" customFormat="false" ht="15" hidden="false" customHeight="false" outlineLevel="0" collapsed="false">
      <c r="A1558" s="21" t="n">
        <v>46235</v>
      </c>
      <c r="B1558" s="22" t="s">
        <v>187</v>
      </c>
      <c r="C1558" s="22" t="n">
        <v>1</v>
      </c>
      <c r="D1558" s="41" t="n">
        <v>2591.5</v>
      </c>
      <c r="E1558" s="22" t="n">
        <f aca="false">MONTH(A1558)</f>
        <v>8</v>
      </c>
    </row>
    <row r="1559" customFormat="false" ht="15" hidden="false" customHeight="false" outlineLevel="0" collapsed="false">
      <c r="A1559" s="21" t="n">
        <v>46237</v>
      </c>
      <c r="B1559" s="22" t="s">
        <v>361</v>
      </c>
      <c r="C1559" s="22" t="n">
        <v>1</v>
      </c>
      <c r="D1559" s="41" t="n">
        <v>9469.593</v>
      </c>
      <c r="E1559" s="22" t="n">
        <f aca="false">MONTH(A1559)</f>
        <v>8</v>
      </c>
    </row>
    <row r="1560" customFormat="false" ht="15" hidden="false" customHeight="false" outlineLevel="0" collapsed="false">
      <c r="A1560" s="21" t="n">
        <v>46237</v>
      </c>
      <c r="B1560" s="22" t="s">
        <v>188</v>
      </c>
      <c r="C1560" s="22" t="n">
        <v>1</v>
      </c>
      <c r="D1560" s="41" t="n">
        <v>1288.7</v>
      </c>
      <c r="E1560" s="22" t="n">
        <f aca="false">MONTH(A1560)</f>
        <v>8</v>
      </c>
    </row>
    <row r="1561" customFormat="false" ht="15" hidden="false" customHeight="false" outlineLevel="0" collapsed="false">
      <c r="A1561" s="21" t="n">
        <v>46237</v>
      </c>
      <c r="B1561" s="22" t="s">
        <v>374</v>
      </c>
      <c r="C1561" s="22" t="n">
        <v>1</v>
      </c>
      <c r="D1561" s="41" t="n">
        <v>4229.16</v>
      </c>
      <c r="E1561" s="22" t="n">
        <f aca="false">MONTH(A1561)</f>
        <v>8</v>
      </c>
    </row>
    <row r="1562" customFormat="false" ht="15" hidden="false" customHeight="false" outlineLevel="0" collapsed="false">
      <c r="A1562" s="21" t="n">
        <v>46237</v>
      </c>
      <c r="B1562" s="22" t="s">
        <v>375</v>
      </c>
      <c r="C1562" s="22" t="n">
        <v>1</v>
      </c>
      <c r="D1562" s="41" t="n">
        <v>4770</v>
      </c>
      <c r="E1562" s="22" t="n">
        <f aca="false">MONTH(A1562)</f>
        <v>8</v>
      </c>
    </row>
    <row r="1563" customFormat="false" ht="15" hidden="false" customHeight="false" outlineLevel="0" collapsed="false">
      <c r="A1563" s="21" t="n">
        <v>46237</v>
      </c>
      <c r="B1563" s="22" t="s">
        <v>375</v>
      </c>
      <c r="C1563" s="22" t="n">
        <v>2</v>
      </c>
      <c r="D1563" s="41" t="n">
        <v>11567.25</v>
      </c>
      <c r="E1563" s="22" t="n">
        <f aca="false">MONTH(A1563)</f>
        <v>8</v>
      </c>
    </row>
    <row r="1564" customFormat="false" ht="15" hidden="false" customHeight="false" outlineLevel="0" collapsed="false">
      <c r="A1564" s="21" t="n">
        <v>46237</v>
      </c>
      <c r="B1564" s="22" t="s">
        <v>187</v>
      </c>
      <c r="C1564" s="22" t="n">
        <v>1</v>
      </c>
      <c r="D1564" s="41" t="n">
        <v>1303.549</v>
      </c>
      <c r="E1564" s="22" t="n">
        <f aca="false">MONTH(A1564)</f>
        <v>8</v>
      </c>
    </row>
    <row r="1565" customFormat="false" ht="15" hidden="false" customHeight="false" outlineLevel="0" collapsed="false">
      <c r="A1565" s="21" t="n">
        <v>46237</v>
      </c>
      <c r="B1565" s="22" t="s">
        <v>189</v>
      </c>
      <c r="C1565" s="22" t="n">
        <v>1</v>
      </c>
      <c r="D1565" s="41" t="n">
        <v>12473.55</v>
      </c>
      <c r="E1565" s="22" t="n">
        <f aca="false">MONTH(A1565)</f>
        <v>8</v>
      </c>
    </row>
    <row r="1566" customFormat="false" ht="15" hidden="false" customHeight="false" outlineLevel="0" collapsed="false">
      <c r="A1566" s="21" t="n">
        <v>46237</v>
      </c>
      <c r="B1566" s="22" t="s">
        <v>189</v>
      </c>
      <c r="C1566" s="22" t="n">
        <v>2</v>
      </c>
      <c r="D1566" s="41" t="n">
        <v>13165.2</v>
      </c>
      <c r="E1566" s="22" t="n">
        <f aca="false">MONTH(A1566)</f>
        <v>8</v>
      </c>
    </row>
    <row r="1567" customFormat="false" ht="15" hidden="false" customHeight="false" outlineLevel="0" collapsed="false">
      <c r="A1567" s="21" t="n">
        <v>46237</v>
      </c>
      <c r="B1567" s="22" t="s">
        <v>359</v>
      </c>
      <c r="C1567" s="22" t="n">
        <v>1</v>
      </c>
      <c r="D1567" s="41" t="n">
        <v>945.906</v>
      </c>
      <c r="E1567" s="22" t="n">
        <f aca="false">MONTH(A1567)</f>
        <v>8</v>
      </c>
    </row>
    <row r="1568" customFormat="false" ht="15" hidden="false" customHeight="false" outlineLevel="0" collapsed="false">
      <c r="A1568" s="21" t="n">
        <v>46238</v>
      </c>
      <c r="B1568" s="22" t="s">
        <v>361</v>
      </c>
      <c r="C1568" s="22" t="n">
        <v>1</v>
      </c>
      <c r="D1568" s="41" t="n">
        <v>8813.586</v>
      </c>
      <c r="E1568" s="22" t="n">
        <f aca="false">MONTH(A1568)</f>
        <v>8</v>
      </c>
    </row>
    <row r="1569" customFormat="false" ht="15" hidden="false" customHeight="false" outlineLevel="0" collapsed="false">
      <c r="A1569" s="21" t="n">
        <v>46238</v>
      </c>
      <c r="B1569" s="22" t="s">
        <v>188</v>
      </c>
      <c r="C1569" s="22" t="n">
        <v>1</v>
      </c>
      <c r="D1569" s="41" t="n">
        <v>999.6</v>
      </c>
      <c r="E1569" s="22" t="n">
        <f aca="false">MONTH(A1569)</f>
        <v>8</v>
      </c>
    </row>
    <row r="1570" customFormat="false" ht="15" hidden="false" customHeight="false" outlineLevel="0" collapsed="false">
      <c r="A1570" s="21" t="n">
        <v>46238</v>
      </c>
      <c r="B1570" s="22" t="s">
        <v>375</v>
      </c>
      <c r="C1570" s="22" t="n">
        <v>1</v>
      </c>
      <c r="D1570" s="41" t="n">
        <v>11209.5</v>
      </c>
      <c r="E1570" s="22" t="n">
        <f aca="false">MONTH(A1570)</f>
        <v>8</v>
      </c>
    </row>
    <row r="1571" customFormat="false" ht="15" hidden="false" customHeight="false" outlineLevel="0" collapsed="false">
      <c r="A1571" s="21" t="n">
        <v>46238</v>
      </c>
      <c r="B1571" s="22" t="s">
        <v>187</v>
      </c>
      <c r="C1571" s="22" t="n">
        <v>1</v>
      </c>
      <c r="D1571" s="41" t="n">
        <v>1746.602</v>
      </c>
      <c r="E1571" s="22" t="n">
        <f aca="false">MONTH(A1571)</f>
        <v>8</v>
      </c>
    </row>
    <row r="1572" customFormat="false" ht="15" hidden="false" customHeight="false" outlineLevel="0" collapsed="false">
      <c r="A1572" s="21" t="n">
        <v>46238</v>
      </c>
      <c r="B1572" s="22" t="s">
        <v>187</v>
      </c>
      <c r="C1572" s="22" t="n">
        <v>2</v>
      </c>
      <c r="D1572" s="41" t="n">
        <v>230.49</v>
      </c>
      <c r="E1572" s="22" t="n">
        <f aca="false">MONTH(A1572)</f>
        <v>8</v>
      </c>
    </row>
    <row r="1573" customFormat="false" ht="15" hidden="false" customHeight="false" outlineLevel="0" collapsed="false">
      <c r="A1573" s="21" t="n">
        <v>46238</v>
      </c>
      <c r="B1573" s="22" t="s">
        <v>189</v>
      </c>
      <c r="C1573" s="22" t="n">
        <v>1</v>
      </c>
      <c r="D1573" s="41" t="n">
        <v>8889.082</v>
      </c>
      <c r="E1573" s="22" t="n">
        <f aca="false">MONTH(A1573)</f>
        <v>8</v>
      </c>
    </row>
    <row r="1574" customFormat="false" ht="15" hidden="false" customHeight="false" outlineLevel="0" collapsed="false">
      <c r="A1574" s="21" t="n">
        <v>46238</v>
      </c>
      <c r="B1574" s="22" t="s">
        <v>189</v>
      </c>
      <c r="C1574" s="22" t="n">
        <v>2</v>
      </c>
      <c r="D1574" s="41" t="n">
        <v>783.309</v>
      </c>
      <c r="E1574" s="22" t="n">
        <f aca="false">MONTH(A1574)</f>
        <v>8</v>
      </c>
    </row>
    <row r="1575" customFormat="false" ht="15" hidden="false" customHeight="false" outlineLevel="0" collapsed="false">
      <c r="A1575" s="21" t="n">
        <v>46238</v>
      </c>
      <c r="B1575" s="22" t="s">
        <v>359</v>
      </c>
      <c r="C1575" s="22" t="n">
        <v>1</v>
      </c>
      <c r="D1575" s="41" t="n">
        <v>3677.739</v>
      </c>
      <c r="E1575" s="22" t="n">
        <f aca="false">MONTH(A1575)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6" min="4" style="0" width="13"/>
    <col collapsed="false" customWidth="true" hidden="false" outlineLevel="0" max="7" min="7" style="0" width="30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10" t="s">
        <v>39</v>
      </c>
      <c r="B1" s="10" t="s">
        <v>12</v>
      </c>
      <c r="C1" s="10" t="s">
        <v>399</v>
      </c>
      <c r="D1" s="10" t="s">
        <v>17</v>
      </c>
      <c r="E1" s="10" t="s">
        <v>18</v>
      </c>
      <c r="F1" s="10" t="s">
        <v>19</v>
      </c>
      <c r="G1" s="10" t="s">
        <v>400</v>
      </c>
      <c r="H1" s="10" t="s">
        <v>373</v>
      </c>
      <c r="J1" s="2" t="s">
        <v>401</v>
      </c>
    </row>
    <row r="2" customFormat="false" ht="15" hidden="false" customHeight="false" outlineLevel="0" collapsed="false">
      <c r="A2" s="21" t="n">
        <v>46217</v>
      </c>
      <c r="B2" s="22" t="s">
        <v>44</v>
      </c>
      <c r="C2" s="22" t="str">
        <f aca="false">IFERROR(INDEX(Medidores!$B:$B,MATCH(B2,Medidores!$A:$A,0)),B2)</f>
        <v>L22</v>
      </c>
      <c r="D2" s="24" t="n">
        <v>17214</v>
      </c>
      <c r="E2" s="24"/>
      <c r="F2" s="24"/>
      <c r="G2" s="22" t="s">
        <v>402</v>
      </c>
      <c r="H2" s="22"/>
      <c r="J2" s="2" t="s">
        <v>403</v>
      </c>
    </row>
    <row r="3" customFormat="false" ht="15" hidden="false" customHeight="false" outlineLevel="0" collapsed="false">
      <c r="A3" s="21" t="n">
        <v>46218</v>
      </c>
      <c r="B3" s="22" t="s">
        <v>44</v>
      </c>
      <c r="C3" s="22" t="str">
        <f aca="false">IFERROR(INDEX(Medidores!$B:$B,MATCH(B3,Medidores!$A:$A,0)),B3)</f>
        <v>L22</v>
      </c>
      <c r="D3" s="24" t="n">
        <v>17318</v>
      </c>
      <c r="E3" s="24"/>
      <c r="F3" s="24"/>
      <c r="G3" s="22" t="s">
        <v>402</v>
      </c>
      <c r="H3" s="22"/>
    </row>
    <row r="4" customFormat="false" ht="15" hidden="false" customHeight="false" outlineLevel="0" collapsed="false">
      <c r="A4" s="21" t="n">
        <v>46219</v>
      </c>
      <c r="B4" s="22" t="s">
        <v>44</v>
      </c>
      <c r="C4" s="22" t="str">
        <f aca="false">IFERROR(INDEX(Medidores!$B:$B,MATCH(B4,Medidores!$A:$A,0)),B4)</f>
        <v>L22</v>
      </c>
      <c r="D4" s="24" t="n">
        <v>17423</v>
      </c>
      <c r="E4" s="24"/>
      <c r="F4" s="24"/>
      <c r="G4" s="22" t="s">
        <v>402</v>
      </c>
      <c r="H4" s="22"/>
    </row>
    <row r="5" customFormat="false" ht="15" hidden="false" customHeight="false" outlineLevel="0" collapsed="false">
      <c r="A5" s="21" t="n">
        <v>46220</v>
      </c>
      <c r="B5" s="22" t="s">
        <v>44</v>
      </c>
      <c r="C5" s="22" t="str">
        <f aca="false">IFERROR(INDEX(Medidores!$B:$B,MATCH(B5,Medidores!$A:$A,0)),B5)</f>
        <v>L22</v>
      </c>
      <c r="D5" s="24" t="n">
        <v>17538</v>
      </c>
      <c r="E5" s="24"/>
      <c r="F5" s="24"/>
      <c r="G5" s="22" t="s">
        <v>402</v>
      </c>
      <c r="H5" s="22"/>
    </row>
    <row r="6" customFormat="false" ht="15" hidden="false" customHeight="false" outlineLevel="0" collapsed="false">
      <c r="A6" s="21" t="n">
        <v>46224</v>
      </c>
      <c r="B6" s="22" t="s">
        <v>44</v>
      </c>
      <c r="C6" s="22" t="str">
        <f aca="false">IFERROR(INDEX(Medidores!$B:$B,MATCH(B6,Medidores!$A:$A,0)),B6)</f>
        <v>L22</v>
      </c>
      <c r="D6" s="24" t="n">
        <v>17761</v>
      </c>
      <c r="E6" s="24"/>
      <c r="F6" s="24"/>
      <c r="G6" s="22" t="s">
        <v>404</v>
      </c>
      <c r="H6" s="22"/>
    </row>
    <row r="7" customFormat="false" ht="15" hidden="false" customHeight="false" outlineLevel="0" collapsed="false">
      <c r="A7" s="21" t="n">
        <v>46225</v>
      </c>
      <c r="B7" s="22" t="s">
        <v>44</v>
      </c>
      <c r="C7" s="22" t="str">
        <f aca="false">IFERROR(INDEX(Medidores!$B:$B,MATCH(B7,Medidores!$A:$A,0)),B7)</f>
        <v>L22</v>
      </c>
      <c r="D7" s="24" t="n">
        <v>17854</v>
      </c>
      <c r="E7" s="24"/>
      <c r="F7" s="24"/>
      <c r="G7" s="22" t="s">
        <v>404</v>
      </c>
      <c r="H7" s="22"/>
    </row>
    <row r="8" customFormat="false" ht="15" hidden="false" customHeight="false" outlineLevel="0" collapsed="false">
      <c r="A8" s="21" t="n">
        <v>46226</v>
      </c>
      <c r="B8" s="22" t="s">
        <v>44</v>
      </c>
      <c r="C8" s="22" t="str">
        <f aca="false">IFERROR(INDEX(Medidores!$B:$B,MATCH(B8,Medidores!$A:$A,0)),B8)</f>
        <v>L22</v>
      </c>
      <c r="D8" s="24" t="n">
        <v>17945</v>
      </c>
      <c r="E8" s="24"/>
      <c r="F8" s="24"/>
      <c r="G8" s="22" t="s">
        <v>404</v>
      </c>
      <c r="H8" s="22"/>
    </row>
    <row r="9" customFormat="false" ht="15" hidden="false" customHeight="false" outlineLevel="0" collapsed="false">
      <c r="A9" s="21" t="n">
        <v>46227</v>
      </c>
      <c r="B9" s="22" t="s">
        <v>44</v>
      </c>
      <c r="C9" s="22" t="str">
        <f aca="false">IFERROR(INDEX(Medidores!$B:$B,MATCH(B9,Medidores!$A:$A,0)),B9)</f>
        <v>L22</v>
      </c>
      <c r="D9" s="24" t="n">
        <v>18052</v>
      </c>
      <c r="E9" s="24"/>
      <c r="F9" s="24"/>
      <c r="G9" s="22" t="s">
        <v>404</v>
      </c>
      <c r="H9" s="22"/>
    </row>
    <row r="10" customFormat="false" ht="15" hidden="false" customHeight="false" outlineLevel="0" collapsed="false">
      <c r="A10" s="21" t="n">
        <v>46231</v>
      </c>
      <c r="B10" s="22" t="s">
        <v>44</v>
      </c>
      <c r="C10" s="22" t="str">
        <f aca="false">IFERROR(INDEX(Medidores!$B:$B,MATCH(B10,Medidores!$A:$A,0)),B10)</f>
        <v>L22</v>
      </c>
      <c r="D10" s="24" t="n">
        <v>18261</v>
      </c>
      <c r="E10" s="24"/>
      <c r="F10" s="24"/>
      <c r="G10" s="22" t="s">
        <v>405</v>
      </c>
      <c r="H10" s="22"/>
    </row>
    <row r="11" customFormat="false" ht="15" hidden="false" customHeight="false" outlineLevel="0" collapsed="false">
      <c r="A11" s="21" t="n">
        <v>46232</v>
      </c>
      <c r="B11" s="22" t="s">
        <v>44</v>
      </c>
      <c r="C11" s="22" t="str">
        <f aca="false">IFERROR(INDEX(Medidores!$B:$B,MATCH(B11,Medidores!$A:$A,0)),B11)</f>
        <v>L22</v>
      </c>
      <c r="D11" s="24" t="n">
        <v>18309</v>
      </c>
      <c r="E11" s="24"/>
      <c r="F11" s="24"/>
      <c r="G11" s="22" t="s">
        <v>405</v>
      </c>
      <c r="H11" s="22"/>
    </row>
    <row r="12" customFormat="false" ht="15" hidden="false" customHeight="false" outlineLevel="0" collapsed="false">
      <c r="A12" s="21" t="n">
        <v>46233</v>
      </c>
      <c r="B12" s="22" t="s">
        <v>44</v>
      </c>
      <c r="C12" s="22" t="str">
        <f aca="false">IFERROR(INDEX(Medidores!$B:$B,MATCH(B12,Medidores!$A:$A,0)),B12)</f>
        <v>L22</v>
      </c>
      <c r="D12" s="24" t="n">
        <v>18403</v>
      </c>
      <c r="E12" s="24"/>
      <c r="F12" s="24"/>
      <c r="G12" s="22" t="s">
        <v>405</v>
      </c>
      <c r="H12" s="22"/>
    </row>
    <row r="13" customFormat="false" ht="15" hidden="false" customHeight="false" outlineLevel="0" collapsed="false">
      <c r="A13" s="21" t="n">
        <v>46234</v>
      </c>
      <c r="B13" s="22" t="s">
        <v>44</v>
      </c>
      <c r="C13" s="22" t="str">
        <f aca="false">IFERROR(INDEX(Medidores!$B:$B,MATCH(B13,Medidores!$A:$A,0)),B13)</f>
        <v>L22</v>
      </c>
      <c r="D13" s="24" t="n">
        <v>18459</v>
      </c>
      <c r="E13" s="24"/>
      <c r="F13" s="24"/>
      <c r="G13" s="22" t="s">
        <v>405</v>
      </c>
      <c r="H13" s="22"/>
    </row>
    <row r="14" customFormat="false" ht="15" hidden="false" customHeight="false" outlineLevel="0" collapsed="false">
      <c r="A14" s="21" t="n">
        <v>46237</v>
      </c>
      <c r="B14" s="22" t="s">
        <v>44</v>
      </c>
      <c r="C14" s="22" t="str">
        <f aca="false">IFERROR(INDEX(Medidores!$B:$B,MATCH(B14,Medidores!$A:$A,0)),B14)</f>
        <v>L22</v>
      </c>
      <c r="D14" s="24" t="n">
        <v>18547</v>
      </c>
      <c r="E14" s="24"/>
      <c r="F14" s="24"/>
      <c r="G14" s="22" t="s">
        <v>406</v>
      </c>
      <c r="H14" s="22"/>
    </row>
    <row r="15" customFormat="false" ht="15" hidden="false" customHeight="false" outlineLevel="0" collapsed="false">
      <c r="A15" s="21" t="n">
        <v>46238</v>
      </c>
      <c r="B15" s="22" t="s">
        <v>44</v>
      </c>
      <c r="C15" s="22" t="str">
        <f aca="false">IFERROR(INDEX(Medidores!$B:$B,MATCH(B15,Medidores!$A:$A,0)),B15)</f>
        <v>L22</v>
      </c>
      <c r="D15" s="24" t="n">
        <v>18651</v>
      </c>
      <c r="E15" s="24"/>
      <c r="F15" s="24"/>
      <c r="G15" s="22" t="s">
        <v>406</v>
      </c>
      <c r="H15" s="22"/>
    </row>
    <row r="16" customFormat="false" ht="15" hidden="false" customHeight="false" outlineLevel="0" collapsed="false">
      <c r="A16" s="21" t="n">
        <v>46239</v>
      </c>
      <c r="B16" s="22" t="s">
        <v>44</v>
      </c>
      <c r="C16" s="22" t="str">
        <f aca="false">IFERROR(INDEX(Medidores!$B:$B,MATCH(B16,Medidores!$A:$A,0)),B16)</f>
        <v>L22</v>
      </c>
      <c r="D16" s="24" t="n">
        <v>18750</v>
      </c>
      <c r="E16" s="24"/>
      <c r="F16" s="24"/>
      <c r="G16" s="22" t="s">
        <v>406</v>
      </c>
      <c r="H16" s="22"/>
    </row>
    <row r="17" customFormat="false" ht="15" hidden="false" customHeight="false" outlineLevel="0" collapsed="false">
      <c r="A17" s="21" t="n">
        <v>46240</v>
      </c>
      <c r="B17" s="22" t="s">
        <v>44</v>
      </c>
      <c r="C17" s="22" t="str">
        <f aca="false">IFERROR(INDEX(Medidores!$B:$B,MATCH(B17,Medidores!$A:$A,0)),B17)</f>
        <v>L22</v>
      </c>
      <c r="D17" s="24" t="n">
        <v>18967</v>
      </c>
      <c r="E17" s="24"/>
      <c r="F17" s="24"/>
      <c r="G17" s="22" t="s">
        <v>406</v>
      </c>
      <c r="H17" s="22"/>
    </row>
    <row r="18" customFormat="false" ht="15" hidden="false" customHeight="false" outlineLevel="0" collapsed="false">
      <c r="A18" s="21" t="n">
        <v>46254</v>
      </c>
      <c r="B18" s="22" t="s">
        <v>44</v>
      </c>
      <c r="C18" s="22" t="str">
        <f aca="false">IFERROR(INDEX(Medidores!$B:$B,MATCH(B18,Medidores!$A:$A,0)),B18)</f>
        <v>L22</v>
      </c>
      <c r="D18" s="24" t="n">
        <v>19375</v>
      </c>
      <c r="E18" s="24"/>
      <c r="F18" s="24"/>
      <c r="G18" s="22" t="s">
        <v>407</v>
      </c>
      <c r="H18" s="22"/>
    </row>
    <row r="19" customFormat="false" ht="15" hidden="false" customHeight="false" outlineLevel="0" collapsed="false">
      <c r="A19" s="21" t="n">
        <v>46258</v>
      </c>
      <c r="B19" s="22" t="s">
        <v>44</v>
      </c>
      <c r="C19" s="22" t="str">
        <f aca="false">IFERROR(INDEX(Medidores!$B:$B,MATCH(B19,Medidores!$A:$A,0)),B19)</f>
        <v>L22</v>
      </c>
      <c r="D19" s="24" t="n">
        <v>19561</v>
      </c>
      <c r="E19" s="24"/>
      <c r="F19" s="24"/>
      <c r="G19" s="22" t="s">
        <v>408</v>
      </c>
      <c r="H19" s="22"/>
    </row>
    <row r="20" customFormat="false" ht="15" hidden="false" customHeight="false" outlineLevel="0" collapsed="false">
      <c r="A20" s="21" t="n">
        <v>46259</v>
      </c>
      <c r="B20" s="22" t="s">
        <v>44</v>
      </c>
      <c r="C20" s="22" t="str">
        <f aca="false">IFERROR(INDEX(Medidores!$B:$B,MATCH(B20,Medidores!$A:$A,0)),B20)</f>
        <v>L22</v>
      </c>
      <c r="D20" s="24" t="n">
        <v>19668</v>
      </c>
      <c r="E20" s="24"/>
      <c r="F20" s="24"/>
      <c r="G20" s="22" t="s">
        <v>408</v>
      </c>
      <c r="H20" s="22"/>
    </row>
    <row r="21" customFormat="false" ht="15" hidden="false" customHeight="false" outlineLevel="0" collapsed="false">
      <c r="A21" s="21" t="n">
        <v>46260</v>
      </c>
      <c r="B21" s="22" t="s">
        <v>44</v>
      </c>
      <c r="C21" s="22" t="str">
        <f aca="false">IFERROR(INDEX(Medidores!$B:$B,MATCH(B21,Medidores!$A:$A,0)),B21)</f>
        <v>L22</v>
      </c>
      <c r="D21" s="24" t="n">
        <v>19767</v>
      </c>
      <c r="E21" s="24"/>
      <c r="F21" s="24"/>
      <c r="G21" s="22" t="s">
        <v>408</v>
      </c>
      <c r="H21" s="22"/>
    </row>
    <row r="22" customFormat="false" ht="15" hidden="false" customHeight="false" outlineLevel="0" collapsed="false">
      <c r="A22" s="21" t="n">
        <v>46261</v>
      </c>
      <c r="B22" s="22" t="s">
        <v>44</v>
      </c>
      <c r="C22" s="22" t="str">
        <f aca="false">IFERROR(INDEX(Medidores!$B:$B,MATCH(B22,Medidores!$A:$A,0)),B22)</f>
        <v>L22</v>
      </c>
      <c r="D22" s="24" t="n">
        <v>19873</v>
      </c>
      <c r="E22" s="24"/>
      <c r="F22" s="24"/>
      <c r="G22" s="22" t="s">
        <v>408</v>
      </c>
      <c r="H22" s="22"/>
    </row>
    <row r="23" customFormat="false" ht="15" hidden="false" customHeight="false" outlineLevel="0" collapsed="false">
      <c r="A23" s="21" t="n">
        <v>46262</v>
      </c>
      <c r="B23" s="22" t="s">
        <v>44</v>
      </c>
      <c r="C23" s="22" t="str">
        <f aca="false">IFERROR(INDEX(Medidores!$B:$B,MATCH(B23,Medidores!$A:$A,0)),B23)</f>
        <v>L22</v>
      </c>
      <c r="D23" s="24" t="n">
        <v>19998.6</v>
      </c>
      <c r="E23" s="24"/>
      <c r="F23" s="24"/>
      <c r="G23" s="22" t="s">
        <v>408</v>
      </c>
      <c r="H23" s="22"/>
    </row>
    <row r="24" customFormat="false" ht="15" hidden="false" customHeight="false" outlineLevel="0" collapsed="false">
      <c r="A24" s="21" t="n">
        <v>46265</v>
      </c>
      <c r="B24" s="22" t="s">
        <v>44</v>
      </c>
      <c r="C24" s="22" t="str">
        <f aca="false">IFERROR(INDEX(Medidores!$B:$B,MATCH(B24,Medidores!$A:$A,0)),B24)</f>
        <v>L22</v>
      </c>
      <c r="D24" s="24" t="n">
        <v>20210</v>
      </c>
      <c r="E24" s="24"/>
      <c r="F24" s="24"/>
      <c r="G24" s="22" t="s">
        <v>409</v>
      </c>
      <c r="H24" s="22"/>
    </row>
    <row r="25" customFormat="false" ht="15" hidden="false" customHeight="false" outlineLevel="0" collapsed="false">
      <c r="A25" s="21" t="n">
        <v>46266</v>
      </c>
      <c r="B25" s="22" t="s">
        <v>44</v>
      </c>
      <c r="C25" s="22" t="str">
        <f aca="false">IFERROR(INDEX(Medidores!$B:$B,MATCH(B25,Medidores!$A:$A,0)),B25)</f>
        <v>L22</v>
      </c>
      <c r="D25" s="24" t="n">
        <v>20253</v>
      </c>
      <c r="E25" s="24"/>
      <c r="F25" s="24"/>
      <c r="G25" s="22" t="s">
        <v>409</v>
      </c>
      <c r="H25" s="22"/>
    </row>
    <row r="26" customFormat="false" ht="15" hidden="false" customHeight="false" outlineLevel="0" collapsed="false">
      <c r="A26" s="21" t="n">
        <v>46267</v>
      </c>
      <c r="B26" s="22" t="s">
        <v>44</v>
      </c>
      <c r="C26" s="22" t="str">
        <f aca="false">IFERROR(INDEX(Medidores!$B:$B,MATCH(B26,Medidores!$A:$A,0)),B26)</f>
        <v>L22</v>
      </c>
      <c r="D26" s="24" t="n">
        <v>20587</v>
      </c>
      <c r="E26" s="24"/>
      <c r="F26" s="24"/>
      <c r="G26" s="22" t="s">
        <v>409</v>
      </c>
      <c r="H26" s="22"/>
    </row>
    <row r="27" customFormat="false" ht="15" hidden="false" customHeight="false" outlineLevel="0" collapsed="false">
      <c r="A27" s="21" t="n">
        <v>46268</v>
      </c>
      <c r="B27" s="22" t="s">
        <v>44</v>
      </c>
      <c r="C27" s="22" t="str">
        <f aca="false">IFERROR(INDEX(Medidores!$B:$B,MATCH(B27,Medidores!$A:$A,0)),B27)</f>
        <v>L22</v>
      </c>
      <c r="D27" s="24" t="n">
        <v>20621</v>
      </c>
      <c r="E27" s="24"/>
      <c r="F27" s="24"/>
      <c r="G27" s="22" t="s">
        <v>409</v>
      </c>
      <c r="H27" s="22"/>
    </row>
    <row r="28" customFormat="false" ht="15" hidden="false" customHeight="false" outlineLevel="0" collapsed="false">
      <c r="A28" s="21" t="n">
        <v>46269</v>
      </c>
      <c r="B28" s="22" t="s">
        <v>44</v>
      </c>
      <c r="C28" s="22" t="str">
        <f aca="false">IFERROR(INDEX(Medidores!$B:$B,MATCH(B28,Medidores!$A:$A,0)),B28)</f>
        <v>L22</v>
      </c>
      <c r="D28" s="24" t="n">
        <v>20637</v>
      </c>
      <c r="E28" s="24"/>
      <c r="F28" s="24"/>
      <c r="G28" s="22" t="s">
        <v>409</v>
      </c>
      <c r="H28" s="22"/>
    </row>
    <row r="29" customFormat="false" ht="15" hidden="false" customHeight="false" outlineLevel="0" collapsed="false">
      <c r="A29" s="21" t="n">
        <v>46272</v>
      </c>
      <c r="B29" s="22" t="s">
        <v>44</v>
      </c>
      <c r="C29" s="22" t="str">
        <f aca="false">IFERROR(INDEX(Medidores!$B:$B,MATCH(B29,Medidores!$A:$A,0)),B29)</f>
        <v>L22</v>
      </c>
      <c r="D29" s="24" t="n">
        <v>20754</v>
      </c>
      <c r="E29" s="24"/>
      <c r="F29" s="24"/>
      <c r="G29" s="22" t="s">
        <v>410</v>
      </c>
      <c r="H29" s="22"/>
    </row>
    <row r="30" customFormat="false" ht="15" hidden="false" customHeight="false" outlineLevel="0" collapsed="false">
      <c r="A30" s="21" t="n">
        <v>46273</v>
      </c>
      <c r="B30" s="22" t="s">
        <v>44</v>
      </c>
      <c r="C30" s="22" t="str">
        <f aca="false">IFERROR(INDEX(Medidores!$B:$B,MATCH(B30,Medidores!$A:$A,0)),B30)</f>
        <v>L22</v>
      </c>
      <c r="D30" s="24" t="n">
        <v>20864</v>
      </c>
      <c r="E30" s="24"/>
      <c r="F30" s="24"/>
      <c r="G30" s="22" t="s">
        <v>410</v>
      </c>
      <c r="H30" s="22"/>
    </row>
    <row r="31" customFormat="false" ht="15" hidden="false" customHeight="false" outlineLevel="0" collapsed="false">
      <c r="A31" s="21" t="n">
        <v>46274</v>
      </c>
      <c r="B31" s="22" t="s">
        <v>44</v>
      </c>
      <c r="C31" s="22" t="str">
        <f aca="false">IFERROR(INDEX(Medidores!$B:$B,MATCH(B31,Medidores!$A:$A,0)),B31)</f>
        <v>L22</v>
      </c>
      <c r="D31" s="24" t="n">
        <v>20978</v>
      </c>
      <c r="E31" s="24"/>
      <c r="F31" s="24"/>
      <c r="G31" s="22" t="s">
        <v>410</v>
      </c>
      <c r="H31" s="22"/>
    </row>
    <row r="32" customFormat="false" ht="15" hidden="false" customHeight="false" outlineLevel="0" collapsed="false">
      <c r="A32" s="21" t="n">
        <v>46275</v>
      </c>
      <c r="B32" s="22" t="s">
        <v>44</v>
      </c>
      <c r="C32" s="22" t="str">
        <f aca="false">IFERROR(INDEX(Medidores!$B:$B,MATCH(B32,Medidores!$A:$A,0)),B32)</f>
        <v>L22</v>
      </c>
      <c r="D32" s="24" t="n">
        <v>21099</v>
      </c>
      <c r="E32" s="24"/>
      <c r="F32" s="24"/>
      <c r="G32" s="22" t="s">
        <v>410</v>
      </c>
      <c r="H32" s="22"/>
    </row>
    <row r="33" customFormat="false" ht="15" hidden="false" customHeight="false" outlineLevel="0" collapsed="false">
      <c r="A33" s="21" t="n">
        <v>46276</v>
      </c>
      <c r="B33" s="22" t="s">
        <v>44</v>
      </c>
      <c r="C33" s="22" t="str">
        <f aca="false">IFERROR(INDEX(Medidores!$B:$B,MATCH(B33,Medidores!$A:$A,0)),B33)</f>
        <v>L22</v>
      </c>
      <c r="D33" s="24" t="n">
        <v>21123</v>
      </c>
      <c r="E33" s="24"/>
      <c r="F33" s="24"/>
      <c r="G33" s="22" t="s">
        <v>410</v>
      </c>
      <c r="H33" s="22"/>
    </row>
    <row r="34" customFormat="false" ht="15" hidden="false" customHeight="false" outlineLevel="0" collapsed="false">
      <c r="A34" s="21" t="n">
        <v>46286</v>
      </c>
      <c r="B34" s="22" t="s">
        <v>44</v>
      </c>
      <c r="C34" s="22" t="str">
        <f aca="false">IFERROR(INDEX(Medidores!$B:$B,MATCH(B34,Medidores!$A:$A,0)),B34)</f>
        <v>L22</v>
      </c>
      <c r="D34" s="24" t="n">
        <v>21868</v>
      </c>
      <c r="E34" s="24"/>
      <c r="F34" s="24"/>
      <c r="G34" s="22" t="s">
        <v>411</v>
      </c>
      <c r="H34" s="22"/>
    </row>
    <row r="35" customFormat="false" ht="15" hidden="false" customHeight="false" outlineLevel="0" collapsed="false">
      <c r="A35" s="21" t="n">
        <v>46287</v>
      </c>
      <c r="B35" s="22" t="s">
        <v>44</v>
      </c>
      <c r="C35" s="22" t="str">
        <f aca="false">IFERROR(INDEX(Medidores!$B:$B,MATCH(B35,Medidores!$A:$A,0)),B35)</f>
        <v>L22</v>
      </c>
      <c r="D35" s="24" t="n">
        <v>21890</v>
      </c>
      <c r="E35" s="24"/>
      <c r="F35" s="24"/>
      <c r="G35" s="22" t="s">
        <v>411</v>
      </c>
      <c r="H35" s="22"/>
    </row>
    <row r="36" customFormat="false" ht="15" hidden="false" customHeight="false" outlineLevel="0" collapsed="false">
      <c r="A36" s="21" t="n">
        <v>46288</v>
      </c>
      <c r="B36" s="22" t="s">
        <v>44</v>
      </c>
      <c r="C36" s="22" t="str">
        <f aca="false">IFERROR(INDEX(Medidores!$B:$B,MATCH(B36,Medidores!$A:$A,0)),B36)</f>
        <v>L22</v>
      </c>
      <c r="D36" s="24" t="n">
        <v>22126</v>
      </c>
      <c r="E36" s="24"/>
      <c r="F36" s="24"/>
      <c r="G36" s="22" t="s">
        <v>411</v>
      </c>
      <c r="H36" s="22"/>
    </row>
    <row r="37" customFormat="false" ht="15" hidden="false" customHeight="false" outlineLevel="0" collapsed="false">
      <c r="A37" s="21" t="n">
        <v>46289</v>
      </c>
      <c r="B37" s="22" t="s">
        <v>44</v>
      </c>
      <c r="C37" s="22" t="str">
        <f aca="false">IFERROR(INDEX(Medidores!$B:$B,MATCH(B37,Medidores!$A:$A,0)),B37)</f>
        <v>L22</v>
      </c>
      <c r="D37" s="24" t="n">
        <v>22212</v>
      </c>
      <c r="E37" s="24"/>
      <c r="F37" s="24"/>
      <c r="G37" s="22" t="s">
        <v>411</v>
      </c>
      <c r="H37" s="22"/>
    </row>
    <row r="38" customFormat="false" ht="15" hidden="false" customHeight="false" outlineLevel="0" collapsed="false">
      <c r="A38" s="21" t="n">
        <v>46290</v>
      </c>
      <c r="B38" s="22" t="s">
        <v>44</v>
      </c>
      <c r="C38" s="22" t="str">
        <f aca="false">IFERROR(INDEX(Medidores!$B:$B,MATCH(B38,Medidores!$A:$A,0)),B38)</f>
        <v>L22</v>
      </c>
      <c r="D38" s="24" t="n">
        <v>22544</v>
      </c>
      <c r="E38" s="24"/>
      <c r="F38" s="24"/>
      <c r="G38" s="22" t="s">
        <v>411</v>
      </c>
      <c r="H38" s="22"/>
    </row>
    <row r="39" customFormat="false" ht="15" hidden="false" customHeight="false" outlineLevel="0" collapsed="false">
      <c r="A39" s="21" t="n">
        <v>46296</v>
      </c>
      <c r="B39" s="22" t="s">
        <v>44</v>
      </c>
      <c r="C39" s="22" t="str">
        <f aca="false">IFERROR(INDEX(Medidores!$B:$B,MATCH(B39,Medidores!$A:$A,0)),B39)</f>
        <v>L22</v>
      </c>
      <c r="D39" s="24" t="n">
        <v>22718.84</v>
      </c>
      <c r="E39" s="24" t="n">
        <v>5743.238</v>
      </c>
      <c r="F39" s="24" t="n">
        <v>23635.377</v>
      </c>
      <c r="G39" s="22" t="s">
        <v>412</v>
      </c>
      <c r="H39" s="22"/>
    </row>
    <row r="40" customFormat="false" ht="15" hidden="false" customHeight="false" outlineLevel="0" collapsed="false">
      <c r="A40" s="21" t="n">
        <v>46297</v>
      </c>
      <c r="B40" s="22" t="s">
        <v>44</v>
      </c>
      <c r="C40" s="22" t="str">
        <f aca="false">IFERROR(INDEX(Medidores!$B:$B,MATCH(B40,Medidores!$A:$A,0)),B40)</f>
        <v>L22</v>
      </c>
      <c r="D40" s="24" t="n">
        <v>22824.264</v>
      </c>
      <c r="E40" s="24" t="n">
        <v>5769.2</v>
      </c>
      <c r="F40" s="24" t="n">
        <v>23744.58</v>
      </c>
      <c r="G40" s="22" t="s">
        <v>412</v>
      </c>
      <c r="H40" s="22"/>
    </row>
    <row r="41" customFormat="false" ht="15" hidden="false" customHeight="false" outlineLevel="0" collapsed="false">
      <c r="A41" s="21" t="n">
        <v>46301</v>
      </c>
      <c r="B41" s="22" t="s">
        <v>44</v>
      </c>
      <c r="C41" s="22" t="str">
        <f aca="false">IFERROR(INDEX(Medidores!$B:$B,MATCH(B41,Medidores!$A:$A,0)),B41)</f>
        <v>L22</v>
      </c>
      <c r="D41" s="24" t="n">
        <v>23124.924</v>
      </c>
      <c r="E41" s="24" t="n">
        <v>5847.094</v>
      </c>
      <c r="F41" s="24" t="n">
        <v>24070.666</v>
      </c>
      <c r="G41" s="22" t="s">
        <v>413</v>
      </c>
      <c r="H41" s="22" t="s">
        <v>414</v>
      </c>
    </row>
    <row r="42" customFormat="false" ht="15" hidden="false" customHeight="false" outlineLevel="0" collapsed="false">
      <c r="A42" s="21" t="n">
        <v>46302</v>
      </c>
      <c r="B42" s="22" t="s">
        <v>44</v>
      </c>
      <c r="C42" s="22" t="str">
        <f aca="false">IFERROR(INDEX(Medidores!$B:$B,MATCH(B42,Medidores!$A:$A,0)),B42)</f>
        <v>L22</v>
      </c>
      <c r="D42" s="24" t="n">
        <v>23232.705</v>
      </c>
      <c r="E42" s="24" t="n">
        <v>5876.125</v>
      </c>
      <c r="F42" s="24" t="n">
        <v>24170.236</v>
      </c>
      <c r="G42" s="22" t="s">
        <v>413</v>
      </c>
      <c r="H42" s="22"/>
    </row>
    <row r="43" customFormat="false" ht="15" hidden="false" customHeight="false" outlineLevel="0" collapsed="false">
      <c r="A43" s="21" t="n">
        <v>46296</v>
      </c>
      <c r="B43" s="22" t="s">
        <v>93</v>
      </c>
      <c r="C43" s="22" t="str">
        <f aca="false">IFERROR(INDEX(Medidores!$B:$B,MATCH(B43,Medidores!$A:$A,0)),B43)</f>
        <v>Estación celda 2</v>
      </c>
      <c r="D43" s="24" t="n">
        <v>425214.094</v>
      </c>
      <c r="E43" s="24" t="n">
        <v>169702.109</v>
      </c>
      <c r="F43" s="24" t="n">
        <v>459712.094</v>
      </c>
      <c r="G43" s="22" t="s">
        <v>412</v>
      </c>
      <c r="H43" s="22"/>
    </row>
    <row r="44" customFormat="false" ht="15" hidden="false" customHeight="false" outlineLevel="0" collapsed="false">
      <c r="A44" s="21" t="n">
        <v>46300</v>
      </c>
      <c r="B44" s="22" t="s">
        <v>93</v>
      </c>
      <c r="C44" s="22" t="str">
        <f aca="false">IFERROR(INDEX(Medidores!$B:$B,MATCH(B44,Medidores!$A:$A,0)),B44)</f>
        <v>Estación celda 2</v>
      </c>
      <c r="D44" s="24" t="n">
        <v>429794.219</v>
      </c>
      <c r="E44" s="24" t="n">
        <v>171292.25</v>
      </c>
      <c r="F44" s="24" t="n">
        <v>464596.844</v>
      </c>
      <c r="G44" s="22" t="s">
        <v>413</v>
      </c>
      <c r="H44" s="22"/>
    </row>
    <row r="45" customFormat="false" ht="15" hidden="false" customHeight="false" outlineLevel="0" collapsed="false">
      <c r="A45" s="21" t="n">
        <v>46302</v>
      </c>
      <c r="B45" s="22" t="s">
        <v>93</v>
      </c>
      <c r="C45" s="22" t="str">
        <f aca="false">IFERROR(INDEX(Medidores!$B:$B,MATCH(B45,Medidores!$A:$A,0)),B45)</f>
        <v>Estación celda 2</v>
      </c>
      <c r="D45" s="24" t="n">
        <v>433112.813</v>
      </c>
      <c r="E45" s="24" t="n">
        <v>172816</v>
      </c>
      <c r="F45" s="24" t="n">
        <v>468254.438</v>
      </c>
      <c r="G45" s="22" t="s">
        <v>413</v>
      </c>
      <c r="H45" s="22"/>
    </row>
    <row r="46" customFormat="false" ht="15" hidden="false" customHeight="false" outlineLevel="0" collapsed="false">
      <c r="A46" s="21" t="n">
        <v>46296</v>
      </c>
      <c r="B46" s="22" t="s">
        <v>94</v>
      </c>
      <c r="C46" s="22" t="str">
        <f aca="false">IFERROR(INDEX(Medidores!$B:$B,MATCH(B46,Medidores!$A:$A,0)),B46)</f>
        <v>Estación celda 1</v>
      </c>
      <c r="D46" s="24" t="n">
        <v>322377.438</v>
      </c>
      <c r="E46" s="24" t="n">
        <v>168622.594</v>
      </c>
      <c r="F46" s="24" t="n">
        <v>365187.438</v>
      </c>
      <c r="G46" s="22" t="s">
        <v>412</v>
      </c>
      <c r="H46" s="22"/>
    </row>
    <row r="47" customFormat="false" ht="15" hidden="false" customHeight="false" outlineLevel="0" collapsed="false">
      <c r="A47" s="21" t="n">
        <v>46300</v>
      </c>
      <c r="B47" s="22" t="s">
        <v>94</v>
      </c>
      <c r="C47" s="22" t="str">
        <f aca="false">IFERROR(INDEX(Medidores!$B:$B,MATCH(B47,Medidores!$A:$A,0)),B47)</f>
        <v>Estación celda 1</v>
      </c>
      <c r="D47" s="24" t="n">
        <v>326404.531</v>
      </c>
      <c r="E47" s="24" t="n">
        <v>170662.844</v>
      </c>
      <c r="F47" s="24" t="n">
        <v>369718.344</v>
      </c>
      <c r="G47" s="22" t="s">
        <v>413</v>
      </c>
      <c r="H47" s="22" t="s">
        <v>415</v>
      </c>
    </row>
    <row r="48" customFormat="false" ht="15" hidden="false" customHeight="false" outlineLevel="0" collapsed="false">
      <c r="A48" s="21" t="n">
        <v>46302</v>
      </c>
      <c r="B48" s="22" t="s">
        <v>94</v>
      </c>
      <c r="C48" s="22" t="str">
        <f aca="false">IFERROR(INDEX(Medidores!$B:$B,MATCH(B48,Medidores!$A:$A,0)),B48)</f>
        <v>Estación celda 1</v>
      </c>
      <c r="D48" s="24" t="n">
        <v>328833.438</v>
      </c>
      <c r="E48" s="24" t="n">
        <v>171873.984</v>
      </c>
      <c r="F48" s="24" t="n">
        <v>372439</v>
      </c>
      <c r="G48" s="22" t="s">
        <v>413</v>
      </c>
      <c r="H48" s="22"/>
    </row>
    <row r="49" customFormat="false" ht="15" hidden="false" customHeight="false" outlineLevel="0" collapsed="false">
      <c r="A49" s="21" t="n">
        <v>46217</v>
      </c>
      <c r="B49" s="22" t="s">
        <v>65</v>
      </c>
      <c r="C49" s="22" t="str">
        <f aca="false">IFERROR(INDEX(Medidores!$B:$B,MATCH(B49,Medidores!$A:$A,0)),B49)</f>
        <v>L50</v>
      </c>
      <c r="D49" s="24" t="n">
        <v>6177.6</v>
      </c>
      <c r="E49" s="24"/>
      <c r="F49" s="24"/>
      <c r="G49" s="22" t="s">
        <v>402</v>
      </c>
      <c r="H49" s="22"/>
    </row>
    <row r="50" customFormat="false" ht="15" hidden="false" customHeight="false" outlineLevel="0" collapsed="false">
      <c r="A50" s="21" t="n">
        <v>46218</v>
      </c>
      <c r="B50" s="22" t="s">
        <v>65</v>
      </c>
      <c r="C50" s="22" t="str">
        <f aca="false">IFERROR(INDEX(Medidores!$B:$B,MATCH(B50,Medidores!$A:$A,0)),B50)</f>
        <v>L50</v>
      </c>
      <c r="D50" s="24" t="n">
        <v>6220.2</v>
      </c>
      <c r="E50" s="24"/>
      <c r="F50" s="24"/>
      <c r="G50" s="22" t="s">
        <v>402</v>
      </c>
      <c r="H50" s="22"/>
    </row>
    <row r="51" customFormat="false" ht="15" hidden="false" customHeight="false" outlineLevel="0" collapsed="false">
      <c r="A51" s="21" t="n">
        <v>46219</v>
      </c>
      <c r="B51" s="22" t="s">
        <v>65</v>
      </c>
      <c r="C51" s="22" t="str">
        <f aca="false">IFERROR(INDEX(Medidores!$B:$B,MATCH(B51,Medidores!$A:$A,0)),B51)</f>
        <v>L50</v>
      </c>
      <c r="D51" s="24" t="n">
        <v>6260.5</v>
      </c>
      <c r="E51" s="24"/>
      <c r="F51" s="24"/>
      <c r="G51" s="22" t="s">
        <v>402</v>
      </c>
      <c r="H51" s="22"/>
    </row>
    <row r="52" customFormat="false" ht="15" hidden="false" customHeight="false" outlineLevel="0" collapsed="false">
      <c r="A52" s="21" t="n">
        <v>46220</v>
      </c>
      <c r="B52" s="22" t="s">
        <v>65</v>
      </c>
      <c r="C52" s="22" t="str">
        <f aca="false">IFERROR(INDEX(Medidores!$B:$B,MATCH(B52,Medidores!$A:$A,0)),B52)</f>
        <v>L50</v>
      </c>
      <c r="D52" s="24" t="n">
        <v>6310</v>
      </c>
      <c r="E52" s="24"/>
      <c r="F52" s="24"/>
      <c r="G52" s="22" t="s">
        <v>402</v>
      </c>
      <c r="H52" s="22"/>
    </row>
    <row r="53" customFormat="false" ht="15" hidden="false" customHeight="false" outlineLevel="0" collapsed="false">
      <c r="A53" s="21" t="n">
        <v>46224</v>
      </c>
      <c r="B53" s="22" t="s">
        <v>65</v>
      </c>
      <c r="C53" s="22" t="str">
        <f aca="false">IFERROR(INDEX(Medidores!$B:$B,MATCH(B53,Medidores!$A:$A,0)),B53)</f>
        <v>L50</v>
      </c>
      <c r="D53" s="24" t="n">
        <v>6427.3</v>
      </c>
      <c r="E53" s="24"/>
      <c r="F53" s="24"/>
      <c r="G53" s="22" t="s">
        <v>404</v>
      </c>
      <c r="H53" s="22"/>
    </row>
    <row r="54" customFormat="false" ht="15" hidden="false" customHeight="false" outlineLevel="0" collapsed="false">
      <c r="A54" s="21" t="n">
        <v>46225</v>
      </c>
      <c r="B54" s="22" t="s">
        <v>65</v>
      </c>
      <c r="C54" s="22" t="str">
        <f aca="false">IFERROR(INDEX(Medidores!$B:$B,MATCH(B54,Medidores!$A:$A,0)),B54)</f>
        <v>L50</v>
      </c>
      <c r="D54" s="24" t="n">
        <v>6478</v>
      </c>
      <c r="E54" s="24"/>
      <c r="F54" s="24"/>
      <c r="G54" s="22" t="s">
        <v>404</v>
      </c>
      <c r="H54" s="22"/>
    </row>
    <row r="55" customFormat="false" ht="15" hidden="false" customHeight="false" outlineLevel="0" collapsed="false">
      <c r="A55" s="21" t="n">
        <v>46226</v>
      </c>
      <c r="B55" s="22" t="s">
        <v>65</v>
      </c>
      <c r="C55" s="22" t="str">
        <f aca="false">IFERROR(INDEX(Medidores!$B:$B,MATCH(B55,Medidores!$A:$A,0)),B55)</f>
        <v>L50</v>
      </c>
      <c r="D55" s="24" t="n">
        <v>6518.1</v>
      </c>
      <c r="E55" s="24"/>
      <c r="F55" s="24"/>
      <c r="G55" s="22" t="s">
        <v>404</v>
      </c>
      <c r="H55" s="22"/>
    </row>
    <row r="56" customFormat="false" ht="15" hidden="false" customHeight="false" outlineLevel="0" collapsed="false">
      <c r="A56" s="21" t="n">
        <v>46227</v>
      </c>
      <c r="B56" s="22" t="s">
        <v>65</v>
      </c>
      <c r="C56" s="22" t="str">
        <f aca="false">IFERROR(INDEX(Medidores!$B:$B,MATCH(B56,Medidores!$A:$A,0)),B56)</f>
        <v>L50</v>
      </c>
      <c r="D56" s="24" t="n">
        <v>6563.9</v>
      </c>
      <c r="E56" s="24"/>
      <c r="F56" s="24"/>
      <c r="G56" s="22" t="s">
        <v>404</v>
      </c>
      <c r="H56" s="22"/>
    </row>
    <row r="57" customFormat="false" ht="15" hidden="false" customHeight="false" outlineLevel="0" collapsed="false">
      <c r="A57" s="21" t="n">
        <v>46230</v>
      </c>
      <c r="B57" s="22" t="s">
        <v>65</v>
      </c>
      <c r="C57" s="22" t="str">
        <f aca="false">IFERROR(INDEX(Medidores!$B:$B,MATCH(B57,Medidores!$A:$A,0)),B57)</f>
        <v>L50</v>
      </c>
      <c r="D57" s="24" t="n">
        <v>6634.6</v>
      </c>
      <c r="E57" s="24"/>
      <c r="F57" s="24"/>
      <c r="G57" s="22" t="s">
        <v>405</v>
      </c>
      <c r="H57" s="22"/>
    </row>
    <row r="58" customFormat="false" ht="15" hidden="false" customHeight="false" outlineLevel="0" collapsed="false">
      <c r="A58" s="21" t="n">
        <v>46231</v>
      </c>
      <c r="B58" s="22" t="s">
        <v>65</v>
      </c>
      <c r="C58" s="22" t="str">
        <f aca="false">IFERROR(INDEX(Medidores!$B:$B,MATCH(B58,Medidores!$A:$A,0)),B58)</f>
        <v>L50</v>
      </c>
      <c r="D58" s="24" t="n">
        <v>6708.3</v>
      </c>
      <c r="E58" s="24"/>
      <c r="F58" s="24"/>
      <c r="G58" s="22" t="s">
        <v>405</v>
      </c>
      <c r="H58" s="22"/>
    </row>
    <row r="59" customFormat="false" ht="15" hidden="false" customHeight="false" outlineLevel="0" collapsed="false">
      <c r="A59" s="21" t="n">
        <v>46232</v>
      </c>
      <c r="B59" s="22" t="s">
        <v>65</v>
      </c>
      <c r="C59" s="22" t="str">
        <f aca="false">IFERROR(INDEX(Medidores!$B:$B,MATCH(B59,Medidores!$A:$A,0)),B59)</f>
        <v>L50</v>
      </c>
      <c r="D59" s="24" t="n">
        <v>6774.7</v>
      </c>
      <c r="E59" s="24"/>
      <c r="F59" s="24"/>
      <c r="G59" s="22" t="s">
        <v>405</v>
      </c>
      <c r="H59" s="22"/>
    </row>
    <row r="60" customFormat="false" ht="15" hidden="false" customHeight="false" outlineLevel="0" collapsed="false">
      <c r="A60" s="21" t="n">
        <v>46233</v>
      </c>
      <c r="B60" s="22" t="s">
        <v>65</v>
      </c>
      <c r="C60" s="22" t="str">
        <f aca="false">IFERROR(INDEX(Medidores!$B:$B,MATCH(B60,Medidores!$A:$A,0)),B60)</f>
        <v>L50</v>
      </c>
      <c r="D60" s="24" t="n">
        <v>6849.9</v>
      </c>
      <c r="E60" s="24"/>
      <c r="F60" s="24"/>
      <c r="G60" s="22" t="s">
        <v>405</v>
      </c>
      <c r="H60" s="22"/>
    </row>
    <row r="61" customFormat="false" ht="15" hidden="false" customHeight="false" outlineLevel="0" collapsed="false">
      <c r="A61" s="21" t="n">
        <v>46237</v>
      </c>
      <c r="B61" s="22" t="s">
        <v>65</v>
      </c>
      <c r="C61" s="22" t="str">
        <f aca="false">IFERROR(INDEX(Medidores!$B:$B,MATCH(B61,Medidores!$A:$A,0)),B61)</f>
        <v>L50</v>
      </c>
      <c r="D61" s="24" t="n">
        <v>6999.6</v>
      </c>
      <c r="E61" s="24"/>
      <c r="F61" s="24"/>
      <c r="G61" s="22" t="s">
        <v>406</v>
      </c>
      <c r="H61" s="22"/>
    </row>
    <row r="62" customFormat="false" ht="15" hidden="false" customHeight="false" outlineLevel="0" collapsed="false">
      <c r="A62" s="21" t="n">
        <v>46238</v>
      </c>
      <c r="B62" s="22" t="s">
        <v>65</v>
      </c>
      <c r="C62" s="22" t="str">
        <f aca="false">IFERROR(INDEX(Medidores!$B:$B,MATCH(B62,Medidores!$A:$A,0)),B62)</f>
        <v>L50</v>
      </c>
      <c r="D62" s="24" t="n">
        <v>7029.3</v>
      </c>
      <c r="E62" s="24"/>
      <c r="F62" s="24"/>
      <c r="G62" s="22" t="s">
        <v>406</v>
      </c>
      <c r="H62" s="22"/>
    </row>
    <row r="63" customFormat="false" ht="15" hidden="false" customHeight="false" outlineLevel="0" collapsed="false">
      <c r="A63" s="21" t="n">
        <v>46239</v>
      </c>
      <c r="B63" s="22" t="s">
        <v>65</v>
      </c>
      <c r="C63" s="22" t="str">
        <f aca="false">IFERROR(INDEX(Medidores!$B:$B,MATCH(B63,Medidores!$A:$A,0)),B63)</f>
        <v>L50</v>
      </c>
      <c r="D63" s="24" t="n">
        <v>7074</v>
      </c>
      <c r="E63" s="24"/>
      <c r="F63" s="24"/>
      <c r="G63" s="22" t="s">
        <v>406</v>
      </c>
      <c r="H63" s="22"/>
    </row>
    <row r="64" customFormat="false" ht="15" hidden="false" customHeight="false" outlineLevel="0" collapsed="false">
      <c r="A64" s="21" t="n">
        <v>46240</v>
      </c>
      <c r="B64" s="22" t="s">
        <v>65</v>
      </c>
      <c r="C64" s="22" t="str">
        <f aca="false">IFERROR(INDEX(Medidores!$B:$B,MATCH(B64,Medidores!$A:$A,0)),B64)</f>
        <v>L50</v>
      </c>
      <c r="D64" s="24" t="n">
        <v>7171.8</v>
      </c>
      <c r="E64" s="24"/>
      <c r="F64" s="24"/>
      <c r="G64" s="22" t="s">
        <v>406</v>
      </c>
      <c r="H64" s="22"/>
    </row>
    <row r="65" customFormat="false" ht="15" hidden="false" customHeight="false" outlineLevel="0" collapsed="false">
      <c r="A65" s="21" t="n">
        <v>46252</v>
      </c>
      <c r="B65" s="22" t="s">
        <v>65</v>
      </c>
      <c r="C65" s="22" t="str">
        <f aca="false">IFERROR(INDEX(Medidores!$B:$B,MATCH(B65,Medidores!$A:$A,0)),B65)</f>
        <v>L50</v>
      </c>
      <c r="D65" s="24" t="n">
        <v>7269.7</v>
      </c>
      <c r="E65" s="24"/>
      <c r="F65" s="24"/>
      <c r="G65" s="22" t="s">
        <v>407</v>
      </c>
      <c r="H65" s="22"/>
    </row>
    <row r="66" customFormat="false" ht="15" hidden="false" customHeight="false" outlineLevel="0" collapsed="false">
      <c r="A66" s="21" t="n">
        <v>46253</v>
      </c>
      <c r="B66" s="22" t="s">
        <v>65</v>
      </c>
      <c r="C66" s="22" t="str">
        <f aca="false">IFERROR(INDEX(Medidores!$B:$B,MATCH(B66,Medidores!$A:$A,0)),B66)</f>
        <v>L50</v>
      </c>
      <c r="D66" s="24" t="n">
        <v>7341.8</v>
      </c>
      <c r="E66" s="24"/>
      <c r="F66" s="24"/>
      <c r="G66" s="22" t="s">
        <v>407</v>
      </c>
      <c r="H66" s="22"/>
    </row>
    <row r="67" customFormat="false" ht="15" hidden="false" customHeight="false" outlineLevel="0" collapsed="false">
      <c r="A67" s="21" t="n">
        <v>46254</v>
      </c>
      <c r="B67" s="22" t="s">
        <v>65</v>
      </c>
      <c r="C67" s="22" t="str">
        <f aca="false">IFERROR(INDEX(Medidores!$B:$B,MATCH(B67,Medidores!$A:$A,0)),B67)</f>
        <v>L50</v>
      </c>
      <c r="D67" s="24" t="n">
        <v>7356.5</v>
      </c>
      <c r="E67" s="24"/>
      <c r="F67" s="24"/>
      <c r="G67" s="22" t="s">
        <v>407</v>
      </c>
      <c r="H67" s="22"/>
    </row>
    <row r="68" customFormat="false" ht="15" hidden="false" customHeight="false" outlineLevel="0" collapsed="false">
      <c r="A68" s="21" t="n">
        <v>46258</v>
      </c>
      <c r="B68" s="22" t="s">
        <v>65</v>
      </c>
      <c r="C68" s="22" t="str">
        <f aca="false">IFERROR(INDEX(Medidores!$B:$B,MATCH(B68,Medidores!$A:$A,0)),B68)</f>
        <v>L50</v>
      </c>
      <c r="D68" s="24" t="n">
        <v>7467</v>
      </c>
      <c r="E68" s="24"/>
      <c r="F68" s="24"/>
      <c r="G68" s="22" t="s">
        <v>408</v>
      </c>
      <c r="H68" s="22"/>
    </row>
    <row r="69" customFormat="false" ht="15" hidden="false" customHeight="false" outlineLevel="0" collapsed="false">
      <c r="A69" s="21" t="n">
        <v>46259</v>
      </c>
      <c r="B69" s="22" t="s">
        <v>65</v>
      </c>
      <c r="C69" s="22" t="str">
        <f aca="false">IFERROR(INDEX(Medidores!$B:$B,MATCH(B69,Medidores!$A:$A,0)),B69)</f>
        <v>L50</v>
      </c>
      <c r="D69" s="24" t="n">
        <v>7517</v>
      </c>
      <c r="E69" s="24"/>
      <c r="F69" s="24"/>
      <c r="G69" s="22" t="s">
        <v>408</v>
      </c>
      <c r="H69" s="22"/>
    </row>
    <row r="70" customFormat="false" ht="15" hidden="false" customHeight="false" outlineLevel="0" collapsed="false">
      <c r="A70" s="21" t="n">
        <v>46260</v>
      </c>
      <c r="B70" s="22" t="s">
        <v>65</v>
      </c>
      <c r="C70" s="22" t="str">
        <f aca="false">IFERROR(INDEX(Medidores!$B:$B,MATCH(B70,Medidores!$A:$A,0)),B70)</f>
        <v>L50</v>
      </c>
      <c r="D70" s="24" t="n">
        <v>7563.7</v>
      </c>
      <c r="E70" s="24"/>
      <c r="F70" s="24"/>
      <c r="G70" s="22" t="s">
        <v>408</v>
      </c>
      <c r="H70" s="22"/>
    </row>
    <row r="71" customFormat="false" ht="15" hidden="false" customHeight="false" outlineLevel="0" collapsed="false">
      <c r="A71" s="21" t="n">
        <v>46261</v>
      </c>
      <c r="B71" s="22" t="s">
        <v>65</v>
      </c>
      <c r="C71" s="22" t="str">
        <f aca="false">IFERROR(INDEX(Medidores!$B:$B,MATCH(B71,Medidores!$A:$A,0)),B71)</f>
        <v>L50</v>
      </c>
      <c r="D71" s="24" t="n">
        <v>7607.1</v>
      </c>
      <c r="E71" s="24"/>
      <c r="F71" s="24"/>
      <c r="G71" s="22" t="s">
        <v>408</v>
      </c>
      <c r="H71" s="22"/>
    </row>
    <row r="72" customFormat="false" ht="15" hidden="false" customHeight="false" outlineLevel="0" collapsed="false">
      <c r="A72" s="21" t="n">
        <v>46272</v>
      </c>
      <c r="B72" s="22" t="s">
        <v>65</v>
      </c>
      <c r="C72" s="22" t="str">
        <f aca="false">IFERROR(INDEX(Medidores!$B:$B,MATCH(B72,Medidores!$A:$A,0)),B72)</f>
        <v>L50</v>
      </c>
      <c r="D72" s="24" t="n">
        <v>7749.3</v>
      </c>
      <c r="E72" s="24"/>
      <c r="F72" s="24"/>
      <c r="G72" s="22" t="s">
        <v>410</v>
      </c>
      <c r="H72" s="22"/>
    </row>
    <row r="73" customFormat="false" ht="15" hidden="false" customHeight="false" outlineLevel="0" collapsed="false">
      <c r="A73" s="21" t="n">
        <v>46273</v>
      </c>
      <c r="B73" s="22" t="s">
        <v>65</v>
      </c>
      <c r="C73" s="22" t="str">
        <f aca="false">IFERROR(INDEX(Medidores!$B:$B,MATCH(B73,Medidores!$A:$A,0)),B73)</f>
        <v>L50</v>
      </c>
      <c r="D73" s="24" t="n">
        <v>7771.1</v>
      </c>
      <c r="E73" s="24"/>
      <c r="F73" s="24"/>
      <c r="G73" s="22" t="s">
        <v>410</v>
      </c>
      <c r="H73" s="22"/>
    </row>
    <row r="74" customFormat="false" ht="15" hidden="false" customHeight="false" outlineLevel="0" collapsed="false">
      <c r="A74" s="21" t="n">
        <v>46274</v>
      </c>
      <c r="B74" s="22" t="s">
        <v>65</v>
      </c>
      <c r="C74" s="22" t="str">
        <f aca="false">IFERROR(INDEX(Medidores!$B:$B,MATCH(B74,Medidores!$A:$A,0)),B74)</f>
        <v>L50</v>
      </c>
      <c r="D74" s="24" t="n">
        <v>7809.4</v>
      </c>
      <c r="E74" s="24"/>
      <c r="F74" s="24"/>
      <c r="G74" s="22" t="s">
        <v>410</v>
      </c>
      <c r="H74" s="22"/>
    </row>
    <row r="75" customFormat="false" ht="15" hidden="false" customHeight="false" outlineLevel="0" collapsed="false">
      <c r="A75" s="21" t="n">
        <v>46275</v>
      </c>
      <c r="B75" s="22" t="s">
        <v>65</v>
      </c>
      <c r="C75" s="22" t="str">
        <f aca="false">IFERROR(INDEX(Medidores!$B:$B,MATCH(B75,Medidores!$A:$A,0)),B75)</f>
        <v>L50</v>
      </c>
      <c r="D75" s="24" t="n">
        <v>7844.7</v>
      </c>
      <c r="E75" s="24"/>
      <c r="F75" s="24"/>
      <c r="G75" s="22" t="s">
        <v>410</v>
      </c>
      <c r="H75" s="22"/>
    </row>
    <row r="76" customFormat="false" ht="15" hidden="false" customHeight="false" outlineLevel="0" collapsed="false">
      <c r="A76" s="21" t="n">
        <v>46276</v>
      </c>
      <c r="B76" s="22" t="s">
        <v>65</v>
      </c>
      <c r="C76" s="22" t="str">
        <f aca="false">IFERROR(INDEX(Medidores!$B:$B,MATCH(B76,Medidores!$A:$A,0)),B76)</f>
        <v>L50</v>
      </c>
      <c r="D76" s="24" t="n">
        <v>7875.9</v>
      </c>
      <c r="E76" s="24"/>
      <c r="F76" s="24"/>
      <c r="G76" s="22" t="s">
        <v>410</v>
      </c>
      <c r="H76" s="22"/>
    </row>
    <row r="77" customFormat="false" ht="15" hidden="false" customHeight="false" outlineLevel="0" collapsed="false">
      <c r="A77" s="21" t="n">
        <v>46286</v>
      </c>
      <c r="B77" s="22" t="s">
        <v>65</v>
      </c>
      <c r="C77" s="22" t="str">
        <f aca="false">IFERROR(INDEX(Medidores!$B:$B,MATCH(B77,Medidores!$A:$A,0)),B77)</f>
        <v>L50</v>
      </c>
      <c r="D77" s="24" t="n">
        <v>8159.4</v>
      </c>
      <c r="E77" s="24"/>
      <c r="F77" s="24"/>
      <c r="G77" s="22" t="s">
        <v>411</v>
      </c>
      <c r="H77" s="22"/>
    </row>
    <row r="78" customFormat="false" ht="15" hidden="false" customHeight="false" outlineLevel="0" collapsed="false">
      <c r="A78" s="21" t="n">
        <v>46287</v>
      </c>
      <c r="B78" s="22" t="s">
        <v>65</v>
      </c>
      <c r="C78" s="22" t="str">
        <f aca="false">IFERROR(INDEX(Medidores!$B:$B,MATCH(B78,Medidores!$A:$A,0)),B78)</f>
        <v>L50</v>
      </c>
      <c r="D78" s="24" t="n">
        <v>8208.3</v>
      </c>
      <c r="E78" s="24"/>
      <c r="F78" s="24"/>
      <c r="G78" s="22" t="s">
        <v>411</v>
      </c>
      <c r="H78" s="22"/>
    </row>
    <row r="79" customFormat="false" ht="15" hidden="false" customHeight="false" outlineLevel="0" collapsed="false">
      <c r="A79" s="21" t="n">
        <v>46288</v>
      </c>
      <c r="B79" s="22" t="s">
        <v>65</v>
      </c>
      <c r="C79" s="22" t="str">
        <f aca="false">IFERROR(INDEX(Medidores!$B:$B,MATCH(B79,Medidores!$A:$A,0)),B79)</f>
        <v>L50</v>
      </c>
      <c r="D79" s="24" t="n">
        <v>8256.8</v>
      </c>
      <c r="E79" s="24"/>
      <c r="F79" s="24"/>
      <c r="G79" s="22" t="s">
        <v>411</v>
      </c>
      <c r="H79" s="22"/>
    </row>
    <row r="80" customFormat="false" ht="15" hidden="false" customHeight="false" outlineLevel="0" collapsed="false">
      <c r="A80" s="21" t="n">
        <v>46289</v>
      </c>
      <c r="B80" s="22" t="s">
        <v>65</v>
      </c>
      <c r="C80" s="22" t="str">
        <f aca="false">IFERROR(INDEX(Medidores!$B:$B,MATCH(B80,Medidores!$A:$A,0)),B80)</f>
        <v>L50</v>
      </c>
      <c r="D80" s="24" t="n">
        <v>8301.9</v>
      </c>
      <c r="E80" s="24"/>
      <c r="F80" s="24"/>
      <c r="G80" s="22" t="s">
        <v>411</v>
      </c>
      <c r="H80" s="22"/>
    </row>
    <row r="81" customFormat="false" ht="15" hidden="false" customHeight="false" outlineLevel="0" collapsed="false">
      <c r="A81" s="21" t="n">
        <v>46290</v>
      </c>
      <c r="B81" s="22" t="s">
        <v>65</v>
      </c>
      <c r="C81" s="22" t="str">
        <f aca="false">IFERROR(INDEX(Medidores!$B:$B,MATCH(B81,Medidores!$A:$A,0)),B81)</f>
        <v>L50</v>
      </c>
      <c r="D81" s="24" t="n">
        <v>8344.4</v>
      </c>
      <c r="E81" s="24"/>
      <c r="F81" s="24"/>
      <c r="G81" s="22" t="s">
        <v>411</v>
      </c>
      <c r="H81" s="22"/>
    </row>
    <row r="82" customFormat="false" ht="15" hidden="false" customHeight="false" outlineLevel="0" collapsed="false">
      <c r="A82" s="21" t="n">
        <v>46296</v>
      </c>
      <c r="B82" s="22" t="s">
        <v>65</v>
      </c>
      <c r="C82" s="22" t="str">
        <f aca="false">IFERROR(INDEX(Medidores!$B:$B,MATCH(B82,Medidores!$A:$A,0)),B82)</f>
        <v>L50</v>
      </c>
      <c r="D82" s="24" t="n">
        <v>8508.245</v>
      </c>
      <c r="E82" s="24" t="n">
        <v>5172.817</v>
      </c>
      <c r="F82" s="24" t="n">
        <v>11299.535</v>
      </c>
      <c r="G82" s="22" t="s">
        <v>412</v>
      </c>
      <c r="H82" s="22"/>
    </row>
    <row r="83" customFormat="false" ht="15" hidden="false" customHeight="false" outlineLevel="0" collapsed="false">
      <c r="A83" s="21" t="n">
        <v>46297</v>
      </c>
      <c r="B83" s="22" t="s">
        <v>65</v>
      </c>
      <c r="C83" s="22" t="str">
        <f aca="false">IFERROR(INDEX(Medidores!$B:$B,MATCH(B83,Medidores!$A:$A,0)),B83)</f>
        <v>L50</v>
      </c>
      <c r="D83" s="24" t="n">
        <v>8554.768</v>
      </c>
      <c r="E83" s="24" t="n">
        <v>5254.768</v>
      </c>
      <c r="F83" s="24" t="n">
        <v>11361.211</v>
      </c>
      <c r="G83" s="22" t="s">
        <v>412</v>
      </c>
      <c r="H83" s="22"/>
    </row>
    <row r="84" customFormat="false" ht="15" hidden="false" customHeight="false" outlineLevel="0" collapsed="false">
      <c r="A84" s="21" t="n">
        <v>46300</v>
      </c>
      <c r="B84" s="22" t="s">
        <v>65</v>
      </c>
      <c r="C84" s="22" t="str">
        <f aca="false">IFERROR(INDEX(Medidores!$B:$B,MATCH(B84,Medidores!$A:$A,0)),B84)</f>
        <v>L50</v>
      </c>
      <c r="D84" s="24" t="n">
        <v>8636.846</v>
      </c>
      <c r="E84" s="24" t="n">
        <v>5253.244</v>
      </c>
      <c r="F84" s="24" t="n">
        <v>11462.818</v>
      </c>
      <c r="G84" s="22" t="s">
        <v>413</v>
      </c>
      <c r="H84" s="22"/>
    </row>
    <row r="85" customFormat="false" ht="15" hidden="false" customHeight="false" outlineLevel="0" collapsed="false">
      <c r="A85" s="21" t="n">
        <v>46301</v>
      </c>
      <c r="B85" s="22" t="s">
        <v>65</v>
      </c>
      <c r="C85" s="22" t="str">
        <f aca="false">IFERROR(INDEX(Medidores!$B:$B,MATCH(B85,Medidores!$A:$A,0)),B85)</f>
        <v>L50</v>
      </c>
      <c r="D85" s="24" t="n">
        <v>8680.489</v>
      </c>
      <c r="E85" s="24" t="n">
        <v>5286.77</v>
      </c>
      <c r="F85" s="24" t="n">
        <v>11520.611</v>
      </c>
      <c r="G85" s="22" t="s">
        <v>413</v>
      </c>
      <c r="H85" s="22"/>
    </row>
    <row r="86" customFormat="false" ht="15" hidden="false" customHeight="false" outlineLevel="0" collapsed="false">
      <c r="A86" s="21" t="n">
        <v>46302</v>
      </c>
      <c r="B86" s="22" t="s">
        <v>65</v>
      </c>
      <c r="C86" s="22" t="str">
        <f aca="false">IFERROR(INDEX(Medidores!$B:$B,MATCH(B86,Medidores!$A:$A,0)),B86)</f>
        <v>L50</v>
      </c>
      <c r="D86" s="24" t="n">
        <v>8720.098</v>
      </c>
      <c r="E86" s="24" t="n">
        <v>5315.24</v>
      </c>
      <c r="F86" s="24" t="n">
        <v>11572.288</v>
      </c>
      <c r="G86" s="22" t="s">
        <v>413</v>
      </c>
      <c r="H86" s="22"/>
    </row>
    <row r="87" customFormat="false" ht="15" hidden="false" customHeight="false" outlineLevel="0" collapsed="false">
      <c r="A87" s="21" t="n">
        <v>46217</v>
      </c>
      <c r="B87" s="22" t="s">
        <v>85</v>
      </c>
      <c r="C87" s="22" t="str">
        <f aca="false">IFERROR(INDEX(Medidores!$B:$B,MATCH(B87,Medidores!$A:$A,0)),B87)</f>
        <v>L21</v>
      </c>
      <c r="D87" s="24" t="n">
        <v>7494.7</v>
      </c>
      <c r="E87" s="24"/>
      <c r="F87" s="24"/>
      <c r="G87" s="22" t="s">
        <v>402</v>
      </c>
      <c r="H87" s="22"/>
    </row>
    <row r="88" customFormat="false" ht="15" hidden="false" customHeight="false" outlineLevel="0" collapsed="false">
      <c r="A88" s="21" t="n">
        <v>46218</v>
      </c>
      <c r="B88" s="22" t="s">
        <v>85</v>
      </c>
      <c r="C88" s="22" t="str">
        <f aca="false">IFERROR(INDEX(Medidores!$B:$B,MATCH(B88,Medidores!$A:$A,0)),B88)</f>
        <v>L21</v>
      </c>
      <c r="D88" s="24" t="n">
        <v>7541.8</v>
      </c>
      <c r="E88" s="24"/>
      <c r="F88" s="24"/>
      <c r="G88" s="22" t="s">
        <v>402</v>
      </c>
      <c r="H88" s="22"/>
    </row>
    <row r="89" customFormat="false" ht="15" hidden="false" customHeight="false" outlineLevel="0" collapsed="false">
      <c r="A89" s="21" t="n">
        <v>46219</v>
      </c>
      <c r="B89" s="22" t="s">
        <v>85</v>
      </c>
      <c r="C89" s="22" t="str">
        <f aca="false">IFERROR(INDEX(Medidores!$B:$B,MATCH(B89,Medidores!$A:$A,0)),B89)</f>
        <v>L21</v>
      </c>
      <c r="D89" s="24" t="n">
        <v>7590.4</v>
      </c>
      <c r="E89" s="24"/>
      <c r="F89" s="24"/>
      <c r="G89" s="22" t="s">
        <v>402</v>
      </c>
      <c r="H89" s="22"/>
    </row>
    <row r="90" customFormat="false" ht="15" hidden="false" customHeight="false" outlineLevel="0" collapsed="false">
      <c r="A90" s="21" t="n">
        <v>46220</v>
      </c>
      <c r="B90" s="22" t="s">
        <v>85</v>
      </c>
      <c r="C90" s="22" t="str">
        <f aca="false">IFERROR(INDEX(Medidores!$B:$B,MATCH(B90,Medidores!$A:$A,0)),B90)</f>
        <v>L21</v>
      </c>
      <c r="D90" s="24" t="n">
        <v>7640.1</v>
      </c>
      <c r="E90" s="24"/>
      <c r="F90" s="24"/>
      <c r="G90" s="22" t="s">
        <v>402</v>
      </c>
      <c r="H90" s="22"/>
    </row>
    <row r="91" customFormat="false" ht="15" hidden="false" customHeight="false" outlineLevel="0" collapsed="false">
      <c r="A91" s="21" t="n">
        <v>46224</v>
      </c>
      <c r="B91" s="22" t="s">
        <v>85</v>
      </c>
      <c r="C91" s="22" t="str">
        <f aca="false">IFERROR(INDEX(Medidores!$B:$B,MATCH(B91,Medidores!$A:$A,0)),B91)</f>
        <v>L21</v>
      </c>
      <c r="D91" s="24" t="n">
        <v>7739.8</v>
      </c>
      <c r="E91" s="24"/>
      <c r="F91" s="24"/>
      <c r="G91" s="22" t="s">
        <v>404</v>
      </c>
      <c r="H91" s="22"/>
    </row>
    <row r="92" customFormat="false" ht="15" hidden="false" customHeight="false" outlineLevel="0" collapsed="false">
      <c r="A92" s="21" t="n">
        <v>46225</v>
      </c>
      <c r="B92" s="22" t="s">
        <v>85</v>
      </c>
      <c r="C92" s="22" t="str">
        <f aca="false">IFERROR(INDEX(Medidores!$B:$B,MATCH(B92,Medidores!$A:$A,0)),B92)</f>
        <v>L21</v>
      </c>
      <c r="D92" s="24" t="n">
        <v>7778.8</v>
      </c>
      <c r="E92" s="24"/>
      <c r="F92" s="24"/>
      <c r="G92" s="22" t="s">
        <v>404</v>
      </c>
      <c r="H92" s="22"/>
    </row>
    <row r="93" customFormat="false" ht="15" hidden="false" customHeight="false" outlineLevel="0" collapsed="false">
      <c r="A93" s="21" t="n">
        <v>46226</v>
      </c>
      <c r="B93" s="22" t="s">
        <v>85</v>
      </c>
      <c r="C93" s="22" t="str">
        <f aca="false">IFERROR(INDEX(Medidores!$B:$B,MATCH(B93,Medidores!$A:$A,0)),B93)</f>
        <v>L21</v>
      </c>
      <c r="D93" s="24" t="n">
        <v>7800.6</v>
      </c>
      <c r="E93" s="24"/>
      <c r="F93" s="24"/>
      <c r="G93" s="22" t="s">
        <v>404</v>
      </c>
      <c r="H93" s="22"/>
    </row>
    <row r="94" customFormat="false" ht="15" hidden="false" customHeight="false" outlineLevel="0" collapsed="false">
      <c r="A94" s="21" t="n">
        <v>46227</v>
      </c>
      <c r="B94" s="22" t="s">
        <v>85</v>
      </c>
      <c r="C94" s="22" t="str">
        <f aca="false">IFERROR(INDEX(Medidores!$B:$B,MATCH(B94,Medidores!$A:$A,0)),B94)</f>
        <v>L21</v>
      </c>
      <c r="D94" s="24" t="n">
        <v>7817.7</v>
      </c>
      <c r="E94" s="24"/>
      <c r="F94" s="24"/>
      <c r="G94" s="22" t="s">
        <v>404</v>
      </c>
      <c r="H94" s="22"/>
    </row>
    <row r="95" customFormat="false" ht="15" hidden="false" customHeight="false" outlineLevel="0" collapsed="false">
      <c r="A95" s="21" t="n">
        <v>46230</v>
      </c>
      <c r="B95" s="22" t="s">
        <v>85</v>
      </c>
      <c r="C95" s="22" t="str">
        <f aca="false">IFERROR(INDEX(Medidores!$B:$B,MATCH(B95,Medidores!$A:$A,0)),B95)</f>
        <v>L21</v>
      </c>
      <c r="D95" s="24" t="n">
        <v>7869.3</v>
      </c>
      <c r="E95" s="24"/>
      <c r="F95" s="24"/>
      <c r="G95" s="22" t="s">
        <v>405</v>
      </c>
      <c r="H95" s="22"/>
    </row>
    <row r="96" customFormat="false" ht="15" hidden="false" customHeight="false" outlineLevel="0" collapsed="false">
      <c r="A96" s="21" t="n">
        <v>46231</v>
      </c>
      <c r="B96" s="22" t="s">
        <v>85</v>
      </c>
      <c r="C96" s="22" t="str">
        <f aca="false">IFERROR(INDEX(Medidores!$B:$B,MATCH(B96,Medidores!$A:$A,0)),B96)</f>
        <v>L21</v>
      </c>
      <c r="D96" s="24" t="n">
        <v>7884.8</v>
      </c>
      <c r="E96" s="24"/>
      <c r="F96" s="24"/>
      <c r="G96" s="22" t="s">
        <v>405</v>
      </c>
      <c r="H96" s="22"/>
    </row>
    <row r="97" customFormat="false" ht="15" hidden="false" customHeight="false" outlineLevel="0" collapsed="false">
      <c r="A97" s="21" t="n">
        <v>46232</v>
      </c>
      <c r="B97" s="22" t="s">
        <v>85</v>
      </c>
      <c r="C97" s="22" t="str">
        <f aca="false">IFERROR(INDEX(Medidores!$B:$B,MATCH(B97,Medidores!$A:$A,0)),B97)</f>
        <v>L21</v>
      </c>
      <c r="D97" s="24" t="n">
        <v>7900.3</v>
      </c>
      <c r="E97" s="24"/>
      <c r="F97" s="24"/>
      <c r="G97" s="22" t="s">
        <v>405</v>
      </c>
      <c r="H97" s="22"/>
    </row>
    <row r="98" customFormat="false" ht="15" hidden="false" customHeight="false" outlineLevel="0" collapsed="false">
      <c r="A98" s="21" t="n">
        <v>46233</v>
      </c>
      <c r="B98" s="22" t="s">
        <v>85</v>
      </c>
      <c r="C98" s="22" t="str">
        <f aca="false">IFERROR(INDEX(Medidores!$B:$B,MATCH(B98,Medidores!$A:$A,0)),B98)</f>
        <v>L21</v>
      </c>
      <c r="D98" s="24" t="n">
        <v>7918.83</v>
      </c>
      <c r="E98" s="24"/>
      <c r="F98" s="24"/>
      <c r="G98" s="22" t="s">
        <v>405</v>
      </c>
      <c r="H98" s="22"/>
    </row>
    <row r="99" customFormat="false" ht="15" hidden="false" customHeight="false" outlineLevel="0" collapsed="false">
      <c r="A99" s="21" t="n">
        <v>46237</v>
      </c>
      <c r="B99" s="22" t="s">
        <v>85</v>
      </c>
      <c r="C99" s="22" t="str">
        <f aca="false">IFERROR(INDEX(Medidores!$B:$B,MATCH(B99,Medidores!$A:$A,0)),B99)</f>
        <v>L21</v>
      </c>
      <c r="D99" s="24" t="n">
        <v>7929.2</v>
      </c>
      <c r="E99" s="24"/>
      <c r="F99" s="24"/>
      <c r="G99" s="22" t="s">
        <v>406</v>
      </c>
      <c r="H99" s="22"/>
    </row>
    <row r="100" customFormat="false" ht="15" hidden="false" customHeight="false" outlineLevel="0" collapsed="false">
      <c r="A100" s="21" t="n">
        <v>46238</v>
      </c>
      <c r="B100" s="22" t="s">
        <v>85</v>
      </c>
      <c r="C100" s="22" t="str">
        <f aca="false">IFERROR(INDEX(Medidores!$B:$B,MATCH(B100,Medidores!$A:$A,0)),B100)</f>
        <v>L21</v>
      </c>
      <c r="D100" s="24" t="n">
        <v>7963.4</v>
      </c>
      <c r="E100" s="24"/>
      <c r="F100" s="24"/>
      <c r="G100" s="22" t="s">
        <v>406</v>
      </c>
      <c r="H100" s="22"/>
    </row>
    <row r="101" customFormat="false" ht="15" hidden="false" customHeight="false" outlineLevel="0" collapsed="false">
      <c r="A101" s="21" t="n">
        <v>46239</v>
      </c>
      <c r="B101" s="22" t="s">
        <v>85</v>
      </c>
      <c r="C101" s="22" t="str">
        <f aca="false">IFERROR(INDEX(Medidores!$B:$B,MATCH(B101,Medidores!$A:$A,0)),B101)</f>
        <v>L21</v>
      </c>
      <c r="D101" s="24" t="n">
        <v>7982.1</v>
      </c>
      <c r="E101" s="24"/>
      <c r="F101" s="24"/>
      <c r="G101" s="22" t="s">
        <v>406</v>
      </c>
      <c r="H101" s="22"/>
    </row>
    <row r="102" customFormat="false" ht="15" hidden="false" customHeight="false" outlineLevel="0" collapsed="false">
      <c r="A102" s="21" t="n">
        <v>46240</v>
      </c>
      <c r="B102" s="22" t="s">
        <v>85</v>
      </c>
      <c r="C102" s="22" t="str">
        <f aca="false">IFERROR(INDEX(Medidores!$B:$B,MATCH(B102,Medidores!$A:$A,0)),B102)</f>
        <v>L21</v>
      </c>
      <c r="D102" s="24" t="n">
        <v>8021</v>
      </c>
      <c r="E102" s="24"/>
      <c r="F102" s="24"/>
      <c r="G102" s="22" t="s">
        <v>406</v>
      </c>
      <c r="H102" s="22"/>
    </row>
    <row r="103" customFormat="false" ht="15" hidden="false" customHeight="false" outlineLevel="0" collapsed="false">
      <c r="A103" s="21" t="n">
        <v>46252</v>
      </c>
      <c r="B103" s="22" t="s">
        <v>85</v>
      </c>
      <c r="C103" s="22" t="str">
        <f aca="false">IFERROR(INDEX(Medidores!$B:$B,MATCH(B103,Medidores!$A:$A,0)),B103)</f>
        <v>L21</v>
      </c>
      <c r="D103" s="24" t="n">
        <v>8138</v>
      </c>
      <c r="E103" s="24"/>
      <c r="F103" s="24"/>
      <c r="G103" s="22" t="s">
        <v>407</v>
      </c>
      <c r="H103" s="22"/>
    </row>
    <row r="104" customFormat="false" ht="15" hidden="false" customHeight="false" outlineLevel="0" collapsed="false">
      <c r="A104" s="21" t="n">
        <v>46253</v>
      </c>
      <c r="B104" s="22" t="s">
        <v>85</v>
      </c>
      <c r="C104" s="22" t="str">
        <f aca="false">IFERROR(INDEX(Medidores!$B:$B,MATCH(B104,Medidores!$A:$A,0)),B104)</f>
        <v>L21</v>
      </c>
      <c r="D104" s="24" t="n">
        <v>8264.3</v>
      </c>
      <c r="E104" s="24"/>
      <c r="F104" s="24"/>
      <c r="G104" s="22" t="s">
        <v>407</v>
      </c>
      <c r="H104" s="22"/>
    </row>
    <row r="105" customFormat="false" ht="15" hidden="false" customHeight="false" outlineLevel="0" collapsed="false">
      <c r="A105" s="21" t="n">
        <v>46254</v>
      </c>
      <c r="B105" s="22" t="s">
        <v>85</v>
      </c>
      <c r="C105" s="22" t="str">
        <f aca="false">IFERROR(INDEX(Medidores!$B:$B,MATCH(B105,Medidores!$A:$A,0)),B105)</f>
        <v>L21</v>
      </c>
      <c r="D105" s="24" t="n">
        <v>8306.4</v>
      </c>
      <c r="E105" s="24"/>
      <c r="F105" s="24"/>
      <c r="G105" s="22" t="s">
        <v>407</v>
      </c>
      <c r="H105" s="22"/>
    </row>
    <row r="106" customFormat="false" ht="15" hidden="false" customHeight="false" outlineLevel="0" collapsed="false">
      <c r="A106" s="21" t="n">
        <v>46258</v>
      </c>
      <c r="B106" s="22" t="s">
        <v>85</v>
      </c>
      <c r="C106" s="22" t="str">
        <f aca="false">IFERROR(INDEX(Medidores!$B:$B,MATCH(B106,Medidores!$A:$A,0)),B106)</f>
        <v>L21</v>
      </c>
      <c r="D106" s="24" t="n">
        <v>8460.4</v>
      </c>
      <c r="E106" s="24"/>
      <c r="F106" s="24"/>
      <c r="G106" s="22" t="s">
        <v>408</v>
      </c>
      <c r="H106" s="22"/>
    </row>
    <row r="107" customFormat="false" ht="15" hidden="false" customHeight="false" outlineLevel="0" collapsed="false">
      <c r="A107" s="21" t="n">
        <v>46259</v>
      </c>
      <c r="B107" s="22" t="s">
        <v>85</v>
      </c>
      <c r="C107" s="22" t="str">
        <f aca="false">IFERROR(INDEX(Medidores!$B:$B,MATCH(B107,Medidores!$A:$A,0)),B107)</f>
        <v>L21</v>
      </c>
      <c r="D107" s="24" t="n">
        <v>8478.7</v>
      </c>
      <c r="E107" s="24"/>
      <c r="F107" s="24"/>
      <c r="G107" s="22" t="s">
        <v>408</v>
      </c>
      <c r="H107" s="22"/>
    </row>
    <row r="108" customFormat="false" ht="15" hidden="false" customHeight="false" outlineLevel="0" collapsed="false">
      <c r="A108" s="21" t="n">
        <v>46260</v>
      </c>
      <c r="B108" s="22" t="s">
        <v>85</v>
      </c>
      <c r="C108" s="22" t="str">
        <f aca="false">IFERROR(INDEX(Medidores!$B:$B,MATCH(B108,Medidores!$A:$A,0)),B108)</f>
        <v>L21</v>
      </c>
      <c r="D108" s="24" t="n">
        <v>8521.5</v>
      </c>
      <c r="E108" s="24"/>
      <c r="F108" s="24"/>
      <c r="G108" s="22" t="s">
        <v>408</v>
      </c>
      <c r="H108" s="22"/>
    </row>
    <row r="109" customFormat="false" ht="15" hidden="false" customHeight="false" outlineLevel="0" collapsed="false">
      <c r="A109" s="21" t="n">
        <v>46265</v>
      </c>
      <c r="B109" s="22" t="s">
        <v>85</v>
      </c>
      <c r="C109" s="22" t="str">
        <f aca="false">IFERROR(INDEX(Medidores!$B:$B,MATCH(B109,Medidores!$A:$A,0)),B109)</f>
        <v>L21</v>
      </c>
      <c r="D109" s="24" t="n">
        <v>8618.6</v>
      </c>
      <c r="E109" s="24"/>
      <c r="F109" s="24"/>
      <c r="G109" s="22" t="s">
        <v>409</v>
      </c>
      <c r="H109" s="22"/>
    </row>
    <row r="110" customFormat="false" ht="15" hidden="false" customHeight="false" outlineLevel="0" collapsed="false">
      <c r="A110" s="21" t="n">
        <v>46266</v>
      </c>
      <c r="B110" s="22" t="s">
        <v>85</v>
      </c>
      <c r="C110" s="22" t="str">
        <f aca="false">IFERROR(INDEX(Medidores!$B:$B,MATCH(B110,Medidores!$A:$A,0)),B110)</f>
        <v>L21</v>
      </c>
      <c r="D110" s="24" t="n">
        <v>8618.6</v>
      </c>
      <c r="E110" s="24"/>
      <c r="F110" s="24"/>
      <c r="G110" s="22" t="s">
        <v>409</v>
      </c>
      <c r="H110" s="22"/>
    </row>
    <row r="111" customFormat="false" ht="15" hidden="false" customHeight="false" outlineLevel="0" collapsed="false">
      <c r="A111" s="21" t="n">
        <v>46267</v>
      </c>
      <c r="B111" s="22" t="s">
        <v>85</v>
      </c>
      <c r="C111" s="22" t="str">
        <f aca="false">IFERROR(INDEX(Medidores!$B:$B,MATCH(B111,Medidores!$A:$A,0)),B111)</f>
        <v>L21</v>
      </c>
      <c r="D111" s="24" t="n">
        <v>8689.3</v>
      </c>
      <c r="E111" s="24"/>
      <c r="F111" s="24"/>
      <c r="G111" s="22" t="s">
        <v>409</v>
      </c>
      <c r="H111" s="22"/>
    </row>
    <row r="112" customFormat="false" ht="15" hidden="false" customHeight="false" outlineLevel="0" collapsed="false">
      <c r="A112" s="21" t="n">
        <v>46268</v>
      </c>
      <c r="B112" s="22" t="s">
        <v>85</v>
      </c>
      <c r="C112" s="22" t="str">
        <f aca="false">IFERROR(INDEX(Medidores!$B:$B,MATCH(B112,Medidores!$A:$A,0)),B112)</f>
        <v>L21</v>
      </c>
      <c r="D112" s="24" t="n">
        <v>8739.9</v>
      </c>
      <c r="E112" s="24"/>
      <c r="F112" s="24"/>
      <c r="G112" s="22" t="s">
        <v>409</v>
      </c>
      <c r="H112" s="22"/>
    </row>
    <row r="113" customFormat="false" ht="15" hidden="false" customHeight="false" outlineLevel="0" collapsed="false">
      <c r="A113" s="21" t="n">
        <v>46269</v>
      </c>
      <c r="B113" s="22" t="s">
        <v>85</v>
      </c>
      <c r="C113" s="22" t="str">
        <f aca="false">IFERROR(INDEX(Medidores!$B:$B,MATCH(B113,Medidores!$A:$A,0)),B113)</f>
        <v>L21</v>
      </c>
      <c r="D113" s="24" t="n">
        <v>8783.3</v>
      </c>
      <c r="E113" s="24"/>
      <c r="F113" s="24"/>
      <c r="G113" s="22" t="s">
        <v>409</v>
      </c>
      <c r="H113" s="22"/>
    </row>
    <row r="114" customFormat="false" ht="15" hidden="false" customHeight="false" outlineLevel="0" collapsed="false">
      <c r="A114" s="21" t="n">
        <v>46272</v>
      </c>
      <c r="B114" s="22" t="s">
        <v>85</v>
      </c>
      <c r="C114" s="22" t="str">
        <f aca="false">IFERROR(INDEX(Medidores!$B:$B,MATCH(B114,Medidores!$A:$A,0)),B114)</f>
        <v>L21</v>
      </c>
      <c r="D114" s="24" t="n">
        <v>8853.3</v>
      </c>
      <c r="E114" s="24"/>
      <c r="F114" s="24"/>
      <c r="G114" s="22" t="s">
        <v>410</v>
      </c>
      <c r="H114" s="22"/>
    </row>
    <row r="115" customFormat="false" ht="15" hidden="false" customHeight="false" outlineLevel="0" collapsed="false">
      <c r="A115" s="21" t="n">
        <v>46273</v>
      </c>
      <c r="B115" s="22" t="s">
        <v>85</v>
      </c>
      <c r="C115" s="22" t="str">
        <f aca="false">IFERROR(INDEX(Medidores!$B:$B,MATCH(B115,Medidores!$A:$A,0)),B115)</f>
        <v>L21</v>
      </c>
      <c r="D115" s="24" t="n">
        <v>8907.8</v>
      </c>
      <c r="E115" s="24"/>
      <c r="F115" s="24"/>
      <c r="G115" s="22" t="s">
        <v>410</v>
      </c>
      <c r="H115" s="22"/>
    </row>
    <row r="116" customFormat="false" ht="15" hidden="false" customHeight="false" outlineLevel="0" collapsed="false">
      <c r="A116" s="21" t="n">
        <v>46274</v>
      </c>
      <c r="B116" s="22" t="s">
        <v>85</v>
      </c>
      <c r="C116" s="22" t="str">
        <f aca="false">IFERROR(INDEX(Medidores!$B:$B,MATCH(B116,Medidores!$A:$A,0)),B116)</f>
        <v>L21</v>
      </c>
      <c r="D116" s="24" t="n">
        <v>8968</v>
      </c>
      <c r="E116" s="24"/>
      <c r="F116" s="24"/>
      <c r="G116" s="22" t="s">
        <v>410</v>
      </c>
      <c r="H116" s="22"/>
    </row>
    <row r="117" customFormat="false" ht="15" hidden="false" customHeight="false" outlineLevel="0" collapsed="false">
      <c r="A117" s="21" t="n">
        <v>46275</v>
      </c>
      <c r="B117" s="22" t="s">
        <v>85</v>
      </c>
      <c r="C117" s="22" t="str">
        <f aca="false">IFERROR(INDEX(Medidores!$B:$B,MATCH(B117,Medidores!$A:$A,0)),B117)</f>
        <v>L21</v>
      </c>
      <c r="D117" s="24" t="n">
        <v>9027.5</v>
      </c>
      <c r="E117" s="24"/>
      <c r="F117" s="24"/>
      <c r="G117" s="22" t="s">
        <v>410</v>
      </c>
      <c r="H117" s="22"/>
    </row>
    <row r="118" customFormat="false" ht="15" hidden="false" customHeight="false" outlineLevel="0" collapsed="false">
      <c r="A118" s="21" t="n">
        <v>46276</v>
      </c>
      <c r="B118" s="22" t="s">
        <v>85</v>
      </c>
      <c r="C118" s="22" t="str">
        <f aca="false">IFERROR(INDEX(Medidores!$B:$B,MATCH(B118,Medidores!$A:$A,0)),B118)</f>
        <v>L21</v>
      </c>
      <c r="D118" s="24" t="n">
        <v>9086.2</v>
      </c>
      <c r="E118" s="24"/>
      <c r="F118" s="24"/>
      <c r="G118" s="22" t="s">
        <v>410</v>
      </c>
      <c r="H118" s="22"/>
    </row>
    <row r="119" customFormat="false" ht="15" hidden="false" customHeight="false" outlineLevel="0" collapsed="false">
      <c r="A119" s="21" t="n">
        <v>46286</v>
      </c>
      <c r="B119" s="22" t="s">
        <v>85</v>
      </c>
      <c r="C119" s="22" t="str">
        <f aca="false">IFERROR(INDEX(Medidores!$B:$B,MATCH(B119,Medidores!$A:$A,0)),B119)</f>
        <v>L21</v>
      </c>
      <c r="D119" s="24" t="n">
        <v>9268.8</v>
      </c>
      <c r="E119" s="24"/>
      <c r="F119" s="24"/>
      <c r="G119" s="22" t="s">
        <v>411</v>
      </c>
      <c r="H119" s="22"/>
    </row>
    <row r="120" customFormat="false" ht="15" hidden="false" customHeight="false" outlineLevel="0" collapsed="false">
      <c r="A120" s="21" t="n">
        <v>46287</v>
      </c>
      <c r="B120" s="22" t="s">
        <v>85</v>
      </c>
      <c r="C120" s="22" t="str">
        <f aca="false">IFERROR(INDEX(Medidores!$B:$B,MATCH(B120,Medidores!$A:$A,0)),B120)</f>
        <v>L21</v>
      </c>
      <c r="D120" s="24" t="n">
        <v>9309.5</v>
      </c>
      <c r="E120" s="24"/>
      <c r="F120" s="24"/>
      <c r="G120" s="22" t="s">
        <v>411</v>
      </c>
      <c r="H120" s="22"/>
    </row>
    <row r="121" customFormat="false" ht="15" hidden="false" customHeight="false" outlineLevel="0" collapsed="false">
      <c r="A121" s="21" t="n">
        <v>46288</v>
      </c>
      <c r="B121" s="22" t="s">
        <v>85</v>
      </c>
      <c r="C121" s="22" t="str">
        <f aca="false">IFERROR(INDEX(Medidores!$B:$B,MATCH(B121,Medidores!$A:$A,0)),B121)</f>
        <v>L21</v>
      </c>
      <c r="D121" s="24" t="n">
        <v>9358.1</v>
      </c>
      <c r="E121" s="24"/>
      <c r="F121" s="24"/>
      <c r="G121" s="22" t="s">
        <v>411</v>
      </c>
      <c r="H121" s="22"/>
    </row>
    <row r="122" customFormat="false" ht="15" hidden="false" customHeight="false" outlineLevel="0" collapsed="false">
      <c r="A122" s="21" t="n">
        <v>46290</v>
      </c>
      <c r="B122" s="22" t="s">
        <v>85</v>
      </c>
      <c r="C122" s="22" t="str">
        <f aca="false">IFERROR(INDEX(Medidores!$B:$B,MATCH(B122,Medidores!$A:$A,0)),B122)</f>
        <v>L21</v>
      </c>
      <c r="D122" s="24" t="n">
        <v>9446</v>
      </c>
      <c r="E122" s="24"/>
      <c r="F122" s="24"/>
      <c r="G122" s="22" t="s">
        <v>411</v>
      </c>
      <c r="H122" s="22"/>
    </row>
    <row r="123" customFormat="false" ht="15" hidden="false" customHeight="false" outlineLevel="0" collapsed="false">
      <c r="A123" s="21" t="n">
        <v>46296</v>
      </c>
      <c r="B123" s="22" t="s">
        <v>85</v>
      </c>
      <c r="C123" s="22" t="str">
        <f aca="false">IFERROR(INDEX(Medidores!$B:$B,MATCH(B123,Medidores!$A:$A,0)),B123)</f>
        <v>L21</v>
      </c>
      <c r="D123" s="24" t="n">
        <v>9659.607</v>
      </c>
      <c r="E123" s="24" t="n">
        <v>3536.483</v>
      </c>
      <c r="F123" s="24" t="n">
        <v>10709.07</v>
      </c>
      <c r="G123" s="22" t="s">
        <v>412</v>
      </c>
      <c r="H123" s="22"/>
    </row>
    <row r="124" customFormat="false" ht="15" hidden="false" customHeight="false" outlineLevel="0" collapsed="false">
      <c r="A124" s="21" t="n">
        <v>46300</v>
      </c>
      <c r="B124" s="22" t="s">
        <v>85</v>
      </c>
      <c r="C124" s="22" t="str">
        <f aca="false">IFERROR(INDEX(Medidores!$B:$B,MATCH(B124,Medidores!$A:$A,0)),B124)</f>
        <v>L21</v>
      </c>
      <c r="D124" s="24" t="n">
        <v>9794.086</v>
      </c>
      <c r="E124" s="24" t="n">
        <v>3588.256</v>
      </c>
      <c r="F124" s="24" t="n">
        <v>10857.296</v>
      </c>
      <c r="G124" s="22" t="s">
        <v>413</v>
      </c>
      <c r="H124" s="22"/>
    </row>
    <row r="125" customFormat="false" ht="15" hidden="false" customHeight="false" outlineLevel="0" collapsed="false">
      <c r="A125" s="21" t="n">
        <v>46301</v>
      </c>
      <c r="B125" s="22" t="s">
        <v>85</v>
      </c>
      <c r="C125" s="22" t="str">
        <f aca="false">IFERROR(INDEX(Medidores!$B:$B,MATCH(B125,Medidores!$A:$A,0)),B125)</f>
        <v>L21</v>
      </c>
      <c r="D125" s="24" t="n">
        <v>9835.998</v>
      </c>
      <c r="E125" s="24" t="n">
        <v>3607.011</v>
      </c>
      <c r="F125" s="24" t="n">
        <v>10904.543</v>
      </c>
      <c r="G125" s="22" t="s">
        <v>413</v>
      </c>
      <c r="H125" s="22"/>
    </row>
    <row r="126" customFormat="false" ht="15" hidden="false" customHeight="false" outlineLevel="0" collapsed="false">
      <c r="A126" s="21" t="n">
        <v>46302</v>
      </c>
      <c r="B126" s="22" t="s">
        <v>85</v>
      </c>
      <c r="C126" s="22" t="str">
        <f aca="false">IFERROR(INDEX(Medidores!$B:$B,MATCH(B126,Medidores!$A:$A,0)),B126)</f>
        <v>L21</v>
      </c>
      <c r="D126" s="24" t="n">
        <v>9877.726</v>
      </c>
      <c r="E126" s="24" t="n">
        <v>3623.815</v>
      </c>
      <c r="F126" s="24" t="n">
        <v>10951.352</v>
      </c>
      <c r="G126" s="22" t="s">
        <v>413</v>
      </c>
      <c r="H126" s="22"/>
    </row>
    <row r="127" customFormat="false" ht="15" hidden="false" customHeight="false" outlineLevel="0" collapsed="false">
      <c r="A127" s="21" t="n">
        <v>46217</v>
      </c>
      <c r="B127" s="22" t="s">
        <v>87</v>
      </c>
      <c r="C127" s="22" t="str">
        <f aca="false">IFERROR(INDEX(Medidores!$B:$B,MATCH(B127,Medidores!$A:$A,0)),B127)</f>
        <v>L14</v>
      </c>
      <c r="D127" s="24" t="n">
        <v>7840.2</v>
      </c>
      <c r="E127" s="24"/>
      <c r="F127" s="24"/>
      <c r="G127" s="22" t="s">
        <v>402</v>
      </c>
      <c r="H127" s="22"/>
    </row>
    <row r="128" customFormat="false" ht="15" hidden="false" customHeight="false" outlineLevel="0" collapsed="false">
      <c r="A128" s="21" t="n">
        <v>46218</v>
      </c>
      <c r="B128" s="22" t="s">
        <v>87</v>
      </c>
      <c r="C128" s="22" t="str">
        <f aca="false">IFERROR(INDEX(Medidores!$B:$B,MATCH(B128,Medidores!$A:$A,0)),B128)</f>
        <v>L14</v>
      </c>
      <c r="D128" s="24" t="n">
        <v>7874.1</v>
      </c>
      <c r="E128" s="24"/>
      <c r="F128" s="24"/>
      <c r="G128" s="22" t="s">
        <v>402</v>
      </c>
      <c r="H128" s="22"/>
    </row>
    <row r="129" customFormat="false" ht="15" hidden="false" customHeight="false" outlineLevel="0" collapsed="false">
      <c r="A129" s="21" t="n">
        <v>46219</v>
      </c>
      <c r="B129" s="22" t="s">
        <v>87</v>
      </c>
      <c r="C129" s="22" t="str">
        <f aca="false">IFERROR(INDEX(Medidores!$B:$B,MATCH(B129,Medidores!$A:$A,0)),B129)</f>
        <v>L14</v>
      </c>
      <c r="D129" s="24" t="n">
        <v>7921.9</v>
      </c>
      <c r="E129" s="24"/>
      <c r="F129" s="24"/>
      <c r="G129" s="22" t="s">
        <v>402</v>
      </c>
      <c r="H129" s="22"/>
    </row>
    <row r="130" customFormat="false" ht="15" hidden="false" customHeight="false" outlineLevel="0" collapsed="false">
      <c r="A130" s="21" t="n">
        <v>46220</v>
      </c>
      <c r="B130" s="22" t="s">
        <v>87</v>
      </c>
      <c r="C130" s="22" t="str">
        <f aca="false">IFERROR(INDEX(Medidores!$B:$B,MATCH(B130,Medidores!$A:$A,0)),B130)</f>
        <v>L14</v>
      </c>
      <c r="D130" s="24" t="n">
        <v>7983.4</v>
      </c>
      <c r="E130" s="24"/>
      <c r="F130" s="24"/>
      <c r="G130" s="22" t="s">
        <v>402</v>
      </c>
      <c r="H130" s="22"/>
    </row>
    <row r="131" customFormat="false" ht="15" hidden="false" customHeight="false" outlineLevel="0" collapsed="false">
      <c r="A131" s="21" t="n">
        <v>46224</v>
      </c>
      <c r="B131" s="22" t="s">
        <v>87</v>
      </c>
      <c r="C131" s="22" t="str">
        <f aca="false">IFERROR(INDEX(Medidores!$B:$B,MATCH(B131,Medidores!$A:$A,0)),B131)</f>
        <v>L14</v>
      </c>
      <c r="D131" s="24" t="n">
        <v>8078.5</v>
      </c>
      <c r="E131" s="24"/>
      <c r="F131" s="24"/>
      <c r="G131" s="22" t="s">
        <v>404</v>
      </c>
      <c r="H131" s="22"/>
    </row>
    <row r="132" customFormat="false" ht="15" hidden="false" customHeight="false" outlineLevel="0" collapsed="false">
      <c r="A132" s="21" t="n">
        <v>46225</v>
      </c>
      <c r="B132" s="22" t="s">
        <v>87</v>
      </c>
      <c r="C132" s="22" t="str">
        <f aca="false">IFERROR(INDEX(Medidores!$B:$B,MATCH(B132,Medidores!$A:$A,0)),B132)</f>
        <v>L14</v>
      </c>
      <c r="D132" s="24" t="n">
        <v>8133.6</v>
      </c>
      <c r="E132" s="24"/>
      <c r="F132" s="24"/>
      <c r="G132" s="22" t="s">
        <v>404</v>
      </c>
      <c r="H132" s="22"/>
    </row>
    <row r="133" customFormat="false" ht="15" hidden="false" customHeight="false" outlineLevel="0" collapsed="false">
      <c r="A133" s="21" t="n">
        <v>46226</v>
      </c>
      <c r="B133" s="22" t="s">
        <v>87</v>
      </c>
      <c r="C133" s="22" t="str">
        <f aca="false">IFERROR(INDEX(Medidores!$B:$B,MATCH(B133,Medidores!$A:$A,0)),B133)</f>
        <v>L14</v>
      </c>
      <c r="D133" s="24" t="n">
        <v>8194.1</v>
      </c>
      <c r="E133" s="24"/>
      <c r="F133" s="24"/>
      <c r="G133" s="22" t="s">
        <v>404</v>
      </c>
      <c r="H133" s="22"/>
    </row>
    <row r="134" customFormat="false" ht="15" hidden="false" customHeight="false" outlineLevel="0" collapsed="false">
      <c r="A134" s="21" t="n">
        <v>46227</v>
      </c>
      <c r="B134" s="22" t="s">
        <v>87</v>
      </c>
      <c r="C134" s="22" t="str">
        <f aca="false">IFERROR(INDEX(Medidores!$B:$B,MATCH(B134,Medidores!$A:$A,0)),B134)</f>
        <v>L14</v>
      </c>
      <c r="D134" s="24" t="n">
        <v>8255.7</v>
      </c>
      <c r="E134" s="24"/>
      <c r="F134" s="24"/>
      <c r="G134" s="22" t="s">
        <v>404</v>
      </c>
      <c r="H134" s="22"/>
    </row>
    <row r="135" customFormat="false" ht="15" hidden="false" customHeight="false" outlineLevel="0" collapsed="false">
      <c r="A135" s="21" t="n">
        <v>46230</v>
      </c>
      <c r="B135" s="22" t="s">
        <v>87</v>
      </c>
      <c r="C135" s="22" t="str">
        <f aca="false">IFERROR(INDEX(Medidores!$B:$B,MATCH(B135,Medidores!$A:$A,0)),B135)</f>
        <v>L14</v>
      </c>
      <c r="D135" s="24" t="n">
        <v>8358.7</v>
      </c>
      <c r="E135" s="24"/>
      <c r="F135" s="24"/>
      <c r="G135" s="22" t="s">
        <v>405</v>
      </c>
      <c r="H135" s="22"/>
    </row>
    <row r="136" customFormat="false" ht="15" hidden="false" customHeight="false" outlineLevel="0" collapsed="false">
      <c r="A136" s="21" t="n">
        <v>46231</v>
      </c>
      <c r="B136" s="22" t="s">
        <v>87</v>
      </c>
      <c r="C136" s="22" t="str">
        <f aca="false">IFERROR(INDEX(Medidores!$B:$B,MATCH(B136,Medidores!$A:$A,0)),B136)</f>
        <v>L14</v>
      </c>
      <c r="D136" s="24" t="n">
        <v>8415.3</v>
      </c>
      <c r="E136" s="24"/>
      <c r="F136" s="24"/>
      <c r="G136" s="22" t="s">
        <v>405</v>
      </c>
      <c r="H136" s="22"/>
    </row>
    <row r="137" customFormat="false" ht="15" hidden="false" customHeight="false" outlineLevel="0" collapsed="false">
      <c r="A137" s="21" t="n">
        <v>46232</v>
      </c>
      <c r="B137" s="22" t="s">
        <v>87</v>
      </c>
      <c r="C137" s="22" t="str">
        <f aca="false">IFERROR(INDEX(Medidores!$B:$B,MATCH(B137,Medidores!$A:$A,0)),B137)</f>
        <v>L14</v>
      </c>
      <c r="D137" s="24" t="n">
        <v>8465.2</v>
      </c>
      <c r="E137" s="24"/>
      <c r="F137" s="24"/>
      <c r="G137" s="22" t="s">
        <v>405</v>
      </c>
      <c r="H137" s="22"/>
    </row>
    <row r="138" customFormat="false" ht="15" hidden="false" customHeight="false" outlineLevel="0" collapsed="false">
      <c r="A138" s="21" t="n">
        <v>46233</v>
      </c>
      <c r="B138" s="22" t="s">
        <v>87</v>
      </c>
      <c r="C138" s="22" t="str">
        <f aca="false">IFERROR(INDEX(Medidores!$B:$B,MATCH(B138,Medidores!$A:$A,0)),B138)</f>
        <v>L14</v>
      </c>
      <c r="D138" s="24" t="n">
        <v>8487.9</v>
      </c>
      <c r="E138" s="24"/>
      <c r="F138" s="24"/>
      <c r="G138" s="22" t="s">
        <v>405</v>
      </c>
      <c r="H138" s="22"/>
    </row>
    <row r="139" customFormat="false" ht="15" hidden="false" customHeight="false" outlineLevel="0" collapsed="false">
      <c r="A139" s="21" t="n">
        <v>46234</v>
      </c>
      <c r="B139" s="22" t="s">
        <v>87</v>
      </c>
      <c r="C139" s="22" t="str">
        <f aca="false">IFERROR(INDEX(Medidores!$B:$B,MATCH(B139,Medidores!$A:$A,0)),B139)</f>
        <v>L14</v>
      </c>
      <c r="D139" s="24" t="n">
        <v>8500.5</v>
      </c>
      <c r="E139" s="24"/>
      <c r="F139" s="24"/>
      <c r="G139" s="22" t="s">
        <v>405</v>
      </c>
      <c r="H139" s="22"/>
    </row>
    <row r="140" customFormat="false" ht="15" hidden="false" customHeight="false" outlineLevel="0" collapsed="false">
      <c r="A140" s="21" t="n">
        <v>46237</v>
      </c>
      <c r="B140" s="22" t="s">
        <v>87</v>
      </c>
      <c r="C140" s="22" t="str">
        <f aca="false">IFERROR(INDEX(Medidores!$B:$B,MATCH(B140,Medidores!$A:$A,0)),B140)</f>
        <v>L14</v>
      </c>
      <c r="D140" s="24" t="n">
        <v>8538.5</v>
      </c>
      <c r="E140" s="24"/>
      <c r="F140" s="24"/>
      <c r="G140" s="22" t="s">
        <v>406</v>
      </c>
      <c r="H140" s="22"/>
    </row>
    <row r="141" customFormat="false" ht="15" hidden="false" customHeight="false" outlineLevel="0" collapsed="false">
      <c r="A141" s="21" t="n">
        <v>46238</v>
      </c>
      <c r="B141" s="22" t="s">
        <v>87</v>
      </c>
      <c r="C141" s="22" t="str">
        <f aca="false">IFERROR(INDEX(Medidores!$B:$B,MATCH(B141,Medidores!$A:$A,0)),B141)</f>
        <v>L14</v>
      </c>
      <c r="D141" s="24" t="n">
        <v>8541.5</v>
      </c>
      <c r="E141" s="24"/>
      <c r="F141" s="24"/>
      <c r="G141" s="22" t="s">
        <v>406</v>
      </c>
      <c r="H141" s="22"/>
    </row>
    <row r="142" customFormat="false" ht="15" hidden="false" customHeight="false" outlineLevel="0" collapsed="false">
      <c r="A142" s="21" t="n">
        <v>46239</v>
      </c>
      <c r="B142" s="22" t="s">
        <v>87</v>
      </c>
      <c r="C142" s="22" t="str">
        <f aca="false">IFERROR(INDEX(Medidores!$B:$B,MATCH(B142,Medidores!$A:$A,0)),B142)</f>
        <v>L14</v>
      </c>
      <c r="D142" s="24" t="n">
        <v>8544.5</v>
      </c>
      <c r="E142" s="24"/>
      <c r="F142" s="24"/>
      <c r="G142" s="22" t="s">
        <v>406</v>
      </c>
      <c r="H142" s="22"/>
    </row>
    <row r="143" customFormat="false" ht="15" hidden="false" customHeight="false" outlineLevel="0" collapsed="false">
      <c r="A143" s="21" t="n">
        <v>46240</v>
      </c>
      <c r="B143" s="22" t="s">
        <v>87</v>
      </c>
      <c r="C143" s="22" t="str">
        <f aca="false">IFERROR(INDEX(Medidores!$B:$B,MATCH(B143,Medidores!$A:$A,0)),B143)</f>
        <v>L14</v>
      </c>
      <c r="D143" s="24" t="n">
        <v>8548.5</v>
      </c>
      <c r="E143" s="24"/>
      <c r="F143" s="24"/>
      <c r="G143" s="22" t="s">
        <v>406</v>
      </c>
      <c r="H143" s="22"/>
    </row>
    <row r="144" customFormat="false" ht="15" hidden="false" customHeight="false" outlineLevel="0" collapsed="false">
      <c r="A144" s="21" t="n">
        <v>46252</v>
      </c>
      <c r="B144" s="22" t="s">
        <v>87</v>
      </c>
      <c r="C144" s="22" t="str">
        <f aca="false">IFERROR(INDEX(Medidores!$B:$B,MATCH(B144,Medidores!$A:$A,0)),B144)</f>
        <v>L14</v>
      </c>
      <c r="D144" s="24" t="n">
        <v>8600.5</v>
      </c>
      <c r="E144" s="24"/>
      <c r="F144" s="24"/>
      <c r="G144" s="22" t="s">
        <v>407</v>
      </c>
      <c r="H144" s="22"/>
    </row>
    <row r="145" customFormat="false" ht="15" hidden="false" customHeight="false" outlineLevel="0" collapsed="false">
      <c r="A145" s="21" t="n">
        <v>46253</v>
      </c>
      <c r="B145" s="22" t="s">
        <v>87</v>
      </c>
      <c r="C145" s="22" t="str">
        <f aca="false">IFERROR(INDEX(Medidores!$B:$B,MATCH(B145,Medidores!$A:$A,0)),B145)</f>
        <v>L14</v>
      </c>
      <c r="D145" s="24" t="n">
        <v>8623.4</v>
      </c>
      <c r="E145" s="24"/>
      <c r="F145" s="24"/>
      <c r="G145" s="22" t="s">
        <v>407</v>
      </c>
      <c r="H145" s="22"/>
    </row>
    <row r="146" customFormat="false" ht="15" hidden="false" customHeight="false" outlineLevel="0" collapsed="false">
      <c r="A146" s="21" t="n">
        <v>46258</v>
      </c>
      <c r="B146" s="22" t="s">
        <v>87</v>
      </c>
      <c r="C146" s="22" t="str">
        <f aca="false">IFERROR(INDEX(Medidores!$B:$B,MATCH(B146,Medidores!$A:$A,0)),B146)</f>
        <v>L14</v>
      </c>
      <c r="D146" s="24" t="n">
        <v>8659.7</v>
      </c>
      <c r="E146" s="24"/>
      <c r="F146" s="24"/>
      <c r="G146" s="22" t="s">
        <v>408</v>
      </c>
      <c r="H146" s="22"/>
    </row>
    <row r="147" customFormat="false" ht="15" hidden="false" customHeight="false" outlineLevel="0" collapsed="false">
      <c r="A147" s="21" t="n">
        <v>46259</v>
      </c>
      <c r="B147" s="22" t="s">
        <v>87</v>
      </c>
      <c r="C147" s="22" t="str">
        <f aca="false">IFERROR(INDEX(Medidores!$B:$B,MATCH(B147,Medidores!$A:$A,0)),B147)</f>
        <v>L14</v>
      </c>
      <c r="D147" s="24" t="n">
        <v>8688.1</v>
      </c>
      <c r="E147" s="24"/>
      <c r="F147" s="24"/>
      <c r="G147" s="22" t="s">
        <v>408</v>
      </c>
      <c r="H147" s="22"/>
    </row>
    <row r="148" customFormat="false" ht="15" hidden="false" customHeight="false" outlineLevel="0" collapsed="false">
      <c r="A148" s="21" t="n">
        <v>46260</v>
      </c>
      <c r="B148" s="22" t="s">
        <v>87</v>
      </c>
      <c r="C148" s="22" t="str">
        <f aca="false">IFERROR(INDEX(Medidores!$B:$B,MATCH(B148,Medidores!$A:$A,0)),B148)</f>
        <v>L14</v>
      </c>
      <c r="D148" s="24" t="n">
        <v>8738.9</v>
      </c>
      <c r="E148" s="24"/>
      <c r="F148" s="24"/>
      <c r="G148" s="22" t="s">
        <v>408</v>
      </c>
      <c r="H148" s="22"/>
    </row>
    <row r="149" customFormat="false" ht="15" hidden="false" customHeight="false" outlineLevel="0" collapsed="false">
      <c r="A149" s="21" t="n">
        <v>46261</v>
      </c>
      <c r="B149" s="22" t="s">
        <v>87</v>
      </c>
      <c r="C149" s="22" t="str">
        <f aca="false">IFERROR(INDEX(Medidores!$B:$B,MATCH(B149,Medidores!$A:$A,0)),B149)</f>
        <v>L14</v>
      </c>
      <c r="D149" s="24" t="n">
        <v>8793.5</v>
      </c>
      <c r="E149" s="24"/>
      <c r="F149" s="24"/>
      <c r="G149" s="22" t="s">
        <v>408</v>
      </c>
      <c r="H149" s="22"/>
    </row>
    <row r="150" customFormat="false" ht="15" hidden="false" customHeight="false" outlineLevel="0" collapsed="false">
      <c r="A150" s="21" t="n">
        <v>46262</v>
      </c>
      <c r="B150" s="22" t="s">
        <v>87</v>
      </c>
      <c r="C150" s="22" t="str">
        <f aca="false">IFERROR(INDEX(Medidores!$B:$B,MATCH(B150,Medidores!$A:$A,0)),B150)</f>
        <v>L14</v>
      </c>
      <c r="D150" s="24" t="n">
        <v>8849.3</v>
      </c>
      <c r="E150" s="24"/>
      <c r="F150" s="24"/>
      <c r="G150" s="22" t="s">
        <v>408</v>
      </c>
      <c r="H150" s="22"/>
    </row>
    <row r="151" customFormat="false" ht="15" hidden="false" customHeight="false" outlineLevel="0" collapsed="false">
      <c r="A151" s="21" t="n">
        <v>46265</v>
      </c>
      <c r="B151" s="22" t="s">
        <v>87</v>
      </c>
      <c r="C151" s="22" t="str">
        <f aca="false">IFERROR(INDEX(Medidores!$B:$B,MATCH(B151,Medidores!$A:$A,0)),B151)</f>
        <v>L14</v>
      </c>
      <c r="D151" s="24" t="n">
        <v>8950.4</v>
      </c>
      <c r="E151" s="24"/>
      <c r="F151" s="24"/>
      <c r="G151" s="22" t="s">
        <v>409</v>
      </c>
      <c r="H151" s="22"/>
    </row>
    <row r="152" customFormat="false" ht="15" hidden="false" customHeight="false" outlineLevel="0" collapsed="false">
      <c r="A152" s="21" t="n">
        <v>46266</v>
      </c>
      <c r="B152" s="22" t="s">
        <v>87</v>
      </c>
      <c r="C152" s="22" t="str">
        <f aca="false">IFERROR(INDEX(Medidores!$B:$B,MATCH(B152,Medidores!$A:$A,0)),B152)</f>
        <v>L14</v>
      </c>
      <c r="D152" s="24" t="n">
        <v>8953.5</v>
      </c>
      <c r="E152" s="24"/>
      <c r="F152" s="24"/>
      <c r="G152" s="22" t="s">
        <v>409</v>
      </c>
      <c r="H152" s="22"/>
    </row>
    <row r="153" customFormat="false" ht="15" hidden="false" customHeight="false" outlineLevel="0" collapsed="false">
      <c r="A153" s="21" t="n">
        <v>46267</v>
      </c>
      <c r="B153" s="22" t="s">
        <v>87</v>
      </c>
      <c r="C153" s="22" t="str">
        <f aca="false">IFERROR(INDEX(Medidores!$B:$B,MATCH(B153,Medidores!$A:$A,0)),B153)</f>
        <v>L14</v>
      </c>
      <c r="D153" s="24" t="n">
        <v>9011.3</v>
      </c>
      <c r="E153" s="24"/>
      <c r="F153" s="24"/>
      <c r="G153" s="22" t="s">
        <v>409</v>
      </c>
      <c r="H153" s="22"/>
    </row>
    <row r="154" customFormat="false" ht="15" hidden="false" customHeight="false" outlineLevel="0" collapsed="false">
      <c r="A154" s="21" t="n">
        <v>46268</v>
      </c>
      <c r="B154" s="22" t="s">
        <v>87</v>
      </c>
      <c r="C154" s="22" t="str">
        <f aca="false">IFERROR(INDEX(Medidores!$B:$B,MATCH(B154,Medidores!$A:$A,0)),B154)</f>
        <v>L14</v>
      </c>
      <c r="D154" s="24" t="n">
        <v>9068.9</v>
      </c>
      <c r="E154" s="24"/>
      <c r="F154" s="24"/>
      <c r="G154" s="22" t="s">
        <v>409</v>
      </c>
      <c r="H154" s="22"/>
    </row>
    <row r="155" customFormat="false" ht="15" hidden="false" customHeight="false" outlineLevel="0" collapsed="false">
      <c r="A155" s="21" t="n">
        <v>46269</v>
      </c>
      <c r="B155" s="22" t="s">
        <v>87</v>
      </c>
      <c r="C155" s="22" t="str">
        <f aca="false">IFERROR(INDEX(Medidores!$B:$B,MATCH(B155,Medidores!$A:$A,0)),B155)</f>
        <v>L14</v>
      </c>
      <c r="D155" s="24" t="n">
        <v>9126.2</v>
      </c>
      <c r="E155" s="24"/>
      <c r="F155" s="24"/>
      <c r="G155" s="22" t="s">
        <v>409</v>
      </c>
      <c r="H155" s="22"/>
    </row>
    <row r="156" customFormat="false" ht="15" hidden="false" customHeight="false" outlineLevel="0" collapsed="false">
      <c r="A156" s="21" t="n">
        <v>46272</v>
      </c>
      <c r="B156" s="22" t="s">
        <v>87</v>
      </c>
      <c r="C156" s="22" t="str">
        <f aca="false">IFERROR(INDEX(Medidores!$B:$B,MATCH(B156,Medidores!$A:$A,0)),B156)</f>
        <v>L14</v>
      </c>
      <c r="D156" s="24" t="n">
        <v>9180.7</v>
      </c>
      <c r="E156" s="24"/>
      <c r="F156" s="24"/>
      <c r="G156" s="22" t="s">
        <v>410</v>
      </c>
      <c r="H156" s="22"/>
    </row>
    <row r="157" customFormat="false" ht="15" hidden="false" customHeight="false" outlineLevel="0" collapsed="false">
      <c r="A157" s="21" t="n">
        <v>46273</v>
      </c>
      <c r="B157" s="22" t="s">
        <v>87</v>
      </c>
      <c r="C157" s="22" t="str">
        <f aca="false">IFERROR(INDEX(Medidores!$B:$B,MATCH(B157,Medidores!$A:$A,0)),B157)</f>
        <v>L14</v>
      </c>
      <c r="D157" s="24" t="n">
        <v>9241.9</v>
      </c>
      <c r="E157" s="24"/>
      <c r="F157" s="24"/>
      <c r="G157" s="22" t="s">
        <v>410</v>
      </c>
      <c r="H157" s="22"/>
    </row>
    <row r="158" customFormat="false" ht="15" hidden="false" customHeight="false" outlineLevel="0" collapsed="false">
      <c r="A158" s="21" t="n">
        <v>46274</v>
      </c>
      <c r="B158" s="22" t="s">
        <v>87</v>
      </c>
      <c r="C158" s="22" t="str">
        <f aca="false">IFERROR(INDEX(Medidores!$B:$B,MATCH(B158,Medidores!$A:$A,0)),B158)</f>
        <v>L14</v>
      </c>
      <c r="D158" s="24" t="n">
        <v>9310.1</v>
      </c>
      <c r="E158" s="24"/>
      <c r="F158" s="24"/>
      <c r="G158" s="22" t="s">
        <v>410</v>
      </c>
      <c r="H158" s="22"/>
    </row>
    <row r="159" customFormat="false" ht="15" hidden="false" customHeight="false" outlineLevel="0" collapsed="false">
      <c r="A159" s="21" t="n">
        <v>46275</v>
      </c>
      <c r="B159" s="22" t="s">
        <v>87</v>
      </c>
      <c r="C159" s="22" t="str">
        <f aca="false">IFERROR(INDEX(Medidores!$B:$B,MATCH(B159,Medidores!$A:$A,0)),B159)</f>
        <v>L14</v>
      </c>
      <c r="D159" s="24" t="n">
        <v>9374.5</v>
      </c>
      <c r="E159" s="24"/>
      <c r="F159" s="24"/>
      <c r="G159" s="22" t="s">
        <v>410</v>
      </c>
      <c r="H159" s="22"/>
    </row>
    <row r="160" customFormat="false" ht="15" hidden="false" customHeight="false" outlineLevel="0" collapsed="false">
      <c r="A160" s="21" t="n">
        <v>46276</v>
      </c>
      <c r="B160" s="22" t="s">
        <v>87</v>
      </c>
      <c r="C160" s="22" t="str">
        <f aca="false">IFERROR(INDEX(Medidores!$B:$B,MATCH(B160,Medidores!$A:$A,0)),B160)</f>
        <v>L14</v>
      </c>
      <c r="D160" s="24" t="n">
        <v>9431</v>
      </c>
      <c r="E160" s="24"/>
      <c r="F160" s="24"/>
      <c r="G160" s="22" t="s">
        <v>410</v>
      </c>
      <c r="H160" s="22"/>
    </row>
    <row r="161" customFormat="false" ht="15" hidden="false" customHeight="false" outlineLevel="0" collapsed="false">
      <c r="A161" s="21" t="n">
        <v>46286</v>
      </c>
      <c r="B161" s="22" t="s">
        <v>87</v>
      </c>
      <c r="C161" s="22" t="str">
        <f aca="false">IFERROR(INDEX(Medidores!$B:$B,MATCH(B161,Medidores!$A:$A,0)),B161)</f>
        <v>L14</v>
      </c>
      <c r="D161" s="24" t="n">
        <v>9833.3</v>
      </c>
      <c r="E161" s="24"/>
      <c r="F161" s="24"/>
      <c r="G161" s="22" t="s">
        <v>411</v>
      </c>
      <c r="H161" s="22"/>
    </row>
    <row r="162" customFormat="false" ht="15" hidden="false" customHeight="false" outlineLevel="0" collapsed="false">
      <c r="A162" s="21" t="n">
        <v>46287</v>
      </c>
      <c r="B162" s="22" t="s">
        <v>87</v>
      </c>
      <c r="C162" s="22" t="str">
        <f aca="false">IFERROR(INDEX(Medidores!$B:$B,MATCH(B162,Medidores!$A:$A,0)),B162)</f>
        <v>L14</v>
      </c>
      <c r="D162" s="24" t="n">
        <v>9895.6</v>
      </c>
      <c r="E162" s="24"/>
      <c r="F162" s="24"/>
      <c r="G162" s="22" t="s">
        <v>411</v>
      </c>
      <c r="H162" s="22"/>
    </row>
    <row r="163" customFormat="false" ht="15" hidden="false" customHeight="false" outlineLevel="0" collapsed="false">
      <c r="A163" s="21" t="n">
        <v>46288</v>
      </c>
      <c r="B163" s="22" t="s">
        <v>87</v>
      </c>
      <c r="C163" s="22" t="str">
        <f aca="false">IFERROR(INDEX(Medidores!$B:$B,MATCH(B163,Medidores!$A:$A,0)),B163)</f>
        <v>L14</v>
      </c>
      <c r="D163" s="24" t="n">
        <v>9965.3</v>
      </c>
      <c r="E163" s="24"/>
      <c r="F163" s="24"/>
      <c r="G163" s="22" t="s">
        <v>411</v>
      </c>
      <c r="H163" s="22"/>
    </row>
    <row r="164" customFormat="false" ht="15" hidden="false" customHeight="false" outlineLevel="0" collapsed="false">
      <c r="A164" s="21" t="n">
        <v>46289</v>
      </c>
      <c r="B164" s="22" t="s">
        <v>87</v>
      </c>
      <c r="C164" s="22" t="str">
        <f aca="false">IFERROR(INDEX(Medidores!$B:$B,MATCH(B164,Medidores!$A:$A,0)),B164)</f>
        <v>L14</v>
      </c>
      <c r="D164" s="24" t="n">
        <v>10000</v>
      </c>
      <c r="E164" s="24"/>
      <c r="F164" s="24"/>
      <c r="G164" s="22" t="s">
        <v>411</v>
      </c>
      <c r="H164" s="22"/>
    </row>
    <row r="165" customFormat="false" ht="15" hidden="false" customHeight="false" outlineLevel="0" collapsed="false">
      <c r="A165" s="21" t="n">
        <v>46290</v>
      </c>
      <c r="B165" s="22" t="s">
        <v>87</v>
      </c>
      <c r="C165" s="22" t="str">
        <f aca="false">IFERROR(INDEX(Medidores!$B:$B,MATCH(B165,Medidores!$A:$A,0)),B165)</f>
        <v>L14</v>
      </c>
      <c r="D165" s="24" t="n">
        <v>10073</v>
      </c>
      <c r="E165" s="24"/>
      <c r="F165" s="24"/>
      <c r="G165" s="22" t="s">
        <v>411</v>
      </c>
      <c r="H165" s="22"/>
    </row>
    <row r="166" customFormat="false" ht="15" hidden="false" customHeight="false" outlineLevel="0" collapsed="false">
      <c r="A166" s="21" t="n">
        <v>46296</v>
      </c>
      <c r="B166" s="22" t="s">
        <v>87</v>
      </c>
      <c r="C166" s="22" t="str">
        <f aca="false">IFERROR(INDEX(Medidores!$B:$B,MATCH(B166,Medidores!$A:$A,0)),B166)</f>
        <v>L14</v>
      </c>
      <c r="D166" s="24" t="n">
        <v>10237.16</v>
      </c>
      <c r="E166" s="24" t="n">
        <v>4784.678</v>
      </c>
      <c r="F166" s="24" t="n">
        <v>11475.827</v>
      </c>
      <c r="G166" s="22" t="s">
        <v>412</v>
      </c>
      <c r="H166" s="22"/>
    </row>
    <row r="167" customFormat="false" ht="15" hidden="false" customHeight="false" outlineLevel="0" collapsed="false">
      <c r="A167" s="21" t="n">
        <v>46297</v>
      </c>
      <c r="B167" s="22" t="s">
        <v>87</v>
      </c>
      <c r="C167" s="22" t="str">
        <f aca="false">IFERROR(INDEX(Medidores!$B:$B,MATCH(B167,Medidores!$A:$A,0)),B167)</f>
        <v>L14</v>
      </c>
      <c r="D167" s="24" t="n">
        <v>10240.629</v>
      </c>
      <c r="E167" s="24" t="n">
        <v>4784.678</v>
      </c>
      <c r="F167" s="24" t="n">
        <v>11479.359</v>
      </c>
      <c r="G167" s="22" t="s">
        <v>412</v>
      </c>
      <c r="H167" s="22"/>
    </row>
    <row r="168" customFormat="false" ht="15" hidden="false" customHeight="false" outlineLevel="0" collapsed="false">
      <c r="A168" s="21" t="n">
        <v>46300</v>
      </c>
      <c r="B168" s="22" t="s">
        <v>87</v>
      </c>
      <c r="C168" s="22" t="str">
        <f aca="false">IFERROR(INDEX(Medidores!$B:$B,MATCH(B168,Medidores!$A:$A,0)),B168)</f>
        <v>L14</v>
      </c>
      <c r="D168" s="24" t="n">
        <v>10356.964</v>
      </c>
      <c r="E168" s="24" t="n">
        <v>4840.76</v>
      </c>
      <c r="F168" s="24" t="n">
        <v>11609.846</v>
      </c>
      <c r="G168" s="22" t="s">
        <v>413</v>
      </c>
      <c r="H168" s="22"/>
    </row>
    <row r="169" customFormat="false" ht="15" hidden="false" customHeight="false" outlineLevel="0" collapsed="false">
      <c r="A169" s="21" t="n">
        <v>46301</v>
      </c>
      <c r="B169" s="22" t="s">
        <v>87</v>
      </c>
      <c r="C169" s="22" t="str">
        <f aca="false">IFERROR(INDEX(Medidores!$B:$B,MATCH(B169,Medidores!$A:$A,0)),B169)</f>
        <v>L14</v>
      </c>
      <c r="D169" s="24" t="n">
        <v>10410.575</v>
      </c>
      <c r="E169" s="24" t="n">
        <v>4865.984</v>
      </c>
      <c r="F169" s="24" t="n">
        <v>11670.523</v>
      </c>
      <c r="G169" s="22" t="s">
        <v>413</v>
      </c>
      <c r="H169" s="22"/>
    </row>
    <row r="170" customFormat="false" ht="15" hidden="false" customHeight="false" outlineLevel="0" collapsed="false">
      <c r="A170" s="21" t="n">
        <v>46302</v>
      </c>
      <c r="B170" s="22" t="s">
        <v>87</v>
      </c>
      <c r="C170" s="22" t="str">
        <f aca="false">IFERROR(INDEX(Medidores!$B:$B,MATCH(B170,Medidores!$A:$A,0)),B170)</f>
        <v>L14</v>
      </c>
      <c r="D170" s="24" t="n">
        <v>10464.531</v>
      </c>
      <c r="E170" s="24" t="n">
        <v>4891.191</v>
      </c>
      <c r="F170" s="24" t="n">
        <v>11730.773</v>
      </c>
      <c r="G170" s="22" t="s">
        <v>413</v>
      </c>
      <c r="H170" s="22"/>
    </row>
    <row r="171" customFormat="false" ht="15" hidden="false" customHeight="false" outlineLevel="0" collapsed="false">
      <c r="A171" s="21" t="n">
        <v>46296</v>
      </c>
      <c r="B171" s="22" t="s">
        <v>89</v>
      </c>
      <c r="C171" s="22" t="str">
        <f aca="false">IFERROR(INDEX(Medidores!$B:$B,MATCH(B171,Medidores!$A:$A,0)),B171)</f>
        <v>L20</v>
      </c>
      <c r="D171" s="24" t="n">
        <v>13352.921</v>
      </c>
      <c r="E171" s="24" t="n">
        <v>10786.269</v>
      </c>
      <c r="F171" s="24" t="n">
        <v>17410.035</v>
      </c>
      <c r="G171" s="22" t="s">
        <v>412</v>
      </c>
      <c r="H171" s="22"/>
    </row>
    <row r="172" customFormat="false" ht="15" hidden="false" customHeight="false" outlineLevel="0" collapsed="false">
      <c r="A172" s="21" t="n">
        <v>46297</v>
      </c>
      <c r="B172" s="22" t="s">
        <v>89</v>
      </c>
      <c r="C172" s="22" t="str">
        <f aca="false">IFERROR(INDEX(Medidores!$B:$B,MATCH(B172,Medidores!$A:$A,0)),B172)</f>
        <v>L20</v>
      </c>
      <c r="D172" s="24" t="n">
        <v>13417.4</v>
      </c>
      <c r="E172" s="24" t="n">
        <v>10831.03</v>
      </c>
      <c r="F172" s="24" t="n">
        <v>17489.129</v>
      </c>
      <c r="G172" s="22" t="s">
        <v>412</v>
      </c>
      <c r="H172" s="22"/>
    </row>
    <row r="173" customFormat="false" ht="15" hidden="false" customHeight="false" outlineLevel="0" collapsed="false">
      <c r="A173" s="21" t="n">
        <v>46300</v>
      </c>
      <c r="B173" s="22" t="s">
        <v>89</v>
      </c>
      <c r="C173" s="22" t="str">
        <f aca="false">IFERROR(INDEX(Medidores!$B:$B,MATCH(B173,Medidores!$A:$A,0)),B173)</f>
        <v>L20</v>
      </c>
      <c r="D173" s="24" t="n">
        <v>13442.794</v>
      </c>
      <c r="E173" s="24" t="n">
        <v>10874.622</v>
      </c>
      <c r="F173" s="24" t="n">
        <v>17569.045</v>
      </c>
      <c r="G173" s="22" t="s">
        <v>413</v>
      </c>
      <c r="H173" s="22" t="s">
        <v>416</v>
      </c>
    </row>
    <row r="174" customFormat="false" ht="15" hidden="false" customHeight="false" outlineLevel="0" collapsed="false">
      <c r="A174" s="21" t="n">
        <v>46301</v>
      </c>
      <c r="B174" s="22" t="s">
        <v>89</v>
      </c>
      <c r="C174" s="22" t="str">
        <f aca="false">IFERROR(INDEX(Medidores!$B:$B,MATCH(B174,Medidores!$A:$A,0)),B174)</f>
        <v>L20</v>
      </c>
      <c r="D174" s="24" t="n">
        <v>13493.001</v>
      </c>
      <c r="E174" s="24" t="n">
        <v>10887.607</v>
      </c>
      <c r="F174" s="24" t="n">
        <v>17585.592</v>
      </c>
      <c r="G174" s="22" t="s">
        <v>413</v>
      </c>
      <c r="H174" s="22"/>
    </row>
    <row r="175" customFormat="false" ht="15" hidden="false" customHeight="false" outlineLevel="0" collapsed="false">
      <c r="A175" s="21" t="n">
        <v>46302</v>
      </c>
      <c r="B175" s="22" t="s">
        <v>89</v>
      </c>
      <c r="C175" s="22" t="str">
        <f aca="false">IFERROR(INDEX(Medidores!$B:$B,MATCH(B175,Medidores!$A:$A,0)),B175)</f>
        <v>L20</v>
      </c>
      <c r="D175" s="24" t="n">
        <v>13519.764</v>
      </c>
      <c r="E175" s="24" t="n">
        <v>10907.072</v>
      </c>
      <c r="F175" s="24" t="n">
        <v>17619.35</v>
      </c>
      <c r="G175" s="22" t="s">
        <v>413</v>
      </c>
      <c r="H175" s="22"/>
    </row>
    <row r="176" customFormat="false" ht="15" hidden="false" customHeight="false" outlineLevel="0" collapsed="false">
      <c r="A176" s="21" t="n">
        <v>46217</v>
      </c>
      <c r="B176" s="22" t="s">
        <v>90</v>
      </c>
      <c r="C176" s="22" t="str">
        <f aca="false">IFERROR(INDEX(Medidores!$B:$B,MATCH(B176,Medidores!$A:$A,0)),B176)</f>
        <v>L16</v>
      </c>
      <c r="D176" s="24" t="n">
        <v>4837.7</v>
      </c>
      <c r="E176" s="24"/>
      <c r="F176" s="24"/>
      <c r="G176" s="22" t="s">
        <v>402</v>
      </c>
      <c r="H176" s="22"/>
    </row>
    <row r="177" customFormat="false" ht="15" hidden="false" customHeight="false" outlineLevel="0" collapsed="false">
      <c r="A177" s="21" t="n">
        <v>46218</v>
      </c>
      <c r="B177" s="22" t="s">
        <v>90</v>
      </c>
      <c r="C177" s="22" t="str">
        <f aca="false">IFERROR(INDEX(Medidores!$B:$B,MATCH(B177,Medidores!$A:$A,0)),B177)</f>
        <v>L16</v>
      </c>
      <c r="D177" s="24" t="n">
        <v>4840.6</v>
      </c>
      <c r="E177" s="24"/>
      <c r="F177" s="24"/>
      <c r="G177" s="22" t="s">
        <v>402</v>
      </c>
      <c r="H177" s="22"/>
    </row>
    <row r="178" customFormat="false" ht="15" hidden="false" customHeight="false" outlineLevel="0" collapsed="false">
      <c r="A178" s="21" t="n">
        <v>46219</v>
      </c>
      <c r="B178" s="22" t="s">
        <v>90</v>
      </c>
      <c r="C178" s="22" t="str">
        <f aca="false">IFERROR(INDEX(Medidores!$B:$B,MATCH(B178,Medidores!$A:$A,0)),B178)</f>
        <v>L16</v>
      </c>
      <c r="D178" s="24" t="n">
        <v>4844.2</v>
      </c>
      <c r="E178" s="24"/>
      <c r="F178" s="24"/>
      <c r="G178" s="22" t="s">
        <v>402</v>
      </c>
      <c r="H178" s="22"/>
    </row>
    <row r="179" customFormat="false" ht="15" hidden="false" customHeight="false" outlineLevel="0" collapsed="false">
      <c r="A179" s="21" t="n">
        <v>46220</v>
      </c>
      <c r="B179" s="22" t="s">
        <v>90</v>
      </c>
      <c r="C179" s="22" t="str">
        <f aca="false">IFERROR(INDEX(Medidores!$B:$B,MATCH(B179,Medidores!$A:$A,0)),B179)</f>
        <v>L16</v>
      </c>
      <c r="D179" s="24" t="n">
        <v>4847.7</v>
      </c>
      <c r="E179" s="24"/>
      <c r="F179" s="24"/>
      <c r="G179" s="22" t="s">
        <v>402</v>
      </c>
      <c r="H179" s="22"/>
    </row>
    <row r="180" customFormat="false" ht="15" hidden="false" customHeight="false" outlineLevel="0" collapsed="false">
      <c r="A180" s="21" t="n">
        <v>46224</v>
      </c>
      <c r="B180" s="22" t="s">
        <v>90</v>
      </c>
      <c r="C180" s="22" t="str">
        <f aca="false">IFERROR(INDEX(Medidores!$B:$B,MATCH(B180,Medidores!$A:$A,0)),B180)</f>
        <v>L16</v>
      </c>
      <c r="D180" s="24" t="n">
        <v>4865.8</v>
      </c>
      <c r="E180" s="24"/>
      <c r="F180" s="24"/>
      <c r="G180" s="22" t="s">
        <v>404</v>
      </c>
      <c r="H180" s="22"/>
    </row>
    <row r="181" customFormat="false" ht="15" hidden="false" customHeight="false" outlineLevel="0" collapsed="false">
      <c r="A181" s="21" t="n">
        <v>46225</v>
      </c>
      <c r="B181" s="22" t="s">
        <v>90</v>
      </c>
      <c r="C181" s="22" t="str">
        <f aca="false">IFERROR(INDEX(Medidores!$B:$B,MATCH(B181,Medidores!$A:$A,0)),B181)</f>
        <v>L16</v>
      </c>
      <c r="D181" s="24" t="n">
        <v>4898</v>
      </c>
      <c r="E181" s="24"/>
      <c r="F181" s="24"/>
      <c r="G181" s="22" t="s">
        <v>404</v>
      </c>
      <c r="H181" s="22"/>
    </row>
    <row r="182" customFormat="false" ht="15" hidden="false" customHeight="false" outlineLevel="0" collapsed="false">
      <c r="A182" s="21" t="n">
        <v>46226</v>
      </c>
      <c r="B182" s="22" t="s">
        <v>90</v>
      </c>
      <c r="C182" s="22" t="str">
        <f aca="false">IFERROR(INDEX(Medidores!$B:$B,MATCH(B182,Medidores!$A:$A,0)),B182)</f>
        <v>L16</v>
      </c>
      <c r="D182" s="24" t="n">
        <v>4929.2</v>
      </c>
      <c r="E182" s="24"/>
      <c r="F182" s="24"/>
      <c r="G182" s="22" t="s">
        <v>404</v>
      </c>
      <c r="H182" s="22"/>
    </row>
    <row r="183" customFormat="false" ht="15" hidden="false" customHeight="false" outlineLevel="0" collapsed="false">
      <c r="A183" s="21" t="n">
        <v>46227</v>
      </c>
      <c r="B183" s="22" t="s">
        <v>90</v>
      </c>
      <c r="C183" s="22" t="str">
        <f aca="false">IFERROR(INDEX(Medidores!$B:$B,MATCH(B183,Medidores!$A:$A,0)),B183)</f>
        <v>L16</v>
      </c>
      <c r="D183" s="24" t="n">
        <v>4956.2</v>
      </c>
      <c r="E183" s="24"/>
      <c r="F183" s="24"/>
      <c r="G183" s="22" t="s">
        <v>404</v>
      </c>
      <c r="H183" s="22"/>
    </row>
    <row r="184" customFormat="false" ht="15" hidden="false" customHeight="false" outlineLevel="0" collapsed="false">
      <c r="A184" s="21" t="n">
        <v>46230</v>
      </c>
      <c r="B184" s="22" t="s">
        <v>90</v>
      </c>
      <c r="C184" s="22" t="str">
        <f aca="false">IFERROR(INDEX(Medidores!$B:$B,MATCH(B184,Medidores!$A:$A,0)),B184)</f>
        <v>L16</v>
      </c>
      <c r="D184" s="24" t="n">
        <v>5015.6</v>
      </c>
      <c r="E184" s="24"/>
      <c r="F184" s="24"/>
      <c r="G184" s="22" t="s">
        <v>405</v>
      </c>
      <c r="H184" s="22"/>
    </row>
    <row r="185" customFormat="false" ht="15" hidden="false" customHeight="false" outlineLevel="0" collapsed="false">
      <c r="A185" s="21" t="n">
        <v>46231</v>
      </c>
      <c r="B185" s="22" t="s">
        <v>90</v>
      </c>
      <c r="C185" s="22" t="str">
        <f aca="false">IFERROR(INDEX(Medidores!$B:$B,MATCH(B185,Medidores!$A:$A,0)),B185)</f>
        <v>L16</v>
      </c>
      <c r="D185" s="24" t="n">
        <v>5026.1</v>
      </c>
      <c r="E185" s="24"/>
      <c r="F185" s="24"/>
      <c r="G185" s="22" t="s">
        <v>405</v>
      </c>
      <c r="H185" s="22"/>
    </row>
    <row r="186" customFormat="false" ht="15" hidden="false" customHeight="false" outlineLevel="0" collapsed="false">
      <c r="A186" s="21" t="n">
        <v>46232</v>
      </c>
      <c r="B186" s="22" t="s">
        <v>90</v>
      </c>
      <c r="C186" s="22" t="str">
        <f aca="false">IFERROR(INDEX(Medidores!$B:$B,MATCH(B186,Medidores!$A:$A,0)),B186)</f>
        <v>L16</v>
      </c>
      <c r="D186" s="24" t="n">
        <v>5026.3</v>
      </c>
      <c r="E186" s="24"/>
      <c r="F186" s="24"/>
      <c r="G186" s="22" t="s">
        <v>405</v>
      </c>
      <c r="H186" s="22"/>
    </row>
    <row r="187" customFormat="false" ht="15" hidden="false" customHeight="false" outlineLevel="0" collapsed="false">
      <c r="A187" s="21" t="n">
        <v>46233</v>
      </c>
      <c r="B187" s="22" t="s">
        <v>90</v>
      </c>
      <c r="C187" s="22" t="str">
        <f aca="false">IFERROR(INDEX(Medidores!$B:$B,MATCH(B187,Medidores!$A:$A,0)),B187)</f>
        <v>L16</v>
      </c>
      <c r="D187" s="24" t="n">
        <v>5033.2</v>
      </c>
      <c r="E187" s="24"/>
      <c r="F187" s="24"/>
      <c r="G187" s="22" t="s">
        <v>405</v>
      </c>
      <c r="H187" s="22"/>
    </row>
    <row r="188" customFormat="false" ht="15" hidden="false" customHeight="false" outlineLevel="0" collapsed="false">
      <c r="A188" s="21" t="n">
        <v>46237</v>
      </c>
      <c r="B188" s="22" t="s">
        <v>90</v>
      </c>
      <c r="C188" s="22" t="str">
        <f aca="false">IFERROR(INDEX(Medidores!$B:$B,MATCH(B188,Medidores!$A:$A,0)),B188)</f>
        <v>L16</v>
      </c>
      <c r="D188" s="24" t="n">
        <v>5041.4</v>
      </c>
      <c r="E188" s="24"/>
      <c r="F188" s="24"/>
      <c r="G188" s="22" t="s">
        <v>406</v>
      </c>
      <c r="H188" s="22"/>
    </row>
    <row r="189" customFormat="false" ht="15" hidden="false" customHeight="false" outlineLevel="0" collapsed="false">
      <c r="A189" s="21" t="n">
        <v>46238</v>
      </c>
      <c r="B189" s="22" t="s">
        <v>90</v>
      </c>
      <c r="C189" s="22" t="str">
        <f aca="false">IFERROR(INDEX(Medidores!$B:$B,MATCH(B189,Medidores!$A:$A,0)),B189)</f>
        <v>L16</v>
      </c>
      <c r="D189" s="24" t="n">
        <v>5065.8</v>
      </c>
      <c r="E189" s="24"/>
      <c r="F189" s="24"/>
      <c r="G189" s="22" t="s">
        <v>406</v>
      </c>
      <c r="H189" s="22"/>
    </row>
    <row r="190" customFormat="false" ht="15" hidden="false" customHeight="false" outlineLevel="0" collapsed="false">
      <c r="A190" s="21" t="n">
        <v>46239</v>
      </c>
      <c r="B190" s="22" t="s">
        <v>90</v>
      </c>
      <c r="C190" s="22" t="str">
        <f aca="false">IFERROR(INDEX(Medidores!$B:$B,MATCH(B190,Medidores!$A:$A,0)),B190)</f>
        <v>L16</v>
      </c>
      <c r="D190" s="24" t="n">
        <v>5091</v>
      </c>
      <c r="E190" s="24"/>
      <c r="F190" s="24"/>
      <c r="G190" s="22" t="s">
        <v>406</v>
      </c>
      <c r="H190" s="22"/>
    </row>
    <row r="191" customFormat="false" ht="15" hidden="false" customHeight="false" outlineLevel="0" collapsed="false">
      <c r="A191" s="21" t="n">
        <v>46240</v>
      </c>
      <c r="B191" s="22" t="s">
        <v>90</v>
      </c>
      <c r="C191" s="22" t="str">
        <f aca="false">IFERROR(INDEX(Medidores!$B:$B,MATCH(B191,Medidores!$A:$A,0)),B191)</f>
        <v>L16</v>
      </c>
      <c r="D191" s="24" t="n">
        <v>5137.4</v>
      </c>
      <c r="E191" s="24"/>
      <c r="F191" s="24"/>
      <c r="G191" s="22" t="s">
        <v>406</v>
      </c>
      <c r="H191" s="22"/>
    </row>
    <row r="192" customFormat="false" ht="15" hidden="false" customHeight="false" outlineLevel="0" collapsed="false">
      <c r="A192" s="21" t="n">
        <v>46252</v>
      </c>
      <c r="B192" s="22" t="s">
        <v>90</v>
      </c>
      <c r="C192" s="22" t="str">
        <f aca="false">IFERROR(INDEX(Medidores!$B:$B,MATCH(B192,Medidores!$A:$A,0)),B192)</f>
        <v>L16</v>
      </c>
      <c r="D192" s="24" t="n">
        <v>5185.1</v>
      </c>
      <c r="E192" s="24"/>
      <c r="F192" s="24"/>
      <c r="G192" s="22" t="s">
        <v>407</v>
      </c>
      <c r="H192" s="22"/>
    </row>
    <row r="193" customFormat="false" ht="15" hidden="false" customHeight="false" outlineLevel="0" collapsed="false">
      <c r="A193" s="21" t="n">
        <v>46253</v>
      </c>
      <c r="B193" s="22" t="s">
        <v>90</v>
      </c>
      <c r="C193" s="22" t="str">
        <f aca="false">IFERROR(INDEX(Medidores!$B:$B,MATCH(B193,Medidores!$A:$A,0)),B193)</f>
        <v>L16</v>
      </c>
      <c r="D193" s="24" t="n">
        <v>5292.9</v>
      </c>
      <c r="E193" s="24"/>
      <c r="F193" s="24"/>
      <c r="G193" s="22" t="s">
        <v>407</v>
      </c>
      <c r="H193" s="22"/>
    </row>
    <row r="194" customFormat="false" ht="15" hidden="false" customHeight="false" outlineLevel="0" collapsed="false">
      <c r="A194" s="21" t="n">
        <v>46254</v>
      </c>
      <c r="B194" s="22" t="s">
        <v>90</v>
      </c>
      <c r="C194" s="22" t="str">
        <f aca="false">IFERROR(INDEX(Medidores!$B:$B,MATCH(B194,Medidores!$A:$A,0)),B194)</f>
        <v>L16</v>
      </c>
      <c r="D194" s="24" t="n">
        <v>5323</v>
      </c>
      <c r="E194" s="24"/>
      <c r="F194" s="24"/>
      <c r="G194" s="22" t="s">
        <v>407</v>
      </c>
      <c r="H194" s="22"/>
    </row>
    <row r="195" customFormat="false" ht="15" hidden="false" customHeight="false" outlineLevel="0" collapsed="false">
      <c r="A195" s="21" t="n">
        <v>46258</v>
      </c>
      <c r="B195" s="22" t="s">
        <v>90</v>
      </c>
      <c r="C195" s="22" t="str">
        <f aca="false">IFERROR(INDEX(Medidores!$B:$B,MATCH(B195,Medidores!$A:$A,0)),B195)</f>
        <v>L16</v>
      </c>
      <c r="D195" s="24" t="n">
        <v>5438.4</v>
      </c>
      <c r="E195" s="24"/>
      <c r="F195" s="24"/>
      <c r="G195" s="22" t="s">
        <v>408</v>
      </c>
      <c r="H195" s="22"/>
    </row>
    <row r="196" customFormat="false" ht="15" hidden="false" customHeight="false" outlineLevel="0" collapsed="false">
      <c r="A196" s="21" t="n">
        <v>46259</v>
      </c>
      <c r="B196" s="22" t="s">
        <v>90</v>
      </c>
      <c r="C196" s="22" t="str">
        <f aca="false">IFERROR(INDEX(Medidores!$B:$B,MATCH(B196,Medidores!$A:$A,0)),B196)</f>
        <v>L16</v>
      </c>
      <c r="D196" s="24" t="n">
        <v>5491.8</v>
      </c>
      <c r="E196" s="24"/>
      <c r="F196" s="24"/>
      <c r="G196" s="22" t="s">
        <v>408</v>
      </c>
      <c r="H196" s="22"/>
    </row>
    <row r="197" customFormat="false" ht="15" hidden="false" customHeight="false" outlineLevel="0" collapsed="false">
      <c r="A197" s="21" t="n">
        <v>46260</v>
      </c>
      <c r="B197" s="22" t="s">
        <v>90</v>
      </c>
      <c r="C197" s="22" t="str">
        <f aca="false">IFERROR(INDEX(Medidores!$B:$B,MATCH(B197,Medidores!$A:$A,0)),B197)</f>
        <v>L16</v>
      </c>
      <c r="D197" s="24" t="n">
        <v>5549.4</v>
      </c>
      <c r="E197" s="24"/>
      <c r="F197" s="24"/>
      <c r="G197" s="22" t="s">
        <v>408</v>
      </c>
      <c r="H197" s="22"/>
    </row>
    <row r="198" customFormat="false" ht="15" hidden="false" customHeight="false" outlineLevel="0" collapsed="false">
      <c r="A198" s="21" t="n">
        <v>46261</v>
      </c>
      <c r="B198" s="22" t="s">
        <v>90</v>
      </c>
      <c r="C198" s="22" t="str">
        <f aca="false">IFERROR(INDEX(Medidores!$B:$B,MATCH(B198,Medidores!$A:$A,0)),B198)</f>
        <v>L16</v>
      </c>
      <c r="D198" s="24" t="n">
        <v>5600.7</v>
      </c>
      <c r="E198" s="24"/>
      <c r="F198" s="24"/>
      <c r="G198" s="22" t="s">
        <v>408</v>
      </c>
      <c r="H198" s="22"/>
    </row>
    <row r="199" customFormat="false" ht="15" hidden="false" customHeight="false" outlineLevel="0" collapsed="false">
      <c r="A199" s="21" t="n">
        <v>46265</v>
      </c>
      <c r="B199" s="22" t="s">
        <v>90</v>
      </c>
      <c r="C199" s="22" t="str">
        <f aca="false">IFERROR(INDEX(Medidores!$B:$B,MATCH(B199,Medidores!$A:$A,0)),B199)</f>
        <v>L16</v>
      </c>
      <c r="D199" s="24" t="n">
        <v>5769.8</v>
      </c>
      <c r="E199" s="24"/>
      <c r="F199" s="24"/>
      <c r="G199" s="22" t="s">
        <v>409</v>
      </c>
      <c r="H199" s="22"/>
    </row>
    <row r="200" customFormat="false" ht="15" hidden="false" customHeight="false" outlineLevel="0" collapsed="false">
      <c r="A200" s="21" t="n">
        <v>46266</v>
      </c>
      <c r="B200" s="22" t="s">
        <v>90</v>
      </c>
      <c r="C200" s="22" t="str">
        <f aca="false">IFERROR(INDEX(Medidores!$B:$B,MATCH(B200,Medidores!$A:$A,0)),B200)</f>
        <v>L16</v>
      </c>
      <c r="D200" s="24" t="n">
        <v>5776.7</v>
      </c>
      <c r="E200" s="24"/>
      <c r="F200" s="24"/>
      <c r="G200" s="22" t="s">
        <v>409</v>
      </c>
      <c r="H200" s="22"/>
    </row>
    <row r="201" customFormat="false" ht="15" hidden="false" customHeight="false" outlineLevel="0" collapsed="false">
      <c r="A201" s="21" t="n">
        <v>46267</v>
      </c>
      <c r="B201" s="22" t="s">
        <v>90</v>
      </c>
      <c r="C201" s="22" t="str">
        <f aca="false">IFERROR(INDEX(Medidores!$B:$B,MATCH(B201,Medidores!$A:$A,0)),B201)</f>
        <v>L16</v>
      </c>
      <c r="D201" s="24" t="n">
        <v>5801.4</v>
      </c>
      <c r="E201" s="24"/>
      <c r="F201" s="24"/>
      <c r="G201" s="22" t="s">
        <v>409</v>
      </c>
      <c r="H201" s="22" t="s">
        <v>417</v>
      </c>
    </row>
    <row r="202" customFormat="false" ht="15" hidden="false" customHeight="false" outlineLevel="0" collapsed="false">
      <c r="A202" s="21" t="n">
        <v>46272</v>
      </c>
      <c r="B202" s="22" t="s">
        <v>90</v>
      </c>
      <c r="C202" s="22" t="str">
        <f aca="false">IFERROR(INDEX(Medidores!$B:$B,MATCH(B202,Medidores!$A:$A,0)),B202)</f>
        <v>L16</v>
      </c>
      <c r="D202" s="24" t="n">
        <v>5826.3</v>
      </c>
      <c r="E202" s="24"/>
      <c r="F202" s="24"/>
      <c r="G202" s="22" t="s">
        <v>410</v>
      </c>
      <c r="H202" s="22"/>
    </row>
    <row r="203" customFormat="false" ht="15" hidden="false" customHeight="false" outlineLevel="0" collapsed="false">
      <c r="A203" s="21" t="n">
        <v>46273</v>
      </c>
      <c r="B203" s="22" t="s">
        <v>90</v>
      </c>
      <c r="C203" s="22" t="str">
        <f aca="false">IFERROR(INDEX(Medidores!$B:$B,MATCH(B203,Medidores!$A:$A,0)),B203)</f>
        <v>L16</v>
      </c>
      <c r="D203" s="24" t="n">
        <v>5857</v>
      </c>
      <c r="E203" s="24"/>
      <c r="F203" s="24"/>
      <c r="G203" s="22" t="s">
        <v>410</v>
      </c>
      <c r="H203" s="22"/>
    </row>
    <row r="204" customFormat="false" ht="15" hidden="false" customHeight="false" outlineLevel="0" collapsed="false">
      <c r="A204" s="21" t="n">
        <v>46274</v>
      </c>
      <c r="B204" s="22" t="s">
        <v>90</v>
      </c>
      <c r="C204" s="22" t="str">
        <f aca="false">IFERROR(INDEX(Medidores!$B:$B,MATCH(B204,Medidores!$A:$A,0)),B204)</f>
        <v>L16</v>
      </c>
      <c r="D204" s="24" t="n">
        <v>5866.7</v>
      </c>
      <c r="E204" s="24"/>
      <c r="F204" s="24"/>
      <c r="G204" s="22" t="s">
        <v>410</v>
      </c>
      <c r="H204" s="22"/>
    </row>
    <row r="205" customFormat="false" ht="15" hidden="false" customHeight="false" outlineLevel="0" collapsed="false">
      <c r="A205" s="21" t="n">
        <v>46275</v>
      </c>
      <c r="B205" s="22" t="s">
        <v>90</v>
      </c>
      <c r="C205" s="22" t="str">
        <f aca="false">IFERROR(INDEX(Medidores!$B:$B,MATCH(B205,Medidores!$A:$A,0)),B205)</f>
        <v>L16</v>
      </c>
      <c r="D205" s="24" t="n">
        <v>5893.1</v>
      </c>
      <c r="E205" s="24"/>
      <c r="F205" s="24"/>
      <c r="G205" s="22" t="s">
        <v>410</v>
      </c>
      <c r="H205" s="22"/>
    </row>
    <row r="206" customFormat="false" ht="15" hidden="false" customHeight="false" outlineLevel="0" collapsed="false">
      <c r="A206" s="21" t="n">
        <v>46276</v>
      </c>
      <c r="B206" s="22" t="s">
        <v>90</v>
      </c>
      <c r="C206" s="22" t="str">
        <f aca="false">IFERROR(INDEX(Medidores!$B:$B,MATCH(B206,Medidores!$A:$A,0)),B206)</f>
        <v>L16</v>
      </c>
      <c r="D206" s="24" t="n">
        <v>5928</v>
      </c>
      <c r="E206" s="24"/>
      <c r="F206" s="24"/>
      <c r="G206" s="22" t="s">
        <v>410</v>
      </c>
      <c r="H206" s="22"/>
    </row>
    <row r="207" customFormat="false" ht="15" hidden="false" customHeight="false" outlineLevel="0" collapsed="false">
      <c r="A207" s="21" t="n">
        <v>46286</v>
      </c>
      <c r="B207" s="22" t="s">
        <v>90</v>
      </c>
      <c r="C207" s="22" t="str">
        <f aca="false">IFERROR(INDEX(Medidores!$B:$B,MATCH(B207,Medidores!$A:$A,0)),B207)</f>
        <v>L16</v>
      </c>
      <c r="D207" s="24" t="n">
        <v>6162</v>
      </c>
      <c r="E207" s="24"/>
      <c r="F207" s="24"/>
      <c r="G207" s="22" t="s">
        <v>411</v>
      </c>
      <c r="H207" s="22"/>
    </row>
    <row r="208" customFormat="false" ht="15" hidden="false" customHeight="false" outlineLevel="0" collapsed="false">
      <c r="A208" s="21" t="n">
        <v>46287</v>
      </c>
      <c r="B208" s="22" t="s">
        <v>90</v>
      </c>
      <c r="C208" s="22" t="str">
        <f aca="false">IFERROR(INDEX(Medidores!$B:$B,MATCH(B208,Medidores!$A:$A,0)),B208)</f>
        <v>L16</v>
      </c>
      <c r="D208" s="24" t="n">
        <v>6202.4</v>
      </c>
      <c r="E208" s="24"/>
      <c r="F208" s="24"/>
      <c r="G208" s="22" t="s">
        <v>411</v>
      </c>
      <c r="H208" s="22"/>
    </row>
    <row r="209" customFormat="false" ht="15" hidden="false" customHeight="false" outlineLevel="0" collapsed="false">
      <c r="A209" s="21" t="n">
        <v>46288</v>
      </c>
      <c r="B209" s="22" t="s">
        <v>90</v>
      </c>
      <c r="C209" s="22" t="str">
        <f aca="false">IFERROR(INDEX(Medidores!$B:$B,MATCH(B209,Medidores!$A:$A,0)),B209)</f>
        <v>L16</v>
      </c>
      <c r="D209" s="24" t="n">
        <v>6252.8</v>
      </c>
      <c r="E209" s="24"/>
      <c r="F209" s="24"/>
      <c r="G209" s="22" t="s">
        <v>411</v>
      </c>
      <c r="H209" s="22"/>
    </row>
    <row r="210" customFormat="false" ht="15" hidden="false" customHeight="false" outlineLevel="0" collapsed="false">
      <c r="A210" s="21" t="n">
        <v>46289</v>
      </c>
      <c r="B210" s="22" t="s">
        <v>90</v>
      </c>
      <c r="C210" s="22" t="str">
        <f aca="false">IFERROR(INDEX(Medidores!$B:$B,MATCH(B210,Medidores!$A:$A,0)),B210)</f>
        <v>L16</v>
      </c>
      <c r="D210" s="24" t="n">
        <v>6257.3</v>
      </c>
      <c r="E210" s="24"/>
      <c r="F210" s="24"/>
      <c r="G210" s="22" t="s">
        <v>411</v>
      </c>
      <c r="H210" s="22"/>
    </row>
    <row r="211" customFormat="false" ht="15" hidden="false" customHeight="false" outlineLevel="0" collapsed="false">
      <c r="A211" s="21" t="n">
        <v>46290</v>
      </c>
      <c r="B211" s="22" t="s">
        <v>90</v>
      </c>
      <c r="C211" s="22" t="str">
        <f aca="false">IFERROR(INDEX(Medidores!$B:$B,MATCH(B211,Medidores!$A:$A,0)),B211)</f>
        <v>L16</v>
      </c>
      <c r="D211" s="24" t="n">
        <v>6309.1</v>
      </c>
      <c r="E211" s="24"/>
      <c r="F211" s="24"/>
      <c r="G211" s="22" t="s">
        <v>411</v>
      </c>
      <c r="H211" s="22"/>
    </row>
    <row r="212" customFormat="false" ht="15" hidden="false" customHeight="false" outlineLevel="0" collapsed="false">
      <c r="A212" s="21" t="n">
        <v>46296</v>
      </c>
      <c r="B212" s="22" t="s">
        <v>90</v>
      </c>
      <c r="C212" s="22" t="str">
        <f aca="false">IFERROR(INDEX(Medidores!$B:$B,MATCH(B212,Medidores!$A:$A,0)),B212)</f>
        <v>L16</v>
      </c>
      <c r="D212" s="24" t="n">
        <v>6476.884</v>
      </c>
      <c r="E212" s="24" t="n">
        <v>1710.104</v>
      </c>
      <c r="F212" s="24" t="n">
        <v>8030.58</v>
      </c>
      <c r="G212" s="22" t="s">
        <v>412</v>
      </c>
      <c r="H212" s="22"/>
    </row>
    <row r="213" customFormat="false" ht="15" hidden="false" customHeight="false" outlineLevel="0" collapsed="false">
      <c r="A213" s="21" t="n">
        <v>46297</v>
      </c>
      <c r="B213" s="22" t="s">
        <v>90</v>
      </c>
      <c r="C213" s="22" t="str">
        <f aca="false">IFERROR(INDEX(Medidores!$B:$B,MATCH(B213,Medidores!$A:$A,0)),B213)</f>
        <v>L16</v>
      </c>
      <c r="D213" s="24" t="n">
        <v>6539.505</v>
      </c>
      <c r="E213" s="24" t="n">
        <v>1733.436</v>
      </c>
      <c r="F213" s="24" t="n">
        <v>8100.672</v>
      </c>
      <c r="G213" s="22" t="s">
        <v>412</v>
      </c>
      <c r="H213" s="22"/>
    </row>
    <row r="214" customFormat="false" ht="15" hidden="false" customHeight="false" outlineLevel="0" collapsed="false">
      <c r="A214" s="21" t="n">
        <v>46300</v>
      </c>
      <c r="B214" s="22" t="s">
        <v>90</v>
      </c>
      <c r="C214" s="22" t="str">
        <f aca="false">IFERROR(INDEX(Medidores!$B:$B,MATCH(B214,Medidores!$A:$A,0)),B214)</f>
        <v>L16</v>
      </c>
      <c r="D214" s="24" t="n">
        <v>6588.672</v>
      </c>
      <c r="E214" s="24" t="n">
        <v>1750.864</v>
      </c>
      <c r="F214" s="24" t="n">
        <v>8168.848</v>
      </c>
      <c r="G214" s="22" t="s">
        <v>413</v>
      </c>
      <c r="H214" s="22"/>
    </row>
    <row r="215" customFormat="false" ht="15" hidden="false" customHeight="false" outlineLevel="0" collapsed="false">
      <c r="A215" s="21" t="n">
        <v>46301</v>
      </c>
      <c r="B215" s="22" t="s">
        <v>90</v>
      </c>
      <c r="C215" s="22" t="str">
        <f aca="false">IFERROR(INDEX(Medidores!$B:$B,MATCH(B215,Medidores!$A:$A,0)),B215)</f>
        <v>L16</v>
      </c>
      <c r="D215" s="24" t="n">
        <v>6591.445</v>
      </c>
      <c r="E215" s="24" t="n">
        <v>1750.864</v>
      </c>
      <c r="F215" s="24" t="n">
        <v>8172.152</v>
      </c>
      <c r="G215" s="22" t="s">
        <v>413</v>
      </c>
      <c r="H215" s="22"/>
    </row>
    <row r="216" customFormat="false" ht="15" hidden="false" customHeight="false" outlineLevel="0" collapsed="false">
      <c r="A216" s="21" t="n">
        <v>46302</v>
      </c>
      <c r="B216" s="22" t="s">
        <v>90</v>
      </c>
      <c r="C216" s="22" t="str">
        <f aca="false">IFERROR(INDEX(Medidores!$B:$B,MATCH(B216,Medidores!$A:$A,0)),B216)</f>
        <v>L16</v>
      </c>
      <c r="D216" s="24" t="n">
        <v>6593.891</v>
      </c>
      <c r="E216" s="24" t="n">
        <v>1750.864</v>
      </c>
      <c r="F216" s="24" t="n">
        <v>8186.359</v>
      </c>
      <c r="G216" s="22" t="s">
        <v>413</v>
      </c>
      <c r="H216" s="22"/>
    </row>
    <row r="217" customFormat="false" ht="15" hidden="false" customHeight="false" outlineLevel="0" collapsed="false">
      <c r="A217" s="21" t="n">
        <v>46296</v>
      </c>
      <c r="B217" s="22" t="s">
        <v>91</v>
      </c>
      <c r="C217" s="22" t="str">
        <f aca="false">IFERROR(INDEX(Medidores!$B:$B,MATCH(B217,Medidores!$A:$A,0)),B217)</f>
        <v>Estación planta</v>
      </c>
      <c r="D217" s="24" t="n">
        <v>104388.813</v>
      </c>
      <c r="E217" s="24" t="n">
        <v>22639.826</v>
      </c>
      <c r="F217" s="24" t="n">
        <v>107339.219</v>
      </c>
      <c r="G217" s="22" t="s">
        <v>412</v>
      </c>
      <c r="H217" s="22"/>
    </row>
    <row r="218" customFormat="false" ht="15" hidden="false" customHeight="false" outlineLevel="0" collapsed="false">
      <c r="A218" s="21" t="n">
        <v>46300</v>
      </c>
      <c r="B218" s="22" t="s">
        <v>91</v>
      </c>
      <c r="C218" s="22" t="str">
        <f aca="false">IFERROR(INDEX(Medidores!$B:$B,MATCH(B218,Medidores!$A:$A,0)),B218)</f>
        <v>Estación planta</v>
      </c>
      <c r="D218" s="24" t="n">
        <v>105945.828</v>
      </c>
      <c r="E218" s="24" t="n">
        <v>22735.828</v>
      </c>
      <c r="F218" s="24" t="n">
        <v>108901.086</v>
      </c>
      <c r="G218" s="22" t="s">
        <v>413</v>
      </c>
      <c r="H218" s="22" t="s">
        <v>418</v>
      </c>
    </row>
    <row r="219" customFormat="false" ht="15" hidden="false" customHeight="false" outlineLevel="0" collapsed="false">
      <c r="A219" s="21" t="n">
        <v>46302</v>
      </c>
      <c r="B219" s="22" t="s">
        <v>91</v>
      </c>
      <c r="C219" s="22" t="str">
        <f aca="false">IFERROR(INDEX(Medidores!$B:$B,MATCH(B219,Medidores!$A:$A,0)),B219)</f>
        <v>Estación planta</v>
      </c>
      <c r="D219" s="24" t="n">
        <v>106855.727</v>
      </c>
      <c r="E219" s="24" t="n">
        <v>22792.496</v>
      </c>
      <c r="F219" s="24" t="n">
        <v>109813.359</v>
      </c>
      <c r="G219" s="22" t="s">
        <v>413</v>
      </c>
      <c r="H219" s="22"/>
    </row>
    <row r="220" customFormat="false" ht="15" hidden="false" customHeight="false" outlineLevel="0" collapsed="false">
      <c r="A220" s="21" t="n">
        <v>46296</v>
      </c>
      <c r="B220" s="22" t="s">
        <v>92</v>
      </c>
      <c r="C220" s="22" t="str">
        <f aca="false">IFERROR(INDEX(Medidores!$B:$B,MATCH(B220,Medidores!$A:$A,0)),B220)</f>
        <v>Estación celda 3</v>
      </c>
      <c r="D220" s="24" t="n">
        <v>260229.453</v>
      </c>
      <c r="E220" s="24" t="n">
        <v>106908.547</v>
      </c>
      <c r="F220" s="24" t="n">
        <v>282926.844</v>
      </c>
      <c r="G220" s="22" t="s">
        <v>412</v>
      </c>
      <c r="H220" s="22"/>
    </row>
    <row r="221" customFormat="false" ht="15" hidden="false" customHeight="false" outlineLevel="0" collapsed="false">
      <c r="A221" s="21" t="n">
        <v>46300</v>
      </c>
      <c r="B221" s="22" t="s">
        <v>92</v>
      </c>
      <c r="C221" s="22" t="str">
        <f aca="false">IFERROR(INDEX(Medidores!$B:$B,MATCH(B221,Medidores!$A:$A,0)),B221)</f>
        <v>Estación celda 3</v>
      </c>
      <c r="D221" s="24" t="n">
        <v>263414.594</v>
      </c>
      <c r="E221" s="24" t="n">
        <v>108266.992</v>
      </c>
      <c r="F221" s="24" t="n">
        <v>286418.906</v>
      </c>
      <c r="G221" s="22" t="s">
        <v>413</v>
      </c>
      <c r="H221" s="22"/>
    </row>
    <row r="222" customFormat="false" ht="15" hidden="false" customHeight="false" outlineLevel="0" collapsed="false">
      <c r="A222" s="21" t="n">
        <v>46302</v>
      </c>
      <c r="B222" s="22" t="s">
        <v>92</v>
      </c>
      <c r="C222" s="22" t="str">
        <f aca="false">IFERROR(INDEX(Medidores!$B:$B,MATCH(B222,Medidores!$A:$A,0)),B222)</f>
        <v>Estación celda 3</v>
      </c>
      <c r="D222" s="24" t="n">
        <v>265568.719</v>
      </c>
      <c r="E222" s="24" t="n">
        <v>109333.859</v>
      </c>
      <c r="F222" s="24" t="n">
        <v>288829</v>
      </c>
      <c r="G222" s="22" t="s">
        <v>413</v>
      </c>
      <c r="H222" s="22"/>
    </row>
    <row r="223" customFormat="false" ht="15" hidden="false" customHeight="false" outlineLevel="0" collapsed="false">
      <c r="A223" s="21" t="n">
        <v>46217</v>
      </c>
      <c r="B223" s="22" t="s">
        <v>375</v>
      </c>
      <c r="C223" s="22" t="str">
        <f aca="false">IFERROR(INDEX(Medidores!$B:$B,MATCH(B223,Medidores!$A:$A,0)),B223)</f>
        <v>L19</v>
      </c>
      <c r="D223" s="24" t="n">
        <v>10486</v>
      </c>
      <c r="E223" s="24"/>
      <c r="F223" s="24"/>
      <c r="G223" s="22" t="s">
        <v>402</v>
      </c>
      <c r="H223" s="22"/>
    </row>
    <row r="224" customFormat="false" ht="15" hidden="false" customHeight="false" outlineLevel="0" collapsed="false">
      <c r="A224" s="21" t="n">
        <v>46218</v>
      </c>
      <c r="B224" s="22" t="s">
        <v>375</v>
      </c>
      <c r="C224" s="22" t="str">
        <f aca="false">IFERROR(INDEX(Medidores!$B:$B,MATCH(B224,Medidores!$A:$A,0)),B224)</f>
        <v>L19</v>
      </c>
      <c r="D224" s="24" t="n">
        <v>10545</v>
      </c>
      <c r="E224" s="24"/>
      <c r="F224" s="24"/>
      <c r="G224" s="22" t="s">
        <v>402</v>
      </c>
      <c r="H224" s="22"/>
    </row>
    <row r="225" customFormat="false" ht="15" hidden="false" customHeight="false" outlineLevel="0" collapsed="false">
      <c r="A225" s="21" t="n">
        <v>46219</v>
      </c>
      <c r="B225" s="22" t="s">
        <v>375</v>
      </c>
      <c r="C225" s="22" t="str">
        <f aca="false">IFERROR(INDEX(Medidores!$B:$B,MATCH(B225,Medidores!$A:$A,0)),B225)</f>
        <v>L19</v>
      </c>
      <c r="D225" s="24" t="n">
        <v>10613</v>
      </c>
      <c r="E225" s="24"/>
      <c r="F225" s="24"/>
      <c r="G225" s="22" t="s">
        <v>402</v>
      </c>
      <c r="H225" s="22"/>
    </row>
    <row r="226" customFormat="false" ht="15" hidden="false" customHeight="false" outlineLevel="0" collapsed="false">
      <c r="A226" s="21" t="n">
        <v>46220</v>
      </c>
      <c r="B226" s="22" t="s">
        <v>375</v>
      </c>
      <c r="C226" s="22" t="str">
        <f aca="false">IFERROR(INDEX(Medidores!$B:$B,MATCH(B226,Medidores!$A:$A,0)),B226)</f>
        <v>L19</v>
      </c>
      <c r="D226" s="24" t="n">
        <v>10680</v>
      </c>
      <c r="E226" s="24"/>
      <c r="F226" s="24"/>
      <c r="G226" s="22" t="s">
        <v>402</v>
      </c>
      <c r="H226" s="22"/>
    </row>
    <row r="227" customFormat="false" ht="15" hidden="false" customHeight="false" outlineLevel="0" collapsed="false">
      <c r="A227" s="21" t="n">
        <v>46224</v>
      </c>
      <c r="B227" s="22" t="s">
        <v>375</v>
      </c>
      <c r="C227" s="22" t="str">
        <f aca="false">IFERROR(INDEX(Medidores!$B:$B,MATCH(B227,Medidores!$A:$A,0)),B227)</f>
        <v>L19</v>
      </c>
      <c r="D227" s="24" t="n">
        <v>10846</v>
      </c>
      <c r="E227" s="24"/>
      <c r="F227" s="24"/>
      <c r="G227" s="22" t="s">
        <v>404</v>
      </c>
      <c r="H227" s="22"/>
    </row>
    <row r="228" customFormat="false" ht="15" hidden="false" customHeight="false" outlineLevel="0" collapsed="false">
      <c r="A228" s="21" t="n">
        <v>46225</v>
      </c>
      <c r="B228" s="22" t="s">
        <v>375</v>
      </c>
      <c r="C228" s="22" t="str">
        <f aca="false">IFERROR(INDEX(Medidores!$B:$B,MATCH(B228,Medidores!$A:$A,0)),B228)</f>
        <v>L19</v>
      </c>
      <c r="D228" s="24" t="n">
        <v>10906</v>
      </c>
      <c r="E228" s="24"/>
      <c r="F228" s="24"/>
      <c r="G228" s="22" t="s">
        <v>404</v>
      </c>
      <c r="H228" s="22"/>
    </row>
    <row r="229" customFormat="false" ht="15" hidden="false" customHeight="false" outlineLevel="0" collapsed="false">
      <c r="A229" s="21" t="n">
        <v>46226</v>
      </c>
      <c r="B229" s="22" t="s">
        <v>375</v>
      </c>
      <c r="C229" s="22" t="str">
        <f aca="false">IFERROR(INDEX(Medidores!$B:$B,MATCH(B229,Medidores!$A:$A,0)),B229)</f>
        <v>L19</v>
      </c>
      <c r="D229" s="24" t="n">
        <v>10967</v>
      </c>
      <c r="E229" s="24"/>
      <c r="F229" s="24"/>
      <c r="G229" s="22" t="s">
        <v>404</v>
      </c>
      <c r="H229" s="22"/>
    </row>
    <row r="230" customFormat="false" ht="15" hidden="false" customHeight="false" outlineLevel="0" collapsed="false">
      <c r="A230" s="21" t="n">
        <v>46227</v>
      </c>
      <c r="B230" s="22" t="s">
        <v>375</v>
      </c>
      <c r="C230" s="22" t="str">
        <f aca="false">IFERROR(INDEX(Medidores!$B:$B,MATCH(B230,Medidores!$A:$A,0)),B230)</f>
        <v>L19</v>
      </c>
      <c r="D230" s="24" t="n">
        <v>11016</v>
      </c>
      <c r="E230" s="24"/>
      <c r="F230" s="24"/>
      <c r="G230" s="22" t="s">
        <v>404</v>
      </c>
      <c r="H230" s="22"/>
    </row>
    <row r="231" customFormat="false" ht="15" hidden="false" customHeight="false" outlineLevel="0" collapsed="false">
      <c r="A231" s="21" t="n">
        <v>46230</v>
      </c>
      <c r="B231" s="22" t="s">
        <v>375</v>
      </c>
      <c r="C231" s="22" t="str">
        <f aca="false">IFERROR(INDEX(Medidores!$B:$B,MATCH(B231,Medidores!$A:$A,0)),B231)</f>
        <v>L19</v>
      </c>
      <c r="D231" s="24" t="n">
        <v>11121</v>
      </c>
      <c r="E231" s="24"/>
      <c r="F231" s="24"/>
      <c r="G231" s="22" t="s">
        <v>405</v>
      </c>
      <c r="H231" s="22"/>
    </row>
    <row r="232" customFormat="false" ht="15" hidden="false" customHeight="false" outlineLevel="0" collapsed="false">
      <c r="A232" s="21" t="n">
        <v>46231</v>
      </c>
      <c r="B232" s="22" t="s">
        <v>375</v>
      </c>
      <c r="C232" s="22" t="str">
        <f aca="false">IFERROR(INDEX(Medidores!$B:$B,MATCH(B232,Medidores!$A:$A,0)),B232)</f>
        <v>L19</v>
      </c>
      <c r="D232" s="24" t="n">
        <v>11176</v>
      </c>
      <c r="E232" s="24"/>
      <c r="F232" s="24"/>
      <c r="G232" s="22" t="s">
        <v>405</v>
      </c>
      <c r="H232" s="22"/>
    </row>
    <row r="233" customFormat="false" ht="15" hidden="false" customHeight="false" outlineLevel="0" collapsed="false">
      <c r="A233" s="21" t="n">
        <v>46232</v>
      </c>
      <c r="B233" s="22" t="s">
        <v>375</v>
      </c>
      <c r="C233" s="22" t="str">
        <f aca="false">IFERROR(INDEX(Medidores!$B:$B,MATCH(B233,Medidores!$A:$A,0)),B233)</f>
        <v>L19</v>
      </c>
      <c r="D233" s="24" t="n">
        <v>11222</v>
      </c>
      <c r="E233" s="24"/>
      <c r="F233" s="24"/>
      <c r="G233" s="22" t="s">
        <v>405</v>
      </c>
      <c r="H233" s="22"/>
    </row>
    <row r="234" customFormat="false" ht="15" hidden="false" customHeight="false" outlineLevel="0" collapsed="false">
      <c r="A234" s="21" t="n">
        <v>46233</v>
      </c>
      <c r="B234" s="22" t="s">
        <v>375</v>
      </c>
      <c r="C234" s="22" t="str">
        <f aca="false">IFERROR(INDEX(Medidores!$B:$B,MATCH(B234,Medidores!$A:$A,0)),B234)</f>
        <v>L19</v>
      </c>
      <c r="D234" s="24" t="n">
        <v>11308</v>
      </c>
      <c r="E234" s="24"/>
      <c r="F234" s="24"/>
      <c r="G234" s="22" t="s">
        <v>405</v>
      </c>
      <c r="H234" s="22"/>
    </row>
    <row r="235" customFormat="false" ht="15" hidden="false" customHeight="false" outlineLevel="0" collapsed="false">
      <c r="A235" s="21" t="n">
        <v>46234</v>
      </c>
      <c r="B235" s="22" t="s">
        <v>375</v>
      </c>
      <c r="C235" s="22" t="str">
        <f aca="false">IFERROR(INDEX(Medidores!$B:$B,MATCH(B235,Medidores!$A:$A,0)),B235)</f>
        <v>L19</v>
      </c>
      <c r="D235" s="24" t="n">
        <v>11342</v>
      </c>
      <c r="E235" s="24"/>
      <c r="F235" s="24"/>
      <c r="G235" s="22" t="s">
        <v>405</v>
      </c>
      <c r="H235" s="22"/>
    </row>
    <row r="236" customFormat="false" ht="15" hidden="false" customHeight="false" outlineLevel="0" collapsed="false">
      <c r="A236" s="21" t="n">
        <v>46237</v>
      </c>
      <c r="B236" s="22" t="s">
        <v>375</v>
      </c>
      <c r="C236" s="22" t="str">
        <f aca="false">IFERROR(INDEX(Medidores!$B:$B,MATCH(B236,Medidores!$A:$A,0)),B236)</f>
        <v>L19</v>
      </c>
      <c r="D236" s="24" t="n">
        <v>11400</v>
      </c>
      <c r="E236" s="24"/>
      <c r="F236" s="24"/>
      <c r="G236" s="22" t="s">
        <v>406</v>
      </c>
      <c r="H236" s="22"/>
    </row>
    <row r="237" customFormat="false" ht="15" hidden="false" customHeight="false" outlineLevel="0" collapsed="false">
      <c r="A237" s="21" t="n">
        <v>46238</v>
      </c>
      <c r="B237" s="22" t="s">
        <v>375</v>
      </c>
      <c r="C237" s="22" t="str">
        <f aca="false">IFERROR(INDEX(Medidores!$B:$B,MATCH(B237,Medidores!$A:$A,0)),B237)</f>
        <v>L19</v>
      </c>
      <c r="D237" s="24" t="n">
        <v>11466</v>
      </c>
      <c r="E237" s="24"/>
      <c r="F237" s="24"/>
      <c r="G237" s="22" t="s">
        <v>406</v>
      </c>
      <c r="H237" s="22"/>
    </row>
    <row r="238" customFormat="false" ht="15" hidden="false" customHeight="false" outlineLevel="0" collapsed="false">
      <c r="A238" s="21" t="n">
        <v>46239</v>
      </c>
      <c r="B238" s="22" t="s">
        <v>375</v>
      </c>
      <c r="C238" s="22" t="str">
        <f aca="false">IFERROR(INDEX(Medidores!$B:$B,MATCH(B238,Medidores!$A:$A,0)),B238)</f>
        <v>L19</v>
      </c>
      <c r="D238" s="24" t="n">
        <v>11543</v>
      </c>
      <c r="E238" s="24"/>
      <c r="F238" s="24"/>
      <c r="G238" s="22" t="s">
        <v>406</v>
      </c>
      <c r="H238" s="22"/>
    </row>
    <row r="239" customFormat="false" ht="15" hidden="false" customHeight="false" outlineLevel="0" collapsed="false">
      <c r="A239" s="21" t="n">
        <v>46240</v>
      </c>
      <c r="B239" s="22" t="s">
        <v>375</v>
      </c>
      <c r="C239" s="22" t="str">
        <f aca="false">IFERROR(INDEX(Medidores!$B:$B,MATCH(B239,Medidores!$A:$A,0)),B239)</f>
        <v>L19</v>
      </c>
      <c r="D239" s="24" t="n">
        <v>11648</v>
      </c>
      <c r="E239" s="24"/>
      <c r="F239" s="24"/>
      <c r="G239" s="22" t="s">
        <v>406</v>
      </c>
      <c r="H239" s="22"/>
    </row>
    <row r="240" customFormat="false" ht="15" hidden="false" customHeight="false" outlineLevel="0" collapsed="false">
      <c r="A240" s="21" t="n">
        <v>46252</v>
      </c>
      <c r="B240" s="22" t="s">
        <v>375</v>
      </c>
      <c r="C240" s="22" t="str">
        <f aca="false">IFERROR(INDEX(Medidores!$B:$B,MATCH(B240,Medidores!$A:$A,0)),B240)</f>
        <v>L19</v>
      </c>
      <c r="D240" s="24" t="n">
        <v>11807</v>
      </c>
      <c r="E240" s="24"/>
      <c r="F240" s="24"/>
      <c r="G240" s="22" t="s">
        <v>407</v>
      </c>
      <c r="H240" s="22"/>
    </row>
    <row r="241" customFormat="false" ht="15" hidden="false" customHeight="false" outlineLevel="0" collapsed="false">
      <c r="A241" s="21" t="n">
        <v>46253</v>
      </c>
      <c r="B241" s="22" t="s">
        <v>375</v>
      </c>
      <c r="C241" s="22" t="str">
        <f aca="false">IFERROR(INDEX(Medidores!$B:$B,MATCH(B241,Medidores!$A:$A,0)),B241)</f>
        <v>L19</v>
      </c>
      <c r="D241" s="24" t="n">
        <v>11949</v>
      </c>
      <c r="E241" s="24"/>
      <c r="F241" s="24"/>
      <c r="G241" s="22" t="s">
        <v>407</v>
      </c>
      <c r="H241" s="22"/>
    </row>
    <row r="242" customFormat="false" ht="15" hidden="false" customHeight="false" outlineLevel="0" collapsed="false">
      <c r="A242" s="21" t="n">
        <v>46254</v>
      </c>
      <c r="B242" s="22" t="s">
        <v>375</v>
      </c>
      <c r="C242" s="22" t="str">
        <f aca="false">IFERROR(INDEX(Medidores!$B:$B,MATCH(B242,Medidores!$A:$A,0)),B242)</f>
        <v>L19</v>
      </c>
      <c r="D242" s="24" t="n">
        <v>11981</v>
      </c>
      <c r="E242" s="24"/>
      <c r="F242" s="24"/>
      <c r="G242" s="22" t="s">
        <v>407</v>
      </c>
      <c r="H242" s="22"/>
    </row>
    <row r="243" customFormat="false" ht="15" hidden="false" customHeight="false" outlineLevel="0" collapsed="false">
      <c r="A243" s="21" t="n">
        <v>46258</v>
      </c>
      <c r="B243" s="22" t="s">
        <v>375</v>
      </c>
      <c r="C243" s="22" t="str">
        <f aca="false">IFERROR(INDEX(Medidores!$B:$B,MATCH(B243,Medidores!$A:$A,0)),B243)</f>
        <v>L19</v>
      </c>
      <c r="D243" s="24" t="n">
        <v>12099</v>
      </c>
      <c r="E243" s="24"/>
      <c r="F243" s="24"/>
      <c r="G243" s="22" t="s">
        <v>408</v>
      </c>
      <c r="H243" s="22"/>
    </row>
    <row r="244" customFormat="false" ht="15" hidden="false" customHeight="false" outlineLevel="0" collapsed="false">
      <c r="A244" s="21" t="n">
        <v>46259</v>
      </c>
      <c r="B244" s="22" t="s">
        <v>375</v>
      </c>
      <c r="C244" s="22" t="str">
        <f aca="false">IFERROR(INDEX(Medidores!$B:$B,MATCH(B244,Medidores!$A:$A,0)),B244)</f>
        <v>L19</v>
      </c>
      <c r="D244" s="24" t="n">
        <v>12169</v>
      </c>
      <c r="E244" s="24"/>
      <c r="F244" s="24"/>
      <c r="G244" s="22" t="s">
        <v>408</v>
      </c>
      <c r="H244" s="22"/>
    </row>
    <row r="245" customFormat="false" ht="15" hidden="false" customHeight="false" outlineLevel="0" collapsed="false">
      <c r="A245" s="21" t="n">
        <v>46260</v>
      </c>
      <c r="B245" s="22" t="s">
        <v>375</v>
      </c>
      <c r="C245" s="22" t="str">
        <f aca="false">IFERROR(INDEX(Medidores!$B:$B,MATCH(B245,Medidores!$A:$A,0)),B245)</f>
        <v>L19</v>
      </c>
      <c r="D245" s="24" t="n">
        <v>12237</v>
      </c>
      <c r="E245" s="24"/>
      <c r="F245" s="24"/>
      <c r="G245" s="22" t="s">
        <v>408</v>
      </c>
      <c r="H245" s="22"/>
    </row>
    <row r="246" customFormat="false" ht="15" hidden="false" customHeight="false" outlineLevel="0" collapsed="false">
      <c r="A246" s="21" t="n">
        <v>46261</v>
      </c>
      <c r="B246" s="22" t="s">
        <v>375</v>
      </c>
      <c r="C246" s="22" t="str">
        <f aca="false">IFERROR(INDEX(Medidores!$B:$B,MATCH(B246,Medidores!$A:$A,0)),B246)</f>
        <v>L19</v>
      </c>
      <c r="D246" s="24" t="n">
        <v>12305</v>
      </c>
      <c r="E246" s="24"/>
      <c r="F246" s="24"/>
      <c r="G246" s="22" t="s">
        <v>408</v>
      </c>
      <c r="H246" s="22"/>
    </row>
    <row r="247" customFormat="false" ht="15" hidden="false" customHeight="false" outlineLevel="0" collapsed="false">
      <c r="A247" s="21" t="n">
        <v>46262</v>
      </c>
      <c r="B247" s="22" t="s">
        <v>375</v>
      </c>
      <c r="C247" s="22" t="str">
        <f aca="false">IFERROR(INDEX(Medidores!$B:$B,MATCH(B247,Medidores!$A:$A,0)),B247)</f>
        <v>L19</v>
      </c>
      <c r="D247" s="24" t="n">
        <v>12374</v>
      </c>
      <c r="E247" s="24"/>
      <c r="F247" s="24"/>
      <c r="G247" s="22" t="s">
        <v>408</v>
      </c>
      <c r="H247" s="22"/>
    </row>
    <row r="248" customFormat="false" ht="15" hidden="false" customHeight="false" outlineLevel="0" collapsed="false">
      <c r="A248" s="21" t="n">
        <v>46265</v>
      </c>
      <c r="B248" s="22" t="s">
        <v>375</v>
      </c>
      <c r="C248" s="22" t="str">
        <f aca="false">IFERROR(INDEX(Medidores!$B:$B,MATCH(B248,Medidores!$A:$A,0)),B248)</f>
        <v>L19</v>
      </c>
      <c r="D248" s="24" t="n">
        <v>12533</v>
      </c>
      <c r="E248" s="24"/>
      <c r="F248" s="24"/>
      <c r="G248" s="22" t="s">
        <v>409</v>
      </c>
      <c r="H248" s="22"/>
    </row>
    <row r="249" customFormat="false" ht="15" hidden="false" customHeight="false" outlineLevel="0" collapsed="false">
      <c r="A249" s="21" t="n">
        <v>46266</v>
      </c>
      <c r="B249" s="22" t="s">
        <v>375</v>
      </c>
      <c r="C249" s="22" t="str">
        <f aca="false">IFERROR(INDEX(Medidores!$B:$B,MATCH(B249,Medidores!$A:$A,0)),B249)</f>
        <v>L19</v>
      </c>
      <c r="D249" s="24" t="n">
        <v>12561</v>
      </c>
      <c r="E249" s="24"/>
      <c r="F249" s="24"/>
      <c r="G249" s="22" t="s">
        <v>409</v>
      </c>
      <c r="H249" s="22"/>
    </row>
    <row r="250" customFormat="false" ht="15" hidden="false" customHeight="false" outlineLevel="0" collapsed="false">
      <c r="A250" s="21" t="n">
        <v>46267</v>
      </c>
      <c r="B250" s="22" t="s">
        <v>375</v>
      </c>
      <c r="C250" s="22" t="str">
        <f aca="false">IFERROR(INDEX(Medidores!$B:$B,MATCH(B250,Medidores!$A:$A,0)),B250)</f>
        <v>L19</v>
      </c>
      <c r="D250" s="24" t="n">
        <v>12638</v>
      </c>
      <c r="E250" s="24"/>
      <c r="F250" s="24"/>
      <c r="G250" s="22" t="s">
        <v>409</v>
      </c>
      <c r="H250" s="22"/>
    </row>
    <row r="251" customFormat="false" ht="15" hidden="false" customHeight="false" outlineLevel="0" collapsed="false">
      <c r="A251" s="21" t="n">
        <v>46268</v>
      </c>
      <c r="B251" s="22" t="s">
        <v>375</v>
      </c>
      <c r="C251" s="22" t="str">
        <f aca="false">IFERROR(INDEX(Medidores!$B:$B,MATCH(B251,Medidores!$A:$A,0)),B251)</f>
        <v>L19</v>
      </c>
      <c r="D251" s="24" t="n">
        <v>12717</v>
      </c>
      <c r="E251" s="24"/>
      <c r="F251" s="24"/>
      <c r="G251" s="22" t="s">
        <v>409</v>
      </c>
      <c r="H251" s="22"/>
    </row>
    <row r="252" customFormat="false" ht="15" hidden="false" customHeight="false" outlineLevel="0" collapsed="false">
      <c r="A252" s="21" t="n">
        <v>46269</v>
      </c>
      <c r="B252" s="22" t="s">
        <v>375</v>
      </c>
      <c r="C252" s="22" t="str">
        <f aca="false">IFERROR(INDEX(Medidores!$B:$B,MATCH(B252,Medidores!$A:$A,0)),B252)</f>
        <v>L19</v>
      </c>
      <c r="D252" s="24" t="n">
        <v>12787</v>
      </c>
      <c r="E252" s="24"/>
      <c r="F252" s="24"/>
      <c r="G252" s="22" t="s">
        <v>409</v>
      </c>
      <c r="H252" s="22"/>
    </row>
    <row r="253" customFormat="false" ht="15" hidden="false" customHeight="false" outlineLevel="0" collapsed="false">
      <c r="A253" s="21" t="n">
        <v>46272</v>
      </c>
      <c r="B253" s="22" t="s">
        <v>375</v>
      </c>
      <c r="C253" s="22" t="str">
        <f aca="false">IFERROR(INDEX(Medidores!$B:$B,MATCH(B253,Medidores!$A:$A,0)),B253)</f>
        <v>L19</v>
      </c>
      <c r="D253" s="24" t="n">
        <v>12859</v>
      </c>
      <c r="E253" s="24"/>
      <c r="F253" s="24"/>
      <c r="G253" s="22" t="s">
        <v>410</v>
      </c>
      <c r="H253" s="22"/>
    </row>
    <row r="254" customFormat="false" ht="15" hidden="false" customHeight="false" outlineLevel="0" collapsed="false">
      <c r="A254" s="21" t="n">
        <v>46273</v>
      </c>
      <c r="B254" s="22" t="s">
        <v>375</v>
      </c>
      <c r="C254" s="22" t="str">
        <f aca="false">IFERROR(INDEX(Medidores!$B:$B,MATCH(B254,Medidores!$A:$A,0)),B254)</f>
        <v>L19</v>
      </c>
      <c r="D254" s="24" t="n">
        <v>12934</v>
      </c>
      <c r="E254" s="24"/>
      <c r="F254" s="24"/>
      <c r="G254" s="22" t="s">
        <v>410</v>
      </c>
      <c r="H254" s="22"/>
    </row>
    <row r="255" customFormat="false" ht="15" hidden="false" customHeight="false" outlineLevel="0" collapsed="false">
      <c r="A255" s="21" t="n">
        <v>46274</v>
      </c>
      <c r="B255" s="22" t="s">
        <v>375</v>
      </c>
      <c r="C255" s="22" t="str">
        <f aca="false">IFERROR(INDEX(Medidores!$B:$B,MATCH(B255,Medidores!$A:$A,0)),B255)</f>
        <v>L19</v>
      </c>
      <c r="D255" s="24" t="n">
        <v>13011</v>
      </c>
      <c r="E255" s="24"/>
      <c r="F255" s="24"/>
      <c r="G255" s="22" t="s">
        <v>410</v>
      </c>
      <c r="H255" s="22"/>
    </row>
    <row r="256" customFormat="false" ht="15" hidden="false" customHeight="false" outlineLevel="0" collapsed="false">
      <c r="A256" s="21" t="n">
        <v>46275</v>
      </c>
      <c r="B256" s="22" t="s">
        <v>375</v>
      </c>
      <c r="C256" s="22" t="str">
        <f aca="false">IFERROR(INDEX(Medidores!$B:$B,MATCH(B256,Medidores!$A:$A,0)),B256)</f>
        <v>L19</v>
      </c>
      <c r="D256" s="24" t="n">
        <v>13077</v>
      </c>
      <c r="E256" s="24"/>
      <c r="F256" s="24"/>
      <c r="G256" s="22" t="s">
        <v>410</v>
      </c>
      <c r="H256" s="22"/>
    </row>
    <row r="257" customFormat="false" ht="15" hidden="false" customHeight="false" outlineLevel="0" collapsed="false">
      <c r="A257" s="21" t="n">
        <v>46276</v>
      </c>
      <c r="B257" s="22" t="s">
        <v>375</v>
      </c>
      <c r="C257" s="22" t="str">
        <f aca="false">IFERROR(INDEX(Medidores!$B:$B,MATCH(B257,Medidores!$A:$A,0)),B257)</f>
        <v>L19</v>
      </c>
      <c r="D257" s="24" t="n">
        <v>13123</v>
      </c>
      <c r="E257" s="24"/>
      <c r="F257" s="24"/>
      <c r="G257" s="22" t="s">
        <v>410</v>
      </c>
      <c r="H257" s="22"/>
    </row>
    <row r="258" customFormat="false" ht="15" hidden="false" customHeight="false" outlineLevel="0" collapsed="false">
      <c r="A258" s="21" t="n">
        <v>46286</v>
      </c>
      <c r="B258" s="22" t="s">
        <v>375</v>
      </c>
      <c r="C258" s="22" t="str">
        <f aca="false">IFERROR(INDEX(Medidores!$B:$B,MATCH(B258,Medidores!$A:$A,0)),B258)</f>
        <v>L19</v>
      </c>
      <c r="D258" s="24" t="n">
        <v>13636</v>
      </c>
      <c r="E258" s="24"/>
      <c r="F258" s="24"/>
      <c r="G258" s="22" t="s">
        <v>411</v>
      </c>
      <c r="H258" s="22"/>
    </row>
    <row r="259" customFormat="false" ht="15" hidden="false" customHeight="false" outlineLevel="0" collapsed="false">
      <c r="A259" s="21" t="n">
        <v>46287</v>
      </c>
      <c r="B259" s="22" t="s">
        <v>375</v>
      </c>
      <c r="C259" s="22" t="str">
        <f aca="false">IFERROR(INDEX(Medidores!$B:$B,MATCH(B259,Medidores!$A:$A,0)),B259)</f>
        <v>L19</v>
      </c>
      <c r="D259" s="24" t="n">
        <v>13726</v>
      </c>
      <c r="E259" s="24"/>
      <c r="F259" s="24"/>
      <c r="G259" s="22" t="s">
        <v>411</v>
      </c>
      <c r="H259" s="22"/>
    </row>
    <row r="260" customFormat="false" ht="15" hidden="false" customHeight="false" outlineLevel="0" collapsed="false">
      <c r="A260" s="21" t="n">
        <v>46288</v>
      </c>
      <c r="B260" s="22" t="s">
        <v>375</v>
      </c>
      <c r="C260" s="22" t="str">
        <f aca="false">IFERROR(INDEX(Medidores!$B:$B,MATCH(B260,Medidores!$A:$A,0)),B260)</f>
        <v>L19</v>
      </c>
      <c r="D260" s="24" t="n">
        <v>13824</v>
      </c>
      <c r="E260" s="24"/>
      <c r="F260" s="24"/>
      <c r="G260" s="22" t="s">
        <v>411</v>
      </c>
      <c r="H260" s="22"/>
    </row>
    <row r="261" customFormat="false" ht="15" hidden="false" customHeight="false" outlineLevel="0" collapsed="false">
      <c r="A261" s="21" t="n">
        <v>46289</v>
      </c>
      <c r="B261" s="22" t="s">
        <v>375</v>
      </c>
      <c r="C261" s="22" t="str">
        <f aca="false">IFERROR(INDEX(Medidores!$B:$B,MATCH(B261,Medidores!$A:$A,0)),B261)</f>
        <v>L19</v>
      </c>
      <c r="D261" s="24" t="n">
        <v>13887</v>
      </c>
      <c r="E261" s="24"/>
      <c r="F261" s="24"/>
      <c r="G261" s="22" t="s">
        <v>411</v>
      </c>
      <c r="H261" s="22"/>
    </row>
    <row r="262" customFormat="false" ht="15" hidden="false" customHeight="false" outlineLevel="0" collapsed="false">
      <c r="A262" s="21" t="n">
        <v>46290</v>
      </c>
      <c r="B262" s="22" t="s">
        <v>375</v>
      </c>
      <c r="C262" s="22" t="str">
        <f aca="false">IFERROR(INDEX(Medidores!$B:$B,MATCH(B262,Medidores!$A:$A,0)),B262)</f>
        <v>L19</v>
      </c>
      <c r="D262" s="24" t="n">
        <v>13983</v>
      </c>
      <c r="E262" s="24"/>
      <c r="F262" s="24"/>
      <c r="G262" s="22" t="s">
        <v>411</v>
      </c>
      <c r="H262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7" t="s">
        <v>419</v>
      </c>
    </row>
    <row r="2" customFormat="false" ht="15" hidden="false" customHeight="false" outlineLevel="0" collapsed="false">
      <c r="A2" s="22" t="s">
        <v>420</v>
      </c>
    </row>
    <row r="3" customFormat="false" ht="15" hidden="false" customHeight="false" outlineLevel="0" collapsed="false">
      <c r="A3" s="22" t="s">
        <v>421</v>
      </c>
    </row>
    <row r="4" customFormat="false" ht="15" hidden="false" customHeight="false" outlineLevel="0" collapsed="false">
      <c r="A4" s="22" t="s">
        <v>422</v>
      </c>
    </row>
    <row r="5" customFormat="false" ht="15" hidden="false" customHeight="false" outlineLevel="0" collapsed="false">
      <c r="A5" s="22" t="s">
        <v>423</v>
      </c>
    </row>
    <row r="6" customFormat="false" ht="15" hidden="false" customHeight="false" outlineLevel="0" collapsed="false">
      <c r="A6" s="22" t="s">
        <v>424</v>
      </c>
    </row>
    <row r="7" customFormat="false" ht="15" hidden="false" customHeight="false" outlineLevel="0" collapsed="false">
      <c r="A7" s="22" t="s">
        <v>425</v>
      </c>
    </row>
    <row r="8" customFormat="false" ht="15" hidden="false" customHeight="false" outlineLevel="0" collapsed="false">
      <c r="A8" s="22" t="s">
        <v>426</v>
      </c>
    </row>
    <row r="9" customFormat="false" ht="15" hidden="false" customHeight="false" outlineLevel="0" collapsed="false">
      <c r="A9" s="22" t="s">
        <v>427</v>
      </c>
    </row>
    <row r="10" customFormat="false" ht="15" hidden="false" customHeight="false" outlineLevel="0" collapsed="false">
      <c r="A10" s="22" t="s">
        <v>428</v>
      </c>
    </row>
    <row r="11" customFormat="false" ht="15" hidden="false" customHeight="false" outlineLevel="0" collapsed="false">
      <c r="A11" s="22" t="s">
        <v>429</v>
      </c>
    </row>
    <row r="12" customFormat="false" ht="15" hidden="false" customHeight="false" outlineLevel="0" collapsed="false">
      <c r="A12" s="22" t="s">
        <v>430</v>
      </c>
    </row>
    <row r="13" customFormat="false" ht="15" hidden="false" customHeight="false" outlineLevel="0" collapsed="false">
      <c r="A13" s="2" t="s">
        <v>431</v>
      </c>
    </row>
    <row r="14" customFormat="false" ht="15" hidden="false" customHeight="false" outlineLevel="0" collapsed="false">
      <c r="A14" s="2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2026-10-13T13:27:19Z</dcterms:created>
  <dc:creator>openpyxl</dc:creator>
  <dc:description/>
  <dc:language>en-US</dc:language>
  <cp:lastModifiedBy/>
  <dcterms:modified xsi:type="dcterms:W3CDTF">2026-10-13T13:27:23Z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