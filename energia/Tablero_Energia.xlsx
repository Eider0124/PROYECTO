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" sheetId="1" state="visible" r:id="rId3"/>
    <sheet name="Datos" sheetId="2" state="visible" r:id="rId4"/>
    <sheet name="Medidores" sheetId="3" state="visible" r:id="rId5"/>
    <sheet name="Calc" sheetId="4" state="visible" r:id="rId6"/>
    <sheet name="Histórico" sheetId="5" state="visible" r:id="rId7"/>
    <sheet name="Instruccion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<sst xmlns="http://schemas.openxmlformats.org/spreadsheetml/2006/main" count="1366" uniqueCount="299">
  <si>
    <t xml:space="preserve">Monitoreo de Energía</t>
  </si>
  <si>
    <t xml:space="preserve">Data Log de medidores de planta · horas en hora de Colombia (los medidores en UTC se corrigen −5 h)</t>
  </si>
  <si>
    <t xml:space="preserve">DÍA</t>
  </si>
  <si>
    <t xml:space="preserve">HORA DE CORTE 24 h</t>
  </si>
  <si>
    <t xml:space="preserve">MEDIDOR PARA LA GRÁFICA DE 15 MIN</t>
  </si>
  <si>
    <t xml:space="preserve">Estación celda 1</t>
  </si>
  <si>
    <t xml:space="preserve">CONSUMO DEL PERIODO (kWh)</t>
  </si>
  <si>
    <t xml:space="preserve">DEMANDA MEDIA TOTAL (kW)</t>
  </si>
  <si>
    <t xml:space="preserve">CONSUMO 24 h AL CORTE (kWh)</t>
  </si>
  <si>
    <t xml:space="preserve">FACTOR DE POTENCIA</t>
  </si>
  <si>
    <t xml:space="preserve">MEDIDORES CON AVISO</t>
  </si>
  <si>
    <t xml:space="preserve">Línea</t>
  </si>
  <si>
    <t xml:space="preserve">IP</t>
  </si>
  <si>
    <t xml:space="preserve">Estado</t>
  </si>
  <si>
    <t xml:space="preserve">Desde</t>
  </si>
  <si>
    <t xml:space="preserve">Hasta</t>
  </si>
  <si>
    <t xml:space="preserve">Lecturas</t>
  </si>
  <si>
    <t xml:space="preserve">kWh</t>
  </si>
  <si>
    <t xml:space="preserve">kVARh</t>
  </si>
  <si>
    <t xml:space="preserve">kVAh</t>
  </si>
  <si>
    <t xml:space="preserve">kW medio</t>
  </si>
  <si>
    <t xml:space="preserve">FP</t>
  </si>
  <si>
    <t xml:space="preserve">kVARh / kWh</t>
  </si>
  <si>
    <t xml:space="preserve">kW máx 15 min</t>
  </si>
  <si>
    <t xml:space="preserve">Hora kW máx</t>
  </si>
  <si>
    <t xml:space="preserve">kWh 24 h al corte</t>
  </si>
  <si>
    <t xml:space="preserve">kW medio vs día anterior</t>
  </si>
  <si>
    <t xml:space="preserve">Última lectura kWh</t>
  </si>
  <si>
    <t xml:space="preserve">válidas</t>
  </si>
  <si>
    <t xml:space="preserve">en cero</t>
  </si>
  <si>
    <t xml:space="preserve">con kVAh</t>
  </si>
  <si>
    <t xml:space="preserve">kW medio día ant.</t>
  </si>
  <si>
    <t xml:space="preserve">Celdas amarillas: día y medidor se eligen de la lista; la hora de corte se escribe (ej. 11:00).</t>
  </si>
  <si>
    <t xml:space="preserve">kWh 24 h al corte = lectura del día a la hora de corte − lectura del día anterior a la misma hora. Requiere ambas lecturas.</t>
  </si>
  <si>
    <t xml:space="preserve">kVARh / kWh &gt; 50 %: la energía reactiva supera el límite de la CREG y se factura. FP en ámbar cuando es menor a 0.90.</t>
  </si>
  <si>
    <t xml:space="preserve">kW medio vs día anterior compara la demanda media del periodo registrado de cada día. Las lecturas en cero se excluyen.</t>
  </si>
  <si>
    <t xml:space="preserve">Fecha</t>
  </si>
  <si>
    <t xml:space="preserve">Hora</t>
  </si>
  <si>
    <t xml:space="preserve">Minuto</t>
  </si>
  <si>
    <t xml:space="preserve">kW intervalo</t>
  </si>
  <si>
    <t xml:space="preserve">Hora en el medidor</t>
  </si>
  <si>
    <t xml:space="preserve">192.168.1.168</t>
  </si>
  <si>
    <t xml:space="preserve">2026-10-07 11:15</t>
  </si>
  <si>
    <t xml:space="preserve">2026-10-07 11:30</t>
  </si>
  <si>
    <t xml:space="preserve">2026-10-07 11:45</t>
  </si>
  <si>
    <t xml:space="preserve">2026-10-07 12:00</t>
  </si>
  <si>
    <t xml:space="preserve">2026-10-07 12:15</t>
  </si>
  <si>
    <t xml:space="preserve">2026-10-07 12:30</t>
  </si>
  <si>
    <t xml:space="preserve">2026-10-07 12:45</t>
  </si>
  <si>
    <t xml:space="preserve">2026-10-07 13:00</t>
  </si>
  <si>
    <t xml:space="preserve">2026-10-07 13:15</t>
  </si>
  <si>
    <t xml:space="preserve">2026-10-07 13:30</t>
  </si>
  <si>
    <t xml:space="preserve">2026-10-07 13:45</t>
  </si>
  <si>
    <t xml:space="preserve">2026-10-07 14:00</t>
  </si>
  <si>
    <t xml:space="preserve">2026-10-07 14:15</t>
  </si>
  <si>
    <t xml:space="preserve">2026-10-07 14:30</t>
  </si>
  <si>
    <t xml:space="preserve">2026-10-07 14:45</t>
  </si>
  <si>
    <t xml:space="preserve">2026-10-07 15:00</t>
  </si>
  <si>
    <t xml:space="preserve">2026-10-07 15:15</t>
  </si>
  <si>
    <t xml:space="preserve">2026-10-07 15:30</t>
  </si>
  <si>
    <t xml:space="preserve">2026-10-07 15:45</t>
  </si>
  <si>
    <t xml:space="preserve">2026-10-07 16:00</t>
  </si>
  <si>
    <t xml:space="preserve">192.168.50.3</t>
  </si>
  <si>
    <t xml:space="preserve">2026-10-07 06:30</t>
  </si>
  <si>
    <t xml:space="preserve">2026-10-07 06:45</t>
  </si>
  <si>
    <t xml:space="preserve">2026-10-07 07:00</t>
  </si>
  <si>
    <t xml:space="preserve">2026-10-07 07:15</t>
  </si>
  <si>
    <t xml:space="preserve">2026-10-07 07:30</t>
  </si>
  <si>
    <t xml:space="preserve">2026-10-07 07:45</t>
  </si>
  <si>
    <t xml:space="preserve">2026-10-07 08:00</t>
  </si>
  <si>
    <t xml:space="preserve">2026-10-07 08:15</t>
  </si>
  <si>
    <t xml:space="preserve">2026-10-07 08:30</t>
  </si>
  <si>
    <t xml:space="preserve">2026-10-07 08:45</t>
  </si>
  <si>
    <t xml:space="preserve">2026-10-07 09:00</t>
  </si>
  <si>
    <t xml:space="preserve">2026-10-07 09:15</t>
  </si>
  <si>
    <t xml:space="preserve">2026-10-07 09:30</t>
  </si>
  <si>
    <t xml:space="preserve">2026-10-07 09:45</t>
  </si>
  <si>
    <t xml:space="preserve">2026-10-07 10:00</t>
  </si>
  <si>
    <t xml:space="preserve">2026-10-07 10:15</t>
  </si>
  <si>
    <t xml:space="preserve">2026-10-07 10:30</t>
  </si>
  <si>
    <t xml:space="preserve">2026-10-07 10:45</t>
  </si>
  <si>
    <t xml:space="preserve">2026-10-07 11:00</t>
  </si>
  <si>
    <t xml:space="preserve">192.168.50.4</t>
  </si>
  <si>
    <t xml:space="preserve">2026-10-07 16:15</t>
  </si>
  <si>
    <t xml:space="preserve">192.168.50.5</t>
  </si>
  <si>
    <t xml:space="preserve">2026-10-07 06:15</t>
  </si>
  <si>
    <t xml:space="preserve">192.168.50.6</t>
  </si>
  <si>
    <t xml:space="preserve">192.168.50.7</t>
  </si>
  <si>
    <t xml:space="preserve">192.168.50.8</t>
  </si>
  <si>
    <t xml:space="preserve">192.168.50.9</t>
  </si>
  <si>
    <t xml:space="preserve">192.168.50.10</t>
  </si>
  <si>
    <t xml:space="preserve">192.168.50.11</t>
  </si>
  <si>
    <t xml:space="preserve">2026-10-08 15:00</t>
  </si>
  <si>
    <t xml:space="preserve">2026-10-08 15:15</t>
  </si>
  <si>
    <t xml:space="preserve">2026-10-08 15:30</t>
  </si>
  <si>
    <t xml:space="preserve">2026-10-08 15:45</t>
  </si>
  <si>
    <t xml:space="preserve">2026-10-08 16:00</t>
  </si>
  <si>
    <t xml:space="preserve">2026-10-08 16:15</t>
  </si>
  <si>
    <t xml:space="preserve">2026-10-08 16:30</t>
  </si>
  <si>
    <t xml:space="preserve">2026-10-08 16:45</t>
  </si>
  <si>
    <t xml:space="preserve">2026-10-08 17:00</t>
  </si>
  <si>
    <t xml:space="preserve">2026-10-08 17:15</t>
  </si>
  <si>
    <t xml:space="preserve">2026-10-08 17:30</t>
  </si>
  <si>
    <t xml:space="preserve">2026-10-08 17:45</t>
  </si>
  <si>
    <t xml:space="preserve">2026-10-08 18:00</t>
  </si>
  <si>
    <t xml:space="preserve">2026-10-08 18:15</t>
  </si>
  <si>
    <t xml:space="preserve">2026-10-08 18:30</t>
  </si>
  <si>
    <t xml:space="preserve">2026-10-08 18:45</t>
  </si>
  <si>
    <t xml:space="preserve">2026-10-08 19:00</t>
  </si>
  <si>
    <t xml:space="preserve">2026-10-08 19:15</t>
  </si>
  <si>
    <t xml:space="preserve">2026-10-08 19:30</t>
  </si>
  <si>
    <t xml:space="preserve">2026-10-08 19:45</t>
  </si>
  <si>
    <t xml:space="preserve">2026-10-08 10:00</t>
  </si>
  <si>
    <t xml:space="preserve">2026-10-08 10:15</t>
  </si>
  <si>
    <t xml:space="preserve">2026-10-08 10:30</t>
  </si>
  <si>
    <t xml:space="preserve">2026-10-08 10:45</t>
  </si>
  <si>
    <t xml:space="preserve">2026-10-08 11:00</t>
  </si>
  <si>
    <t xml:space="preserve">2026-10-08 11:15</t>
  </si>
  <si>
    <t xml:space="preserve">2026-10-08 11:30</t>
  </si>
  <si>
    <t xml:space="preserve">2026-10-08 11:45</t>
  </si>
  <si>
    <t xml:space="preserve">2026-10-08 12:00</t>
  </si>
  <si>
    <t xml:space="preserve">2026-10-08 12:15</t>
  </si>
  <si>
    <t xml:space="preserve">2026-10-08 12:30</t>
  </si>
  <si>
    <t xml:space="preserve">2026-10-08 12:45</t>
  </si>
  <si>
    <t xml:space="preserve">2026-10-08 13:00</t>
  </si>
  <si>
    <t xml:space="preserve">2026-10-08 13:15</t>
  </si>
  <si>
    <t xml:space="preserve">2026-10-08 13:30</t>
  </si>
  <si>
    <t xml:space="preserve">2026-10-08 13:45</t>
  </si>
  <si>
    <t xml:space="preserve">2026-10-08 14:00</t>
  </si>
  <si>
    <t xml:space="preserve">2026-10-08 14:15</t>
  </si>
  <si>
    <t xml:space="preserve">2026-10-08 14:30</t>
  </si>
  <si>
    <t xml:space="preserve">2026-10-08 14:45</t>
  </si>
  <si>
    <t xml:space="preserve">2026-10-08 20:00</t>
  </si>
  <si>
    <t xml:space="preserve">2026-10-09 14:15</t>
  </si>
  <si>
    <t xml:space="preserve">2026-10-09 14:30</t>
  </si>
  <si>
    <t xml:space="preserve">2026-10-09 14:45</t>
  </si>
  <si>
    <t xml:space="preserve">2026-10-09 15:00</t>
  </si>
  <si>
    <t xml:space="preserve">2026-10-09 15:15</t>
  </si>
  <si>
    <t xml:space="preserve">2026-10-09 15:30</t>
  </si>
  <si>
    <t xml:space="preserve">2026-10-09 15:45</t>
  </si>
  <si>
    <t xml:space="preserve">2026-10-09 16:00</t>
  </si>
  <si>
    <t xml:space="preserve">2026-10-09 16:15</t>
  </si>
  <si>
    <t xml:space="preserve">2026-10-09 16:30</t>
  </si>
  <si>
    <t xml:space="preserve">2026-10-09 16:45</t>
  </si>
  <si>
    <t xml:space="preserve">2026-10-09 17:00</t>
  </si>
  <si>
    <t xml:space="preserve">2026-10-09 17:15</t>
  </si>
  <si>
    <t xml:space="preserve">2026-10-09 17:30</t>
  </si>
  <si>
    <t xml:space="preserve">2026-10-09 17:45</t>
  </si>
  <si>
    <t xml:space="preserve">2026-10-09 18:00</t>
  </si>
  <si>
    <t xml:space="preserve">2026-10-09 18:15</t>
  </si>
  <si>
    <t xml:space="preserve">2026-10-09 18:30</t>
  </si>
  <si>
    <t xml:space="preserve">2026-10-09 18:45</t>
  </si>
  <si>
    <t xml:space="preserve">2026-10-09 19:00</t>
  </si>
  <si>
    <t xml:space="preserve">2026-10-09 09:00</t>
  </si>
  <si>
    <t xml:space="preserve">2026-10-09 09:15</t>
  </si>
  <si>
    <t xml:space="preserve">2026-10-09 09:30</t>
  </si>
  <si>
    <t xml:space="preserve">2026-10-09 09:45</t>
  </si>
  <si>
    <t xml:space="preserve">2026-10-09 10:00</t>
  </si>
  <si>
    <t xml:space="preserve">2026-10-09 10:15</t>
  </si>
  <si>
    <t xml:space="preserve">2026-10-09 10:30</t>
  </si>
  <si>
    <t xml:space="preserve">2026-10-09 10:45</t>
  </si>
  <si>
    <t xml:space="preserve">2026-10-09 11:00</t>
  </si>
  <si>
    <t xml:space="preserve">2026-10-09 11:15</t>
  </si>
  <si>
    <t xml:space="preserve">2026-10-09 11:30</t>
  </si>
  <si>
    <t xml:space="preserve">2026-10-09 11:45</t>
  </si>
  <si>
    <t xml:space="preserve">2026-10-09 12:00</t>
  </si>
  <si>
    <t xml:space="preserve">2026-10-09 12:15</t>
  </si>
  <si>
    <t xml:space="preserve">2026-10-09 12:30</t>
  </si>
  <si>
    <t xml:space="preserve">2026-10-09 12:45</t>
  </si>
  <si>
    <t xml:space="preserve">2026-10-09 13:00</t>
  </si>
  <si>
    <t xml:space="preserve">2026-10-09 13:15</t>
  </si>
  <si>
    <t xml:space="preserve">2026-10-09 13:30</t>
  </si>
  <si>
    <t xml:space="preserve">2026-10-09 13:45</t>
  </si>
  <si>
    <t xml:space="preserve">2026-10-09 14:00</t>
  </si>
  <si>
    <t xml:space="preserve">Nombre de la línea</t>
  </si>
  <si>
    <t xml:space="preserve">Puedes cambiar los nombres de la columna B; el tablero se actualiza solo.</t>
  </si>
  <si>
    <t xml:space="preserve">L50</t>
  </si>
  <si>
    <t xml:space="preserve">L21</t>
  </si>
  <si>
    <t xml:space="preserve">L14</t>
  </si>
  <si>
    <t xml:space="preserve">L20</t>
  </si>
  <si>
    <t xml:space="preserve">L16</t>
  </si>
  <si>
    <t xml:space="preserve">L22</t>
  </si>
  <si>
    <t xml:space="preserve">Estación planta</t>
  </si>
  <si>
    <t xml:space="preserve">Estación celda 3</t>
  </si>
  <si>
    <t xml:space="preserve">Estación celda 2</t>
  </si>
  <si>
    <t xml:space="preserve">Minuto fin</t>
  </si>
  <si>
    <t xml:space="preserve">Inicio</t>
  </si>
  <si>
    <t xml:space="preserve">kW</t>
  </si>
  <si>
    <t xml:space="preserve">Hoja auxiliar para la gráfica de 15 minutos. No hace falta editarla.</t>
  </si>
  <si>
    <t xml:space="preserve">00:00</t>
  </si>
  <si>
    <t xml:space="preserve">00:15</t>
  </si>
  <si>
    <t xml:space="preserve">00:30</t>
  </si>
  <si>
    <t xml:space="preserve">00:45</t>
  </si>
  <si>
    <t xml:space="preserve">01:00</t>
  </si>
  <si>
    <t xml:space="preserve">01:15</t>
  </si>
  <si>
    <t xml:space="preserve">01:30</t>
  </si>
  <si>
    <t xml:space="preserve">01:45</t>
  </si>
  <si>
    <t xml:space="preserve">02:00</t>
  </si>
  <si>
    <t xml:space="preserve">02:15</t>
  </si>
  <si>
    <t xml:space="preserve">02:30</t>
  </si>
  <si>
    <t xml:space="preserve">02:45</t>
  </si>
  <si>
    <t xml:space="preserve">03:00</t>
  </si>
  <si>
    <t xml:space="preserve">03:15</t>
  </si>
  <si>
    <t xml:space="preserve">03:30</t>
  </si>
  <si>
    <t xml:space="preserve">03:45</t>
  </si>
  <si>
    <t xml:space="preserve">04:00</t>
  </si>
  <si>
    <t xml:space="preserve">04:15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</si>
  <si>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</si>
  <si>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</si>
  <si>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</si>
  <si>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</si>
  <si>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</si>
  <si>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05:45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</si>
  <si>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</si>
  <si>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</si>
  <si>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</si>
  <si>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</si>
  <si>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</si>
  <si>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</si>
  <si>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</si>
  <si>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</si>
  <si>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</si>
  <si>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</si>
  <si>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</si>
  <si>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</si>
  <si>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</si>
  <si>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</si>
  <si>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</si>
  <si>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</si>
  <si>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</si>
  <si>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</si>
  <si>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</si>
  <si>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</si>
  <si>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</si>
  <si>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</si>
  <si>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</si>
  <si>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</si>
  <si>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</si>
  <si>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</si>
  <si>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</si>
  <si>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</si>
  <si>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</si>
  <si>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</si>
  <si>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</si>
  <si>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</si>
  <si>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</si>
  <si>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</si>
  <si>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</si>
  <si>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</si>
  <si>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</si>
  <si>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</si>
  <si>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</si>
  <si>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</si>
  <si>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</si>
  <si>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</si>
  <si>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</si>
  <si>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</si>
  <si>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</si>
  <si>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</si>
  <si>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</si>
  <si>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</si>
  <si>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</si>
  <si>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18:15</t>
  </si>
  <si>
    <t xml:space="preserve">18:30</t>
  </si>
  <si>
    <t xml:space="preserve">18:45</t>
  </si>
  <si>
    <t xml:space="preserve">19:00</t>
  </si>
  <si>
    <t xml:space="preserve">19:15</t>
  </si>
  <si>
    <t xml:space="preserve">19:30</t>
  </si>
  <si>
    <t xml:space="preserve">19:45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</si>
  <si>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</si>
  <si>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</si>
  <si>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</si>
  <si>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</si>
  <si>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</si>
  <si>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21:15</t>
  </si>
  <si>
    <t xml:space="preserve">21:30</t>
  </si>
  <si>
    <t xml:space="preserve">21:45</t>
  </si>
  <si>
    <t xml:space="preserve">22:00</t>
  </si>
  <si>
    <t xml:space="preserve">22:15</t>
  </si>
  <si>
    <t xml:space="preserve">22:30</t>
  </si>
  <si>
    <t xml:space="preserve">22:45</t>
  </si>
  <si>
    <t xml:space="preserve">23:00</t>
  </si>
  <si>
    <t xml:space="preserve">23:15</t>
  </si>
  <si>
    <t xml:space="preserve">23:30</t>
  </si>
  <si>
    <t xml:space="preserve">23:45</t>
  </si>
  <si>
    <t xml:space="preserve">Consumo diario por medidor (kWh en el periodo registrado)</t>
  </si>
  <si>
    <t xml:space="preserve">Total</t>
  </si>
  <si>
    <t xml:space="preserve">Consumo de 24 h al corte (kWh) · hora de corte en Tablero!D5</t>
  </si>
  <si>
    <t xml:space="preserve">Cómo usar este tablero</t>
  </si>
  <si>
    <t xml:space="preserve">1. En la hoja Tablero, elige el día en la celda amarilla B5 y el medidor para la gráfica en E5.</t>
  </si>
  <si>
    <t xml:space="preserve">2. Para agregar lecturas a mano: pega las filas al final de la hoja Datos (Fecha, IP, Hora, kWh, kVARh, kVAh).</t>
  </si>
  <si>
    <t xml:space="preserve">   Las columnas Minuto, kW intervalo y Línea se calculan solas. Mantén las filas ordenadas por Fecha, IP y Hora (de menor a mayor).</t>
  </si>
  <si>
    <t xml:space="preserve">3. Si agregas un día nuevo a mano, escribe también esa fecha al final de la columna A de la hoja Histórico y copia las fórmulas de la fila anterior.</t>
  </si>
  <si>
    <t xml:space="preserve">4. Los nombres de las líneas se cambian en la hoja Medidores.</t>
  </si>
  <si>
    <t xml:space="preserve">5. Reloj de los medidores: varios guardan la hora en UTC (5 horas adelante). La hoja Medidores indica el desfase de cada uno</t>
  </si>
  <si>
    <t xml:space="preserve">   y las horas de Datos ya están en hora de Colombia; la columna Hora en el medidor conserva la hora original.</t>
  </si>
  <si>
    <t xml:space="preserve">6. Hora de corte (Tablero!D5): se usa para el consumo de 24 h. Debe ser una hora que aparezca en las fotos de todos los días (hoy: 11:00).</t>
  </si>
  <si>
    <t xml:space="preserve">Requiere Excel 2019 o Microsoft 365 (usa las funciones MAXIFS y MINIFS). No necesita internet.</t>
  </si>
  <si>
    <t xml:space="preserve">Fuente de los datos: fotos de la pantalla Data Log de cada medidor, transcritas.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</si>
</sst>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hh:mm"/>
    <numFmt numFmtId="167" formatCode="#,##0.0"/>
    <numFmt numFmtId="168" formatCode="0.000"/>
    <numFmt numFmtId="169" formatCode="@"/>
    <numFmt numFmtId="170" formatCode="General"/>
    <numFmt numFmtId="171" formatCode="#,##0.000"/>
    <numFmt numFmtId="172" formatCode="#,##0.00"/>
    <numFmt numFmtId="173" formatCode="0%"/>
    <numFmt numFmtId="174" formatCode="\+0%;\-0%;0%"/>
    <numFmt numFmtId="17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8201A"/>
      <name val="Arial"/>
      <family val="0"/>
      <charset val="1"/>
    </font>
    <font>
      <sz val="10"/>
      <color rgb="FF7B877D"/>
      <name val="Arial"/>
      <family val="0"/>
      <charset val="1"/>
    </font>
    <font>
      <b val="true"/>
      <sz val="9"/>
      <color rgb="FF7B877D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5F2"/>
        <bgColor rgb="FFFFFFFF"/>
      </patternFill>
    </fill>
    <fill>
      <patternFill patternType="solid">
        <fgColor rgb="FF2F7A34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DE3DC"/>
      </left>
      <right style="thin">
        <color rgb="FFDDE3DC"/>
      </right>
      <top style="thin">
        <color rgb="FFDDE3DC"/>
      </top>
      <bottom style="thin">
        <color rgb="FFDDE3DC"/>
      </bottom>
      <diagonal/>
    </border>
    <border diagonalUp="false" diagonalDown="false">
      <left style="thin">
        <color rgb="FFDDE3DC"/>
      </left>
      <right/>
      <top style="thin">
        <color rgb="FFDDE3DC"/>
      </top>
      <bottom style="thin">
        <color rgb="FFDDE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F7A34"/>
      </font>
      <fill>
        <patternFill>
          <bgColor rgb="FFE2EFE0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8E0DD"/>
        </patternFill>
      </fill>
    </dxf>
    <dxf>
      <font>
        <name val="Arial"/>
        <charset val="1"/>
        <family val="0"/>
        <b val="1"/>
        <color rgb="FFA46A00"/>
      </font>
      <fill>
        <patternFill>
          <bgColor rgb="FFFBEFD5"/>
        </patternFill>
      </fill>
    </dxf>
    <dxf>
      <fill>
        <patternFill patternType="solid">
          <fgColor rgb="FF2F7A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6A00"/>
      <rgbColor rgb="FF800080"/>
      <rgbColor rgb="FF008080"/>
      <rgbColor rgb="FFC0C0C0"/>
      <rgbColor rgb="FF7B877D"/>
      <rgbColor rgb="FF9999FF"/>
      <rgbColor rgb="FF993366"/>
      <rgbColor rgb="FFFBEFD5"/>
      <rgbColor rgb="FFF3F5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DC"/>
      <rgbColor rgb="FFE2EFE0"/>
      <rgbColor rgb="FFFFFF99"/>
      <rgbColor rgb="FF99CCFF"/>
      <rgbColor rgb="FFFF99CC"/>
      <rgbColor rgb="FFCC99FF"/>
      <rgbColor rgb="FFF8E0DD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2F7A34"/>
      <rgbColor rgb="FF18201A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por medidor en el periodo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Tablero!H11</c:f>
              <c:strCache>
                <c:ptCount val="1"/>
                <c:pt idx="0">
                  <c:v>kWh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Tablero!$B$12:$B$21</c:f>
              <c:strCache>
                <c:ptCount val="10"/>
                <c:pt idx="0">
                  <c:v>L50</c:v>
                </c:pt>
                <c:pt idx="1">
                  <c:v>L21</c:v>
                </c:pt>
                <c:pt idx="2">
                  <c:v>L14</c:v>
                </c:pt>
                <c:pt idx="3">
                  <c:v>L20</c:v>
                </c:pt>
                <c:pt idx="4">
                  <c:v>L16</c:v>
                </c:pt>
                <c:pt idx="5">
                  <c:v>L22</c:v>
                </c:pt>
                <c:pt idx="6">
                  <c:v>Estación planta</c:v>
                </c:pt>
                <c:pt idx="7">
                  <c:v>Estación celda 3</c:v>
                </c:pt>
                <c:pt idx="8">
                  <c:v>Estación celda 2</c:v>
                </c:pt>
                <c:pt idx="9">
                  <c:v>Estación celda 1</c:v>
                </c:pt>
              </c:strCache>
            </c:strRef>
          </c:cat>
          <c:val>
            <c:numRef>
              <c:f>Tablero!$H$12:$H$21</c:f>
              <c:numCache>
                <c:formatCode>#,##0.000</c:formatCode>
                <c:ptCount val="10"/>
                <c:pt idx="0">
                  <c:v>2.96499999999833</c:v>
                </c:pt>
                <c:pt idx="1">
                  <c:v>2.95799999999872</c:v>
                </c:pt>
                <c:pt idx="2">
                  <c:v>17.4159999999993</c:v>
                </c:pt>
                <c:pt idx="3">
                  <c:v>16.1989999999987</c:v>
                </c:pt>
                <c:pt idx="4">
                  <c:v>0.7450000000008</c:v>
                </c:pt>
                <c:pt idx="5">
                  <c:v>27.7580000000016</c:v>
                </c:pt>
                <c:pt idx="6">
                  <c:v>127.945999999996</c:v>
                </c:pt>
                <c:pt idx="7">
                  <c:v>341.218999999983</c:v>
                </c:pt>
                <c:pt idx="8">
                  <c:v>427.342999999994</c:v>
                </c:pt>
                <c:pt idx="9">
                  <c:v>430.219000000041</c:v>
                </c:pt>
              </c:numCache>
            </c:numRef>
          </c:val>
        </c:ser>
        <c:gapWidth val="150"/>
        <c:overlap val="0"/>
        <c:axId val="43520146"/>
        <c:axId val="21265257"/>
      </c:barChart>
      <c:catAx>
        <c:axId val="435201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65257"/>
        <c:crosses val="autoZero"/>
        <c:auto val="1"/>
        <c:lblAlgn val="ctr"/>
        <c:lblOffset val="100"/>
        <c:noMultiLvlLbl val="0"/>
      </c:catAx>
      <c:valAx>
        <c:axId val="2126525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201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Demanda cada 15 min (kW) del medidor elegido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Calc!C1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Calc!$B$2:$B$97</c:f>
              <c:strCache>
                <c:ptCount val="96"/>
                <c:pt idx="0">
                  <c:v>00:00</c:v>
                </c:pt>
                <c:pt idx="1">
                  <c:v>00:15</c:v>
                </c:pt>
                <c:pt idx="2">
                  <c:v>00:30</c:v>
                </c:pt>
                <c:pt idx="3">
                  <c:v>00:45</c:v>
                </c:pt>
                <c:pt idx="4">
                  <c:v>01:00</c:v>
                </c:pt>
                <c:pt idx="5">
                  <c:v>01:15</c:v>
                </c:pt>
                <c:pt idx="6">
                  <c:v>01:30</c:v>
                </c:pt>
                <c:pt idx="7">
                  <c:v>01:45</c:v>
                </c:pt>
                <c:pt idx="8">
                  <c:v>02:00</c:v>
                </c:pt>
                <c:pt idx="9">
                  <c:v>02:15</c:v>
                </c:pt>
                <c:pt idx="10">
                  <c:v>02:30</c:v>
                </c:pt>
                <c:pt idx="11">
                  <c:v>02:45</c:v>
                </c:pt>
                <c:pt idx="12">
                  <c:v>03:00</c:v>
                </c:pt>
                <c:pt idx="13">
                  <c:v>03:15</c:v>
                </c:pt>
                <c:pt idx="14">
                  <c:v>03:30</c:v>
                </c:pt>
                <c:pt idx="15">
                  <c:v>03:45</c:v>
                </c:pt>
                <c:pt idx="16">
                  <c:v>04:00</c:v>
                </c:pt>
                <c:pt idx="17">
                  <c:v>04:15</c:v>
                </c:pt>
                <c:pt idx="18">
                  <c:v>04:30</c:v>
                </c:pt>
                <c:pt idx="19">
                  <c:v>04:45</c:v>
                </c:pt>
                <c:pt idx="20">
                  <c:v>05:00</c:v>
                </c:pt>
                <c:pt idx="21">
                  <c:v>05:15</c:v>
                </c:pt>
                <c:pt idx="22">
                  <c:v>05:30</c:v>
                </c:pt>
                <c:pt idx="23">
                  <c:v>05:45</c:v>
                </c:pt>
                <c:pt idx="24">
                  <c:v>06:00</c:v>
                </c:pt>
                <c:pt idx="25">
                  <c:v>06:15</c:v>
                </c:pt>
                <c:pt idx="26">
                  <c:v>06:30</c:v>
                </c:pt>
                <c:pt idx="27">
                  <c:v>06:45</c:v>
                </c:pt>
                <c:pt idx="28">
                  <c:v>07:00</c:v>
                </c:pt>
                <c:pt idx="29">
                  <c:v>07:15</c:v>
                </c:pt>
                <c:pt idx="30">
                  <c:v>07:30</c:v>
                </c:pt>
                <c:pt idx="31">
                  <c:v>07:45</c:v>
                </c:pt>
                <c:pt idx="32">
                  <c:v>08:00</c:v>
                </c:pt>
                <c:pt idx="33">
                  <c:v>08:15</c:v>
                </c:pt>
                <c:pt idx="34">
                  <c:v>08:30</c:v>
                </c:pt>
                <c:pt idx="35">
                  <c:v>08:45</c:v>
                </c:pt>
                <c:pt idx="36">
                  <c:v>09:00</c:v>
                </c:pt>
                <c:pt idx="37">
                  <c:v>09:15</c:v>
                </c:pt>
                <c:pt idx="38">
                  <c:v>09:30</c:v>
                </c:pt>
                <c:pt idx="39">
                  <c:v>09:45</c:v>
                </c:pt>
                <c:pt idx="40">
                  <c:v>10:00</c:v>
                </c:pt>
                <c:pt idx="41">
                  <c:v>10:15</c:v>
                </c:pt>
                <c:pt idx="42">
                  <c:v>10:30</c:v>
                </c:pt>
                <c:pt idx="43">
                  <c:v>10:45</c:v>
                </c:pt>
                <c:pt idx="44">
                  <c:v>11:00</c:v>
                </c:pt>
                <c:pt idx="45">
                  <c:v>11:15</c:v>
                </c:pt>
                <c:pt idx="46">
                  <c:v>11:30</c:v>
                </c:pt>
                <c:pt idx="47">
                  <c:v>11:45</c:v>
                </c:pt>
                <c:pt idx="48">
                  <c:v>12:00</c:v>
                </c:pt>
                <c:pt idx="49">
                  <c:v>12:15</c:v>
                </c:pt>
                <c:pt idx="50">
                  <c:v>12:30</c:v>
                </c:pt>
                <c:pt idx="51">
                  <c:v>12:45</c:v>
                </c:pt>
                <c:pt idx="52">
                  <c:v>13:00</c:v>
                </c:pt>
                <c:pt idx="53">
                  <c:v>13:15</c:v>
                </c:pt>
                <c:pt idx="54">
                  <c:v>13:30</c:v>
                </c:pt>
                <c:pt idx="55">
                  <c:v>13:45</c:v>
                </c:pt>
                <c:pt idx="56">
                  <c:v>14:00</c:v>
                </c:pt>
                <c:pt idx="57">
                  <c:v>14:15</c:v>
                </c:pt>
                <c:pt idx="58">
                  <c:v>14:30</c:v>
                </c:pt>
                <c:pt idx="59">
                  <c:v>14:45</c:v>
                </c:pt>
                <c:pt idx="60">
                  <c:v>15:00</c:v>
                </c:pt>
                <c:pt idx="61">
                  <c:v>15:15</c:v>
                </c:pt>
                <c:pt idx="62">
                  <c:v>15:30</c:v>
                </c:pt>
                <c:pt idx="63">
                  <c:v>15:45</c:v>
                </c:pt>
                <c:pt idx="64">
                  <c:v>16:00</c:v>
                </c:pt>
                <c:pt idx="65">
                  <c:v>16:15</c:v>
                </c:pt>
                <c:pt idx="66">
                  <c:v>16:30</c:v>
                </c:pt>
                <c:pt idx="67">
                  <c:v>16:45</c:v>
                </c:pt>
                <c:pt idx="68">
                  <c:v>17:00</c:v>
                </c:pt>
                <c:pt idx="69">
                  <c:v>17:15</c:v>
                </c:pt>
                <c:pt idx="70">
                  <c:v>17:30</c:v>
                </c:pt>
                <c:pt idx="71">
                  <c:v>17:45</c:v>
                </c:pt>
                <c:pt idx="72">
                  <c:v>18:00</c:v>
                </c:pt>
                <c:pt idx="73">
                  <c:v>18:15</c:v>
                </c:pt>
                <c:pt idx="74">
                  <c:v>18:30</c:v>
                </c:pt>
                <c:pt idx="75">
                  <c:v>18:45</c:v>
                </c:pt>
                <c:pt idx="76">
                  <c:v>19:00</c:v>
                </c:pt>
                <c:pt idx="77">
                  <c:v>19:15</c:v>
                </c:pt>
                <c:pt idx="78">
                  <c:v>19:30</c:v>
                </c:pt>
                <c:pt idx="79">
                  <c:v>19:45</c:v>
                </c:pt>
                <c:pt idx="80">
                  <c:v>20:00</c:v>
                </c:pt>
                <c:pt idx="81">
                  <c:v>20:15</c:v>
                </c:pt>
                <c:pt idx="82">
                  <c:v>20:30</c:v>
                </c:pt>
                <c:pt idx="83">
                  <c:v>20:45</c:v>
                </c:pt>
                <c:pt idx="84">
                  <c:v>21:00</c:v>
                </c:pt>
                <c:pt idx="85">
                  <c:v>21:15</c:v>
                </c:pt>
                <c:pt idx="86">
                  <c:v>21:30</c:v>
                </c:pt>
                <c:pt idx="87">
                  <c:v>21:45</c:v>
                </c:pt>
                <c:pt idx="88">
                  <c:v>22:00</c:v>
                </c:pt>
                <c:pt idx="89">
                  <c:v>22:15</c:v>
                </c:pt>
                <c:pt idx="90">
                  <c:v>22:30</c:v>
                </c:pt>
                <c:pt idx="91">
                  <c:v>22:45</c:v>
                </c:pt>
                <c:pt idx="92">
                  <c:v>23:00</c:v>
                </c:pt>
                <c:pt idx="93">
                  <c:v>23:15</c:v>
                </c:pt>
                <c:pt idx="94">
                  <c:v>23:30</c:v>
                </c:pt>
                <c:pt idx="95">
                  <c:v>23:45</c:v>
                </c:pt>
              </c:strCache>
            </c:strRef>
          </c:cat>
          <c:val>
            <c:numRef>
              <c:f>Calc!$C$2:$C$97</c:f>
              <c:numCache>
                <c:formatCode>#,##0.00</c:formatCode>
                <c:ptCount val="96"/>
                <c:pt idx="37">
                  <c:v>110.876000000164</c:v>
                </c:pt>
                <c:pt idx="38">
                  <c:v>130.247999999905</c:v>
                </c:pt>
                <c:pt idx="39">
                  <c:v>98.8759999999311</c:v>
                </c:pt>
                <c:pt idx="40">
                  <c:v>96.8760000001639</c:v>
                </c:pt>
                <c:pt idx="41">
                  <c:v>101.623999999836</c:v>
                </c:pt>
                <c:pt idx="42">
                  <c:v>88.8760000001639</c:v>
                </c:pt>
                <c:pt idx="43">
                  <c:v>66.747999999905</c:v>
                </c:pt>
                <c:pt idx="44">
                  <c:v>56.6240000000689</c:v>
                </c:pt>
                <c:pt idx="45">
                  <c:v>79.5</c:v>
                </c:pt>
                <c:pt idx="46">
                  <c:v>83.1280000000261</c:v>
                </c:pt>
                <c:pt idx="47">
                  <c:v>81.1239999998361</c:v>
                </c:pt>
                <c:pt idx="48">
                  <c:v>88.1240000000689</c:v>
                </c:pt>
                <c:pt idx="49">
                  <c:v>86.8759999999311</c:v>
                </c:pt>
                <c:pt idx="50">
                  <c:v>91.3760000001639</c:v>
                </c:pt>
                <c:pt idx="51">
                  <c:v>96.8719999999739</c:v>
                </c:pt>
                <c:pt idx="52">
                  <c:v>87.6280000000261</c:v>
                </c:pt>
                <c:pt idx="53">
                  <c:v>87.1239999998361</c:v>
                </c:pt>
                <c:pt idx="54">
                  <c:v>94.1240000000689</c:v>
                </c:pt>
                <c:pt idx="55">
                  <c:v>94.252000000095</c:v>
                </c:pt>
              </c:numCache>
            </c:numRef>
          </c:val>
        </c:ser>
        <c:gapWidth val="20"/>
        <c:overlap val="0"/>
        <c:axId val="61454480"/>
        <c:axId val="21355900"/>
      </c:barChart>
      <c:catAx>
        <c:axId val="6145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355900"/>
        <c:crosses val="autoZero"/>
        <c:auto val="1"/>
        <c:lblAlgn val="ctr"/>
        <c:lblOffset val="100"/>
        <c:noMultiLvlLbl val="0"/>
      </c:catAx>
      <c:valAx>
        <c:axId val="213559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544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total por día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Histórico!L2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Histórico!$A$3:$A$5</c:f>
              <c:strCache>
                <c:ptCount val="3"/>
                <c:pt idx="0">
                  <c:v>2026-10-07</c:v>
                </c:pt>
                <c:pt idx="1">
                  <c:v>2026-10-08</c:v>
                </c:pt>
                <c:pt idx="2">
                  <c:v>2026-10-09</c:v>
                </c:pt>
              </c:strCache>
            </c:strRef>
          </c:cat>
          <c:val>
            <c:numRef>
              <c:f>Histórico!$L$3:$L$5</c:f>
              <c:numCache>
                <c:formatCode>#,##0.0</c:formatCode>
                <c:ptCount val="3"/>
                <c:pt idx="0">
                  <c:v>938.852999999988</c:v>
                </c:pt>
                <c:pt idx="1">
                  <c:v>1356.01700000002</c:v>
                </c:pt>
                <c:pt idx="2">
                  <c:v>1394.76800000001</c:v>
                </c:pt>
              </c:numCache>
            </c:numRef>
          </c:val>
        </c:ser>
        <c:gapWidth val="150"/>
        <c:overlap val="0"/>
        <c:axId val="803210"/>
        <c:axId val="94101194"/>
      </c:barChart>
      <c:catAx>
        <c:axId val="80321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01194"/>
        <c:crosses val="autoZero"/>
        <c:auto val="1"/>
        <c:lblAlgn val="ctr"/>
        <c:lblOffset val="100"/>
        <c:noMultiLvlLbl val="0"/>
      </c:catAx>
      <c:valAx>
        <c:axId val="941011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32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26</xdr:row>
      <xdr:rowOff>11520</xdr:rowOff>
    </xdr:from>
    <xdr:to>
      <xdr:col>7</xdr:col>
      <xdr:colOff>113400</xdr:colOff>
      <xdr:row>43</xdr:row>
      <xdr:rowOff>12600</xdr:rowOff>
    </xdr:to>
    <xdr:graphicFrame>
      <xdr:nvGraphicFramePr>
        <xdr:cNvPr id="0" name="Chart 1"/>
        <xdr:cNvGraphicFramePr/>
      </xdr:nvGraphicFramePr>
      <xdr:xfrm>
        <a:off x="141120" y="533412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26</xdr:row>
      <xdr:rowOff>11520</xdr:rowOff>
    </xdr:from>
    <xdr:to>
      <xdr:col>16</xdr:col>
      <xdr:colOff>269280</xdr:colOff>
      <xdr:row>43</xdr:row>
      <xdr:rowOff>12600</xdr:rowOff>
    </xdr:to>
    <xdr:graphicFrame>
      <xdr:nvGraphicFramePr>
        <xdr:cNvPr id="1" name="Chart 2"/>
        <xdr:cNvGraphicFramePr/>
      </xdr:nvGraphicFramePr>
      <xdr:xfrm>
        <a:off x="6273000" y="533412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161280</xdr:rowOff>
    </xdr:from>
    <xdr:to>
      <xdr:col>6</xdr:col>
      <xdr:colOff>276840</xdr:colOff>
      <xdr:row>27</xdr:row>
      <xdr:rowOff>183240</xdr:rowOff>
    </xdr:to>
    <xdr:graphicFrame>
      <xdr:nvGraphicFramePr>
        <xdr:cNvPr id="2" name="Chart 1"/>
        <xdr:cNvGraphicFramePr/>
      </xdr:nvGraphicFramePr>
      <xdr:xfrm>
        <a:off x="0" y="24764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Datos" displayName="tDatos" ref="A1:J581" headerRowCount="1" totalsRowCount="0" totalsRowShown="0">
  <autoFilter ref="A1:J581"/>
  <tableColumns count="10">
    <tableColumn id="1" name="Fecha"/>
    <tableColumn id="2" name="IP"/>
    <tableColumn id="3" name="Hora"/>
    <tableColumn id="4" name="kWh"/>
    <tableColumn id="5" name="kVARh"/>
    <tableColumn id="6" name="kVAh"/>
    <tableColumn id="7" name="Minuto"/>
    <tableColumn id="8" name="kW intervalo"/>
    <tableColumn id="9" name="Línea"/>
    <tableColumn id="10" name="Hora en el medido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10" min="8" style="0" width="12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5"/>
    <col collapsed="false" customWidth="true" hidden="true" outlineLevel="0" max="22" min="19" style="0" width="13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D4" s="3" t="s">
        <v>3</v>
      </c>
      <c r="F4" s="3" t="s">
        <v>4</v>
      </c>
    </row>
    <row r="5" customFormat="false" ht="15" hidden="false" customHeight="false" outlineLevel="0" collapsed="false">
      <c r="B5" s="4" t="n">
        <v>46304</v>
      </c>
      <c r="D5" s="5" t="n">
        <v>0.458333333333333</v>
      </c>
      <c r="F5" s="6" t="s">
        <v>5</v>
      </c>
      <c r="G5" s="6"/>
      <c r="H5" s="6"/>
      <c r="I5" s="2" t="str">
        <f aca="false">IFERROR(INDEX(Medidores!$A:$A,MATCH($F$5,Medidores!$B:$B,0)),"")</f>
        <v>192.168.50.11</v>
      </c>
    </row>
    <row r="7" customFormat="false" ht="15" hidden="false" customHeight="false" outlineLevel="0" collapsed="false">
      <c r="B7" s="3" t="s">
        <v>6</v>
      </c>
      <c r="D7" s="3" t="s">
        <v>7</v>
      </c>
      <c r="G7" s="3" t="s">
        <v>8</v>
      </c>
      <c r="J7" s="3" t="s">
        <v>9</v>
      </c>
      <c r="M7" s="3" t="s">
        <v>10</v>
      </c>
    </row>
    <row r="8" customFormat="false" ht="22.05" hidden="false" customHeight="false" outlineLevel="0" collapsed="false">
      <c r="B8" s="7" t="n">
        <f aca="false">SUM(H12:H21)</f>
        <v>1394.76800000001</v>
      </c>
      <c r="D8" s="7" t="n">
        <f aca="false">SUM(K12:K21)</f>
        <v>293.635368421055</v>
      </c>
      <c r="G8" s="7" t="n">
        <f aca="false">IF(COUNT(P12:P21)=0,"Falta el día anterior",SUM(P12:P21))</f>
        <v>4810.56699999994</v>
      </c>
      <c r="J8" s="8" t="n">
        <f aca="false">IFERROR(SUMPRODUCT(--ISNUMBER(L12:L21),H12:H21)/SUM(J12:J21),"")</f>
        <v>0.908948012559245</v>
      </c>
      <c r="M8" s="9" t="str">
        <f aca="false">COUNTIF(D12:D21,"&lt;&gt;Normal")&amp;" de "&amp;COUNTA(C12:C21)</f>
        <v>3 de 10</v>
      </c>
    </row>
    <row r="11" customFormat="false" ht="30" hidden="false" customHeight="true" outlineLevel="0" collapsed="false">
      <c r="B11" s="10" t="s">
        <v>11</v>
      </c>
      <c r="C11" s="10" t="s">
        <v>12</v>
      </c>
      <c r="D11" s="10" t="s">
        <v>13</v>
      </c>
      <c r="E11" s="10" t="s">
        <v>14</v>
      </c>
      <c r="F11" s="10" t="s">
        <v>15</v>
      </c>
      <c r="G11" s="10" t="s">
        <v>16</v>
      </c>
      <c r="H11" s="10" t="s">
        <v>17</v>
      </c>
      <c r="I11" s="10" t="s">
        <v>18</v>
      </c>
      <c r="J11" s="10" t="s">
        <v>19</v>
      </c>
      <c r="K11" s="10" t="s">
        <v>20</v>
      </c>
      <c r="L11" s="10" t="s">
        <v>21</v>
      </c>
      <c r="M11" s="10" t="s">
        <v>22</v>
      </c>
      <c r="N11" s="10" t="s">
        <v>23</v>
      </c>
      <c r="O11" s="10" t="s">
        <v>24</v>
      </c>
      <c r="P11" s="10" t="s">
        <v>25</v>
      </c>
      <c r="Q11" s="10" t="s">
        <v>26</v>
      </c>
      <c r="R11" s="10" t="s">
        <v>27</v>
      </c>
      <c r="S11" s="10" t="s">
        <v>28</v>
      </c>
      <c r="T11" s="10" t="s">
        <v>29</v>
      </c>
      <c r="U11" s="10" t="s">
        <v>30</v>
      </c>
      <c r="V11" s="10" t="s">
        <v>31</v>
      </c>
    </row>
    <row r="12" customFormat="false" ht="15" hidden="false" customHeight="false" outlineLevel="0" collapsed="false">
      <c r="B12" s="11" t="str">
        <f aca="false">Medidores!B2</f>
        <v>L50</v>
      </c>
      <c r="C12" s="11" t="str">
        <f aca="false">Medidores!A2</f>
        <v>192.168.50.3</v>
      </c>
      <c r="D12" s="12" t="str">
        <f aca="false">IF(S12&lt;2,"Sin datos",IF(T12&gt;0,"Lectura en cero",IF(U12&lt;2,"Falta kVAh",IF(H12&lt;=0.001,"Sin consumo",IF(AND(ISNUMBER(M12),M12&gt;0.5),"Reactiva &gt; 50 %","Normal")))))</f>
        <v>Normal</v>
      </c>
      <c r="E12" s="13" t="n">
        <f aca="false">IF(S12&lt;2,"",_xlfn.MINIFS(Datos!$G:$G,Datos!$B:$B,$C12,Datos!$A:$A,$B$5,Datos!$D:$D,"&gt;0")/1440)</f>
        <v>0.375</v>
      </c>
      <c r="F12" s="13" t="n">
        <f aca="false">IF(S12&lt;2,"",_xlfn.MAXIFS(Datos!$G:$G,Datos!$B:$B,$C12,Datos!$A:$A,$B$5,Datos!$D:$D,"&gt;0")/1440)</f>
        <v>0.572916666666667</v>
      </c>
      <c r="G12" s="14" t="n">
        <f aca="false">COUNTIFS(Datos!$B:$B,$C12,Datos!$A:$A,$B$5)</f>
        <v>20</v>
      </c>
      <c r="H12" s="15" t="n">
        <f aca="false">IF(S12&lt;2,"",_xlfn.MAXIFS(Datos!$D:$D,Datos!$B:$B,$C12,Datos!$A:$A,$B$5,Datos!$D:$D,"&gt;0")-_xlfn.MINIFS(Datos!$D:$D,Datos!$B:$B,$C12,Datos!$A:$A,$B$5,Datos!$D:$D,"&gt;0"))</f>
        <v>2.96499999999833</v>
      </c>
      <c r="I12" s="15" t="n">
        <f aca="false">IF(S12&lt;2,"",_xlfn.MAXIFS(Datos!$E:$E,Datos!$B:$B,$C12,Datos!$A:$A,$B$5,Datos!$D:$D,"&gt;0")-_xlfn.MINIFS(Datos!$E:$E,Datos!$B:$B,$C12,Datos!$A:$A,$B$5,Datos!$D:$D,"&gt;0"))</f>
        <v>0</v>
      </c>
      <c r="J12" s="15" t="n">
        <f aca="false">IF(U12&lt;2,"",_xlfn.MAXIFS(Datos!$F:$F,Datos!$B:$B,$C12,Datos!$A:$A,$B$5,Datos!$F:$F,"&gt;0")-_xlfn.MINIFS(Datos!$F:$F,Datos!$B:$B,$C12,Datos!$A:$A,$B$5,Datos!$F:$F,"&gt;0"))</f>
        <v>3.08200000000033</v>
      </c>
      <c r="K12" s="16" t="n">
        <f aca="false">IF(H12="","",IF(F12&gt;E12,H12/((F12-E12)*24),""))</f>
        <v>0.624210526315437</v>
      </c>
      <c r="L12" s="17" t="n">
        <f aca="false">IF(OR(H12="",J12=""),"",IF(J12&gt;0,H12/J12,""))</f>
        <v>0.962037637896822</v>
      </c>
      <c r="M12" s="18" t="n">
        <f aca="false">IF(OR(H12="",I12=""),"",IF(H12&gt;0,I12/H12,""))</f>
        <v>0</v>
      </c>
      <c r="N12" s="16" t="n">
        <f aca="false">IF(S12&lt;2,"",_xlfn.MAXIFS(Datos!$H:$H,Datos!$B:$B,$C12,Datos!$A:$A,$B$5))</f>
        <v>0.627999999996973</v>
      </c>
      <c r="O12" s="13" t="n">
        <f aca="false">IF(N12="","",_xlfn.MINIFS(Datos!$G:$G,Datos!$B:$B,$C12,Datos!$A:$A,$B$5,Datos!$H:$H,N12)/1440)</f>
        <v>0.447916666666667</v>
      </c>
      <c r="P12" s="19" t="n">
        <f aca="false">IF(OR(COUNTIFS(Datos!$B:$B,$C12,Datos!$A:$A,$B$5,Datos!$D:$D,"&gt;0",Datos!$G:$G,(HOUR($D$5)*60+MINUTE($D$5)))=0,COUNTIFS(Datos!$B:$B,$C12,Datos!$A:$A,$B$5-1,Datos!$D:$D,"&gt;0",Datos!$G:$G,(HOUR($D$5)*60+MINUTE($D$5)))=0),"",SUMIFS(Datos!$D:$D,Datos!$B:$B,$C12,Datos!$A:$A,$B$5,Datos!$D:$D,"&gt;0",Datos!$G:$G,(HOUR($D$5)*60+MINUTE($D$5)))-SUMIFS(Datos!$D:$D,Datos!$B:$B,$C12,Datos!$A:$A,$B$5-1,Datos!$D:$D,"&gt;0",Datos!$G:$G,(HOUR($D$5)*60+MINUTE($D$5))))</f>
        <v>31.3410000000004</v>
      </c>
      <c r="Q12" s="20" t="n">
        <f aca="false">IF(OR(K12="",V12=""),"",IF(V12&gt;0,K12/V12-1,""))</f>
        <v>-0.0687814070360249</v>
      </c>
      <c r="R12" s="15" t="n">
        <f aca="false">IF(S12=0,"",_xlfn.MAXIFS(Datos!$D:$D,Datos!$B:$B,$C12,Datos!$A:$A,$B$5,Datos!$D:$D,"&gt;0"))</f>
        <v>8766.844</v>
      </c>
      <c r="S12" s="11" t="n">
        <f aca="false">COUNTIFS(Datos!$B:$B,$C12,Datos!$A:$A,$B$5,Datos!$D:$D,"&gt;0")</f>
        <v>20</v>
      </c>
      <c r="T12" s="11" t="n">
        <f aca="false">COUNTIFS(Datos!$B:$B,$C12,Datos!$A:$A,$B$5,Datos!$D:$D,0)</f>
        <v>0</v>
      </c>
      <c r="U12" s="11" t="n">
        <f aca="false">COUNTIFS(Datos!$B:$B,$C12,Datos!$A:$A,$B$5,Datos!$F:$F,"&gt;0")</f>
        <v>20</v>
      </c>
      <c r="V12" s="11" t="n">
        <f aca="false">IF(COUNTIFS(Datos!$B:$B,$C12,Datos!$A:$A,$B$5-1,Datos!$D:$D,"&gt;0")&lt;2,"",IFERROR((_xlfn.MAXIFS(Datos!$D:$D,Datos!$B:$B,$C12,Datos!$A:$A,$B$5-1,Datos!$D:$D,"&gt;0")-_xlfn.MINIFS(Datos!$D:$D,Datos!$B:$B,$C12,Datos!$A:$A,$B$5-1,Datos!$D:$D,"&gt;0"))/((_xlfn.MAXIFS(Datos!$G:$G,Datos!$B:$B,$C12,Datos!$A:$A,$B$5-1,Datos!$D:$D,"&gt;0")-_xlfn.MINIFS(Datos!$G:$G,Datos!$B:$B,$C12,Datos!$A:$A,$B$5-1,Datos!$D:$D,"&gt;0"))/60),""))</f>
        <v>0.670315789473917</v>
      </c>
    </row>
    <row r="13" customFormat="false" ht="15" hidden="false" customHeight="false" outlineLevel="0" collapsed="false">
      <c r="B13" s="11" t="str">
        <f aca="false">Medidores!B3</f>
        <v>L21</v>
      </c>
      <c r="C13" s="11" t="str">
        <f aca="false">Medidores!A3</f>
        <v>192.168.50.4</v>
      </c>
      <c r="D13" s="12" t="str">
        <f aca="false">IF(S13&lt;2,"Sin datos",IF(T13&gt;0,"Lectura en cero",IF(U13&lt;2,"Falta kVAh",IF(H13&lt;=0.001,"Sin consumo",IF(AND(ISNUMBER(M13),M13&gt;0.5),"Reactiva &gt; 50 %","Normal")))))</f>
        <v>Normal</v>
      </c>
      <c r="E13" s="13" t="n">
        <f aca="false">IF(S13&lt;2,"",_xlfn.MINIFS(Datos!$G:$G,Datos!$B:$B,$C13,Datos!$A:$A,$B$5,Datos!$D:$D,"&gt;0")/1440)</f>
        <v>0.385416666666667</v>
      </c>
      <c r="F13" s="13" t="n">
        <f aca="false">IF(S13&lt;2,"",_xlfn.MAXIFS(Datos!$G:$G,Datos!$B:$B,$C13,Datos!$A:$A,$B$5,Datos!$D:$D,"&gt;0")/1440)</f>
        <v>0.583333333333333</v>
      </c>
      <c r="G13" s="14" t="n">
        <f aca="false">COUNTIFS(Datos!$B:$B,$C13,Datos!$A:$A,$B$5)</f>
        <v>20</v>
      </c>
      <c r="H13" s="15" t="n">
        <f aca="false">IF(S13&lt;2,"",_xlfn.MAXIFS(Datos!$D:$D,Datos!$B:$B,$C13,Datos!$A:$A,$B$5,Datos!$D:$D,"&gt;0")-_xlfn.MINIFS(Datos!$D:$D,Datos!$B:$B,$C13,Datos!$A:$A,$B$5,Datos!$D:$D,"&gt;0"))</f>
        <v>2.95799999999872</v>
      </c>
      <c r="I13" s="15" t="n">
        <f aca="false">IF(S13&lt;2,"",_xlfn.MAXIFS(Datos!$E:$E,Datos!$B:$B,$C13,Datos!$A:$A,$B$5,Datos!$D:$D,"&gt;0")-_xlfn.MINIFS(Datos!$E:$E,Datos!$B:$B,$C13,Datos!$A:$A,$B$5,Datos!$D:$D,"&gt;0"))</f>
        <v>0</v>
      </c>
      <c r="J13" s="15" t="n">
        <f aca="false">IF(U13&lt;2,"",_xlfn.MAXIFS(Datos!$F:$F,Datos!$B:$B,$C13,Datos!$A:$A,$B$5,Datos!$F:$F,"&gt;0")-_xlfn.MINIFS(Datos!$F:$F,Datos!$B:$B,$C13,Datos!$A:$A,$B$5,Datos!$F:$F,"&gt;0"))</f>
        <v>3.00300000000061</v>
      </c>
      <c r="K13" s="16" t="n">
        <f aca="false">IF(H13="","",IF(F13&gt;E13,H13/((F13-E13)*24),""))</f>
        <v>0.622736842104994</v>
      </c>
      <c r="L13" s="17" t="n">
        <f aca="false">IF(OR(H13="",J13=""),"",IF(J13&gt;0,H13/J13,""))</f>
        <v>0.985014985014358</v>
      </c>
      <c r="M13" s="18" t="n">
        <f aca="false">IF(OR(H13="",I13=""),"",IF(H13&gt;0,I13/H13,""))</f>
        <v>0</v>
      </c>
      <c r="N13" s="16" t="n">
        <f aca="false">IF(S13&lt;2,"",_xlfn.MAXIFS(Datos!$H:$H,Datos!$B:$B,$C13,Datos!$A:$A,$B$5))</f>
        <v>0.680000000000291</v>
      </c>
      <c r="O13" s="13" t="n">
        <f aca="false">IF(N13="","",_xlfn.MINIFS(Datos!$G:$G,Datos!$B:$B,$C13,Datos!$A:$A,$B$5,Datos!$H:$H,N13)/1440)</f>
        <v>0.583333333333333</v>
      </c>
      <c r="P13" s="19" t="n">
        <f aca="false">IF(OR(COUNTIFS(Datos!$B:$B,$C13,Datos!$A:$A,$B$5,Datos!$D:$D,"&gt;0",Datos!$G:$G,(HOUR($D$5)*60+MINUTE($D$5)))=0,COUNTIFS(Datos!$B:$B,$C13,Datos!$A:$A,$B$5-1,Datos!$D:$D,"&gt;0",Datos!$G:$G,(HOUR($D$5)*60+MINUTE($D$5)))=0),"",SUMIFS(Datos!$D:$D,Datos!$B:$B,$C13,Datos!$A:$A,$B$5,Datos!$D:$D,"&gt;0",Datos!$G:$G,(HOUR($D$5)*60+MINUTE($D$5)))-SUMIFS(Datos!$D:$D,Datos!$B:$B,$C13,Datos!$A:$A,$B$5-1,Datos!$D:$D,"&gt;0",Datos!$G:$G,(HOUR($D$5)*60+MINUTE($D$5))))</f>
        <v>40.6410000000014</v>
      </c>
      <c r="Q13" s="20" t="n">
        <f aca="false">IF(OR(K13="",V13=""),"",IF(V13&gt;0,K13/V13-1,""))</f>
        <v>-0.4205680705193</v>
      </c>
      <c r="R13" s="15" t="n">
        <f aca="false">IF(S13=0,"",_xlfn.MAXIFS(Datos!$D:$D,Datos!$B:$B,$C13,Datos!$A:$A,$B$5,Datos!$D:$D,"&gt;0"))</f>
        <v>9961.256</v>
      </c>
      <c r="S13" s="11" t="n">
        <f aca="false">COUNTIFS(Datos!$B:$B,$C13,Datos!$A:$A,$B$5,Datos!$D:$D,"&gt;0")</f>
        <v>20</v>
      </c>
      <c r="T13" s="11" t="n">
        <f aca="false">COUNTIFS(Datos!$B:$B,$C13,Datos!$A:$A,$B$5,Datos!$D:$D,0)</f>
        <v>0</v>
      </c>
      <c r="U13" s="11" t="n">
        <f aca="false">COUNTIFS(Datos!$B:$B,$C13,Datos!$A:$A,$B$5,Datos!$F:$F,"&gt;0")</f>
        <v>20</v>
      </c>
      <c r="V13" s="11" t="n">
        <f aca="false">IF(COUNTIFS(Datos!$B:$B,$C13,Datos!$A:$A,$B$5-1,Datos!$D:$D,"&gt;0")&lt;2,"",IFERROR((_xlfn.MAXIFS(Datos!$D:$D,Datos!$B:$B,$C13,Datos!$A:$A,$B$5-1,Datos!$D:$D,"&gt;0")-_xlfn.MINIFS(Datos!$D:$D,Datos!$B:$B,$C13,Datos!$A:$A,$B$5-1,Datos!$D:$D,"&gt;0"))/((_xlfn.MAXIFS(Datos!$G:$G,Datos!$B:$B,$C13,Datos!$A:$A,$B$5-1,Datos!$D:$D,"&gt;0")-_xlfn.MINIFS(Datos!$G:$G,Datos!$B:$B,$C13,Datos!$A:$A,$B$5-1,Datos!$D:$D,"&gt;0"))/60),""))</f>
        <v>1.07473684210517</v>
      </c>
    </row>
    <row r="14" customFormat="false" ht="15" hidden="false" customHeight="false" outlineLevel="0" collapsed="false">
      <c r="B14" s="11" t="str">
        <f aca="false">Medidores!B4</f>
        <v>L14</v>
      </c>
      <c r="C14" s="11" t="str">
        <f aca="false">Medidores!A4</f>
        <v>192.168.50.5</v>
      </c>
      <c r="D14" s="12" t="str">
        <f aca="false">IF(S14&lt;2,"Sin datos",IF(T14&gt;0,"Lectura en cero",IF(U14&lt;2,"Falta kVAh",IF(H14&lt;=0.001,"Sin consumo",IF(AND(ISNUMBER(M14),M14&gt;0.5),"Reactiva &gt; 50 %","Normal")))))</f>
        <v>Reactiva &gt; 50 %</v>
      </c>
      <c r="E14" s="13" t="n">
        <f aca="false">IF(S14&lt;2,"",_xlfn.MINIFS(Datos!$G:$G,Datos!$B:$B,$C14,Datos!$A:$A,$B$5,Datos!$D:$D,"&gt;0")/1440)</f>
        <v>0.385416666666667</v>
      </c>
      <c r="F14" s="13" t="n">
        <f aca="false">IF(S14&lt;2,"",_xlfn.MAXIFS(Datos!$G:$G,Datos!$B:$B,$C14,Datos!$A:$A,$B$5,Datos!$D:$D,"&gt;0")/1440)</f>
        <v>0.583333333333333</v>
      </c>
      <c r="G14" s="14" t="n">
        <f aca="false">COUNTIFS(Datos!$B:$B,$C14,Datos!$A:$A,$B$5)</f>
        <v>20</v>
      </c>
      <c r="H14" s="15" t="n">
        <f aca="false">IF(S14&lt;2,"",_xlfn.MAXIFS(Datos!$D:$D,Datos!$B:$B,$C14,Datos!$A:$A,$B$5,Datos!$D:$D,"&gt;0")-_xlfn.MINIFS(Datos!$D:$D,Datos!$B:$B,$C14,Datos!$A:$A,$B$5,Datos!$D:$D,"&gt;0"))</f>
        <v>17.4159999999993</v>
      </c>
      <c r="I14" s="15" t="n">
        <f aca="false">IF(S14&lt;2,"",_xlfn.MAXIFS(Datos!$E:$E,Datos!$B:$B,$C14,Datos!$A:$A,$B$5,Datos!$D:$D,"&gt;0")-_xlfn.MINIFS(Datos!$E:$E,Datos!$B:$B,$C14,Datos!$A:$A,$B$5,Datos!$D:$D,"&gt;0"))</f>
        <v>9.01400000000012</v>
      </c>
      <c r="J14" s="15" t="n">
        <f aca="false">IF(U14&lt;2,"",_xlfn.MAXIFS(Datos!$F:$F,Datos!$B:$B,$C14,Datos!$A:$A,$B$5,Datos!$F:$F,"&gt;0")-_xlfn.MINIFS(Datos!$F:$F,Datos!$B:$B,$C14,Datos!$A:$A,$B$5,Datos!$F:$F,"&gt;0"))</f>
        <v>19.6790000000001</v>
      </c>
      <c r="K14" s="16" t="n">
        <f aca="false">IF(H14="","",IF(F14&gt;E14,H14/((F14-E14)*24),""))</f>
        <v>3.66652631578932</v>
      </c>
      <c r="L14" s="17" t="n">
        <f aca="false">IF(OR(H14="",J14=""),"",IF(J14&gt;0,H14/J14,""))</f>
        <v>0.885004319325127</v>
      </c>
      <c r="M14" s="18" t="n">
        <f aca="false">IF(OR(H14="",I14=""),"",IF(H14&gt;0,I14/H14,""))</f>
        <v>0.517570050528279</v>
      </c>
      <c r="N14" s="16" t="n">
        <f aca="false">IF(S14&lt;2,"",_xlfn.MAXIFS(Datos!$H:$H,Datos!$B:$B,$C14,Datos!$A:$A,$B$5))</f>
        <v>4.24399999999878</v>
      </c>
      <c r="O14" s="13" t="n">
        <f aca="false">IF(N14="","",_xlfn.MINIFS(Datos!$G:$G,Datos!$B:$B,$C14,Datos!$A:$A,$B$5,Datos!$H:$H,N14)/1440)</f>
        <v>0.479166666666667</v>
      </c>
      <c r="P14" s="19" t="n">
        <f aca="false">IF(OR(COUNTIFS(Datos!$B:$B,$C14,Datos!$A:$A,$B$5,Datos!$D:$D,"&gt;0",Datos!$G:$G,(HOUR($D$5)*60+MINUTE($D$5)))=0,COUNTIFS(Datos!$B:$B,$C14,Datos!$A:$A,$B$5-1,Datos!$D:$D,"&gt;0",Datos!$G:$G,(HOUR($D$5)*60+MINUTE($D$5)))=0),"",SUMIFS(Datos!$D:$D,Datos!$B:$B,$C14,Datos!$A:$A,$B$5,Datos!$D:$D,"&gt;0",Datos!$G:$G,(HOUR($D$5)*60+MINUTE($D$5)))-SUMIFS(Datos!$D:$D,Datos!$B:$B,$C14,Datos!$A:$A,$B$5-1,Datos!$D:$D,"&gt;0",Datos!$G:$G,(HOUR($D$5)*60+MINUTE($D$5))))</f>
        <v>58.982</v>
      </c>
      <c r="Q14" s="20" t="n">
        <f aca="false">IF(OR(K14="",V14=""),"",IF(V14&gt;0,K14/V14-1,""))</f>
        <v>-0.0159896039324966</v>
      </c>
      <c r="R14" s="15" t="n">
        <f aca="false">IF(S14=0,"",_xlfn.MAXIFS(Datos!$D:$D,Datos!$B:$B,$C14,Datos!$A:$A,$B$5,Datos!$D:$D,"&gt;0"))</f>
        <v>10579.974</v>
      </c>
      <c r="S14" s="11" t="n">
        <f aca="false">COUNTIFS(Datos!$B:$B,$C14,Datos!$A:$A,$B$5,Datos!$D:$D,"&gt;0")</f>
        <v>20</v>
      </c>
      <c r="T14" s="11" t="n">
        <f aca="false">COUNTIFS(Datos!$B:$B,$C14,Datos!$A:$A,$B$5,Datos!$D:$D,0)</f>
        <v>0</v>
      </c>
      <c r="U14" s="11" t="n">
        <f aca="false">COUNTIFS(Datos!$B:$B,$C14,Datos!$A:$A,$B$5,Datos!$F:$F,"&gt;0")</f>
        <v>20</v>
      </c>
      <c r="V14" s="11" t="n">
        <f aca="false">IF(COUNTIFS(Datos!$B:$B,$C14,Datos!$A:$A,$B$5-1,Datos!$D:$D,"&gt;0")&lt;2,"",IFERROR((_xlfn.MAXIFS(Datos!$D:$D,Datos!$B:$B,$C14,Datos!$A:$A,$B$5-1,Datos!$D:$D,"&gt;0")-_xlfn.MINIFS(Datos!$D:$D,Datos!$B:$B,$C14,Datos!$A:$A,$B$5-1,Datos!$D:$D,"&gt;0"))/((_xlfn.MAXIFS(Datos!$G:$G,Datos!$B:$B,$C14,Datos!$A:$A,$B$5-1,Datos!$D:$D,"&gt;0")-_xlfn.MINIFS(Datos!$G:$G,Datos!$B:$B,$C14,Datos!$A:$A,$B$5-1,Datos!$D:$D,"&gt;0"))/60),""))</f>
        <v>3.72610526315801</v>
      </c>
    </row>
    <row r="15" customFormat="false" ht="15" hidden="false" customHeight="false" outlineLevel="0" collapsed="false">
      <c r="B15" s="11" t="str">
        <f aca="false">Medidores!B5</f>
        <v>L20</v>
      </c>
      <c r="C15" s="11" t="str">
        <f aca="false">Medidores!A5</f>
        <v>192.168.50.6</v>
      </c>
      <c r="D15" s="12" t="str">
        <f aca="false">IF(S15&lt;2,"Sin datos",IF(T15&gt;0,"Lectura en cero",IF(U15&lt;2,"Falta kVAh",IF(H15&lt;=0.001,"Sin consumo",IF(AND(ISNUMBER(M15),M15&gt;0.5),"Reactiva &gt; 50 %","Normal")))))</f>
        <v>Reactiva &gt; 50 %</v>
      </c>
      <c r="E15" s="13" t="n">
        <f aca="false">IF(S15&lt;2,"",_xlfn.MINIFS(Datos!$G:$G,Datos!$B:$B,$C15,Datos!$A:$A,$B$5,Datos!$D:$D,"&gt;0")/1440)</f>
        <v>0.375</v>
      </c>
      <c r="F15" s="13" t="n">
        <f aca="false">IF(S15&lt;2,"",_xlfn.MAXIFS(Datos!$G:$G,Datos!$B:$B,$C15,Datos!$A:$A,$B$5,Datos!$D:$D,"&gt;0")/1440)</f>
        <v>0.572916666666667</v>
      </c>
      <c r="G15" s="14" t="n">
        <f aca="false">COUNTIFS(Datos!$B:$B,$C15,Datos!$A:$A,$B$5)</f>
        <v>20</v>
      </c>
      <c r="H15" s="15" t="n">
        <f aca="false">IF(S15&lt;2,"",_xlfn.MAXIFS(Datos!$D:$D,Datos!$B:$B,$C15,Datos!$A:$A,$B$5,Datos!$D:$D,"&gt;0")-_xlfn.MINIFS(Datos!$D:$D,Datos!$B:$B,$C15,Datos!$A:$A,$B$5,Datos!$D:$D,"&gt;0"))</f>
        <v>16.1989999999987</v>
      </c>
      <c r="I15" s="15" t="n">
        <f aca="false">IF(S15&lt;2,"",_xlfn.MAXIFS(Datos!$E:$E,Datos!$B:$B,$C15,Datos!$A:$A,$B$5,Datos!$D:$D,"&gt;0")-_xlfn.MINIFS(Datos!$E:$E,Datos!$B:$B,$C15,Datos!$A:$A,$B$5,Datos!$D:$D,"&gt;0"))</f>
        <v>12.25</v>
      </c>
      <c r="J15" s="15" t="n">
        <f aca="false">IF(U15&lt;2,"",_xlfn.MAXIFS(Datos!$F:$F,Datos!$B:$B,$C15,Datos!$A:$A,$B$5,Datos!$F:$F,"&gt;0")-_xlfn.MINIFS(Datos!$F:$F,Datos!$B:$B,$C15,Datos!$A:$A,$B$5,Datos!$F:$F,"&gt;0"))</f>
        <v>20.382999999998</v>
      </c>
      <c r="K15" s="16" t="n">
        <f aca="false">IF(H15="","",IF(F15&gt;E15,H15/((F15-E15)*24),""))</f>
        <v>3.41031578947341</v>
      </c>
      <c r="L15" s="17" t="n">
        <f aca="false">IF(OR(H15="",J15=""),"",IF(J15&gt;0,H15/J15,""))</f>
        <v>0.794730903203665</v>
      </c>
      <c r="M15" s="18" t="n">
        <f aca="false">IF(OR(H15="",I15=""),"",IF(H15&gt;0,I15/H15,""))</f>
        <v>0.7562195197235</v>
      </c>
      <c r="N15" s="16" t="n">
        <f aca="false">IF(S15&lt;2,"",_xlfn.MAXIFS(Datos!$H:$H,Datos!$B:$B,$C15,Datos!$A:$A,$B$5))</f>
        <v>4.08400000000256</v>
      </c>
      <c r="O15" s="13" t="n">
        <f aca="false">IF(N15="","",_xlfn.MINIFS(Datos!$G:$G,Datos!$B:$B,$C15,Datos!$A:$A,$B$5,Datos!$H:$H,N15)/1440)</f>
        <v>0.489583333333333</v>
      </c>
      <c r="P15" s="19" t="n">
        <f aca="false">IF(OR(COUNTIFS(Datos!$B:$B,$C15,Datos!$A:$A,$B$5,Datos!$D:$D,"&gt;0",Datos!$G:$G,(HOUR($D$5)*60+MINUTE($D$5)))=0,COUNTIFS(Datos!$B:$B,$C15,Datos!$A:$A,$B$5-1,Datos!$D:$D,"&gt;0",Datos!$G:$G,(HOUR($D$5)*60+MINUTE($D$5)))=0),"",SUMIFS(Datos!$D:$D,Datos!$B:$B,$C15,Datos!$A:$A,$B$5,Datos!$D:$D,"&gt;0",Datos!$G:$G,(HOUR($D$5)*60+MINUTE($D$5)))-SUMIFS(Datos!$D:$D,Datos!$B:$B,$C15,Datos!$A:$A,$B$5-1,Datos!$D:$D,"&gt;0",Datos!$G:$G,(HOUR($D$5)*60+MINUTE($D$5))))</f>
        <v>57.5959999999996</v>
      </c>
      <c r="Q15" s="20" t="n">
        <f aca="false">IF(OR(K15="",V15=""),"",IF(V15&gt;0,K15/V15-1,""))</f>
        <v>-0.00270885920099029</v>
      </c>
      <c r="R15" s="15" t="n">
        <f aca="false">IF(S15=0,"",_xlfn.MAXIFS(Datos!$D:$D,Datos!$B:$B,$C15,Datos!$A:$A,$B$5,Datos!$D:$D,"&gt;0"))</f>
        <v>13652.201</v>
      </c>
      <c r="S15" s="11" t="n">
        <f aca="false">COUNTIFS(Datos!$B:$B,$C15,Datos!$A:$A,$B$5,Datos!$D:$D,"&gt;0")</f>
        <v>20</v>
      </c>
      <c r="T15" s="11" t="n">
        <f aca="false">COUNTIFS(Datos!$B:$B,$C15,Datos!$A:$A,$B$5,Datos!$D:$D,0)</f>
        <v>0</v>
      </c>
      <c r="U15" s="11" t="n">
        <f aca="false">COUNTIFS(Datos!$B:$B,$C15,Datos!$A:$A,$B$5,Datos!$F:$F,"&gt;0")</f>
        <v>20</v>
      </c>
      <c r="V15" s="11" t="n">
        <f aca="false">IF(COUNTIFS(Datos!$B:$B,$C15,Datos!$A:$A,$B$5-1,Datos!$D:$D,"&gt;0")&lt;2,"",IFERROR((_xlfn.MAXIFS(Datos!$D:$D,Datos!$B:$B,$C15,Datos!$A:$A,$B$5-1,Datos!$D:$D,"&gt;0")-_xlfn.MINIFS(Datos!$D:$D,Datos!$B:$B,$C15,Datos!$A:$A,$B$5-1,Datos!$D:$D,"&gt;0"))/((_xlfn.MAXIFS(Datos!$G:$G,Datos!$B:$B,$C15,Datos!$A:$A,$B$5-1,Datos!$D:$D,"&gt;0")-_xlfn.MINIFS(Datos!$G:$G,Datos!$B:$B,$C15,Datos!$A:$A,$B$5-1,Datos!$D:$D,"&gt;0"))/60),""))</f>
        <v>3.4195789473685</v>
      </c>
    </row>
    <row r="16" customFormat="false" ht="15" hidden="false" customHeight="false" outlineLevel="0" collapsed="false">
      <c r="B16" s="11" t="str">
        <f aca="false">Medidores!B6</f>
        <v>L16</v>
      </c>
      <c r="C16" s="11" t="str">
        <f aca="false">Medidores!A6</f>
        <v>192.168.50.7</v>
      </c>
      <c r="D16" s="12" t="str">
        <f aca="false">IF(S16&lt;2,"Sin datos",IF(T16&gt;0,"Lectura en cero",IF(U16&lt;2,"Falta kVAh",IF(H16&lt;=0.001,"Sin consumo",IF(AND(ISNUMBER(M16),M16&gt;0.5),"Reactiva &gt; 50 %","Normal")))))</f>
        <v>Normal</v>
      </c>
      <c r="E16" s="13" t="n">
        <f aca="false">IF(S16&lt;2,"",_xlfn.MINIFS(Datos!$G:$G,Datos!$B:$B,$C16,Datos!$A:$A,$B$5,Datos!$D:$D,"&gt;0")/1440)</f>
        <v>0.385416666666667</v>
      </c>
      <c r="F16" s="13" t="n">
        <f aca="false">IF(S16&lt;2,"",_xlfn.MAXIFS(Datos!$G:$G,Datos!$B:$B,$C16,Datos!$A:$A,$B$5,Datos!$D:$D,"&gt;0")/1440)</f>
        <v>0.583333333333333</v>
      </c>
      <c r="G16" s="14" t="n">
        <f aca="false">COUNTIFS(Datos!$B:$B,$C16,Datos!$A:$A,$B$5)</f>
        <v>20</v>
      </c>
      <c r="H16" s="15" t="n">
        <f aca="false">IF(S16&lt;2,"",_xlfn.MAXIFS(Datos!$D:$D,Datos!$B:$B,$C16,Datos!$A:$A,$B$5,Datos!$D:$D,"&gt;0")-_xlfn.MINIFS(Datos!$D:$D,Datos!$B:$B,$C16,Datos!$A:$A,$B$5,Datos!$D:$D,"&gt;0"))</f>
        <v>0.7450000000008</v>
      </c>
      <c r="I16" s="15" t="n">
        <f aca="false">IF(S16&lt;2,"",_xlfn.MAXIFS(Datos!$E:$E,Datos!$B:$B,$C16,Datos!$A:$A,$B$5,Datos!$D:$D,"&gt;0")-_xlfn.MINIFS(Datos!$E:$E,Datos!$B:$B,$C16,Datos!$A:$A,$B$5,Datos!$D:$D,"&gt;0"))</f>
        <v>0</v>
      </c>
      <c r="J16" s="15" t="n">
        <f aca="false">IF(U16&lt;2,"",_xlfn.MAXIFS(Datos!$F:$F,Datos!$B:$B,$C16,Datos!$A:$A,$B$5,Datos!$F:$F,"&gt;0")-_xlfn.MINIFS(Datos!$F:$F,Datos!$B:$B,$C16,Datos!$A:$A,$B$5,Datos!$F:$F,"&gt;0"))</f>
        <v>2.01699999999983</v>
      </c>
      <c r="K16" s="16" t="n">
        <f aca="false">IF(H16="","",IF(F16&gt;E16,H16/((F16-E16)*24),""))</f>
        <v>0.156842105263326</v>
      </c>
      <c r="L16" s="17" t="n">
        <f aca="false">IF(OR(H16="",J16=""),"",IF(J16&gt;0,H16/J16,""))</f>
        <v>0.369360436291951</v>
      </c>
      <c r="M16" s="18" t="n">
        <f aca="false">IF(OR(H16="",I16=""),"",IF(H16&gt;0,I16/H16,""))</f>
        <v>0</v>
      </c>
      <c r="N16" s="16" t="n">
        <f aca="false">IF(S16&lt;2,"",_xlfn.MAXIFS(Datos!$H:$H,Datos!$B:$B,$C16,Datos!$A:$A,$B$5))</f>
        <v>0.160000000003492</v>
      </c>
      <c r="O16" s="13" t="n">
        <f aca="false">IF(N16="","",_xlfn.MINIFS(Datos!$G:$G,Datos!$B:$B,$C16,Datos!$A:$A,$B$5,Datos!$H:$H,N16)/1440)</f>
        <v>0.395833333333333</v>
      </c>
      <c r="P16" s="19" t="n">
        <f aca="false">IF(OR(COUNTIFS(Datos!$B:$B,$C16,Datos!$A:$A,$B$5,Datos!$D:$D,"&gt;0",Datos!$G:$G,(HOUR($D$5)*60+MINUTE($D$5)))=0,COUNTIFS(Datos!$B:$B,$C16,Datos!$A:$A,$B$5-1,Datos!$D:$D,"&gt;0",Datos!$G:$G,(HOUR($D$5)*60+MINUTE($D$5)))=0),"",SUMIFS(Datos!$D:$D,Datos!$B:$B,$C16,Datos!$A:$A,$B$5,Datos!$D:$D,"&gt;0",Datos!$G:$G,(HOUR($D$5)*60+MINUTE($D$5)))-SUMIFS(Datos!$D:$D,Datos!$B:$B,$C16,Datos!$A:$A,$B$5-1,Datos!$D:$D,"&gt;0",Datos!$G:$G,(HOUR($D$5)*60+MINUTE($D$5))))</f>
        <v>3.76800000000003</v>
      </c>
      <c r="Q16" s="20" t="n">
        <f aca="false">IF(OR(K16="",V16=""),"",IF(V16&gt;0,K16/V16-1,""))</f>
        <v>0.00539811066236839</v>
      </c>
      <c r="R16" s="15" t="n">
        <f aca="false">IF(S16=0,"",_xlfn.MAXIFS(Datos!$D:$D,Datos!$B:$B,$C16,Datos!$A:$A,$B$5,Datos!$D:$D,"&gt;0"))</f>
        <v>6628.975</v>
      </c>
      <c r="S16" s="11" t="n">
        <f aca="false">COUNTIFS(Datos!$B:$B,$C16,Datos!$A:$A,$B$5,Datos!$D:$D,"&gt;0")</f>
        <v>20</v>
      </c>
      <c r="T16" s="11" t="n">
        <f aca="false">COUNTIFS(Datos!$B:$B,$C16,Datos!$A:$A,$B$5,Datos!$D:$D,0)</f>
        <v>0</v>
      </c>
      <c r="U16" s="11" t="n">
        <f aca="false">COUNTIFS(Datos!$B:$B,$C16,Datos!$A:$A,$B$5,Datos!$F:$F,"&gt;0")</f>
        <v>20</v>
      </c>
      <c r="V16" s="11" t="n">
        <f aca="false">IF(COUNTIFS(Datos!$B:$B,$C16,Datos!$A:$A,$B$5-1,Datos!$D:$D,"&gt;0")&lt;2,"",IFERROR((_xlfn.MAXIFS(Datos!$D:$D,Datos!$B:$B,$C16,Datos!$A:$A,$B$5-1,Datos!$D:$D,"&gt;0")-_xlfn.MINIFS(Datos!$D:$D,Datos!$B:$B,$C16,Datos!$A:$A,$B$5-1,Datos!$D:$D,"&gt;0"))/((_xlfn.MAXIFS(Datos!$G:$G,Datos!$B:$B,$C16,Datos!$A:$A,$B$5-1,Datos!$D:$D,"&gt;0")-_xlfn.MINIFS(Datos!$G:$G,Datos!$B:$B,$C16,Datos!$A:$A,$B$5-1,Datos!$D:$D,"&gt;0"))/60),""))</f>
        <v>0.155999999999997</v>
      </c>
    </row>
    <row r="17" customFormat="false" ht="15" hidden="false" customHeight="false" outlineLevel="0" collapsed="false">
      <c r="B17" s="11" t="str">
        <f aca="false">Medidores!B7</f>
        <v>L22</v>
      </c>
      <c r="C17" s="11" t="str">
        <f aca="false">Medidores!A7</f>
        <v>192.168.1.168</v>
      </c>
      <c r="D17" s="12" t="str">
        <f aca="false">IF(S17&lt;2,"Sin datos",IF(T17&gt;0,"Lectura en cero",IF(U17&lt;2,"Falta kVAh",IF(H17&lt;=0.001,"Sin consumo",IF(AND(ISNUMBER(M17),M17&gt;0.5),"Reactiva &gt; 50 %","Normal")))))</f>
        <v>Normal</v>
      </c>
      <c r="E17" s="13" t="n">
        <f aca="false">IF(S17&lt;2,"",_xlfn.MINIFS(Datos!$G:$G,Datos!$B:$B,$C17,Datos!$A:$A,$B$5,Datos!$D:$D,"&gt;0")/1440)</f>
        <v>0.385416666666667</v>
      </c>
      <c r="F17" s="13" t="n">
        <f aca="false">IF(S17&lt;2,"",_xlfn.MAXIFS(Datos!$G:$G,Datos!$B:$B,$C17,Datos!$A:$A,$B$5,Datos!$D:$D,"&gt;0")/1440)</f>
        <v>0.583333333333333</v>
      </c>
      <c r="G17" s="14" t="n">
        <f aca="false">COUNTIFS(Datos!$B:$B,$C17,Datos!$A:$A,$B$5)</f>
        <v>20</v>
      </c>
      <c r="H17" s="15" t="n">
        <f aca="false">IF(S17&lt;2,"",_xlfn.MAXIFS(Datos!$D:$D,Datos!$B:$B,$C17,Datos!$A:$A,$B$5,Datos!$D:$D,"&gt;0")-_xlfn.MINIFS(Datos!$D:$D,Datos!$B:$B,$C17,Datos!$A:$A,$B$5,Datos!$D:$D,"&gt;0"))</f>
        <v>27.7580000000016</v>
      </c>
      <c r="I17" s="15" t="n">
        <f aca="false">IF(S17&lt;2,"",_xlfn.MAXIFS(Datos!$E:$E,Datos!$B:$B,$C17,Datos!$A:$A,$B$5,Datos!$D:$D,"&gt;0")-_xlfn.MINIFS(Datos!$E:$E,Datos!$B:$B,$C17,Datos!$A:$A,$B$5,Datos!$D:$D,"&gt;0"))</f>
        <v>8.00700000000052</v>
      </c>
      <c r="J17" s="15" t="n">
        <f aca="false">IF(U17&lt;2,"",_xlfn.MAXIFS(Datos!$F:$F,Datos!$B:$B,$C17,Datos!$A:$A,$B$5,Datos!$F:$F,"&gt;0")-_xlfn.MINIFS(Datos!$F:$F,Datos!$B:$B,$C17,Datos!$A:$A,$B$5,Datos!$F:$F,"&gt;0"))</f>
        <v>29.1440000000002</v>
      </c>
      <c r="K17" s="16" t="n">
        <f aca="false">IF(H17="","",IF(F17&gt;E17,H17/((F17-E17)*24),""))</f>
        <v>5.84378947368455</v>
      </c>
      <c r="L17" s="17" t="n">
        <f aca="false">IF(OR(H17="",J17=""),"",IF(J17&gt;0,H17/J17,""))</f>
        <v>0.952443041449403</v>
      </c>
      <c r="M17" s="18" t="n">
        <f aca="false">IF(OR(H17="",I17=""),"",IF(H17&gt;0,I17/H17,""))</f>
        <v>0.288457381655741</v>
      </c>
      <c r="N17" s="16" t="n">
        <f aca="false">IF(S17&lt;2,"",_xlfn.MAXIFS(Datos!$H:$H,Datos!$B:$B,$C17,Datos!$A:$A,$B$5))</f>
        <v>6.77599999999802</v>
      </c>
      <c r="O17" s="13" t="n">
        <f aca="false">IF(N17="","",_xlfn.MINIFS(Datos!$G:$G,Datos!$B:$B,$C17,Datos!$A:$A,$B$5,Datos!$H:$H,N17)/1440)</f>
        <v>0.583333333333333</v>
      </c>
      <c r="P17" s="19" t="n">
        <f aca="false">IF(OR(COUNTIFS(Datos!$B:$B,$C17,Datos!$A:$A,$B$5,Datos!$D:$D,"&gt;0",Datos!$G:$G,(HOUR($D$5)*60+MINUTE($D$5)))=0,COUNTIFS(Datos!$B:$B,$C17,Datos!$A:$A,$B$5-1,Datos!$D:$D,"&gt;0",Datos!$G:$G,(HOUR($D$5)*60+MINUTE($D$5)))=0),"",SUMIFS(Datos!$D:$D,Datos!$B:$B,$C17,Datos!$A:$A,$B$5,Datos!$D:$D,"&gt;0",Datos!$G:$G,(HOUR($D$5)*60+MINUTE($D$5)))-SUMIFS(Datos!$D:$D,Datos!$B:$B,$C17,Datos!$A:$A,$B$5-1,Datos!$D:$D,"&gt;0",Datos!$G:$G,(HOUR($D$5)*60+MINUTE($D$5))))</f>
        <v>104.231</v>
      </c>
      <c r="Q17" s="20" t="n">
        <f aca="false">IF(OR(K17="",V17=""),"",IF(V17&gt;0,K17/V17-1,""))</f>
        <v>-0.0601977248103475</v>
      </c>
      <c r="R17" s="15" t="n">
        <f aca="false">IF(S17=0,"",_xlfn.MAXIFS(Datos!$D:$D,Datos!$B:$B,$C17,Datos!$A:$A,$B$5,Datos!$D:$D,"&gt;0"))</f>
        <v>23462.465</v>
      </c>
      <c r="S17" s="11" t="n">
        <f aca="false">COUNTIFS(Datos!$B:$B,$C17,Datos!$A:$A,$B$5,Datos!$D:$D,"&gt;0")</f>
        <v>20</v>
      </c>
      <c r="T17" s="11" t="n">
        <f aca="false">COUNTIFS(Datos!$B:$B,$C17,Datos!$A:$A,$B$5,Datos!$D:$D,0)</f>
        <v>0</v>
      </c>
      <c r="U17" s="11" t="n">
        <f aca="false">COUNTIFS(Datos!$B:$B,$C17,Datos!$A:$A,$B$5,Datos!$F:$F,"&gt;0")</f>
        <v>20</v>
      </c>
      <c r="V17" s="11" t="n">
        <f aca="false">IF(COUNTIFS(Datos!$B:$B,$C17,Datos!$A:$A,$B$5-1,Datos!$D:$D,"&gt;0")&lt;2,"",IFERROR((_xlfn.MAXIFS(Datos!$D:$D,Datos!$B:$B,$C17,Datos!$A:$A,$B$5-1,Datos!$D:$D,"&gt;0")-_xlfn.MINIFS(Datos!$D:$D,Datos!$B:$B,$C17,Datos!$A:$A,$B$5-1,Datos!$D:$D,"&gt;0"))/((_xlfn.MAXIFS(Datos!$G:$G,Datos!$B:$B,$C17,Datos!$A:$A,$B$5-1,Datos!$D:$D,"&gt;0")-_xlfn.MINIFS(Datos!$G:$G,Datos!$B:$B,$C17,Datos!$A:$A,$B$5-1,Datos!$D:$D,"&gt;0"))/60),""))</f>
        <v>6.21810526315791</v>
      </c>
    </row>
    <row r="18" customFormat="false" ht="15" hidden="false" customHeight="false" outlineLevel="0" collapsed="false">
      <c r="B18" s="11" t="str">
        <f aca="false">Medidores!B8</f>
        <v>Estación planta</v>
      </c>
      <c r="C18" s="11" t="str">
        <f aca="false">Medidores!A8</f>
        <v>192.168.50.8</v>
      </c>
      <c r="D18" s="12" t="str">
        <f aca="false">IF(S18&lt;2,"Sin datos",IF(T18&gt;0,"Lectura en cero",IF(U18&lt;2,"Falta kVAh",IF(H18&lt;=0.001,"Sin consumo",IF(AND(ISNUMBER(M18),M18&gt;0.5),"Reactiva &gt; 50 %","Normal")))))</f>
        <v>Normal</v>
      </c>
      <c r="E18" s="13" t="n">
        <f aca="false">IF(S18&lt;2,"",_xlfn.MINIFS(Datos!$G:$G,Datos!$B:$B,$C18,Datos!$A:$A,$B$5,Datos!$D:$D,"&gt;0")/1440)</f>
        <v>0.385416666666667</v>
      </c>
      <c r="F18" s="13" t="n">
        <f aca="false">IF(S18&lt;2,"",_xlfn.MAXIFS(Datos!$G:$G,Datos!$B:$B,$C18,Datos!$A:$A,$B$5,Datos!$D:$D,"&gt;0")/1440)</f>
        <v>0.583333333333333</v>
      </c>
      <c r="G18" s="14" t="n">
        <f aca="false">COUNTIFS(Datos!$B:$B,$C18,Datos!$A:$A,$B$5)</f>
        <v>20</v>
      </c>
      <c r="H18" s="15" t="n">
        <f aca="false">IF(S18&lt;2,"",_xlfn.MAXIFS(Datos!$D:$D,Datos!$B:$B,$C18,Datos!$A:$A,$B$5,Datos!$D:$D,"&gt;0")-_xlfn.MINIFS(Datos!$D:$D,Datos!$B:$B,$C18,Datos!$A:$A,$B$5,Datos!$D:$D,"&gt;0"))</f>
        <v>127.945999999996</v>
      </c>
      <c r="I18" s="15" t="n">
        <f aca="false">IF(S18&lt;2,"",_xlfn.MAXIFS(Datos!$E:$E,Datos!$B:$B,$C18,Datos!$A:$A,$B$5,Datos!$D:$D,"&gt;0")-_xlfn.MINIFS(Datos!$E:$E,Datos!$B:$B,$C18,Datos!$A:$A,$B$5,Datos!$D:$D,"&gt;0"))</f>
        <v>6.65000000000146</v>
      </c>
      <c r="J18" s="15" t="n">
        <f aca="false">IF(U18&lt;2,"",_xlfn.MAXIFS(Datos!$F:$F,Datos!$B:$B,$C18,Datos!$A:$A,$B$5,Datos!$F:$F,"&gt;0")-_xlfn.MINIFS(Datos!$F:$F,Datos!$B:$B,$C18,Datos!$A:$A,$B$5,Datos!$F:$F,"&gt;0"))</f>
        <v>128.148000000001</v>
      </c>
      <c r="K18" s="16" t="n">
        <f aca="false">IF(H18="","",IF(F18&gt;E18,H18/((F18-E18)*24),""))</f>
        <v>26.9359999999992</v>
      </c>
      <c r="L18" s="17" t="n">
        <f aca="false">IF(OR(H18="",J18=""),"",IF(J18&gt;0,H18/J18,""))</f>
        <v>0.998423697599613</v>
      </c>
      <c r="M18" s="18" t="n">
        <f aca="false">IF(OR(H18="",I18=""),"",IF(H18&gt;0,I18/H18,""))</f>
        <v>0.0519750519750649</v>
      </c>
      <c r="N18" s="16" t="n">
        <f aca="false">IF(S18&lt;2,"",_xlfn.MAXIFS(Datos!$H:$H,Datos!$B:$B,$C18,Datos!$A:$A,$B$5))</f>
        <v>29.8759999999893</v>
      </c>
      <c r="O18" s="13" t="n">
        <f aca="false">IF(N18="","",_xlfn.MINIFS(Datos!$G:$G,Datos!$B:$B,$C18,Datos!$A:$A,$B$5,Datos!$H:$H,N18)/1440)</f>
        <v>0.427083333333333</v>
      </c>
      <c r="P18" s="19" t="n">
        <f aca="false">IF(OR(COUNTIFS(Datos!$B:$B,$C18,Datos!$A:$A,$B$5,Datos!$D:$D,"&gt;0",Datos!$G:$G,(HOUR($D$5)*60+MINUTE($D$5)))=0,COUNTIFS(Datos!$B:$B,$C18,Datos!$A:$A,$B$5-1,Datos!$D:$D,"&gt;0",Datos!$G:$G,(HOUR($D$5)*60+MINUTE($D$5)))=0),"",SUMIFS(Datos!$D:$D,Datos!$B:$B,$C18,Datos!$A:$A,$B$5,Datos!$D:$D,"&gt;0",Datos!$G:$G,(HOUR($D$5)*60+MINUTE($D$5)))-SUMIFS(Datos!$D:$D,Datos!$B:$B,$C18,Datos!$A:$A,$B$5-1,Datos!$D:$D,"&gt;0",Datos!$G:$G,(HOUR($D$5)*60+MINUTE($D$5))))</f>
        <v>476.008000000002</v>
      </c>
      <c r="Q18" s="20" t="n">
        <f aca="false">IF(OR(K18="",V18=""),"",IF(V18&gt;0,K18/V18-1,""))</f>
        <v>-0.137370972417935</v>
      </c>
      <c r="R18" s="15" t="n">
        <f aca="false">IF(S18=0,"",_xlfn.MAXIFS(Datos!$D:$D,Datos!$B:$B,$C18,Datos!$A:$A,$B$5,Datos!$D:$D,"&gt;0"))</f>
        <v>107913.102</v>
      </c>
      <c r="S18" s="11" t="n">
        <f aca="false">COUNTIFS(Datos!$B:$B,$C18,Datos!$A:$A,$B$5,Datos!$D:$D,"&gt;0")</f>
        <v>20</v>
      </c>
      <c r="T18" s="11" t="n">
        <f aca="false">COUNTIFS(Datos!$B:$B,$C18,Datos!$A:$A,$B$5,Datos!$D:$D,0)</f>
        <v>0</v>
      </c>
      <c r="U18" s="11" t="n">
        <f aca="false">COUNTIFS(Datos!$B:$B,$C18,Datos!$A:$A,$B$5,Datos!$F:$F,"&gt;0")</f>
        <v>20</v>
      </c>
      <c r="V18" s="11" t="n">
        <f aca="false">IF(COUNTIFS(Datos!$B:$B,$C18,Datos!$A:$A,$B$5-1,Datos!$D:$D,"&gt;0")&lt;2,"",IFERROR((_xlfn.MAXIFS(Datos!$D:$D,Datos!$B:$B,$C18,Datos!$A:$A,$B$5-1,Datos!$D:$D,"&gt;0")-_xlfn.MINIFS(Datos!$D:$D,Datos!$B:$B,$C18,Datos!$A:$A,$B$5-1,Datos!$D:$D,"&gt;0"))/((_xlfn.MAXIFS(Datos!$G:$G,Datos!$B:$B,$C18,Datos!$A:$A,$B$5-1,Datos!$D:$D,"&gt;0")-_xlfn.MINIFS(Datos!$G:$G,Datos!$B:$B,$C18,Datos!$A:$A,$B$5-1,Datos!$D:$D,"&gt;0"))/60),""))</f>
        <v>31.2254736842097</v>
      </c>
    </row>
    <row r="19" customFormat="false" ht="15" hidden="false" customHeight="false" outlineLevel="0" collapsed="false">
      <c r="B19" s="11" t="str">
        <f aca="false">Medidores!B9</f>
        <v>Estación celda 3</v>
      </c>
      <c r="C19" s="11" t="str">
        <f aca="false">Medidores!A9</f>
        <v>192.168.50.9</v>
      </c>
      <c r="D19" s="12" t="str">
        <f aca="false">IF(S19&lt;2,"Sin datos",IF(T19&gt;0,"Lectura en cero",IF(U19&lt;2,"Falta kVAh",IF(H19&lt;=0.001,"Sin consumo",IF(AND(ISNUMBER(M19),M19&gt;0.5),"Reactiva &gt; 50 %","Normal")))))</f>
        <v>Normal</v>
      </c>
      <c r="E19" s="13" t="n">
        <f aca="false">IF(S19&lt;2,"",_xlfn.MINIFS(Datos!$G:$G,Datos!$B:$B,$C19,Datos!$A:$A,$B$5,Datos!$D:$D,"&gt;0")/1440)</f>
        <v>0.385416666666667</v>
      </c>
      <c r="F19" s="13" t="n">
        <f aca="false">IF(S19&lt;2,"",_xlfn.MAXIFS(Datos!$G:$G,Datos!$B:$B,$C19,Datos!$A:$A,$B$5,Datos!$D:$D,"&gt;0")/1440)</f>
        <v>0.583333333333333</v>
      </c>
      <c r="G19" s="14" t="n">
        <f aca="false">COUNTIFS(Datos!$B:$B,$C19,Datos!$A:$A,$B$5)</f>
        <v>20</v>
      </c>
      <c r="H19" s="15" t="n">
        <f aca="false">IF(S19&lt;2,"",_xlfn.MAXIFS(Datos!$D:$D,Datos!$B:$B,$C19,Datos!$A:$A,$B$5,Datos!$D:$D,"&gt;0")-_xlfn.MINIFS(Datos!$D:$D,Datos!$B:$B,$C19,Datos!$A:$A,$B$5,Datos!$D:$D,"&gt;0"))</f>
        <v>341.218999999983</v>
      </c>
      <c r="I19" s="15" t="n">
        <f aca="false">IF(S19&lt;2,"",_xlfn.MAXIFS(Datos!$E:$E,Datos!$B:$B,$C19,Datos!$A:$A,$B$5,Datos!$D:$D,"&gt;0")-_xlfn.MINIFS(Datos!$E:$E,Datos!$B:$B,$C19,Datos!$A:$A,$B$5,Datos!$D:$D,"&gt;0"))</f>
        <v>137.774000000005</v>
      </c>
      <c r="J19" s="15" t="n">
        <f aca="false">IF(U19&lt;2,"",_xlfn.MAXIFS(Datos!$F:$F,Datos!$B:$B,$C19,Datos!$A:$A,$B$5,Datos!$F:$F,"&gt;0")-_xlfn.MINIFS(Datos!$F:$F,Datos!$B:$B,$C19,Datos!$A:$A,$B$5,Datos!$F:$F,"&gt;0"))</f>
        <v>368.25</v>
      </c>
      <c r="K19" s="16" t="n">
        <f aca="false">IF(H19="","",IF(F19&gt;E19,H19/((F19-E19)*24),""))</f>
        <v>71.8355789473648</v>
      </c>
      <c r="L19" s="17" t="n">
        <f aca="false">IF(OR(H19="",J19=""),"",IF(J19&gt;0,H19/J19,""))</f>
        <v>0.926596062457523</v>
      </c>
      <c r="M19" s="18" t="n">
        <f aca="false">IF(OR(H19="",I19=""),"",IF(H19&gt;0,I19/H19,""))</f>
        <v>0.403770012807059</v>
      </c>
      <c r="N19" s="16" t="n">
        <f aca="false">IF(S19&lt;2,"",_xlfn.MAXIFS(Datos!$H:$H,Datos!$B:$B,$C19,Datos!$A:$A,$B$5))</f>
        <v>86.7519999998622</v>
      </c>
      <c r="O19" s="13" t="n">
        <f aca="false">IF(N19="","",_xlfn.MINIFS(Datos!$G:$G,Datos!$B:$B,$C19,Datos!$A:$A,$B$5,Datos!$H:$H,N19)/1440)</f>
        <v>0.572916666666667</v>
      </c>
      <c r="P19" s="19" t="n">
        <f aca="false">IF(OR(COUNTIFS(Datos!$B:$B,$C19,Datos!$A:$A,$B$5,Datos!$D:$D,"&gt;0",Datos!$G:$G,(HOUR($D$5)*60+MINUTE($D$5)))=0,COUNTIFS(Datos!$B:$B,$C19,Datos!$A:$A,$B$5-1,Datos!$D:$D,"&gt;0",Datos!$G:$G,(HOUR($D$5)*60+MINUTE($D$5)))=0),"",SUMIFS(Datos!$D:$D,Datos!$B:$B,$C19,Datos!$A:$A,$B$5,Datos!$D:$D,"&gt;0",Datos!$G:$G,(HOUR($D$5)*60+MINUTE($D$5)))-SUMIFS(Datos!$D:$D,Datos!$B:$B,$C19,Datos!$A:$A,$B$5-1,Datos!$D:$D,"&gt;0",Datos!$G:$G,(HOUR($D$5)*60+MINUTE($D$5))))</f>
        <v>1117.93799999997</v>
      </c>
      <c r="Q19" s="20" t="n">
        <f aca="false">IF(OR(K19="",V19=""),"",IF(V19&gt;0,K19/V19-1,""))</f>
        <v>0.0208496634255282</v>
      </c>
      <c r="R19" s="15" t="n">
        <f aca="false">IF(S19=0,"",_xlfn.MAXIFS(Datos!$D:$D,Datos!$B:$B,$C19,Datos!$A:$A,$B$5,Datos!$D:$D,"&gt;0"))</f>
        <v>267912.5</v>
      </c>
      <c r="S19" s="11" t="n">
        <f aca="false">COUNTIFS(Datos!$B:$B,$C19,Datos!$A:$A,$B$5,Datos!$D:$D,"&gt;0")</f>
        <v>20</v>
      </c>
      <c r="T19" s="11" t="n">
        <f aca="false">COUNTIFS(Datos!$B:$B,$C19,Datos!$A:$A,$B$5,Datos!$D:$D,0)</f>
        <v>0</v>
      </c>
      <c r="U19" s="11" t="n">
        <f aca="false">COUNTIFS(Datos!$B:$B,$C19,Datos!$A:$A,$B$5,Datos!$F:$F,"&gt;0")</f>
        <v>20</v>
      </c>
      <c r="V19" s="11" t="n">
        <f aca="false">IF(COUNTIFS(Datos!$B:$B,$C19,Datos!$A:$A,$B$5-1,Datos!$D:$D,"&gt;0")&lt;2,"",IFERROR((_xlfn.MAXIFS(Datos!$D:$D,Datos!$B:$B,$C19,Datos!$A:$A,$B$5-1,Datos!$D:$D,"&gt;0")-_xlfn.MINIFS(Datos!$D:$D,Datos!$B:$B,$C19,Datos!$A:$A,$B$5-1,Datos!$D:$D,"&gt;0"))/((_xlfn.MAXIFS(Datos!$G:$G,Datos!$B:$B,$C19,Datos!$A:$A,$B$5-1,Datos!$D:$D,"&gt;0")-_xlfn.MINIFS(Datos!$G:$G,Datos!$B:$B,$C19,Datos!$A:$A,$B$5-1,Datos!$D:$D,"&gt;0"))/60),""))</f>
        <v>70.3684210526316</v>
      </c>
    </row>
    <row r="20" customFormat="false" ht="15" hidden="false" customHeight="false" outlineLevel="0" collapsed="false">
      <c r="B20" s="11" t="str">
        <f aca="false">Medidores!B10</f>
        <v>Estación celda 2</v>
      </c>
      <c r="C20" s="11" t="str">
        <f aca="false">Medidores!A10</f>
        <v>192.168.50.10</v>
      </c>
      <c r="D20" s="12" t="str">
        <f aca="false">IF(S20&lt;2,"Sin datos",IF(T20&gt;0,"Lectura en cero",IF(U20&lt;2,"Falta kVAh",IF(H20&lt;=0.001,"Sin consumo",IF(AND(ISNUMBER(M20),M20&gt;0.5),"Reactiva &gt; 50 %","Normal")))))</f>
        <v>Normal</v>
      </c>
      <c r="E20" s="13" t="n">
        <f aca="false">IF(S20&lt;2,"",_xlfn.MINIFS(Datos!$G:$G,Datos!$B:$B,$C20,Datos!$A:$A,$B$5,Datos!$D:$D,"&gt;0")/1440)</f>
        <v>0.385416666666667</v>
      </c>
      <c r="F20" s="13" t="n">
        <f aca="false">IF(S20&lt;2,"",_xlfn.MAXIFS(Datos!$G:$G,Datos!$B:$B,$C20,Datos!$A:$A,$B$5,Datos!$D:$D,"&gt;0")/1440)</f>
        <v>0.583333333333333</v>
      </c>
      <c r="G20" s="14" t="n">
        <f aca="false">COUNTIFS(Datos!$B:$B,$C20,Datos!$A:$A,$B$5)</f>
        <v>20</v>
      </c>
      <c r="H20" s="15" t="n">
        <f aca="false">IF(S20&lt;2,"",_xlfn.MAXIFS(Datos!$D:$D,Datos!$B:$B,$C20,Datos!$A:$A,$B$5,Datos!$D:$D,"&gt;0")-_xlfn.MINIFS(Datos!$D:$D,Datos!$B:$B,$C20,Datos!$A:$A,$B$5,Datos!$D:$D,"&gt;0"))</f>
        <v>427.342999999994</v>
      </c>
      <c r="I20" s="15" t="n">
        <f aca="false">IF(S20&lt;2,"",_xlfn.MAXIFS(Datos!$E:$E,Datos!$B:$B,$C20,Datos!$A:$A,$B$5,Datos!$D:$D,"&gt;0")-_xlfn.MINIFS(Datos!$E:$E,Datos!$B:$B,$C20,Datos!$A:$A,$B$5,Datos!$D:$D,"&gt;0"))</f>
        <v>184.921999999991</v>
      </c>
      <c r="J20" s="15" t="n">
        <f aca="false">IF(U20&lt;2,"",_xlfn.MAXIFS(Datos!$F:$F,Datos!$B:$B,$C20,Datos!$A:$A,$B$5,Datos!$F:$F,"&gt;0")-_xlfn.MINIFS(Datos!$F:$F,Datos!$B:$B,$C20,Datos!$A:$A,$B$5,Datos!$F:$F,"&gt;0"))</f>
        <v>465.717999999994</v>
      </c>
      <c r="K20" s="16" t="n">
        <f aca="false">IF(H20="","",IF(F20&gt;E20,H20/((F20-E20)*24),""))</f>
        <v>89.9669473684197</v>
      </c>
      <c r="L20" s="17" t="n">
        <f aca="false">IF(OR(H20="",J20=""),"",IF(J20&gt;0,H20/J20,""))</f>
        <v>0.917600350426652</v>
      </c>
      <c r="M20" s="18" t="n">
        <f aca="false">IF(OR(H20="",I20=""),"",IF(H20&gt;0,I20/H20,""))</f>
        <v>0.4327250007605</v>
      </c>
      <c r="N20" s="16" t="n">
        <f aca="false">IF(S20&lt;2,"",_xlfn.MAXIFS(Datos!$H:$H,Datos!$B:$B,$C20,Datos!$A:$A,$B$5))</f>
        <v>100.251999999862</v>
      </c>
      <c r="O20" s="13" t="n">
        <f aca="false">IF(N20="","",_xlfn.MINIFS(Datos!$G:$G,Datos!$B:$B,$C20,Datos!$A:$A,$B$5,Datos!$H:$H,N20)/1440)</f>
        <v>0.572916666666667</v>
      </c>
      <c r="P20" s="19" t="n">
        <f aca="false">IF(OR(COUNTIFS(Datos!$B:$B,$C20,Datos!$A:$A,$B$5,Datos!$D:$D,"&gt;0",Datos!$G:$G,(HOUR($D$5)*60+MINUTE($D$5)))=0,COUNTIFS(Datos!$B:$B,$C20,Datos!$A:$A,$B$5-1,Datos!$D:$D,"&gt;0",Datos!$G:$G,(HOUR($D$5)*60+MINUTE($D$5)))=0),"",SUMIFS(Datos!$D:$D,Datos!$B:$B,$C20,Datos!$A:$A,$B$5,Datos!$D:$D,"&gt;0",Datos!$G:$G,(HOUR($D$5)*60+MINUTE($D$5)))-SUMIFS(Datos!$D:$D,Datos!$B:$B,$C20,Datos!$A:$A,$B$5-1,Datos!$D:$D,"&gt;0",Datos!$G:$G,(HOUR($D$5)*60+MINUTE($D$5))))</f>
        <v>1557.125</v>
      </c>
      <c r="Q20" s="20" t="n">
        <f aca="false">IF(OR(K20="",V20=""),"",IF(V20&gt;0,K20/V20-1,""))</f>
        <v>0.0183926124515783</v>
      </c>
      <c r="R20" s="15" t="n">
        <f aca="false">IF(S20=0,"",_xlfn.MAXIFS(Datos!$D:$D,Datos!$B:$B,$C20,Datos!$A:$A,$B$5,Datos!$D:$D,"&gt;0"))</f>
        <v>436443.531</v>
      </c>
      <c r="S20" s="11" t="n">
        <f aca="false">COUNTIFS(Datos!$B:$B,$C20,Datos!$A:$A,$B$5,Datos!$D:$D,"&gt;0")</f>
        <v>20</v>
      </c>
      <c r="T20" s="11" t="n">
        <f aca="false">COUNTIFS(Datos!$B:$B,$C20,Datos!$A:$A,$B$5,Datos!$D:$D,0)</f>
        <v>0</v>
      </c>
      <c r="U20" s="11" t="n">
        <f aca="false">COUNTIFS(Datos!$B:$B,$C20,Datos!$A:$A,$B$5,Datos!$F:$F,"&gt;0")</f>
        <v>20</v>
      </c>
      <c r="V20" s="11" t="n">
        <f aca="false">IF(COUNTIFS(Datos!$B:$B,$C20,Datos!$A:$A,$B$5-1,Datos!$D:$D,"&gt;0")&lt;2,"",IFERROR((_xlfn.MAXIFS(Datos!$D:$D,Datos!$B:$B,$C20,Datos!$A:$A,$B$5-1,Datos!$D:$D,"&gt;0")-_xlfn.MINIFS(Datos!$D:$D,Datos!$B:$B,$C20,Datos!$A:$A,$B$5-1,Datos!$D:$D,"&gt;0"))/((_xlfn.MAXIFS(Datos!$G:$G,Datos!$B:$B,$C20,Datos!$A:$A,$B$5-1,Datos!$D:$D,"&gt;0")-_xlfn.MINIFS(Datos!$G:$G,Datos!$B:$B,$C20,Datos!$A:$A,$B$5-1,Datos!$D:$D,"&gt;0"))/60),""))</f>
        <v>88.3421052631579</v>
      </c>
    </row>
    <row r="21" customFormat="false" ht="15" hidden="false" customHeight="false" outlineLevel="0" collapsed="false">
      <c r="B21" s="11" t="str">
        <f aca="false">Medidores!B11</f>
        <v>Estación celda 1</v>
      </c>
      <c r="C21" s="11" t="str">
        <f aca="false">Medidores!A11</f>
        <v>192.168.50.11</v>
      </c>
      <c r="D21" s="12" t="str">
        <f aca="false">IF(S21&lt;2,"Sin datos",IF(T21&gt;0,"Lectura en cero",IF(U21&lt;2,"Falta kVAh",IF(H21&lt;=0.001,"Sin consumo",IF(AND(ISNUMBER(M21),M21&gt;0.5),"Reactiva &gt; 50 %","Normal")))))</f>
        <v>Reactiva &gt; 50 %</v>
      </c>
      <c r="E21" s="13" t="n">
        <f aca="false">IF(S21&lt;2,"",_xlfn.MINIFS(Datos!$G:$G,Datos!$B:$B,$C21,Datos!$A:$A,$B$5,Datos!$D:$D,"&gt;0")/1440)</f>
        <v>0.385416666666667</v>
      </c>
      <c r="F21" s="13" t="n">
        <f aca="false">IF(S21&lt;2,"",_xlfn.MAXIFS(Datos!$G:$G,Datos!$B:$B,$C21,Datos!$A:$A,$B$5,Datos!$D:$D,"&gt;0")/1440)</f>
        <v>0.583333333333333</v>
      </c>
      <c r="G21" s="14" t="n">
        <f aca="false">COUNTIFS(Datos!$B:$B,$C21,Datos!$A:$A,$B$5)</f>
        <v>20</v>
      </c>
      <c r="H21" s="15" t="n">
        <f aca="false">IF(S21&lt;2,"",_xlfn.MAXIFS(Datos!$D:$D,Datos!$B:$B,$C21,Datos!$A:$A,$B$5,Datos!$D:$D,"&gt;0")-_xlfn.MINIFS(Datos!$D:$D,Datos!$B:$B,$C21,Datos!$A:$A,$B$5,Datos!$D:$D,"&gt;0"))</f>
        <v>430.219000000041</v>
      </c>
      <c r="I21" s="15" t="n">
        <f aca="false">IF(S21&lt;2,"",_xlfn.MAXIFS(Datos!$E:$E,Datos!$B:$B,$C21,Datos!$A:$A,$B$5,Datos!$D:$D,"&gt;0")-_xlfn.MINIFS(Datos!$E:$E,Datos!$B:$B,$C21,Datos!$A:$A,$B$5,Datos!$D:$D,"&gt;0"))</f>
        <v>229.546999999991</v>
      </c>
      <c r="J21" s="15" t="n">
        <f aca="false">IF(U21&lt;2,"",_xlfn.MAXIFS(Datos!$F:$F,Datos!$B:$B,$C21,Datos!$A:$A,$B$5,Datos!$F:$F,"&gt;0")-_xlfn.MINIFS(Datos!$F:$F,Datos!$B:$B,$C21,Datos!$A:$A,$B$5,Datos!$F:$F,"&gt;0"))</f>
        <v>495.062000000034</v>
      </c>
      <c r="K21" s="16" t="n">
        <f aca="false">IF(H21="","",IF(F21&gt;E21,H21/((F21-E21)*24),""))</f>
        <v>90.5724210526402</v>
      </c>
      <c r="L21" s="17" t="n">
        <f aca="false">IF(OR(H21="",J21=""),"",IF(J21&gt;0,H21/J21,""))</f>
        <v>0.869020445923967</v>
      </c>
      <c r="M21" s="18" t="n">
        <f aca="false">IF(OR(H21="",I21=""),"",IF(H21&gt;0,I21/H21,""))</f>
        <v>0.533558489978289</v>
      </c>
      <c r="N21" s="16" t="n">
        <f aca="false">IF(S21&lt;2,"",_xlfn.MAXIFS(Datos!$H:$H,Datos!$B:$B,$C21,Datos!$A:$A,$B$5))</f>
        <v>130.247999999905</v>
      </c>
      <c r="O21" s="13" t="n">
        <f aca="false">IF(N21="","",_xlfn.MINIFS(Datos!$G:$G,Datos!$B:$B,$C21,Datos!$A:$A,$B$5,Datos!$H:$H,N21)/1440)</f>
        <v>0.40625</v>
      </c>
      <c r="P21" s="19" t="n">
        <f aca="false">IF(OR(COUNTIFS(Datos!$B:$B,$C21,Datos!$A:$A,$B$5,Datos!$D:$D,"&gt;0",Datos!$G:$G,(HOUR($D$5)*60+MINUTE($D$5)))=0,COUNTIFS(Datos!$B:$B,$C21,Datos!$A:$A,$B$5-1,Datos!$D:$D,"&gt;0",Datos!$G:$G,(HOUR($D$5)*60+MINUTE($D$5)))=0),"",SUMIFS(Datos!$D:$D,Datos!$B:$B,$C21,Datos!$A:$A,$B$5,Datos!$D:$D,"&gt;0",Datos!$G:$G,(HOUR($D$5)*60+MINUTE($D$5)))-SUMIFS(Datos!$D:$D,Datos!$B:$B,$C21,Datos!$A:$A,$B$5-1,Datos!$D:$D,"&gt;0",Datos!$G:$G,(HOUR($D$5)*60+MINUTE($D$5))))</f>
        <v>1362.93699999998</v>
      </c>
      <c r="Q21" s="20" t="n">
        <f aca="false">IF(OR(K21="",V21=""),"",IF(V21&gt;0,K21/V21-1,""))</f>
        <v>0.128256838869942</v>
      </c>
      <c r="R21" s="15" t="n">
        <f aca="false">IF(S21=0,"",_xlfn.MAXIFS(Datos!$D:$D,Datos!$B:$B,$C21,Datos!$A:$A,$B$5,Datos!$D:$D,"&gt;0"))</f>
        <v>331773.063</v>
      </c>
      <c r="S21" s="11" t="n">
        <f aca="false">COUNTIFS(Datos!$B:$B,$C21,Datos!$A:$A,$B$5,Datos!$D:$D,"&gt;0")</f>
        <v>20</v>
      </c>
      <c r="T21" s="11" t="n">
        <f aca="false">COUNTIFS(Datos!$B:$B,$C21,Datos!$A:$A,$B$5,Datos!$D:$D,0)</f>
        <v>0</v>
      </c>
      <c r="U21" s="11" t="n">
        <f aca="false">COUNTIFS(Datos!$B:$B,$C21,Datos!$A:$A,$B$5,Datos!$F:$F,"&gt;0")</f>
        <v>20</v>
      </c>
      <c r="V21" s="11" t="n">
        <f aca="false">IF(COUNTIFS(Datos!$B:$B,$C21,Datos!$A:$A,$B$5-1,Datos!$D:$D,"&gt;0")&lt;2,"",IFERROR((_xlfn.MAXIFS(Datos!$D:$D,Datos!$B:$B,$C21,Datos!$A:$A,$B$5-1,Datos!$D:$D,"&gt;0")-_xlfn.MINIFS(Datos!$D:$D,Datos!$B:$B,$C21,Datos!$A:$A,$B$5-1,Datos!$D:$D,"&gt;0"))/((_xlfn.MAXIFS(Datos!$G:$G,Datos!$B:$B,$C21,Datos!$A:$A,$B$5-1,Datos!$D:$D,"&gt;0")-_xlfn.MINIFS(Datos!$G:$G,Datos!$B:$B,$C21,Datos!$A:$A,$B$5-1,Datos!$D:$D,"&gt;0"))/60),""))</f>
        <v>80.2764210526366</v>
      </c>
    </row>
    <row r="23" customFormat="false" ht="15" hidden="false" customHeight="false" outlineLevel="0" collapsed="false">
      <c r="B23" s="2" t="s">
        <v>32</v>
      </c>
    </row>
    <row r="24" customFormat="false" ht="15" hidden="false" customHeight="false" outlineLevel="0" collapsed="false">
      <c r="B24" s="2" t="s">
        <v>33</v>
      </c>
    </row>
    <row r="25" customFormat="false" ht="15" hidden="false" customHeight="false" outlineLevel="0" collapsed="false">
      <c r="B25" s="2" t="s">
        <v>34</v>
      </c>
    </row>
    <row r="26" customFormat="false" ht="15" hidden="false" customHeight="false" outlineLevel="0" collapsed="false">
      <c r="B26" s="2" t="s">
        <v>35</v>
      </c>
    </row>
  </sheetData>
  <mergeCells count="1">
    <mergeCell ref="F5:H5"/>
  </mergeCells>
  <conditionalFormatting sqref="D12:D21">
    <cfRule type="expression" priority="2" aboveAverage="0" equalAverage="0" bottom="0" percent="0" rank="0" text="" dxfId="0">
      <formula>D12="Normal"</formula>
    </cfRule>
    <cfRule type="expression" priority="3" aboveAverage="0" equalAverage="0" bottom="0" percent="0" rank="0" text="" dxfId="1">
      <formula>OR(D12="Sin datos",D12="Reactiva &gt; 50 %")</formula>
    </cfRule>
    <cfRule type="expression" priority="4" aboveAverage="0" equalAverage="0" bottom="0" percent="0" rank="0" text="" dxfId="2">
      <formula>D12&lt;&gt;"Normal"</formula>
    </cfRule>
  </conditionalFormatting>
  <conditionalFormatting sqref="M12:M21">
    <cfRule type="expression" priority="5" aboveAverage="0" equalAverage="0" bottom="0" percent="0" rank="0" text="" dxfId="1">
      <formula>AND(ISNUMBER(M12),M12&gt;0.5)</formula>
    </cfRule>
  </conditionalFormatting>
  <conditionalFormatting sqref="L12:L21">
    <cfRule type="expression" priority="6" aboveAverage="0" equalAverage="0" bottom="0" percent="0" rank="0" text="" dxfId="2">
      <formula>AND(ISNUMBER(L12),L12&lt;0.9)</formula>
    </cfRule>
  </conditionalFormatting>
  <dataValidations count="3">
    <dataValidation allowBlank="false" error="Elige un día de la lista." errorStyle="stop" errorTitle="Día no válido" operator="between" showDropDown="false" showErrorMessage="false" showInputMessage="false" sqref="B5" type="list">
      <formula1>Histórico!$A$3:$A$5</formula1>
      <formula2>0</formula2>
    </dataValidation>
    <dataValidation allowBlank="false" error="Elige un medidor de la lista." errorStyle="stop" errorTitle="Medidor no válido" operator="between" showDropDown="false" showErrorMessage="false" showInputMessage="false" sqref="F5" type="list">
      <formula1>Medidores!$B$2:$B$200</formula1>
      <formula2>0</formula2>
    </dataValidation>
    <dataValidation allowBlank="false" error="Escribe una hora, por ejemplo 14:45." errorStyle="stop" errorTitle="Hora no válida" operator="between" showDropDown="false" showErrorMessage="false" showInputMessage="false" sqref="D5" type="time">
      <formula1>0</formula1>
      <formula2>0.999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8"/>
    <col collapsed="false" customWidth="true" hidden="false" outlineLevel="0" max="10" min="10" style="0" width="19"/>
  </cols>
  <sheetData>
    <row r="1" customFormat="false" ht="15" hidden="false" customHeight="false" outlineLevel="0" collapsed="false">
      <c r="A1" s="10" t="s">
        <v>36</v>
      </c>
      <c r="B1" s="10" t="s">
        <v>12</v>
      </c>
      <c r="C1" s="10" t="s">
        <v>37</v>
      </c>
      <c r="D1" s="10" t="s">
        <v>17</v>
      </c>
      <c r="E1" s="10" t="s">
        <v>18</v>
      </c>
      <c r="F1" s="10" t="s">
        <v>19</v>
      </c>
      <c r="G1" s="10" t="s">
        <v>38</v>
      </c>
      <c r="H1" s="10" t="s">
        <v>39</v>
      </c>
      <c r="I1" s="10" t="s">
        <v>11</v>
      </c>
      <c r="J1" s="10" t="s">
        <v>40</v>
      </c>
    </row>
    <row r="2" customFormat="false" ht="15" hidden="false" customHeight="false" outlineLevel="0" collapsed="false">
      <c r="A2" s="21" t="n">
        <v>46302</v>
      </c>
      <c r="B2" s="22" t="s">
        <v>41</v>
      </c>
      <c r="C2" s="23" t="n">
        <v>0.260416666666667</v>
      </c>
      <c r="D2" s="24" t="n">
        <v>23213.115</v>
      </c>
      <c r="E2" s="24" t="n">
        <v>5870.396</v>
      </c>
      <c r="F2" s="24" t="n">
        <v>24149.643</v>
      </c>
      <c r="G2" s="22" t="n">
        <f aca="false">HOUR(C2)*60+MINUTE(C2)</f>
        <v>375</v>
      </c>
      <c r="H2" s="25" t="str">
        <f aca="false">IF(AND(B2=B1,A2=A1,D2&gt;0,N(D1)&gt;0,G2&gt;N(G1)),(D2-D1)/((G2-G1)/60),"")</f>
        <v/>
      </c>
      <c r="I2" s="22" t="str">
        <f aca="false">IFERROR(INDEX(Medidores!$B:$B,MATCH(B2,Medidores!$A:$A,0)),"")</f>
        <v>L22</v>
      </c>
      <c r="J2" s="22" t="s">
        <v>42</v>
      </c>
    </row>
    <row r="3" customFormat="false" ht="15" hidden="false" customHeight="false" outlineLevel="0" collapsed="false">
      <c r="A3" s="21" t="n">
        <v>46302</v>
      </c>
      <c r="B3" s="22" t="s">
        <v>41</v>
      </c>
      <c r="C3" s="23" t="n">
        <v>0.270833333333333</v>
      </c>
      <c r="D3" s="24" t="n">
        <v>23213.744</v>
      </c>
      <c r="E3" s="24" t="n">
        <v>5870.521</v>
      </c>
      <c r="F3" s="24" t="n">
        <v>24150.285</v>
      </c>
      <c r="G3" s="22" t="n">
        <f aca="false">HOUR(C3)*60+MINUTE(C3)</f>
        <v>390</v>
      </c>
      <c r="H3" s="25" t="n">
        <f aca="false">IF(AND(B3=B2,A3=A2,D3&gt;0,N(D2)&gt;0,G3&gt;N(G2)),(D3-D2)/((G3-G2)/60),"")</f>
        <v>2.51599999998871</v>
      </c>
      <c r="I3" s="22" t="str">
        <f aca="false">IFERROR(INDEX(Medidores!$B:$B,MATCH(B3,Medidores!$A:$A,0)),"")</f>
        <v>L22</v>
      </c>
      <c r="J3" s="22" t="s">
        <v>43</v>
      </c>
    </row>
    <row r="4" customFormat="false" ht="15" hidden="false" customHeight="false" outlineLevel="0" collapsed="false">
      <c r="A4" s="21" t="n">
        <v>46302</v>
      </c>
      <c r="B4" s="22" t="s">
        <v>41</v>
      </c>
      <c r="C4" s="23" t="n">
        <v>0.28125</v>
      </c>
      <c r="D4" s="24" t="n">
        <v>23214.371</v>
      </c>
      <c r="E4" s="24" t="n">
        <v>5870.632</v>
      </c>
      <c r="F4" s="24" t="n">
        <v>24150.926</v>
      </c>
      <c r="G4" s="22" t="n">
        <f aca="false">HOUR(C4)*60+MINUTE(C4)</f>
        <v>405</v>
      </c>
      <c r="H4" s="25" t="n">
        <f aca="false">IF(AND(B4=B3,A4=A3,D4&gt;0,N(D3)&gt;0,G4&gt;N(G3)),(D4-D3)/((G4-G3)/60),"")</f>
        <v>2.50800000000163</v>
      </c>
      <c r="I4" s="22" t="str">
        <f aca="false">IFERROR(INDEX(Medidores!$B:$B,MATCH(B4,Medidores!$A:$A,0)),"")</f>
        <v>L22</v>
      </c>
      <c r="J4" s="22" t="s">
        <v>44</v>
      </c>
    </row>
    <row r="5" customFormat="false" ht="15" hidden="false" customHeight="false" outlineLevel="0" collapsed="false">
      <c r="A5" s="21" t="n">
        <v>46302</v>
      </c>
      <c r="B5" s="22" t="s">
        <v>41</v>
      </c>
      <c r="C5" s="23" t="n">
        <v>0.291666666666667</v>
      </c>
      <c r="D5" s="24" t="n">
        <v>23215.045</v>
      </c>
      <c r="E5" s="24" t="n">
        <v>5870.742</v>
      </c>
      <c r="F5" s="24" t="n">
        <v>24151.609</v>
      </c>
      <c r="G5" s="22" t="n">
        <f aca="false">HOUR(C5)*60+MINUTE(C5)</f>
        <v>420</v>
      </c>
      <c r="H5" s="25" t="n">
        <f aca="false">IF(AND(B5=B4,A5=A4,D5&gt;0,N(D4)&gt;0,G5&gt;N(G4)),(D5-D4)/((G5-G4)/60),"")</f>
        <v>2.69599999999627</v>
      </c>
      <c r="I5" s="22" t="str">
        <f aca="false">IFERROR(INDEX(Medidores!$B:$B,MATCH(B5,Medidores!$A:$A,0)),"")</f>
        <v>L22</v>
      </c>
      <c r="J5" s="22" t="s">
        <v>45</v>
      </c>
    </row>
    <row r="6" customFormat="false" ht="15" hidden="false" customHeight="false" outlineLevel="0" collapsed="false">
      <c r="A6" s="21" t="n">
        <v>46302</v>
      </c>
      <c r="B6" s="22" t="s">
        <v>41</v>
      </c>
      <c r="C6" s="23" t="n">
        <v>0.302083333333333</v>
      </c>
      <c r="D6" s="24" t="n">
        <v>23216.727</v>
      </c>
      <c r="E6" s="24" t="n">
        <v>5871.275</v>
      </c>
      <c r="F6" s="24" t="n">
        <v>24153.393</v>
      </c>
      <c r="G6" s="22" t="n">
        <f aca="false">HOUR(C6)*60+MINUTE(C6)</f>
        <v>435</v>
      </c>
      <c r="H6" s="25" t="n">
        <f aca="false">IF(AND(B6=B5,A6=A5,D6&gt;0,N(D5)&gt;0,G6&gt;N(G5)),(D6-D5)/((G6-G5)/60),"")</f>
        <v>6.72800000000279</v>
      </c>
      <c r="I6" s="22" t="str">
        <f aca="false">IFERROR(INDEX(Medidores!$B:$B,MATCH(B6,Medidores!$A:$A,0)),"")</f>
        <v>L22</v>
      </c>
      <c r="J6" s="22" t="s">
        <v>46</v>
      </c>
    </row>
    <row r="7" customFormat="false" ht="15" hidden="false" customHeight="false" outlineLevel="0" collapsed="false">
      <c r="A7" s="21" t="n">
        <v>46302</v>
      </c>
      <c r="B7" s="22" t="s">
        <v>41</v>
      </c>
      <c r="C7" s="23" t="n">
        <v>0.3125</v>
      </c>
      <c r="D7" s="24" t="n">
        <v>23218.24</v>
      </c>
      <c r="E7" s="24" t="n">
        <v>5871.698</v>
      </c>
      <c r="F7" s="24" t="n">
        <v>24154.981</v>
      </c>
      <c r="G7" s="22" t="n">
        <f aca="false">HOUR(C7)*60+MINUTE(C7)</f>
        <v>450</v>
      </c>
      <c r="H7" s="25" t="n">
        <f aca="false">IF(AND(B7=B6,A7=A6,D7&gt;0,N(D6)&gt;0,G7&gt;N(G6)),(D7-D6)/((G7-G6)/60),"")</f>
        <v>6.05200000001059</v>
      </c>
      <c r="I7" s="22" t="str">
        <f aca="false">IFERROR(INDEX(Medidores!$B:$B,MATCH(B7,Medidores!$A:$A,0)),"")</f>
        <v>L22</v>
      </c>
      <c r="J7" s="22" t="s">
        <v>47</v>
      </c>
    </row>
    <row r="8" customFormat="false" ht="15" hidden="false" customHeight="false" outlineLevel="0" collapsed="false">
      <c r="A8" s="21" t="n">
        <v>46302</v>
      </c>
      <c r="B8" s="22" t="s">
        <v>41</v>
      </c>
      <c r="C8" s="23" t="n">
        <v>0.322916666666667</v>
      </c>
      <c r="D8" s="24" t="n">
        <v>23219.891</v>
      </c>
      <c r="E8" s="24" t="n">
        <v>5872.194</v>
      </c>
      <c r="F8" s="24" t="n">
        <v>24156.713</v>
      </c>
      <c r="G8" s="22" t="n">
        <f aca="false">HOUR(C8)*60+MINUTE(C8)</f>
        <v>465</v>
      </c>
      <c r="H8" s="25" t="n">
        <f aca="false">IF(AND(B8=B7,A8=A7,D8&gt;0,N(D7)&gt;0,G8&gt;N(G7)),(D8-D7)/((G8-G7)/60),"")</f>
        <v>6.60399999999208</v>
      </c>
      <c r="I8" s="22" t="str">
        <f aca="false">IFERROR(INDEX(Medidores!$B:$B,MATCH(B8,Medidores!$A:$A,0)),"")</f>
        <v>L22</v>
      </c>
      <c r="J8" s="22" t="s">
        <v>48</v>
      </c>
    </row>
    <row r="9" customFormat="false" ht="15" hidden="false" customHeight="false" outlineLevel="0" collapsed="false">
      <c r="A9" s="21" t="n">
        <v>46302</v>
      </c>
      <c r="B9" s="22" t="s">
        <v>41</v>
      </c>
      <c r="C9" s="23" t="n">
        <v>0.333333333333333</v>
      </c>
      <c r="D9" s="24" t="n">
        <v>23221.516</v>
      </c>
      <c r="E9" s="24" t="n">
        <v>5872.683</v>
      </c>
      <c r="F9" s="24" t="n">
        <v>24158.422</v>
      </c>
      <c r="G9" s="22" t="n">
        <f aca="false">HOUR(C9)*60+MINUTE(C9)</f>
        <v>480</v>
      </c>
      <c r="H9" s="25" t="n">
        <f aca="false">IF(AND(B9=B8,A9=A8,D9&gt;0,N(D8)&gt;0,G9&gt;N(G8)),(D9-D8)/((G9-G8)/60),"")</f>
        <v>6.5</v>
      </c>
      <c r="I9" s="22" t="str">
        <f aca="false">IFERROR(INDEX(Medidores!$B:$B,MATCH(B9,Medidores!$A:$A,0)),"")</f>
        <v>L22</v>
      </c>
      <c r="J9" s="22" t="s">
        <v>49</v>
      </c>
    </row>
    <row r="10" customFormat="false" ht="15" hidden="false" customHeight="false" outlineLevel="0" collapsed="false">
      <c r="A10" s="21" t="n">
        <v>46302</v>
      </c>
      <c r="B10" s="22" t="s">
        <v>41</v>
      </c>
      <c r="C10" s="23" t="n">
        <v>0.34375</v>
      </c>
      <c r="D10" s="24" t="n">
        <v>23223.152</v>
      </c>
      <c r="E10" s="24" t="n">
        <v>5873.226</v>
      </c>
      <c r="F10" s="24" t="n">
        <v>24160.164</v>
      </c>
      <c r="G10" s="22" t="n">
        <f aca="false">HOUR(C10)*60+MINUTE(C10)</f>
        <v>495</v>
      </c>
      <c r="H10" s="25" t="n">
        <f aca="false">IF(AND(B10=B9,A10=A9,D10&gt;0,N(D9)&gt;0,G10&gt;N(G9)),(D10-D9)/((G10-G9)/60),"")</f>
        <v>6.54399999999441</v>
      </c>
      <c r="I10" s="22" t="str">
        <f aca="false">IFERROR(INDEX(Medidores!$B:$B,MATCH(B10,Medidores!$A:$A,0)),"")</f>
        <v>L22</v>
      </c>
      <c r="J10" s="22" t="s">
        <v>50</v>
      </c>
    </row>
    <row r="11" customFormat="false" ht="15" hidden="false" customHeight="false" outlineLevel="0" collapsed="false">
      <c r="A11" s="21" t="n">
        <v>46302</v>
      </c>
      <c r="B11" s="22" t="s">
        <v>41</v>
      </c>
      <c r="C11" s="23" t="n">
        <v>0.354166666666667</v>
      </c>
      <c r="D11" s="24" t="n">
        <v>23224.775</v>
      </c>
      <c r="E11" s="24" t="n">
        <v>5873.71</v>
      </c>
      <c r="F11" s="24" t="n">
        <v>24161.877</v>
      </c>
      <c r="G11" s="22" t="n">
        <f aca="false">HOUR(C11)*60+MINUTE(C11)</f>
        <v>510</v>
      </c>
      <c r="H11" s="25" t="n">
        <f aca="false">IF(AND(B11=B10,A11=A10,D11&gt;0,N(D10)&gt;0,G11&gt;N(G10)),(D11-D10)/((G11-G10)/60),"")</f>
        <v>6.49200000001292</v>
      </c>
      <c r="I11" s="22" t="str">
        <f aca="false">IFERROR(INDEX(Medidores!$B:$B,MATCH(B11,Medidores!$A:$A,0)),"")</f>
        <v>L22</v>
      </c>
      <c r="J11" s="22" t="s">
        <v>51</v>
      </c>
    </row>
    <row r="12" customFormat="false" ht="15" hidden="false" customHeight="false" outlineLevel="0" collapsed="false">
      <c r="A12" s="21" t="n">
        <v>46302</v>
      </c>
      <c r="B12" s="22" t="s">
        <v>41</v>
      </c>
      <c r="C12" s="23" t="n">
        <v>0.364583333333333</v>
      </c>
      <c r="D12" s="24" t="n">
        <v>23226.219</v>
      </c>
      <c r="E12" s="24" t="n">
        <v>5874.117</v>
      </c>
      <c r="F12" s="24" t="n">
        <v>24163.389</v>
      </c>
      <c r="G12" s="22" t="n">
        <f aca="false">HOUR(C12)*60+MINUTE(C12)</f>
        <v>525</v>
      </c>
      <c r="H12" s="25" t="n">
        <f aca="false">IF(AND(B12=B11,A12=A11,D12&gt;0,N(D11)&gt;0,G12&gt;N(G11)),(D12-D11)/((G12-G11)/60),"")</f>
        <v>5.77599999999802</v>
      </c>
      <c r="I12" s="22" t="str">
        <f aca="false">IFERROR(INDEX(Medidores!$B:$B,MATCH(B12,Medidores!$A:$A,0)),"")</f>
        <v>L22</v>
      </c>
      <c r="J12" s="22" t="s">
        <v>52</v>
      </c>
    </row>
    <row r="13" customFormat="false" ht="15" hidden="false" customHeight="false" outlineLevel="0" collapsed="false">
      <c r="A13" s="21" t="n">
        <v>46302</v>
      </c>
      <c r="B13" s="22" t="s">
        <v>41</v>
      </c>
      <c r="C13" s="23" t="n">
        <v>0.375</v>
      </c>
      <c r="D13" s="24" t="n">
        <v>23227.84</v>
      </c>
      <c r="E13" s="24" t="n">
        <v>5874.638</v>
      </c>
      <c r="F13" s="24" t="n">
        <v>24165.106</v>
      </c>
      <c r="G13" s="22" t="n">
        <f aca="false">HOUR(C13)*60+MINUTE(C13)</f>
        <v>540</v>
      </c>
      <c r="H13" s="25" t="n">
        <f aca="false">IF(AND(B13=B12,A13=A12,D13&gt;0,N(D12)&gt;0,G13&gt;N(G12)),(D13-D12)/((G13-G12)/60),"")</f>
        <v>6.48399999999674</v>
      </c>
      <c r="I13" s="22" t="str">
        <f aca="false">IFERROR(INDEX(Medidores!$B:$B,MATCH(B13,Medidores!$A:$A,0)),"")</f>
        <v>L22</v>
      </c>
      <c r="J13" s="22" t="s">
        <v>53</v>
      </c>
    </row>
    <row r="14" customFormat="false" ht="15" hidden="false" customHeight="false" outlineLevel="0" collapsed="false">
      <c r="A14" s="21" t="n">
        <v>46302</v>
      </c>
      <c r="B14" s="22" t="s">
        <v>41</v>
      </c>
      <c r="C14" s="23" t="n">
        <v>0.385416666666667</v>
      </c>
      <c r="D14" s="24" t="n">
        <v>23229.453</v>
      </c>
      <c r="E14" s="24" t="n">
        <v>5875.126</v>
      </c>
      <c r="F14" s="24" t="n">
        <v>24166.809</v>
      </c>
      <c r="G14" s="22" t="n">
        <f aca="false">HOUR(C14)*60+MINUTE(C14)</f>
        <v>555</v>
      </c>
      <c r="H14" s="25" t="n">
        <f aca="false">IF(AND(B14=B13,A14=A13,D14&gt;0,N(D13)&gt;0,G14&gt;N(G13)),(D14-D13)/((G14-G13)/60),"")</f>
        <v>6.45200000000477</v>
      </c>
      <c r="I14" s="22" t="str">
        <f aca="false">IFERROR(INDEX(Medidores!$B:$B,MATCH(B14,Medidores!$A:$A,0)),"")</f>
        <v>L22</v>
      </c>
      <c r="J14" s="22" t="s">
        <v>54</v>
      </c>
    </row>
    <row r="15" customFormat="false" ht="15" hidden="false" customHeight="false" outlineLevel="0" collapsed="false">
      <c r="A15" s="21" t="n">
        <v>46302</v>
      </c>
      <c r="B15" s="22" t="s">
        <v>41</v>
      </c>
      <c r="C15" s="23" t="n">
        <v>0.395833333333333</v>
      </c>
      <c r="D15" s="24" t="n">
        <v>23231.076</v>
      </c>
      <c r="E15" s="24" t="n">
        <v>5875.638</v>
      </c>
      <c r="F15" s="24" t="n">
        <v>24168.521</v>
      </c>
      <c r="G15" s="22" t="n">
        <f aca="false">HOUR(C15)*60+MINUTE(C15)</f>
        <v>570</v>
      </c>
      <c r="H15" s="25" t="n">
        <f aca="false">IF(AND(B15=B14,A15=A14,D15&gt;0,N(D14)&gt;0,G15&gt;N(G14)),(D15-D14)/((G15-G14)/60),"")</f>
        <v>6.49199999999837</v>
      </c>
      <c r="I15" s="22" t="str">
        <f aca="false">IFERROR(INDEX(Medidores!$B:$B,MATCH(B15,Medidores!$A:$A,0)),"")</f>
        <v>L22</v>
      </c>
      <c r="J15" s="22" t="s">
        <v>55</v>
      </c>
    </row>
    <row r="16" customFormat="false" ht="15" hidden="false" customHeight="false" outlineLevel="0" collapsed="false">
      <c r="A16" s="21" t="n">
        <v>46302</v>
      </c>
      <c r="B16" s="22" t="s">
        <v>41</v>
      </c>
      <c r="C16" s="23" t="n">
        <v>0.40625</v>
      </c>
      <c r="D16" s="24" t="n">
        <v>23232.705</v>
      </c>
      <c r="E16" s="24" t="n">
        <v>5876.125</v>
      </c>
      <c r="F16" s="24" t="n">
        <v>24170.236</v>
      </c>
      <c r="G16" s="22" t="n">
        <f aca="false">HOUR(C16)*60+MINUTE(C16)</f>
        <v>585</v>
      </c>
      <c r="H16" s="25" t="n">
        <f aca="false">IF(AND(B16=B15,A16=A15,D16&gt;0,N(D15)&gt;0,G16&gt;N(G15)),(D16-D15)/((G16-G15)/60),"")</f>
        <v>6.51600000000326</v>
      </c>
      <c r="I16" s="22" t="str">
        <f aca="false">IFERROR(INDEX(Medidores!$B:$B,MATCH(B16,Medidores!$A:$A,0)),"")</f>
        <v>L22</v>
      </c>
      <c r="J16" s="22" t="s">
        <v>56</v>
      </c>
    </row>
    <row r="17" customFormat="false" ht="15" hidden="false" customHeight="false" outlineLevel="0" collapsed="false">
      <c r="A17" s="21" t="n">
        <v>46302</v>
      </c>
      <c r="B17" s="22" t="s">
        <v>41</v>
      </c>
      <c r="C17" s="23" t="n">
        <v>0.416666666666667</v>
      </c>
      <c r="D17" s="24" t="n">
        <v>23234.332</v>
      </c>
      <c r="E17" s="24" t="n">
        <v>5876.677</v>
      </c>
      <c r="F17" s="24" t="n">
        <v>24171.973</v>
      </c>
      <c r="G17" s="22" t="n">
        <f aca="false">HOUR(C17)*60+MINUTE(C17)</f>
        <v>600</v>
      </c>
      <c r="H17" s="25" t="n">
        <f aca="false">IF(AND(B17=B16,A17=A16,D17&gt;0,N(D16)&gt;0,G17&gt;N(G16)),(D17-D16)/((G17-G16)/60),"")</f>
        <v>6.50799999998708</v>
      </c>
      <c r="I17" s="22" t="str">
        <f aca="false">IFERROR(INDEX(Medidores!$B:$B,MATCH(B17,Medidores!$A:$A,0)),"")</f>
        <v>L22</v>
      </c>
      <c r="J17" s="22" t="s">
        <v>57</v>
      </c>
    </row>
    <row r="18" customFormat="false" ht="15" hidden="false" customHeight="false" outlineLevel="0" collapsed="false">
      <c r="A18" s="21" t="n">
        <v>46302</v>
      </c>
      <c r="B18" s="22" t="s">
        <v>41</v>
      </c>
      <c r="C18" s="23" t="n">
        <v>0.427083333333333</v>
      </c>
      <c r="D18" s="24" t="n">
        <v>23235.955</v>
      </c>
      <c r="E18" s="24" t="n">
        <v>5877.181</v>
      </c>
      <c r="F18" s="24" t="n">
        <v>24173.682</v>
      </c>
      <c r="G18" s="22" t="n">
        <f aca="false">HOUR(C18)*60+MINUTE(C18)</f>
        <v>615</v>
      </c>
      <c r="H18" s="25" t="n">
        <f aca="false">IF(AND(B18=B17,A18=A17,D18&gt;0,N(D17)&gt;0,G18&gt;N(G17)),(D18-D17)/((G18-G17)/60),"")</f>
        <v>6.49200000001292</v>
      </c>
      <c r="I18" s="22" t="str">
        <f aca="false">IFERROR(INDEX(Medidores!$B:$B,MATCH(B18,Medidores!$A:$A,0)),"")</f>
        <v>L22</v>
      </c>
      <c r="J18" s="22" t="s">
        <v>58</v>
      </c>
    </row>
    <row r="19" customFormat="false" ht="15" hidden="false" customHeight="false" outlineLevel="0" collapsed="false">
      <c r="A19" s="21" t="n">
        <v>46302</v>
      </c>
      <c r="B19" s="22" t="s">
        <v>41</v>
      </c>
      <c r="C19" s="23" t="n">
        <v>0.4375</v>
      </c>
      <c r="D19" s="24" t="n">
        <v>23237.582</v>
      </c>
      <c r="E19" s="24" t="n">
        <v>5877.691</v>
      </c>
      <c r="F19" s="24" t="n">
        <v>24175.404</v>
      </c>
      <c r="G19" s="22" t="n">
        <f aca="false">HOUR(C19)*60+MINUTE(C19)</f>
        <v>630</v>
      </c>
      <c r="H19" s="25" t="n">
        <f aca="false">IF(AND(B19=B18,A19=A18,D19&gt;0,N(D18)&gt;0,G19&gt;N(G18)),(D19-D18)/((G19-G18)/60),"")</f>
        <v>6.50799999998708</v>
      </c>
      <c r="I19" s="22" t="str">
        <f aca="false">IFERROR(INDEX(Medidores!$B:$B,MATCH(B19,Medidores!$A:$A,0)),"")</f>
        <v>L22</v>
      </c>
      <c r="J19" s="22" t="s">
        <v>59</v>
      </c>
    </row>
    <row r="20" customFormat="false" ht="15" hidden="false" customHeight="false" outlineLevel="0" collapsed="false">
      <c r="A20" s="21" t="n">
        <v>46302</v>
      </c>
      <c r="B20" s="22" t="s">
        <v>41</v>
      </c>
      <c r="C20" s="23" t="n">
        <v>0.447916666666667</v>
      </c>
      <c r="D20" s="24" t="n">
        <v>23238.707</v>
      </c>
      <c r="E20" s="24" t="n">
        <v>5877.976</v>
      </c>
      <c r="F20" s="24" t="n">
        <v>24176.576</v>
      </c>
      <c r="G20" s="22" t="n">
        <f aca="false">HOUR(C20)*60+MINUTE(C20)</f>
        <v>645</v>
      </c>
      <c r="H20" s="25" t="n">
        <f aca="false">IF(AND(B20=B19,A20=A19,D20&gt;0,N(D19)&gt;0,G20&gt;N(G19)),(D20-D19)/((G20-G19)/60),"")</f>
        <v>4.5</v>
      </c>
      <c r="I20" s="22" t="str">
        <f aca="false">IFERROR(INDEX(Medidores!$B:$B,MATCH(B20,Medidores!$A:$A,0)),"")</f>
        <v>L22</v>
      </c>
      <c r="J20" s="22" t="s">
        <v>60</v>
      </c>
    </row>
    <row r="21" customFormat="false" ht="15" hidden="false" customHeight="false" outlineLevel="0" collapsed="false">
      <c r="A21" s="21" t="n">
        <v>46302</v>
      </c>
      <c r="B21" s="22" t="s">
        <v>41</v>
      </c>
      <c r="C21" s="23" t="n">
        <v>0.458333333333333</v>
      </c>
      <c r="D21" s="24" t="n">
        <v>23239.469</v>
      </c>
      <c r="E21" s="24" t="n">
        <v>5878.095</v>
      </c>
      <c r="F21" s="24" t="n">
        <v>24177.35</v>
      </c>
      <c r="G21" s="22" t="n">
        <f aca="false">HOUR(C21)*60+MINUTE(C21)</f>
        <v>660</v>
      </c>
      <c r="H21" s="25" t="n">
        <f aca="false">IF(AND(B21=B20,A21=A20,D21&gt;0,N(D20)&gt;0,G21&gt;N(G20)),(D21-D20)/((G21-G20)/60),"")</f>
        <v>3.04800000000978</v>
      </c>
      <c r="I21" s="22" t="str">
        <f aca="false">IFERROR(INDEX(Medidores!$B:$B,MATCH(B21,Medidores!$A:$A,0)),"")</f>
        <v>L22</v>
      </c>
      <c r="J21" s="22" t="s">
        <v>61</v>
      </c>
    </row>
    <row r="22" customFormat="false" ht="15" hidden="false" customHeight="false" outlineLevel="0" collapsed="false">
      <c r="A22" s="21" t="n">
        <v>46302</v>
      </c>
      <c r="B22" s="22" t="s">
        <v>62</v>
      </c>
      <c r="C22" s="23" t="n">
        <v>0.270833333333333</v>
      </c>
      <c r="D22" s="24" t="n">
        <v>8718.495</v>
      </c>
      <c r="E22" s="24" t="n">
        <v>5315.24</v>
      </c>
      <c r="F22" s="24" t="n">
        <v>11570.61</v>
      </c>
      <c r="G22" s="22" t="n">
        <f aca="false">HOUR(C22)*60+MINUTE(C22)</f>
        <v>390</v>
      </c>
      <c r="H22" s="25" t="str">
        <f aca="false">IF(AND(B22=B21,A22=A21,D22&gt;0,N(D21)&gt;0,G22&gt;N(G21)),(D22-D21)/((G22-G21)/60),"")</f>
        <v/>
      </c>
      <c r="I22" s="22" t="str">
        <f aca="false">IFERROR(INDEX(Medidores!$B:$B,MATCH(B22,Medidores!$A:$A,0)),"")</f>
        <v>L50</v>
      </c>
      <c r="J22" s="22" t="s">
        <v>63</v>
      </c>
    </row>
    <row r="23" customFormat="false" ht="15" hidden="false" customHeight="false" outlineLevel="0" collapsed="false">
      <c r="A23" s="21" t="n">
        <v>46302</v>
      </c>
      <c r="B23" s="22" t="s">
        <v>62</v>
      </c>
      <c r="C23" s="23" t="n">
        <v>0.28125</v>
      </c>
      <c r="D23" s="24" t="n">
        <v>8718.629</v>
      </c>
      <c r="E23" s="24" t="n">
        <v>5315.24</v>
      </c>
      <c r="F23" s="24" t="n">
        <v>11570.75</v>
      </c>
      <c r="G23" s="22" t="n">
        <f aca="false">HOUR(C23)*60+MINUTE(C23)</f>
        <v>405</v>
      </c>
      <c r="H23" s="25" t="n">
        <f aca="false">IF(AND(B23=B22,A23=A22,D23&gt;0,N(D22)&gt;0,G23&gt;N(G22)),(D23-D22)/((G23-G22)/60),"")</f>
        <v>0.536000000000058</v>
      </c>
      <c r="I23" s="22" t="str">
        <f aca="false">IFERROR(INDEX(Medidores!$B:$B,MATCH(B23,Medidores!$A:$A,0)),"")</f>
        <v>L50</v>
      </c>
      <c r="J23" s="22" t="s">
        <v>64</v>
      </c>
    </row>
    <row r="24" customFormat="false" ht="15" hidden="false" customHeight="false" outlineLevel="0" collapsed="false">
      <c r="A24" s="21" t="n">
        <v>46302</v>
      </c>
      <c r="B24" s="22" t="s">
        <v>62</v>
      </c>
      <c r="C24" s="23" t="n">
        <v>0.291666666666667</v>
      </c>
      <c r="D24" s="24" t="n">
        <v>8718.763</v>
      </c>
      <c r="E24" s="24" t="n">
        <v>5315.24</v>
      </c>
      <c r="F24" s="24" t="n">
        <v>11570.89</v>
      </c>
      <c r="G24" s="22" t="n">
        <f aca="false">HOUR(C24)*60+MINUTE(C24)</f>
        <v>420</v>
      </c>
      <c r="H24" s="25" t="n">
        <f aca="false">IF(AND(B24=B23,A24=A23,D24&gt;0,N(D23)&gt;0,G24&gt;N(G23)),(D24-D23)/((G24-G23)/60),"")</f>
        <v>0.536000000000058</v>
      </c>
      <c r="I24" s="22" t="str">
        <f aca="false">IFERROR(INDEX(Medidores!$B:$B,MATCH(B24,Medidores!$A:$A,0)),"")</f>
        <v>L50</v>
      </c>
      <c r="J24" s="22" t="s">
        <v>65</v>
      </c>
    </row>
    <row r="25" customFormat="false" ht="15" hidden="false" customHeight="false" outlineLevel="0" collapsed="false">
      <c r="A25" s="21" t="n">
        <v>46302</v>
      </c>
      <c r="B25" s="22" t="s">
        <v>62</v>
      </c>
      <c r="C25" s="23" t="n">
        <v>0.302083333333333</v>
      </c>
      <c r="D25" s="24" t="n">
        <v>8718.897</v>
      </c>
      <c r="E25" s="24" t="n">
        <v>5315.24</v>
      </c>
      <c r="F25" s="24" t="n">
        <v>11571.03</v>
      </c>
      <c r="G25" s="22" t="n">
        <f aca="false">HOUR(C25)*60+MINUTE(C25)</f>
        <v>435</v>
      </c>
      <c r="H25" s="25" t="n">
        <f aca="false">IF(AND(B25=B24,A25=A24,D25&gt;0,N(D24)&gt;0,G25&gt;N(G24)),(D25-D24)/((G25-G24)/60),"")</f>
        <v>0.536000000000058</v>
      </c>
      <c r="I25" s="22" t="str">
        <f aca="false">IFERROR(INDEX(Medidores!$B:$B,MATCH(B25,Medidores!$A:$A,0)),"")</f>
        <v>L50</v>
      </c>
      <c r="J25" s="22" t="s">
        <v>66</v>
      </c>
    </row>
    <row r="26" customFormat="false" ht="15" hidden="false" customHeight="false" outlineLevel="0" collapsed="false">
      <c r="A26" s="21" t="n">
        <v>46302</v>
      </c>
      <c r="B26" s="22" t="s">
        <v>62</v>
      </c>
      <c r="C26" s="23" t="n">
        <v>0.3125</v>
      </c>
      <c r="D26" s="24" t="n">
        <v>8719.03</v>
      </c>
      <c r="E26" s="24" t="n">
        <v>5315.24</v>
      </c>
      <c r="F26" s="24" t="n">
        <v>11571.17</v>
      </c>
      <c r="G26" s="22" t="n">
        <f aca="false">HOUR(C26)*60+MINUTE(C26)</f>
        <v>450</v>
      </c>
      <c r="H26" s="25" t="n">
        <f aca="false">IF(AND(B26=B25,A26=A25,D26&gt;0,N(D25)&gt;0,G26&gt;N(G25)),(D26-D25)/((G26-G25)/60),"")</f>
        <v>0.531999999999243</v>
      </c>
      <c r="I26" s="22" t="str">
        <f aca="false">IFERROR(INDEX(Medidores!$B:$B,MATCH(B26,Medidores!$A:$A,0)),"")</f>
        <v>L50</v>
      </c>
      <c r="J26" s="22" t="s">
        <v>67</v>
      </c>
    </row>
    <row r="27" customFormat="false" ht="15" hidden="false" customHeight="false" outlineLevel="0" collapsed="false">
      <c r="A27" s="21" t="n">
        <v>46302</v>
      </c>
      <c r="B27" s="22" t="s">
        <v>62</v>
      </c>
      <c r="C27" s="23" t="n">
        <v>0.322916666666667</v>
      </c>
      <c r="D27" s="24" t="n">
        <v>8719.164</v>
      </c>
      <c r="E27" s="24" t="n">
        <v>5315.24</v>
      </c>
      <c r="F27" s="24" t="n">
        <v>11571.31</v>
      </c>
      <c r="G27" s="22" t="n">
        <f aca="false">HOUR(C27)*60+MINUTE(C27)</f>
        <v>465</v>
      </c>
      <c r="H27" s="25" t="n">
        <f aca="false">IF(AND(B27=B26,A27=A26,D27&gt;0,N(D26)&gt;0,G27&gt;N(G26)),(D27-D26)/((G27-G26)/60),"")</f>
        <v>0.536000000000058</v>
      </c>
      <c r="I27" s="22" t="str">
        <f aca="false">IFERROR(INDEX(Medidores!$B:$B,MATCH(B27,Medidores!$A:$A,0)),"")</f>
        <v>L50</v>
      </c>
      <c r="J27" s="22" t="s">
        <v>68</v>
      </c>
    </row>
    <row r="28" customFormat="false" ht="15" hidden="false" customHeight="false" outlineLevel="0" collapsed="false">
      <c r="A28" s="21" t="n">
        <v>46302</v>
      </c>
      <c r="B28" s="22" t="s">
        <v>62</v>
      </c>
      <c r="C28" s="23" t="n">
        <v>0.333333333333333</v>
      </c>
      <c r="D28" s="24" t="n">
        <v>8719.297</v>
      </c>
      <c r="E28" s="24" t="n">
        <v>5315.24</v>
      </c>
      <c r="F28" s="24" t="n">
        <v>11571.45</v>
      </c>
      <c r="G28" s="22" t="n">
        <f aca="false">HOUR(C28)*60+MINUTE(C28)</f>
        <v>480</v>
      </c>
      <c r="H28" s="25" t="n">
        <f aca="false">IF(AND(B28=B27,A28=A27,D28&gt;0,N(D27)&gt;0,G28&gt;N(G27)),(D28-D27)/((G28-G27)/60),"")</f>
        <v>0.531999999999243</v>
      </c>
      <c r="I28" s="22" t="str">
        <f aca="false">IFERROR(INDEX(Medidores!$B:$B,MATCH(B28,Medidores!$A:$A,0)),"")</f>
        <v>L50</v>
      </c>
      <c r="J28" s="22" t="s">
        <v>69</v>
      </c>
    </row>
    <row r="29" customFormat="false" ht="15" hidden="false" customHeight="false" outlineLevel="0" collapsed="false">
      <c r="A29" s="21" t="n">
        <v>46302</v>
      </c>
      <c r="B29" s="22" t="s">
        <v>62</v>
      </c>
      <c r="C29" s="23" t="n">
        <v>0.34375</v>
      </c>
      <c r="D29" s="24" t="n">
        <v>8719.431</v>
      </c>
      <c r="E29" s="24" t="n">
        <v>5315.24</v>
      </c>
      <c r="F29" s="24" t="n">
        <v>11571.589</v>
      </c>
      <c r="G29" s="22" t="n">
        <f aca="false">HOUR(C29)*60+MINUTE(C29)</f>
        <v>495</v>
      </c>
      <c r="H29" s="25" t="n">
        <f aca="false">IF(AND(B29=B28,A29=A28,D29&gt;0,N(D28)&gt;0,G29&gt;N(G28)),(D29-D28)/((G29-G28)/60),"")</f>
        <v>0.536000000000058</v>
      </c>
      <c r="I29" s="22" t="str">
        <f aca="false">IFERROR(INDEX(Medidores!$B:$B,MATCH(B29,Medidores!$A:$A,0)),"")</f>
        <v>L50</v>
      </c>
      <c r="J29" s="22" t="s">
        <v>70</v>
      </c>
    </row>
    <row r="30" customFormat="false" ht="15" hidden="false" customHeight="false" outlineLevel="0" collapsed="false">
      <c r="A30" s="21" t="n">
        <v>46302</v>
      </c>
      <c r="B30" s="22" t="s">
        <v>62</v>
      </c>
      <c r="C30" s="23" t="n">
        <v>0.354166666666667</v>
      </c>
      <c r="D30" s="24" t="n">
        <v>8719.564</v>
      </c>
      <c r="E30" s="24" t="n">
        <v>5315.24</v>
      </c>
      <c r="F30" s="24" t="n">
        <v>11571.728</v>
      </c>
      <c r="G30" s="22" t="n">
        <f aca="false">HOUR(C30)*60+MINUTE(C30)</f>
        <v>510</v>
      </c>
      <c r="H30" s="25" t="n">
        <f aca="false">IF(AND(B30=B29,A30=A29,D30&gt;0,N(D29)&gt;0,G30&gt;N(G29)),(D30-D29)/((G30-G29)/60),"")</f>
        <v>0.531999999999243</v>
      </c>
      <c r="I30" s="22" t="str">
        <f aca="false">IFERROR(INDEX(Medidores!$B:$B,MATCH(B30,Medidores!$A:$A,0)),"")</f>
        <v>L50</v>
      </c>
      <c r="J30" s="22" t="s">
        <v>71</v>
      </c>
    </row>
    <row r="31" customFormat="false" ht="15" hidden="false" customHeight="false" outlineLevel="0" collapsed="false">
      <c r="A31" s="21" t="n">
        <v>46302</v>
      </c>
      <c r="B31" s="22" t="s">
        <v>62</v>
      </c>
      <c r="C31" s="23" t="n">
        <v>0.364583333333333</v>
      </c>
      <c r="D31" s="24" t="n">
        <v>8719.698</v>
      </c>
      <c r="E31" s="24" t="n">
        <v>5315.24</v>
      </c>
      <c r="F31" s="24" t="n">
        <v>11571.869</v>
      </c>
      <c r="G31" s="22" t="n">
        <f aca="false">HOUR(C31)*60+MINUTE(C31)</f>
        <v>525</v>
      </c>
      <c r="H31" s="25" t="n">
        <f aca="false">IF(AND(B31=B30,A31=A30,D31&gt;0,N(D30)&gt;0,G31&gt;N(G30)),(D31-D30)/((G31-G30)/60),"")</f>
        <v>0.536000000000058</v>
      </c>
      <c r="I31" s="22" t="str">
        <f aca="false">IFERROR(INDEX(Medidores!$B:$B,MATCH(B31,Medidores!$A:$A,0)),"")</f>
        <v>L50</v>
      </c>
      <c r="J31" s="22" t="s">
        <v>72</v>
      </c>
    </row>
    <row r="32" customFormat="false" ht="15" hidden="false" customHeight="false" outlineLevel="0" collapsed="false">
      <c r="A32" s="21" t="n">
        <v>46302</v>
      </c>
      <c r="B32" s="22" t="s">
        <v>62</v>
      </c>
      <c r="C32" s="23" t="n">
        <v>0.375</v>
      </c>
      <c r="D32" s="24" t="n">
        <v>8719.832</v>
      </c>
      <c r="E32" s="24" t="n">
        <v>5315.24</v>
      </c>
      <c r="F32" s="24" t="n">
        <v>11572.008</v>
      </c>
      <c r="G32" s="22" t="n">
        <f aca="false">HOUR(C32)*60+MINUTE(C32)</f>
        <v>540</v>
      </c>
      <c r="H32" s="25" t="n">
        <f aca="false">IF(AND(B32=B31,A32=A31,D32&gt;0,N(D31)&gt;0,G32&gt;N(G31)),(D32-D31)/((G32-G31)/60),"")</f>
        <v>0.536000000000058</v>
      </c>
      <c r="I32" s="22" t="str">
        <f aca="false">IFERROR(INDEX(Medidores!$B:$B,MATCH(B32,Medidores!$A:$A,0)),"")</f>
        <v>L50</v>
      </c>
      <c r="J32" s="22" t="s">
        <v>73</v>
      </c>
    </row>
    <row r="33" customFormat="false" ht="15" hidden="false" customHeight="false" outlineLevel="0" collapsed="false">
      <c r="A33" s="21" t="n">
        <v>46302</v>
      </c>
      <c r="B33" s="22" t="s">
        <v>62</v>
      </c>
      <c r="C33" s="23" t="n">
        <v>0.385416666666667</v>
      </c>
      <c r="D33" s="24" t="n">
        <v>8719.965</v>
      </c>
      <c r="E33" s="24" t="n">
        <v>5315.24</v>
      </c>
      <c r="F33" s="24" t="n">
        <v>11572.148</v>
      </c>
      <c r="G33" s="22" t="n">
        <f aca="false">HOUR(C33)*60+MINUTE(C33)</f>
        <v>555</v>
      </c>
      <c r="H33" s="25" t="n">
        <f aca="false">IF(AND(B33=B32,A33=A32,D33&gt;0,N(D32)&gt;0,G33&gt;N(G32)),(D33-D32)/((G33-G32)/60),"")</f>
        <v>0.531999999999243</v>
      </c>
      <c r="I33" s="22" t="str">
        <f aca="false">IFERROR(INDEX(Medidores!$B:$B,MATCH(B33,Medidores!$A:$A,0)),"")</f>
        <v>L50</v>
      </c>
      <c r="J33" s="22" t="s">
        <v>74</v>
      </c>
    </row>
    <row r="34" customFormat="false" ht="15" hidden="false" customHeight="false" outlineLevel="0" collapsed="false">
      <c r="A34" s="21" t="n">
        <v>46302</v>
      </c>
      <c r="B34" s="22" t="s">
        <v>62</v>
      </c>
      <c r="C34" s="23" t="n">
        <v>0.395833333333333</v>
      </c>
      <c r="D34" s="24" t="n">
        <v>8720.098</v>
      </c>
      <c r="E34" s="24" t="n">
        <v>5315.24</v>
      </c>
      <c r="F34" s="24" t="n">
        <v>11572.288</v>
      </c>
      <c r="G34" s="22" t="n">
        <f aca="false">HOUR(C34)*60+MINUTE(C34)</f>
        <v>570</v>
      </c>
      <c r="H34" s="25" t="n">
        <f aca="false">IF(AND(B34=B33,A34=A33,D34&gt;0,N(D33)&gt;0,G34&gt;N(G33)),(D34-D33)/((G34-G33)/60),"")</f>
        <v>0.531999999999243</v>
      </c>
      <c r="I34" s="22" t="str">
        <f aca="false">IFERROR(INDEX(Medidores!$B:$B,MATCH(B34,Medidores!$A:$A,0)),"")</f>
        <v>L50</v>
      </c>
      <c r="J34" s="22" t="s">
        <v>75</v>
      </c>
    </row>
    <row r="35" customFormat="false" ht="15" hidden="false" customHeight="false" outlineLevel="0" collapsed="false">
      <c r="A35" s="21" t="n">
        <v>46302</v>
      </c>
      <c r="B35" s="22" t="s">
        <v>62</v>
      </c>
      <c r="C35" s="23" t="n">
        <v>0.40625</v>
      </c>
      <c r="D35" s="24" t="n">
        <v>8720.232</v>
      </c>
      <c r="E35" s="24" t="n">
        <v>5315.24</v>
      </c>
      <c r="F35" s="24" t="n">
        <v>11572.427</v>
      </c>
      <c r="G35" s="22" t="n">
        <f aca="false">HOUR(C35)*60+MINUTE(C35)</f>
        <v>585</v>
      </c>
      <c r="H35" s="25" t="n">
        <f aca="false">IF(AND(B35=B34,A35=A34,D35&gt;0,N(D34)&gt;0,G35&gt;N(G34)),(D35-D34)/((G35-G34)/60),"")</f>
        <v>0.536000000000058</v>
      </c>
      <c r="I35" s="22" t="str">
        <f aca="false">IFERROR(INDEX(Medidores!$B:$B,MATCH(B35,Medidores!$A:$A,0)),"")</f>
        <v>L50</v>
      </c>
      <c r="J35" s="22" t="s">
        <v>76</v>
      </c>
    </row>
    <row r="36" customFormat="false" ht="15" hidden="false" customHeight="false" outlineLevel="0" collapsed="false">
      <c r="A36" s="21" t="n">
        <v>46302</v>
      </c>
      <c r="B36" s="22" t="s">
        <v>62</v>
      </c>
      <c r="C36" s="23" t="n">
        <v>0.416666666666667</v>
      </c>
      <c r="D36" s="24" t="n">
        <v>8720.367</v>
      </c>
      <c r="E36" s="24" t="n">
        <v>5315.243</v>
      </c>
      <c r="F36" s="24" t="n">
        <v>11572.569</v>
      </c>
      <c r="G36" s="22" t="n">
        <f aca="false">HOUR(C36)*60+MINUTE(C36)</f>
        <v>600</v>
      </c>
      <c r="H36" s="25" t="n">
        <f aca="false">IF(AND(B36=B35,A36=A35,D36&gt;0,N(D35)&gt;0,G36&gt;N(G35)),(D36-D35)/((G36-G35)/60),"")</f>
        <v>0.540000000000873</v>
      </c>
      <c r="I36" s="22" t="str">
        <f aca="false">IFERROR(INDEX(Medidores!$B:$B,MATCH(B36,Medidores!$A:$A,0)),"")</f>
        <v>L50</v>
      </c>
      <c r="J36" s="22" t="s">
        <v>77</v>
      </c>
    </row>
    <row r="37" customFormat="false" ht="15" hidden="false" customHeight="false" outlineLevel="0" collapsed="false">
      <c r="A37" s="21" t="n">
        <v>46302</v>
      </c>
      <c r="B37" s="22" t="s">
        <v>62</v>
      </c>
      <c r="C37" s="23" t="n">
        <v>0.427083333333333</v>
      </c>
      <c r="D37" s="24" t="n">
        <v>8720.513</v>
      </c>
      <c r="E37" s="24" t="n">
        <v>5315.276</v>
      </c>
      <c r="F37" s="24" t="n">
        <v>11572.734</v>
      </c>
      <c r="G37" s="22" t="n">
        <f aca="false">HOUR(C37)*60+MINUTE(C37)</f>
        <v>615</v>
      </c>
      <c r="H37" s="25" t="n">
        <f aca="false">IF(AND(B37=B36,A37=A36,D37&gt;0,N(D36)&gt;0,G37&gt;N(G36)),(D37-D36)/((G37-G36)/60),"")</f>
        <v>0.584000000002561</v>
      </c>
      <c r="I37" s="22" t="str">
        <f aca="false">IFERROR(INDEX(Medidores!$B:$B,MATCH(B37,Medidores!$A:$A,0)),"")</f>
        <v>L50</v>
      </c>
      <c r="J37" s="22" t="s">
        <v>78</v>
      </c>
    </row>
    <row r="38" customFormat="false" ht="15" hidden="false" customHeight="false" outlineLevel="0" collapsed="false">
      <c r="A38" s="21" t="n">
        <v>46302</v>
      </c>
      <c r="B38" s="22" t="s">
        <v>62</v>
      </c>
      <c r="C38" s="23" t="n">
        <v>0.4375</v>
      </c>
      <c r="D38" s="24" t="n">
        <v>8720.647</v>
      </c>
      <c r="E38" s="24" t="n">
        <v>5315.276</v>
      </c>
      <c r="F38" s="24" t="n">
        <v>11572.874</v>
      </c>
      <c r="G38" s="22" t="n">
        <f aca="false">HOUR(C38)*60+MINUTE(C38)</f>
        <v>630</v>
      </c>
      <c r="H38" s="25" t="n">
        <f aca="false">IF(AND(B38=B37,A38=A37,D38&gt;0,N(D37)&gt;0,G38&gt;N(G37)),(D38-D37)/((G38-G37)/60),"")</f>
        <v>0.536000000000058</v>
      </c>
      <c r="I38" s="22" t="str">
        <f aca="false">IFERROR(INDEX(Medidores!$B:$B,MATCH(B38,Medidores!$A:$A,0)),"")</f>
        <v>L50</v>
      </c>
      <c r="J38" s="22" t="s">
        <v>79</v>
      </c>
    </row>
    <row r="39" customFormat="false" ht="15" hidden="false" customHeight="false" outlineLevel="0" collapsed="false">
      <c r="A39" s="21" t="n">
        <v>46302</v>
      </c>
      <c r="B39" s="22" t="s">
        <v>62</v>
      </c>
      <c r="C39" s="23" t="n">
        <v>0.447916666666667</v>
      </c>
      <c r="D39" s="24" t="n">
        <v>8720.78</v>
      </c>
      <c r="E39" s="24" t="n">
        <v>5315.276</v>
      </c>
      <c r="F39" s="24" t="n">
        <v>11573.013</v>
      </c>
      <c r="G39" s="22" t="n">
        <f aca="false">HOUR(C39)*60+MINUTE(C39)</f>
        <v>645</v>
      </c>
      <c r="H39" s="25" t="n">
        <f aca="false">IF(AND(B39=B38,A39=A38,D39&gt;0,N(D38)&gt;0,G39&gt;N(G38)),(D39-D38)/((G39-G38)/60),"")</f>
        <v>0.531999999999243</v>
      </c>
      <c r="I39" s="22" t="str">
        <f aca="false">IFERROR(INDEX(Medidores!$B:$B,MATCH(B39,Medidores!$A:$A,0)),"")</f>
        <v>L50</v>
      </c>
      <c r="J39" s="22" t="s">
        <v>80</v>
      </c>
    </row>
    <row r="40" customFormat="false" ht="15" hidden="false" customHeight="false" outlineLevel="0" collapsed="false">
      <c r="A40" s="21" t="n">
        <v>46302</v>
      </c>
      <c r="B40" s="22" t="s">
        <v>62</v>
      </c>
      <c r="C40" s="23" t="n">
        <v>0.458333333333333</v>
      </c>
      <c r="D40" s="24" t="n">
        <v>8720.914</v>
      </c>
      <c r="E40" s="24" t="n">
        <v>5315.276</v>
      </c>
      <c r="F40" s="24" t="n">
        <v>11573.153</v>
      </c>
      <c r="G40" s="22" t="n">
        <f aca="false">HOUR(C40)*60+MINUTE(C40)</f>
        <v>660</v>
      </c>
      <c r="H40" s="25" t="n">
        <f aca="false">IF(AND(B40=B39,A40=A39,D40&gt;0,N(D39)&gt;0,G40&gt;N(G39)),(D40-D39)/((G40-G39)/60),"")</f>
        <v>0.536000000000058</v>
      </c>
      <c r="I40" s="22" t="str">
        <f aca="false">IFERROR(INDEX(Medidores!$B:$B,MATCH(B40,Medidores!$A:$A,0)),"")</f>
        <v>L50</v>
      </c>
      <c r="J40" s="22" t="s">
        <v>81</v>
      </c>
    </row>
    <row r="41" customFormat="false" ht="15" hidden="false" customHeight="false" outlineLevel="0" collapsed="false">
      <c r="A41" s="21" t="n">
        <v>46302</v>
      </c>
      <c r="B41" s="22" t="s">
        <v>62</v>
      </c>
      <c r="C41" s="23" t="n">
        <v>0.46875</v>
      </c>
      <c r="D41" s="24" t="n">
        <v>8721.047</v>
      </c>
      <c r="E41" s="24" t="n">
        <v>5315.276</v>
      </c>
      <c r="F41" s="24" t="n">
        <v>11573.292</v>
      </c>
      <c r="G41" s="22" t="n">
        <f aca="false">HOUR(C41)*60+MINUTE(C41)</f>
        <v>675</v>
      </c>
      <c r="H41" s="25" t="n">
        <f aca="false">IF(AND(B41=B40,A41=A40,D41&gt;0,N(D40)&gt;0,G41&gt;N(G40)),(D41-D40)/((G41-G40)/60),"")</f>
        <v>0.531999999999243</v>
      </c>
      <c r="I41" s="22" t="str">
        <f aca="false">IFERROR(INDEX(Medidores!$B:$B,MATCH(B41,Medidores!$A:$A,0)),"")</f>
        <v>L50</v>
      </c>
      <c r="J41" s="22" t="s">
        <v>42</v>
      </c>
    </row>
    <row r="42" customFormat="false" ht="15" hidden="false" customHeight="false" outlineLevel="0" collapsed="false">
      <c r="A42" s="21" t="n">
        <v>46302</v>
      </c>
      <c r="B42" s="22" t="s">
        <v>82</v>
      </c>
      <c r="C42" s="23" t="n">
        <v>0.270833333333333</v>
      </c>
      <c r="D42" s="24" t="n">
        <v>9875.243</v>
      </c>
      <c r="E42" s="24" t="n">
        <v>3623.815</v>
      </c>
      <c r="F42" s="24" t="n">
        <v>10948.83</v>
      </c>
      <c r="G42" s="22" t="n">
        <f aca="false">HOUR(C42)*60+MINUTE(C42)</f>
        <v>390</v>
      </c>
      <c r="H42" s="25" t="str">
        <f aca="false">IF(AND(B42=B41,A42=A41,D42&gt;0,N(D41)&gt;0,G42&gt;N(G41)),(D42-D41)/((G42-G41)/60),"")</f>
        <v/>
      </c>
      <c r="I42" s="22" t="str">
        <f aca="false">IFERROR(INDEX(Medidores!$B:$B,MATCH(B42,Medidores!$A:$A,0)),"")</f>
        <v>L21</v>
      </c>
      <c r="J42" s="22" t="s">
        <v>43</v>
      </c>
    </row>
    <row r="43" customFormat="false" ht="15" hidden="false" customHeight="false" outlineLevel="0" collapsed="false">
      <c r="A43" s="21" t="n">
        <v>46302</v>
      </c>
      <c r="B43" s="22" t="s">
        <v>82</v>
      </c>
      <c r="C43" s="23" t="n">
        <v>0.28125</v>
      </c>
      <c r="D43" s="24" t="n">
        <v>9875.399</v>
      </c>
      <c r="E43" s="24" t="n">
        <v>3623.815</v>
      </c>
      <c r="F43" s="24" t="n">
        <v>10948.988</v>
      </c>
      <c r="G43" s="22" t="n">
        <f aca="false">HOUR(C43)*60+MINUTE(C43)</f>
        <v>405</v>
      </c>
      <c r="H43" s="25" t="n">
        <f aca="false">IF(AND(B43=B42,A43=A42,D43&gt;0,N(D42)&gt;0,G43&gt;N(G42)),(D43-D42)/((G43-G42)/60),"")</f>
        <v>0.623999999996158</v>
      </c>
      <c r="I43" s="22" t="str">
        <f aca="false">IFERROR(INDEX(Medidores!$B:$B,MATCH(B43,Medidores!$A:$A,0)),"")</f>
        <v>L21</v>
      </c>
      <c r="J43" s="22" t="s">
        <v>44</v>
      </c>
    </row>
    <row r="44" customFormat="false" ht="15" hidden="false" customHeight="false" outlineLevel="0" collapsed="false">
      <c r="A44" s="21" t="n">
        <v>46302</v>
      </c>
      <c r="B44" s="22" t="s">
        <v>82</v>
      </c>
      <c r="C44" s="23" t="n">
        <v>0.291666666666667</v>
      </c>
      <c r="D44" s="24" t="n">
        <v>9875.555</v>
      </c>
      <c r="E44" s="24" t="n">
        <v>3623.815</v>
      </c>
      <c r="F44" s="24" t="n">
        <v>10949.147</v>
      </c>
      <c r="G44" s="22" t="n">
        <f aca="false">HOUR(C44)*60+MINUTE(C44)</f>
        <v>420</v>
      </c>
      <c r="H44" s="25" t="n">
        <f aca="false">IF(AND(B44=B43,A44=A43,D44&gt;0,N(D43)&gt;0,G44&gt;N(G43)),(D44-D43)/((G44-G43)/60),"")</f>
        <v>0.624000000003434</v>
      </c>
      <c r="I44" s="22" t="str">
        <f aca="false">IFERROR(INDEX(Medidores!$B:$B,MATCH(B44,Medidores!$A:$A,0)),"")</f>
        <v>L21</v>
      </c>
      <c r="J44" s="22" t="s">
        <v>45</v>
      </c>
    </row>
    <row r="45" customFormat="false" ht="15" hidden="false" customHeight="false" outlineLevel="0" collapsed="false">
      <c r="A45" s="21" t="n">
        <v>46302</v>
      </c>
      <c r="B45" s="22" t="s">
        <v>82</v>
      </c>
      <c r="C45" s="23" t="n">
        <v>0.302083333333333</v>
      </c>
      <c r="D45" s="24" t="n">
        <v>9875.711</v>
      </c>
      <c r="E45" s="24" t="n">
        <v>3623.815</v>
      </c>
      <c r="F45" s="24" t="n">
        <v>10949.305</v>
      </c>
      <c r="G45" s="22" t="n">
        <f aca="false">HOUR(C45)*60+MINUTE(C45)</f>
        <v>435</v>
      </c>
      <c r="H45" s="25" t="n">
        <f aca="false">IF(AND(B45=B44,A45=A44,D45&gt;0,N(D44)&gt;0,G45&gt;N(G44)),(D45-D44)/((G45-G44)/60),"")</f>
        <v>0.623999999996158</v>
      </c>
      <c r="I45" s="22" t="str">
        <f aca="false">IFERROR(INDEX(Medidores!$B:$B,MATCH(B45,Medidores!$A:$A,0)),"")</f>
        <v>L21</v>
      </c>
      <c r="J45" s="22" t="s">
        <v>46</v>
      </c>
    </row>
    <row r="46" customFormat="false" ht="15" hidden="false" customHeight="false" outlineLevel="0" collapsed="false">
      <c r="A46" s="21" t="n">
        <v>46302</v>
      </c>
      <c r="B46" s="22" t="s">
        <v>82</v>
      </c>
      <c r="C46" s="23" t="n">
        <v>0.3125</v>
      </c>
      <c r="D46" s="24" t="n">
        <v>9875.866</v>
      </c>
      <c r="E46" s="24" t="n">
        <v>3623.815</v>
      </c>
      <c r="F46" s="24" t="n">
        <v>10949.462</v>
      </c>
      <c r="G46" s="22" t="n">
        <f aca="false">HOUR(C46)*60+MINUTE(C46)</f>
        <v>450</v>
      </c>
      <c r="H46" s="25" t="n">
        <f aca="false">IF(AND(B46=B45,A46=A45,D46&gt;0,N(D45)&gt;0,G46&gt;N(G45)),(D46-D45)/((G46-G45)/60),"")</f>
        <v>0.620000000002619</v>
      </c>
      <c r="I46" s="22" t="str">
        <f aca="false">IFERROR(INDEX(Medidores!$B:$B,MATCH(B46,Medidores!$A:$A,0)),"")</f>
        <v>L21</v>
      </c>
      <c r="J46" s="22" t="s">
        <v>47</v>
      </c>
    </row>
    <row r="47" customFormat="false" ht="15" hidden="false" customHeight="false" outlineLevel="0" collapsed="false">
      <c r="A47" s="21" t="n">
        <v>46302</v>
      </c>
      <c r="B47" s="22" t="s">
        <v>82</v>
      </c>
      <c r="C47" s="23" t="n">
        <v>0.322916666666667</v>
      </c>
      <c r="D47" s="24" t="n">
        <v>9876.021</v>
      </c>
      <c r="E47" s="24" t="n">
        <v>3623.815</v>
      </c>
      <c r="F47" s="24" t="n">
        <v>10949.62</v>
      </c>
      <c r="G47" s="22" t="n">
        <f aca="false">HOUR(C47)*60+MINUTE(C47)</f>
        <v>465</v>
      </c>
      <c r="H47" s="25" t="n">
        <f aca="false">IF(AND(B47=B46,A47=A46,D47&gt;0,N(D46)&gt;0,G47&gt;N(G46)),(D47-D46)/((G47-G46)/60),"")</f>
        <v>0.620000000002619</v>
      </c>
      <c r="I47" s="22" t="str">
        <f aca="false">IFERROR(INDEX(Medidores!$B:$B,MATCH(B47,Medidores!$A:$A,0)),"")</f>
        <v>L21</v>
      </c>
      <c r="J47" s="22" t="s">
        <v>48</v>
      </c>
    </row>
    <row r="48" customFormat="false" ht="15" hidden="false" customHeight="false" outlineLevel="0" collapsed="false">
      <c r="A48" s="21" t="n">
        <v>46302</v>
      </c>
      <c r="B48" s="22" t="s">
        <v>82</v>
      </c>
      <c r="C48" s="23" t="n">
        <v>0.333333333333333</v>
      </c>
      <c r="D48" s="24" t="n">
        <v>9876.176</v>
      </c>
      <c r="E48" s="24" t="n">
        <v>3623.815</v>
      </c>
      <c r="F48" s="24" t="n">
        <v>10949.777</v>
      </c>
      <c r="G48" s="22" t="n">
        <f aca="false">HOUR(C48)*60+MINUTE(C48)</f>
        <v>480</v>
      </c>
      <c r="H48" s="25" t="n">
        <f aca="false">IF(AND(B48=B47,A48=A47,D48&gt;0,N(D47)&gt;0,G48&gt;N(G47)),(D48-D47)/((G48-G47)/60),"")</f>
        <v>0.619999999995343</v>
      </c>
      <c r="I48" s="22" t="str">
        <f aca="false">IFERROR(INDEX(Medidores!$B:$B,MATCH(B48,Medidores!$A:$A,0)),"")</f>
        <v>L21</v>
      </c>
      <c r="J48" s="22" t="s">
        <v>49</v>
      </c>
    </row>
    <row r="49" customFormat="false" ht="15" hidden="false" customHeight="false" outlineLevel="0" collapsed="false">
      <c r="A49" s="21" t="n">
        <v>46302</v>
      </c>
      <c r="B49" s="22" t="s">
        <v>82</v>
      </c>
      <c r="C49" s="23" t="n">
        <v>0.34375</v>
      </c>
      <c r="D49" s="24" t="n">
        <v>9876.331</v>
      </c>
      <c r="E49" s="24" t="n">
        <v>3623.815</v>
      </c>
      <c r="F49" s="24" t="n">
        <v>10949.935</v>
      </c>
      <c r="G49" s="22" t="n">
        <f aca="false">HOUR(C49)*60+MINUTE(C49)</f>
        <v>495</v>
      </c>
      <c r="H49" s="25" t="n">
        <f aca="false">IF(AND(B49=B48,A49=A48,D49&gt;0,N(D48)&gt;0,G49&gt;N(G48)),(D49-D48)/((G49-G48)/60),"")</f>
        <v>0.620000000002619</v>
      </c>
      <c r="I49" s="22" t="str">
        <f aca="false">IFERROR(INDEX(Medidores!$B:$B,MATCH(B49,Medidores!$A:$A,0)),"")</f>
        <v>L21</v>
      </c>
      <c r="J49" s="22" t="s">
        <v>50</v>
      </c>
    </row>
    <row r="50" customFormat="false" ht="15" hidden="false" customHeight="false" outlineLevel="0" collapsed="false">
      <c r="A50" s="21" t="n">
        <v>46302</v>
      </c>
      <c r="B50" s="22" t="s">
        <v>82</v>
      </c>
      <c r="C50" s="23" t="n">
        <v>0.354166666666667</v>
      </c>
      <c r="D50" s="24" t="n">
        <v>9876.486</v>
      </c>
      <c r="E50" s="24" t="n">
        <v>3623.815</v>
      </c>
      <c r="F50" s="24" t="n">
        <v>10950.092</v>
      </c>
      <c r="G50" s="22" t="n">
        <f aca="false">HOUR(C50)*60+MINUTE(C50)</f>
        <v>510</v>
      </c>
      <c r="H50" s="25" t="n">
        <f aca="false">IF(AND(B50=B49,A50=A49,D50&gt;0,N(D49)&gt;0,G50&gt;N(G49)),(D50-D49)/((G50-G49)/60),"")</f>
        <v>0.620000000002619</v>
      </c>
      <c r="I50" s="22" t="str">
        <f aca="false">IFERROR(INDEX(Medidores!$B:$B,MATCH(B50,Medidores!$A:$A,0)),"")</f>
        <v>L21</v>
      </c>
      <c r="J50" s="22" t="s">
        <v>51</v>
      </c>
    </row>
    <row r="51" customFormat="false" ht="15" hidden="false" customHeight="false" outlineLevel="0" collapsed="false">
      <c r="A51" s="21" t="n">
        <v>46302</v>
      </c>
      <c r="B51" s="22" t="s">
        <v>82</v>
      </c>
      <c r="C51" s="23" t="n">
        <v>0.364583333333333</v>
      </c>
      <c r="D51" s="24" t="n">
        <v>9876.641</v>
      </c>
      <c r="E51" s="24" t="n">
        <v>3623.815</v>
      </c>
      <c r="F51" s="24" t="n">
        <v>10950.25</v>
      </c>
      <c r="G51" s="22" t="n">
        <f aca="false">HOUR(C51)*60+MINUTE(C51)</f>
        <v>525</v>
      </c>
      <c r="H51" s="25" t="n">
        <f aca="false">IF(AND(B51=B50,A51=A50,D51&gt;0,N(D50)&gt;0,G51&gt;N(G50)),(D51-D50)/((G51-G50)/60),"")</f>
        <v>0.619999999995343</v>
      </c>
      <c r="I51" s="22" t="str">
        <f aca="false">IFERROR(INDEX(Medidores!$B:$B,MATCH(B51,Medidores!$A:$A,0)),"")</f>
        <v>L21</v>
      </c>
      <c r="J51" s="22" t="s">
        <v>52</v>
      </c>
    </row>
    <row r="52" customFormat="false" ht="15" hidden="false" customHeight="false" outlineLevel="0" collapsed="false">
      <c r="A52" s="21" t="n">
        <v>46302</v>
      </c>
      <c r="B52" s="22" t="s">
        <v>82</v>
      </c>
      <c r="C52" s="23" t="n">
        <v>0.375</v>
      </c>
      <c r="D52" s="24" t="n">
        <v>9876.796</v>
      </c>
      <c r="E52" s="24" t="n">
        <v>3623.815</v>
      </c>
      <c r="F52" s="24" t="n">
        <v>10950.407</v>
      </c>
      <c r="G52" s="22" t="n">
        <f aca="false">HOUR(C52)*60+MINUTE(C52)</f>
        <v>540</v>
      </c>
      <c r="H52" s="25" t="n">
        <f aca="false">IF(AND(B52=B51,A52=A51,D52&gt;0,N(D51)&gt;0,G52&gt;N(G51)),(D52-D51)/((G52-G51)/60),"")</f>
        <v>0.620000000002619</v>
      </c>
      <c r="I52" s="22" t="str">
        <f aca="false">IFERROR(INDEX(Medidores!$B:$B,MATCH(B52,Medidores!$A:$A,0)),"")</f>
        <v>L21</v>
      </c>
      <c r="J52" s="22" t="s">
        <v>53</v>
      </c>
    </row>
    <row r="53" customFormat="false" ht="15" hidden="false" customHeight="false" outlineLevel="0" collapsed="false">
      <c r="A53" s="21" t="n">
        <v>46302</v>
      </c>
      <c r="B53" s="22" t="s">
        <v>82</v>
      </c>
      <c r="C53" s="23" t="n">
        <v>0.385416666666667</v>
      </c>
      <c r="D53" s="24" t="n">
        <v>9876.952</v>
      </c>
      <c r="E53" s="24" t="n">
        <v>3623.815</v>
      </c>
      <c r="F53" s="24" t="n">
        <v>10950.565</v>
      </c>
      <c r="G53" s="22" t="n">
        <f aca="false">HOUR(C53)*60+MINUTE(C53)</f>
        <v>555</v>
      </c>
      <c r="H53" s="25" t="n">
        <f aca="false">IF(AND(B53=B52,A53=A52,D53&gt;0,N(D52)&gt;0,G53&gt;N(G52)),(D53-D52)/((G53-G52)/60),"")</f>
        <v>0.623999999996158</v>
      </c>
      <c r="I53" s="22" t="str">
        <f aca="false">IFERROR(INDEX(Medidores!$B:$B,MATCH(B53,Medidores!$A:$A,0)),"")</f>
        <v>L21</v>
      </c>
      <c r="J53" s="22" t="s">
        <v>54</v>
      </c>
    </row>
    <row r="54" customFormat="false" ht="15" hidden="false" customHeight="false" outlineLevel="0" collapsed="false">
      <c r="A54" s="21" t="n">
        <v>46302</v>
      </c>
      <c r="B54" s="22" t="s">
        <v>82</v>
      </c>
      <c r="C54" s="23" t="n">
        <v>0.395833333333333</v>
      </c>
      <c r="D54" s="24" t="n">
        <v>9877.108</v>
      </c>
      <c r="E54" s="24" t="n">
        <v>3623.815</v>
      </c>
      <c r="F54" s="24" t="n">
        <v>10950.724</v>
      </c>
      <c r="G54" s="22" t="n">
        <f aca="false">HOUR(C54)*60+MINUTE(C54)</f>
        <v>570</v>
      </c>
      <c r="H54" s="25" t="n">
        <f aca="false">IF(AND(B54=B53,A54=A53,D54&gt;0,N(D53)&gt;0,G54&gt;N(G53)),(D54-D53)/((G54-G53)/60),"")</f>
        <v>0.624000000003434</v>
      </c>
      <c r="I54" s="22" t="str">
        <f aca="false">IFERROR(INDEX(Medidores!$B:$B,MATCH(B54,Medidores!$A:$A,0)),"")</f>
        <v>L21</v>
      </c>
      <c r="J54" s="22" t="s">
        <v>55</v>
      </c>
    </row>
    <row r="55" customFormat="false" ht="15" hidden="false" customHeight="false" outlineLevel="0" collapsed="false">
      <c r="A55" s="21" t="n">
        <v>46302</v>
      </c>
      <c r="B55" s="22" t="s">
        <v>82</v>
      </c>
      <c r="C55" s="23" t="n">
        <v>0.40625</v>
      </c>
      <c r="D55" s="24" t="n">
        <v>9877.263</v>
      </c>
      <c r="E55" s="24" t="n">
        <v>3623.815</v>
      </c>
      <c r="F55" s="24" t="n">
        <v>10950.882</v>
      </c>
      <c r="G55" s="22" t="n">
        <f aca="false">HOUR(C55)*60+MINUTE(C55)</f>
        <v>585</v>
      </c>
      <c r="H55" s="25" t="n">
        <f aca="false">IF(AND(B55=B54,A55=A54,D55&gt;0,N(D54)&gt;0,G55&gt;N(G54)),(D55-D54)/((G55-G54)/60),"")</f>
        <v>0.620000000002619</v>
      </c>
      <c r="I55" s="22" t="str">
        <f aca="false">IFERROR(INDEX(Medidores!$B:$B,MATCH(B55,Medidores!$A:$A,0)),"")</f>
        <v>L21</v>
      </c>
      <c r="J55" s="22" t="s">
        <v>56</v>
      </c>
    </row>
    <row r="56" customFormat="false" ht="15" hidden="false" customHeight="false" outlineLevel="0" collapsed="false">
      <c r="A56" s="21" t="n">
        <v>46302</v>
      </c>
      <c r="B56" s="22" t="s">
        <v>82</v>
      </c>
      <c r="C56" s="23" t="n">
        <v>0.416666666666667</v>
      </c>
      <c r="D56" s="24" t="n">
        <v>9877.417</v>
      </c>
      <c r="E56" s="24" t="n">
        <v>3623.815</v>
      </c>
      <c r="F56" s="24" t="n">
        <v>10951.038</v>
      </c>
      <c r="G56" s="22" t="n">
        <f aca="false">HOUR(C56)*60+MINUTE(C56)</f>
        <v>600</v>
      </c>
      <c r="H56" s="25" t="n">
        <f aca="false">IF(AND(B56=B55,A56=A55,D56&gt;0,N(D55)&gt;0,G56&gt;N(G55)),(D56-D55)/((G56-G55)/60),"")</f>
        <v>0.615999999994529</v>
      </c>
      <c r="I56" s="22" t="str">
        <f aca="false">IFERROR(INDEX(Medidores!$B:$B,MATCH(B56,Medidores!$A:$A,0)),"")</f>
        <v>L21</v>
      </c>
      <c r="J56" s="22" t="s">
        <v>57</v>
      </c>
    </row>
    <row r="57" customFormat="false" ht="15" hidden="false" customHeight="false" outlineLevel="0" collapsed="false">
      <c r="A57" s="21" t="n">
        <v>46302</v>
      </c>
      <c r="B57" s="22" t="s">
        <v>82</v>
      </c>
      <c r="C57" s="23" t="n">
        <v>0.427083333333333</v>
      </c>
      <c r="D57" s="24" t="n">
        <v>9877.572</v>
      </c>
      <c r="E57" s="24" t="n">
        <v>3623.815</v>
      </c>
      <c r="F57" s="24" t="n">
        <v>10951.195</v>
      </c>
      <c r="G57" s="22" t="n">
        <f aca="false">HOUR(C57)*60+MINUTE(C57)</f>
        <v>615</v>
      </c>
      <c r="H57" s="25" t="n">
        <f aca="false">IF(AND(B57=B56,A57=A56,D57&gt;0,N(D56)&gt;0,G57&gt;N(G56)),(D57-D56)/((G57-G56)/60),"")</f>
        <v>0.620000000002619</v>
      </c>
      <c r="I57" s="22" t="str">
        <f aca="false">IFERROR(INDEX(Medidores!$B:$B,MATCH(B57,Medidores!$A:$A,0)),"")</f>
        <v>L21</v>
      </c>
      <c r="J57" s="22" t="s">
        <v>58</v>
      </c>
    </row>
    <row r="58" customFormat="false" ht="15" hidden="false" customHeight="false" outlineLevel="0" collapsed="false">
      <c r="A58" s="21" t="n">
        <v>46302</v>
      </c>
      <c r="B58" s="22" t="s">
        <v>82</v>
      </c>
      <c r="C58" s="23" t="n">
        <v>0.4375</v>
      </c>
      <c r="D58" s="24" t="n">
        <v>9877.726</v>
      </c>
      <c r="E58" s="24" t="n">
        <v>3623.815</v>
      </c>
      <c r="F58" s="24" t="n">
        <v>10951.352</v>
      </c>
      <c r="G58" s="22" t="n">
        <f aca="false">HOUR(C58)*60+MINUTE(C58)</f>
        <v>630</v>
      </c>
      <c r="H58" s="25" t="n">
        <f aca="false">IF(AND(B58=B57,A58=A57,D58&gt;0,N(D57)&gt;0,G58&gt;N(G57)),(D58-D57)/((G58-G57)/60),"")</f>
        <v>0.616000000001804</v>
      </c>
      <c r="I58" s="22" t="str">
        <f aca="false">IFERROR(INDEX(Medidores!$B:$B,MATCH(B58,Medidores!$A:$A,0)),"")</f>
        <v>L21</v>
      </c>
      <c r="J58" s="22" t="s">
        <v>59</v>
      </c>
    </row>
    <row r="59" customFormat="false" ht="15" hidden="false" customHeight="false" outlineLevel="0" collapsed="false">
      <c r="A59" s="21" t="n">
        <v>46302</v>
      </c>
      <c r="B59" s="22" t="s">
        <v>82</v>
      </c>
      <c r="C59" s="23" t="n">
        <v>0.447916666666667</v>
      </c>
      <c r="D59" s="24" t="n">
        <v>9877.881</v>
      </c>
      <c r="E59" s="24" t="n">
        <v>3623.815</v>
      </c>
      <c r="F59" s="24" t="n">
        <v>10951.509</v>
      </c>
      <c r="G59" s="22" t="n">
        <f aca="false">HOUR(C59)*60+MINUTE(C59)</f>
        <v>645</v>
      </c>
      <c r="H59" s="25" t="n">
        <f aca="false">IF(AND(B59=B58,A59=A58,D59&gt;0,N(D58)&gt;0,G59&gt;N(G58)),(D59-D58)/((G59-G58)/60),"")</f>
        <v>0.619999999995343</v>
      </c>
      <c r="I59" s="22" t="str">
        <f aca="false">IFERROR(INDEX(Medidores!$B:$B,MATCH(B59,Medidores!$A:$A,0)),"")</f>
        <v>L21</v>
      </c>
      <c r="J59" s="22" t="s">
        <v>60</v>
      </c>
    </row>
    <row r="60" customFormat="false" ht="15" hidden="false" customHeight="false" outlineLevel="0" collapsed="false">
      <c r="A60" s="21" t="n">
        <v>46302</v>
      </c>
      <c r="B60" s="22" t="s">
        <v>82</v>
      </c>
      <c r="C60" s="23" t="n">
        <v>0.458333333333333</v>
      </c>
      <c r="D60" s="24" t="n">
        <v>9878.036</v>
      </c>
      <c r="E60" s="24" t="n">
        <v>3623.815</v>
      </c>
      <c r="F60" s="24" t="n">
        <v>10951.666</v>
      </c>
      <c r="G60" s="22" t="n">
        <f aca="false">HOUR(C60)*60+MINUTE(C60)</f>
        <v>660</v>
      </c>
      <c r="H60" s="25" t="n">
        <f aca="false">IF(AND(B60=B59,A60=A59,D60&gt;0,N(D59)&gt;0,G60&gt;N(G59)),(D60-D59)/((G60-G59)/60),"")</f>
        <v>0.620000000002619</v>
      </c>
      <c r="I60" s="22" t="str">
        <f aca="false">IFERROR(INDEX(Medidores!$B:$B,MATCH(B60,Medidores!$A:$A,0)),"")</f>
        <v>L21</v>
      </c>
      <c r="J60" s="22" t="s">
        <v>61</v>
      </c>
    </row>
    <row r="61" customFormat="false" ht="15" hidden="false" customHeight="false" outlineLevel="0" collapsed="false">
      <c r="A61" s="21" t="n">
        <v>46302</v>
      </c>
      <c r="B61" s="22" t="s">
        <v>82</v>
      </c>
      <c r="C61" s="23" t="n">
        <v>0.46875</v>
      </c>
      <c r="D61" s="24" t="n">
        <v>9878.192</v>
      </c>
      <c r="E61" s="24" t="n">
        <v>3623.815</v>
      </c>
      <c r="F61" s="24" t="n">
        <v>10951.825</v>
      </c>
      <c r="G61" s="22" t="n">
        <f aca="false">HOUR(C61)*60+MINUTE(C61)</f>
        <v>675</v>
      </c>
      <c r="H61" s="25" t="n">
        <f aca="false">IF(AND(B61=B60,A61=A60,D61&gt;0,N(D60)&gt;0,G61&gt;N(G60)),(D61-D60)/((G61-G60)/60),"")</f>
        <v>0.623999999996158</v>
      </c>
      <c r="I61" s="22" t="str">
        <f aca="false">IFERROR(INDEX(Medidores!$B:$B,MATCH(B61,Medidores!$A:$A,0)),"")</f>
        <v>L21</v>
      </c>
      <c r="J61" s="22" t="s">
        <v>83</v>
      </c>
    </row>
    <row r="62" customFormat="false" ht="15" hidden="false" customHeight="false" outlineLevel="0" collapsed="false">
      <c r="A62" s="21" t="n">
        <v>46302</v>
      </c>
      <c r="B62" s="22" t="s">
        <v>84</v>
      </c>
      <c r="C62" s="23" t="n">
        <v>0.260416666666667</v>
      </c>
      <c r="D62" s="24" t="n">
        <v>10454.288</v>
      </c>
      <c r="E62" s="24" t="n">
        <v>4885.767</v>
      </c>
      <c r="F62" s="24" t="n">
        <v>11719.125</v>
      </c>
      <c r="G62" s="22" t="n">
        <f aca="false">HOUR(C62)*60+MINUTE(C62)</f>
        <v>375</v>
      </c>
      <c r="H62" s="25" t="str">
        <f aca="false">IF(AND(B62=B61,A62=A61,D62&gt;0,N(D61)&gt;0,G62&gt;N(G61)),(D62-D61)/((G62-G61)/60),"")</f>
        <v/>
      </c>
      <c r="I62" s="22" t="str">
        <f aca="false">IFERROR(INDEX(Medidores!$B:$B,MATCH(B62,Medidores!$A:$A,0)),"")</f>
        <v>L14</v>
      </c>
      <c r="J62" s="22" t="s">
        <v>85</v>
      </c>
    </row>
    <row r="63" customFormat="false" ht="15" hidden="false" customHeight="false" outlineLevel="0" collapsed="false">
      <c r="A63" s="21" t="n">
        <v>46302</v>
      </c>
      <c r="B63" s="22" t="s">
        <v>84</v>
      </c>
      <c r="C63" s="23" t="n">
        <v>0.270833333333333</v>
      </c>
      <c r="D63" s="24" t="n">
        <v>10454.704</v>
      </c>
      <c r="E63" s="24" t="n">
        <v>4885.915</v>
      </c>
      <c r="F63" s="24" t="n">
        <v>11719.573</v>
      </c>
      <c r="G63" s="22" t="n">
        <f aca="false">HOUR(C63)*60+MINUTE(C63)</f>
        <v>390</v>
      </c>
      <c r="H63" s="25" t="n">
        <f aca="false">IF(AND(B63=B62,A63=A62,D63&gt;0,N(D62)&gt;0,G63&gt;N(G62)),(D63-D62)/((G63-G62)/60),"")</f>
        <v>1.66399999999703</v>
      </c>
      <c r="I63" s="22" t="str">
        <f aca="false">IFERROR(INDEX(Medidores!$B:$B,MATCH(B63,Medidores!$A:$A,0)),"")</f>
        <v>L14</v>
      </c>
      <c r="J63" s="22" t="s">
        <v>63</v>
      </c>
    </row>
    <row r="64" customFormat="false" ht="15" hidden="false" customHeight="false" outlineLevel="0" collapsed="false">
      <c r="A64" s="21" t="n">
        <v>46302</v>
      </c>
      <c r="B64" s="22" t="s">
        <v>84</v>
      </c>
      <c r="C64" s="23" t="n">
        <v>0.28125</v>
      </c>
      <c r="D64" s="24" t="n">
        <v>10455.12</v>
      </c>
      <c r="E64" s="24" t="n">
        <v>4886.056</v>
      </c>
      <c r="F64" s="24" t="n">
        <v>11720.02</v>
      </c>
      <c r="G64" s="22" t="n">
        <f aca="false">HOUR(C64)*60+MINUTE(C64)</f>
        <v>405</v>
      </c>
      <c r="H64" s="25" t="n">
        <f aca="false">IF(AND(B64=B63,A64=A63,D64&gt;0,N(D63)&gt;0,G64&gt;N(G63)),(D64-D63)/((G64-G63)/60),"")</f>
        <v>1.66400000000431</v>
      </c>
      <c r="I64" s="22" t="str">
        <f aca="false">IFERROR(INDEX(Medidores!$B:$B,MATCH(B64,Medidores!$A:$A,0)),"")</f>
        <v>L14</v>
      </c>
      <c r="J64" s="22" t="s">
        <v>64</v>
      </c>
    </row>
    <row r="65" customFormat="false" ht="15" hidden="false" customHeight="false" outlineLevel="0" collapsed="false">
      <c r="A65" s="21" t="n">
        <v>46302</v>
      </c>
      <c r="B65" s="22" t="s">
        <v>84</v>
      </c>
      <c r="C65" s="23" t="n">
        <v>0.291666666666667</v>
      </c>
      <c r="D65" s="24" t="n">
        <v>10455.566</v>
      </c>
      <c r="E65" s="24" t="n">
        <v>4886.249</v>
      </c>
      <c r="F65" s="24" t="n">
        <v>11720.514</v>
      </c>
      <c r="G65" s="22" t="n">
        <f aca="false">HOUR(C65)*60+MINUTE(C65)</f>
        <v>420</v>
      </c>
      <c r="H65" s="25" t="n">
        <f aca="false">IF(AND(B65=B64,A65=A64,D65&gt;0,N(D64)&gt;0,G65&gt;N(G64)),(D65-D64)/((G65-G64)/60),"")</f>
        <v>1.78399999999965</v>
      </c>
      <c r="I65" s="22" t="str">
        <f aca="false">IFERROR(INDEX(Medidores!$B:$B,MATCH(B65,Medidores!$A:$A,0)),"")</f>
        <v>L14</v>
      </c>
      <c r="J65" s="22" t="s">
        <v>65</v>
      </c>
    </row>
    <row r="66" customFormat="false" ht="15" hidden="false" customHeight="false" outlineLevel="0" collapsed="false">
      <c r="A66" s="21" t="n">
        <v>46302</v>
      </c>
      <c r="B66" s="22" t="s">
        <v>84</v>
      </c>
      <c r="C66" s="23" t="n">
        <v>0.302083333333333</v>
      </c>
      <c r="D66" s="24" t="n">
        <v>10456.553</v>
      </c>
      <c r="E66" s="24" t="n">
        <v>4886.762</v>
      </c>
      <c r="F66" s="24" t="n">
        <v>11721.629</v>
      </c>
      <c r="G66" s="22" t="n">
        <f aca="false">HOUR(C66)*60+MINUTE(C66)</f>
        <v>435</v>
      </c>
      <c r="H66" s="25" t="n">
        <f aca="false">IF(AND(B66=B65,A66=A65,D66&gt;0,N(D65)&gt;0,G66&gt;N(G65)),(D66-D65)/((G66-G65)/60),"")</f>
        <v>3.94799999999668</v>
      </c>
      <c r="I66" s="22" t="str">
        <f aca="false">IFERROR(INDEX(Medidores!$B:$B,MATCH(B66,Medidores!$A:$A,0)),"")</f>
        <v>L14</v>
      </c>
      <c r="J66" s="22" t="s">
        <v>66</v>
      </c>
    </row>
    <row r="67" customFormat="false" ht="15" hidden="false" customHeight="false" outlineLevel="0" collapsed="false">
      <c r="A67" s="21" t="n">
        <v>46302</v>
      </c>
      <c r="B67" s="22" t="s">
        <v>84</v>
      </c>
      <c r="C67" s="23" t="n">
        <v>0.3125</v>
      </c>
      <c r="D67" s="24" t="n">
        <v>10457.413</v>
      </c>
      <c r="E67" s="24" t="n">
        <v>4887.248</v>
      </c>
      <c r="F67" s="24" t="n">
        <v>11722.619</v>
      </c>
      <c r="G67" s="22" t="n">
        <f aca="false">HOUR(C67)*60+MINUTE(C67)</f>
        <v>450</v>
      </c>
      <c r="H67" s="25" t="n">
        <f aca="false">IF(AND(B67=B66,A67=A66,D67&gt;0,N(D66)&gt;0,G67&gt;N(G66)),(D67-D66)/((G67-G66)/60),"")</f>
        <v>3.44000000000233</v>
      </c>
      <c r="I67" s="22" t="str">
        <f aca="false">IFERROR(INDEX(Medidores!$B:$B,MATCH(B67,Medidores!$A:$A,0)),"")</f>
        <v>L14</v>
      </c>
      <c r="J67" s="22" t="s">
        <v>67</v>
      </c>
    </row>
    <row r="68" customFormat="false" ht="15" hidden="false" customHeight="false" outlineLevel="0" collapsed="false">
      <c r="A68" s="21" t="n">
        <v>46302</v>
      </c>
      <c r="B68" s="22" t="s">
        <v>84</v>
      </c>
      <c r="C68" s="23" t="n">
        <v>0.322916666666667</v>
      </c>
      <c r="D68" s="24" t="n">
        <v>10458.349</v>
      </c>
      <c r="E68" s="24" t="n">
        <v>4887.75</v>
      </c>
      <c r="F68" s="24" t="n">
        <v>11723.684</v>
      </c>
      <c r="G68" s="22" t="n">
        <f aca="false">HOUR(C68)*60+MINUTE(C68)</f>
        <v>465</v>
      </c>
      <c r="H68" s="25" t="n">
        <f aca="false">IF(AND(B68=B67,A68=A67,D68&gt;0,N(D67)&gt;0,G68&gt;N(G67)),(D68-D67)/((G68-G67)/60),"")</f>
        <v>3.74399999999878</v>
      </c>
      <c r="I68" s="22" t="str">
        <f aca="false">IFERROR(INDEX(Medidores!$B:$B,MATCH(B68,Medidores!$A:$A,0)),"")</f>
        <v>L14</v>
      </c>
      <c r="J68" s="22" t="s">
        <v>68</v>
      </c>
    </row>
    <row r="69" customFormat="false" ht="15" hidden="false" customHeight="false" outlineLevel="0" collapsed="false">
      <c r="A69" s="21" t="n">
        <v>46302</v>
      </c>
      <c r="B69" s="22" t="s">
        <v>84</v>
      </c>
      <c r="C69" s="23" t="n">
        <v>0.333333333333333</v>
      </c>
      <c r="D69" s="24" t="n">
        <v>10459.325</v>
      </c>
      <c r="E69" s="24" t="n">
        <v>4888.286</v>
      </c>
      <c r="F69" s="24" t="n">
        <v>11724.798</v>
      </c>
      <c r="G69" s="22" t="n">
        <f aca="false">HOUR(C69)*60+MINUTE(C69)</f>
        <v>480</v>
      </c>
      <c r="H69" s="25" t="n">
        <f aca="false">IF(AND(B69=B68,A69=A68,D69&gt;0,N(D68)&gt;0,G69&gt;N(G68)),(D69-D68)/((G69-G68)/60),"")</f>
        <v>3.90400000000227</v>
      </c>
      <c r="I69" s="22" t="str">
        <f aca="false">IFERROR(INDEX(Medidores!$B:$B,MATCH(B69,Medidores!$A:$A,0)),"")</f>
        <v>L14</v>
      </c>
      <c r="J69" s="22" t="s">
        <v>69</v>
      </c>
    </row>
    <row r="70" customFormat="false" ht="15" hidden="false" customHeight="false" outlineLevel="0" collapsed="false">
      <c r="A70" s="21" t="n">
        <v>46302</v>
      </c>
      <c r="B70" s="22" t="s">
        <v>84</v>
      </c>
      <c r="C70" s="23" t="n">
        <v>0.34375</v>
      </c>
      <c r="D70" s="24" t="n">
        <v>10460.272</v>
      </c>
      <c r="E70" s="24" t="n">
        <v>4888.797</v>
      </c>
      <c r="F70" s="24" t="n">
        <v>11725.875</v>
      </c>
      <c r="G70" s="22" t="n">
        <f aca="false">HOUR(C70)*60+MINUTE(C70)</f>
        <v>495</v>
      </c>
      <c r="H70" s="25" t="n">
        <f aca="false">IF(AND(B70=B69,A70=A69,D70&gt;0,N(D69)&gt;0,G70&gt;N(G69)),(D70-D69)/((G70-G69)/60),"")</f>
        <v>3.78800000000047</v>
      </c>
      <c r="I70" s="22" t="str">
        <f aca="false">IFERROR(INDEX(Medidores!$B:$B,MATCH(B70,Medidores!$A:$A,0)),"")</f>
        <v>L14</v>
      </c>
      <c r="J70" s="22" t="s">
        <v>70</v>
      </c>
    </row>
    <row r="71" customFormat="false" ht="15" hidden="false" customHeight="false" outlineLevel="0" collapsed="false">
      <c r="A71" s="21" t="n">
        <v>46302</v>
      </c>
      <c r="B71" s="22" t="s">
        <v>84</v>
      </c>
      <c r="C71" s="23" t="n">
        <v>0.354166666666667</v>
      </c>
      <c r="D71" s="24" t="n">
        <v>10461.246</v>
      </c>
      <c r="E71" s="24" t="n">
        <v>4889.328</v>
      </c>
      <c r="F71" s="24" t="n">
        <v>11726.986</v>
      </c>
      <c r="G71" s="22" t="n">
        <f aca="false">HOUR(C71)*60+MINUTE(C71)</f>
        <v>510</v>
      </c>
      <c r="H71" s="25" t="n">
        <f aca="false">IF(AND(B71=B70,A71=A70,D71&gt;0,N(D70)&gt;0,G71&gt;N(G70)),(D71-D70)/((G71-G70)/60),"")</f>
        <v>3.89599999999336</v>
      </c>
      <c r="I71" s="22" t="str">
        <f aca="false">IFERROR(INDEX(Medidores!$B:$B,MATCH(B71,Medidores!$A:$A,0)),"")</f>
        <v>L14</v>
      </c>
      <c r="J71" s="22" t="s">
        <v>71</v>
      </c>
    </row>
    <row r="72" customFormat="false" ht="15" hidden="false" customHeight="false" outlineLevel="0" collapsed="false">
      <c r="A72" s="21" t="n">
        <v>46302</v>
      </c>
      <c r="B72" s="22" t="s">
        <v>84</v>
      </c>
      <c r="C72" s="23" t="n">
        <v>0.364583333333333</v>
      </c>
      <c r="D72" s="24" t="n">
        <v>10462.072</v>
      </c>
      <c r="E72" s="24" t="n">
        <v>4889.793</v>
      </c>
      <c r="F72" s="24" t="n">
        <v>11727.935</v>
      </c>
      <c r="G72" s="22" t="n">
        <f aca="false">HOUR(C72)*60+MINUTE(C72)</f>
        <v>525</v>
      </c>
      <c r="H72" s="25" t="n">
        <f aca="false">IF(AND(B72=B71,A72=A71,D72&gt;0,N(D71)&gt;0,G72&gt;N(G71)),(D72-D71)/((G72-G71)/60),"")</f>
        <v>3.30400000000373</v>
      </c>
      <c r="I72" s="22" t="str">
        <f aca="false">IFERROR(INDEX(Medidores!$B:$B,MATCH(B72,Medidores!$A:$A,0)),"")</f>
        <v>L14</v>
      </c>
      <c r="J72" s="22" t="s">
        <v>72</v>
      </c>
    </row>
    <row r="73" customFormat="false" ht="15" hidden="false" customHeight="false" outlineLevel="0" collapsed="false">
      <c r="A73" s="21" t="n">
        <v>46302</v>
      </c>
      <c r="B73" s="22" t="s">
        <v>84</v>
      </c>
      <c r="C73" s="23" t="n">
        <v>0.375</v>
      </c>
      <c r="D73" s="24" t="n">
        <v>10462.995</v>
      </c>
      <c r="E73" s="24" t="n">
        <v>4890.293</v>
      </c>
      <c r="F73" s="24" t="n">
        <v>11728.988</v>
      </c>
      <c r="G73" s="22" t="n">
        <f aca="false">HOUR(C73)*60+MINUTE(C73)</f>
        <v>540</v>
      </c>
      <c r="H73" s="25" t="n">
        <f aca="false">IF(AND(B73=B72,A73=A72,D73&gt;0,N(D72)&gt;0,G73&gt;N(G72)),(D73-D72)/((G73-G72)/60),"")</f>
        <v>3.69200000000274</v>
      </c>
      <c r="I73" s="22" t="str">
        <f aca="false">IFERROR(INDEX(Medidores!$B:$B,MATCH(B73,Medidores!$A:$A,0)),"")</f>
        <v>L14</v>
      </c>
      <c r="J73" s="22" t="s">
        <v>73</v>
      </c>
    </row>
    <row r="74" customFormat="false" ht="15" hidden="false" customHeight="false" outlineLevel="0" collapsed="false">
      <c r="A74" s="21" t="n">
        <v>46302</v>
      </c>
      <c r="B74" s="22" t="s">
        <v>84</v>
      </c>
      <c r="C74" s="23" t="n">
        <v>0.385416666666667</v>
      </c>
      <c r="D74" s="24" t="n">
        <v>10463.809</v>
      </c>
      <c r="E74" s="24" t="n">
        <v>4890.762</v>
      </c>
      <c r="F74" s="24" t="n">
        <v>11729.931</v>
      </c>
      <c r="G74" s="22" t="n">
        <f aca="false">HOUR(C74)*60+MINUTE(C74)</f>
        <v>555</v>
      </c>
      <c r="H74" s="25" t="n">
        <f aca="false">IF(AND(B74=B73,A74=A73,D74&gt;0,N(D73)&gt;0,G74&gt;N(G73)),(D74-D73)/((G74-G73)/60),"")</f>
        <v>3.25599999999395</v>
      </c>
      <c r="I74" s="22" t="str">
        <f aca="false">IFERROR(INDEX(Medidores!$B:$B,MATCH(B74,Medidores!$A:$A,0)),"")</f>
        <v>L14</v>
      </c>
      <c r="J74" s="22" t="s">
        <v>74</v>
      </c>
    </row>
    <row r="75" customFormat="false" ht="15" hidden="false" customHeight="false" outlineLevel="0" collapsed="false">
      <c r="A75" s="21" t="n">
        <v>46302</v>
      </c>
      <c r="B75" s="22" t="s">
        <v>84</v>
      </c>
      <c r="C75" s="23" t="n">
        <v>0.395833333333333</v>
      </c>
      <c r="D75" s="24" t="n">
        <v>10464.531</v>
      </c>
      <c r="E75" s="24" t="n">
        <v>4891.191</v>
      </c>
      <c r="F75" s="24" t="n">
        <v>11730.773</v>
      </c>
      <c r="G75" s="22" t="n">
        <f aca="false">HOUR(C75)*60+MINUTE(C75)</f>
        <v>570</v>
      </c>
      <c r="H75" s="25" t="n">
        <f aca="false">IF(AND(B75=B74,A75=A74,D75&gt;0,N(D74)&gt;0,G75&gt;N(G74)),(D75-D74)/((G75-G74)/60),"")</f>
        <v>2.88800000000629</v>
      </c>
      <c r="I75" s="22" t="str">
        <f aca="false">IFERROR(INDEX(Medidores!$B:$B,MATCH(B75,Medidores!$A:$A,0)),"")</f>
        <v>L14</v>
      </c>
      <c r="J75" s="22" t="s">
        <v>75</v>
      </c>
    </row>
    <row r="76" customFormat="false" ht="15" hidden="false" customHeight="false" outlineLevel="0" collapsed="false">
      <c r="A76" s="21" t="n">
        <v>46302</v>
      </c>
      <c r="B76" s="22" t="s">
        <v>84</v>
      </c>
      <c r="C76" s="23" t="n">
        <v>0.40625</v>
      </c>
      <c r="D76" s="24" t="n">
        <v>10465.328</v>
      </c>
      <c r="E76" s="24" t="n">
        <v>4891.657</v>
      </c>
      <c r="F76" s="24" t="n">
        <v>11731.699</v>
      </c>
      <c r="G76" s="22" t="n">
        <f aca="false">HOUR(C76)*60+MINUTE(C76)</f>
        <v>585</v>
      </c>
      <c r="H76" s="25" t="n">
        <f aca="false">IF(AND(B76=B75,A76=A75,D76&gt;0,N(D75)&gt;0,G76&gt;N(G75)),(D76-D75)/((G76-G75)/60),"")</f>
        <v>3.18799999999465</v>
      </c>
      <c r="I76" s="22" t="str">
        <f aca="false">IFERROR(INDEX(Medidores!$B:$B,MATCH(B76,Medidores!$A:$A,0)),"")</f>
        <v>L14</v>
      </c>
      <c r="J76" s="22" t="s">
        <v>76</v>
      </c>
    </row>
    <row r="77" customFormat="false" ht="15" hidden="false" customHeight="false" outlineLevel="0" collapsed="false">
      <c r="A77" s="21" t="n">
        <v>46302</v>
      </c>
      <c r="B77" s="22" t="s">
        <v>84</v>
      </c>
      <c r="C77" s="23" t="n">
        <v>0.416666666666667</v>
      </c>
      <c r="D77" s="24" t="n">
        <v>10466.288</v>
      </c>
      <c r="E77" s="24" t="n">
        <v>4892.169</v>
      </c>
      <c r="F77" s="24" t="n">
        <v>11732.788</v>
      </c>
      <c r="G77" s="22" t="n">
        <f aca="false">HOUR(C77)*60+MINUTE(C77)</f>
        <v>600</v>
      </c>
      <c r="H77" s="25" t="n">
        <f aca="false">IF(AND(B77=B76,A77=A76,D77&gt;0,N(D76)&gt;0,G77&gt;N(G76)),(D77-D76)/((G77-G76)/60),"")</f>
        <v>3.84000000000378</v>
      </c>
      <c r="I77" s="22" t="str">
        <f aca="false">IFERROR(INDEX(Medidores!$B:$B,MATCH(B77,Medidores!$A:$A,0)),"")</f>
        <v>L14</v>
      </c>
      <c r="J77" s="22" t="s">
        <v>77</v>
      </c>
    </row>
    <row r="78" customFormat="false" ht="15" hidden="false" customHeight="false" outlineLevel="0" collapsed="false">
      <c r="A78" s="21" t="n">
        <v>46302</v>
      </c>
      <c r="B78" s="22" t="s">
        <v>84</v>
      </c>
      <c r="C78" s="23" t="n">
        <v>0.427083333333333</v>
      </c>
      <c r="D78" s="24" t="n">
        <v>10467.175</v>
      </c>
      <c r="E78" s="24" t="n">
        <v>4892.66</v>
      </c>
      <c r="F78" s="24" t="n">
        <v>11733.804</v>
      </c>
      <c r="G78" s="22" t="n">
        <f aca="false">HOUR(C78)*60+MINUTE(C78)</f>
        <v>615</v>
      </c>
      <c r="H78" s="25" t="n">
        <f aca="false">IF(AND(B78=B77,A78=A77,D78&gt;0,N(D77)&gt;0,G78&gt;N(G77)),(D78-D77)/((G78-G77)/60),"")</f>
        <v>3.54799999999523</v>
      </c>
      <c r="I78" s="22" t="str">
        <f aca="false">IFERROR(INDEX(Medidores!$B:$B,MATCH(B78,Medidores!$A:$A,0)),"")</f>
        <v>L14</v>
      </c>
      <c r="J78" s="22" t="s">
        <v>78</v>
      </c>
    </row>
    <row r="79" customFormat="false" ht="15" hidden="false" customHeight="false" outlineLevel="0" collapsed="false">
      <c r="A79" s="21" t="n">
        <v>46302</v>
      </c>
      <c r="B79" s="22" t="s">
        <v>84</v>
      </c>
      <c r="C79" s="23" t="n">
        <v>0.4375</v>
      </c>
      <c r="D79" s="24" t="n">
        <v>10468.064</v>
      </c>
      <c r="E79" s="24" t="n">
        <v>4893.147</v>
      </c>
      <c r="F79" s="24" t="n">
        <v>11734.819</v>
      </c>
      <c r="G79" s="22" t="n">
        <f aca="false">HOUR(C79)*60+MINUTE(C79)</f>
        <v>630</v>
      </c>
      <c r="H79" s="25" t="n">
        <f aca="false">IF(AND(B79=B78,A79=A78,D79&gt;0,N(D78)&gt;0,G79&gt;N(G78)),(D79-D78)/((G79-G78)/60),"")</f>
        <v>3.55600000000413</v>
      </c>
      <c r="I79" s="22" t="str">
        <f aca="false">IFERROR(INDEX(Medidores!$B:$B,MATCH(B79,Medidores!$A:$A,0)),"")</f>
        <v>L14</v>
      </c>
      <c r="J79" s="22" t="s">
        <v>79</v>
      </c>
    </row>
    <row r="80" customFormat="false" ht="15" hidden="false" customHeight="false" outlineLevel="0" collapsed="false">
      <c r="A80" s="21" t="n">
        <v>46302</v>
      </c>
      <c r="B80" s="22" t="s">
        <v>84</v>
      </c>
      <c r="C80" s="23" t="n">
        <v>0.447916666666667</v>
      </c>
      <c r="D80" s="24" t="n">
        <v>10468.81</v>
      </c>
      <c r="E80" s="24" t="n">
        <v>4893.495</v>
      </c>
      <c r="F80" s="24" t="n">
        <v>11735.652</v>
      </c>
      <c r="G80" s="22" t="n">
        <f aca="false">HOUR(C80)*60+MINUTE(C80)</f>
        <v>645</v>
      </c>
      <c r="H80" s="25" t="n">
        <f aca="false">IF(AND(B80=B79,A80=A79,D80&gt;0,N(D79)&gt;0,G80&gt;N(G79)),(D80-D79)/((G80-G79)/60),"")</f>
        <v>2.98399999999674</v>
      </c>
      <c r="I80" s="22" t="str">
        <f aca="false">IFERROR(INDEX(Medidores!$B:$B,MATCH(B80,Medidores!$A:$A,0)),"")</f>
        <v>L14</v>
      </c>
      <c r="J80" s="22" t="s">
        <v>80</v>
      </c>
    </row>
    <row r="81" customFormat="false" ht="15" hidden="false" customHeight="false" outlineLevel="0" collapsed="false">
      <c r="A81" s="21" t="n">
        <v>46302</v>
      </c>
      <c r="B81" s="22" t="s">
        <v>84</v>
      </c>
      <c r="C81" s="23" t="n">
        <v>0.458333333333333</v>
      </c>
      <c r="D81" s="24" t="n">
        <v>10469.273</v>
      </c>
      <c r="E81" s="24" t="n">
        <v>4893.623</v>
      </c>
      <c r="F81" s="24" t="n">
        <v>11736.136</v>
      </c>
      <c r="G81" s="22" t="n">
        <f aca="false">HOUR(C81)*60+MINUTE(C81)</f>
        <v>660</v>
      </c>
      <c r="H81" s="25" t="n">
        <f aca="false">IF(AND(B81=B80,A81=A80,D81&gt;0,N(D80)&gt;0,G81&gt;N(G80)),(D81-D80)/((G81-G80)/60),"")</f>
        <v>1.85199999999895</v>
      </c>
      <c r="I81" s="22" t="str">
        <f aca="false">IFERROR(INDEX(Medidores!$B:$B,MATCH(B81,Medidores!$A:$A,0)),"")</f>
        <v>L14</v>
      </c>
      <c r="J81" s="22" t="s">
        <v>81</v>
      </c>
    </row>
    <row r="82" customFormat="false" ht="15" hidden="false" customHeight="false" outlineLevel="0" collapsed="false">
      <c r="A82" s="21" t="n">
        <v>46302</v>
      </c>
      <c r="B82" s="22" t="s">
        <v>86</v>
      </c>
      <c r="C82" s="23" t="n">
        <v>0.302083333333333</v>
      </c>
      <c r="D82" s="24" t="n">
        <v>13520.754</v>
      </c>
      <c r="E82" s="24" t="n">
        <v>10907.94</v>
      </c>
      <c r="F82" s="24" t="n">
        <v>17620.676</v>
      </c>
      <c r="G82" s="22" t="n">
        <f aca="false">HOUR(C82)*60+MINUTE(C82)</f>
        <v>435</v>
      </c>
      <c r="H82" s="25" t="str">
        <f aca="false">IF(AND(B82=B81,A82=A81,D82&gt;0,N(D81)&gt;0,G82&gt;N(G81)),(D82-D81)/((G82-G81)/60),"")</f>
        <v/>
      </c>
      <c r="I82" s="22" t="str">
        <f aca="false">IFERROR(INDEX(Medidores!$B:$B,MATCH(B82,Medidores!$A:$A,0)),"")</f>
        <v>L20</v>
      </c>
      <c r="J82" s="22" t="s">
        <v>46</v>
      </c>
    </row>
    <row r="83" customFormat="false" ht="15" hidden="false" customHeight="false" outlineLevel="0" collapsed="false">
      <c r="A83" s="21" t="n">
        <v>46302</v>
      </c>
      <c r="B83" s="22" t="s">
        <v>86</v>
      </c>
      <c r="C83" s="23" t="n">
        <v>0.3125</v>
      </c>
      <c r="D83" s="24" t="n">
        <v>13521.147</v>
      </c>
      <c r="E83" s="24" t="n">
        <v>10908.319</v>
      </c>
      <c r="F83" s="24" t="n">
        <v>17621.225</v>
      </c>
      <c r="G83" s="22" t="n">
        <f aca="false">HOUR(C83)*60+MINUTE(C83)</f>
        <v>450</v>
      </c>
      <c r="H83" s="25" t="n">
        <f aca="false">IF(AND(B83=B82,A83=A82,D83&gt;0,N(D82)&gt;0,G83&gt;N(G82)),(D83-D82)/((G83-G82)/60),"")</f>
        <v>1.57200000000012</v>
      </c>
      <c r="I83" s="22" t="str">
        <f aca="false">IFERROR(INDEX(Medidores!$B:$B,MATCH(B83,Medidores!$A:$A,0)),"")</f>
        <v>L20</v>
      </c>
      <c r="J83" s="22" t="s">
        <v>47</v>
      </c>
    </row>
    <row r="84" customFormat="false" ht="15" hidden="false" customHeight="false" outlineLevel="0" collapsed="false">
      <c r="A84" s="21" t="n">
        <v>46302</v>
      </c>
      <c r="B84" s="22" t="s">
        <v>86</v>
      </c>
      <c r="C84" s="23" t="n">
        <v>0.322916666666667</v>
      </c>
      <c r="D84" s="24" t="n">
        <v>13521.497</v>
      </c>
      <c r="E84" s="24" t="n">
        <v>10908.548</v>
      </c>
      <c r="F84" s="24" t="n">
        <v>17621.652</v>
      </c>
      <c r="G84" s="22" t="n">
        <f aca="false">HOUR(C84)*60+MINUTE(C84)</f>
        <v>465</v>
      </c>
      <c r="H84" s="25" t="n">
        <f aca="false">IF(AND(B84=B83,A84=A83,D84&gt;0,N(D83)&gt;0,G84&gt;N(G83)),(D84-D83)/((G84-G83)/60),"")</f>
        <v>1.39999999999418</v>
      </c>
      <c r="I84" s="22" t="str">
        <f aca="false">IFERROR(INDEX(Medidores!$B:$B,MATCH(B84,Medidores!$A:$A,0)),"")</f>
        <v>L20</v>
      </c>
      <c r="J84" s="22" t="s">
        <v>48</v>
      </c>
    </row>
    <row r="85" customFormat="false" ht="15" hidden="false" customHeight="false" outlineLevel="0" collapsed="false">
      <c r="A85" s="21" t="n">
        <v>46302</v>
      </c>
      <c r="B85" s="22" t="s">
        <v>86</v>
      </c>
      <c r="C85" s="23" t="n">
        <v>0.333333333333333</v>
      </c>
      <c r="D85" s="24" t="n">
        <v>13521.921</v>
      </c>
      <c r="E85" s="24" t="n">
        <v>10908.843</v>
      </c>
      <c r="F85" s="24" t="n">
        <v>17622.176</v>
      </c>
      <c r="G85" s="22" t="n">
        <f aca="false">HOUR(C85)*60+MINUTE(C85)</f>
        <v>480</v>
      </c>
      <c r="H85" s="25" t="n">
        <f aca="false">IF(AND(B85=B84,A85=A84,D85&gt;0,N(D84)&gt;0,G85&gt;N(G84)),(D85-D84)/((G85-G84)/60),"")</f>
        <v>1.69600000000355</v>
      </c>
      <c r="I85" s="22" t="str">
        <f aca="false">IFERROR(INDEX(Medidores!$B:$B,MATCH(B85,Medidores!$A:$A,0)),"")</f>
        <v>L20</v>
      </c>
      <c r="J85" s="22" t="s">
        <v>49</v>
      </c>
    </row>
    <row r="86" customFormat="false" ht="15" hidden="false" customHeight="false" outlineLevel="0" collapsed="false">
      <c r="A86" s="21" t="n">
        <v>46302</v>
      </c>
      <c r="B86" s="22" t="s">
        <v>86</v>
      </c>
      <c r="C86" s="23" t="n">
        <v>0.34375</v>
      </c>
      <c r="D86" s="24" t="n">
        <v>13522.454</v>
      </c>
      <c r="E86" s="24" t="n">
        <v>10909.31</v>
      </c>
      <c r="F86" s="24" t="n">
        <v>17622.889</v>
      </c>
      <c r="G86" s="22" t="n">
        <f aca="false">HOUR(C86)*60+MINUTE(C86)</f>
        <v>495</v>
      </c>
      <c r="H86" s="25" t="n">
        <f aca="false">IF(AND(B86=B85,A86=A85,D86&gt;0,N(D85)&gt;0,G86&gt;N(G85)),(D86-D85)/((G86-G85)/60),"")</f>
        <v>2.13199999999779</v>
      </c>
      <c r="I86" s="22" t="str">
        <f aca="false">IFERROR(INDEX(Medidores!$B:$B,MATCH(B86,Medidores!$A:$A,0)),"")</f>
        <v>L20</v>
      </c>
      <c r="J86" s="22" t="s">
        <v>50</v>
      </c>
    </row>
    <row r="87" customFormat="false" ht="15" hidden="false" customHeight="false" outlineLevel="0" collapsed="false">
      <c r="A87" s="21" t="n">
        <v>46302</v>
      </c>
      <c r="B87" s="22" t="s">
        <v>86</v>
      </c>
      <c r="C87" s="23" t="n">
        <v>0.354166666666667</v>
      </c>
      <c r="D87" s="24" t="n">
        <v>13522.935</v>
      </c>
      <c r="E87" s="24" t="n">
        <v>10909.783</v>
      </c>
      <c r="F87" s="24" t="n">
        <v>17623.565</v>
      </c>
      <c r="G87" s="22" t="n">
        <f aca="false">HOUR(C87)*60+MINUTE(C87)</f>
        <v>510</v>
      </c>
      <c r="H87" s="25" t="n">
        <f aca="false">IF(AND(B87=B86,A87=A86,D87&gt;0,N(D86)&gt;0,G87&gt;N(G86)),(D87-D86)/((G87-G86)/60),"")</f>
        <v>1.92399999999907</v>
      </c>
      <c r="I87" s="22" t="str">
        <f aca="false">IFERROR(INDEX(Medidores!$B:$B,MATCH(B87,Medidores!$A:$A,0)),"")</f>
        <v>L20</v>
      </c>
      <c r="J87" s="22" t="s">
        <v>51</v>
      </c>
    </row>
    <row r="88" customFormat="false" ht="15" hidden="false" customHeight="false" outlineLevel="0" collapsed="false">
      <c r="A88" s="21" t="n">
        <v>46302</v>
      </c>
      <c r="B88" s="22" t="s">
        <v>86</v>
      </c>
      <c r="C88" s="23" t="n">
        <v>0.364583333333333</v>
      </c>
      <c r="D88" s="24" t="n">
        <v>13523.397</v>
      </c>
      <c r="E88" s="24" t="n">
        <v>10910.186</v>
      </c>
      <c r="F88" s="24" t="n">
        <v>17624.184</v>
      </c>
      <c r="G88" s="22" t="n">
        <f aca="false">HOUR(C88)*60+MINUTE(C88)</f>
        <v>525</v>
      </c>
      <c r="H88" s="25" t="n">
        <f aca="false">IF(AND(B88=B87,A88=A87,D88&gt;0,N(D87)&gt;0,G88&gt;N(G87)),(D88-D87)/((G88-G87)/60),"")</f>
        <v>1.84800000000541</v>
      </c>
      <c r="I88" s="22" t="str">
        <f aca="false">IFERROR(INDEX(Medidores!$B:$B,MATCH(B88,Medidores!$A:$A,0)),"")</f>
        <v>L20</v>
      </c>
      <c r="J88" s="22" t="s">
        <v>52</v>
      </c>
    </row>
    <row r="89" customFormat="false" ht="15" hidden="false" customHeight="false" outlineLevel="0" collapsed="false">
      <c r="A89" s="21" t="n">
        <v>46302</v>
      </c>
      <c r="B89" s="22" t="s">
        <v>86</v>
      </c>
      <c r="C89" s="23" t="n">
        <v>0.375</v>
      </c>
      <c r="D89" s="24" t="n">
        <v>13523.849</v>
      </c>
      <c r="E89" s="24" t="n">
        <v>10910.522</v>
      </c>
      <c r="F89" s="24" t="n">
        <v>17624.752</v>
      </c>
      <c r="G89" s="22" t="n">
        <f aca="false">HOUR(C89)*60+MINUTE(C89)</f>
        <v>540</v>
      </c>
      <c r="H89" s="25" t="n">
        <f aca="false">IF(AND(B89=B88,A89=A88,D89&gt;0,N(D88)&gt;0,G89&gt;N(G88)),(D89-D88)/((G89-G88)/60),"")</f>
        <v>1.80799999999726</v>
      </c>
      <c r="I89" s="22" t="str">
        <f aca="false">IFERROR(INDEX(Medidores!$B:$B,MATCH(B89,Medidores!$A:$A,0)),"")</f>
        <v>L20</v>
      </c>
      <c r="J89" s="22" t="s">
        <v>53</v>
      </c>
    </row>
    <row r="90" customFormat="false" ht="15" hidden="false" customHeight="false" outlineLevel="0" collapsed="false">
      <c r="A90" s="21" t="n">
        <v>46302</v>
      </c>
      <c r="B90" s="22" t="s">
        <v>86</v>
      </c>
      <c r="C90" s="23" t="n">
        <v>0.385416666666667</v>
      </c>
      <c r="D90" s="24" t="n">
        <v>13524.398</v>
      </c>
      <c r="E90" s="24" t="n">
        <v>10910.886</v>
      </c>
      <c r="F90" s="24" t="n">
        <v>17625.412</v>
      </c>
      <c r="G90" s="22" t="n">
        <f aca="false">HOUR(C90)*60+MINUTE(C90)</f>
        <v>555</v>
      </c>
      <c r="H90" s="25" t="n">
        <f aca="false">IF(AND(B90=B89,A90=A89,D90&gt;0,N(D89)&gt;0,G90&gt;N(G89)),(D90-D89)/((G90-G89)/60),"")</f>
        <v>2.19599999999627</v>
      </c>
      <c r="I90" s="22" t="str">
        <f aca="false">IFERROR(INDEX(Medidores!$B:$B,MATCH(B90,Medidores!$A:$A,0)),"")</f>
        <v>L20</v>
      </c>
      <c r="J90" s="22" t="s">
        <v>54</v>
      </c>
    </row>
    <row r="91" customFormat="false" ht="15" hidden="false" customHeight="false" outlineLevel="0" collapsed="false">
      <c r="A91" s="21" t="n">
        <v>46302</v>
      </c>
      <c r="B91" s="22" t="s">
        <v>86</v>
      </c>
      <c r="C91" s="23" t="n">
        <v>0.395833333333333</v>
      </c>
      <c r="D91" s="24" t="n">
        <v>13524.923</v>
      </c>
      <c r="E91" s="24" t="n">
        <v>10911.224</v>
      </c>
      <c r="F91" s="24" t="n">
        <v>17626.039</v>
      </c>
      <c r="G91" s="22" t="n">
        <f aca="false">HOUR(C91)*60+MINUTE(C91)</f>
        <v>570</v>
      </c>
      <c r="H91" s="25" t="n">
        <f aca="false">IF(AND(B91=B90,A91=A90,D91&gt;0,N(D90)&gt;0,G91&gt;N(G90)),(D91-D90)/((G91-G90)/60),"")</f>
        <v>2.10000000000582</v>
      </c>
      <c r="I91" s="22" t="str">
        <f aca="false">IFERROR(INDEX(Medidores!$B:$B,MATCH(B91,Medidores!$A:$A,0)),"")</f>
        <v>L20</v>
      </c>
      <c r="J91" s="22" t="s">
        <v>55</v>
      </c>
    </row>
    <row r="92" customFormat="false" ht="15" hidden="false" customHeight="false" outlineLevel="0" collapsed="false">
      <c r="A92" s="21" t="n">
        <v>46302</v>
      </c>
      <c r="B92" s="22" t="s">
        <v>86</v>
      </c>
      <c r="C92" s="23" t="n">
        <v>0.40625</v>
      </c>
      <c r="D92" s="24" t="n">
        <v>13525.543</v>
      </c>
      <c r="E92" s="24" t="n">
        <v>10911.652</v>
      </c>
      <c r="F92" s="24" t="n">
        <v>17626.797</v>
      </c>
      <c r="G92" s="22" t="n">
        <f aca="false">HOUR(C92)*60+MINUTE(C92)</f>
        <v>585</v>
      </c>
      <c r="H92" s="25" t="n">
        <f aca="false">IF(AND(B92=B91,A92=A91,D92&gt;0,N(D91)&gt;0,G92&gt;N(G91)),(D92-D91)/((G92-G91)/60),"")</f>
        <v>2.47999999999593</v>
      </c>
      <c r="I92" s="22" t="str">
        <f aca="false">IFERROR(INDEX(Medidores!$B:$B,MATCH(B92,Medidores!$A:$A,0)),"")</f>
        <v>L20</v>
      </c>
      <c r="J92" s="22" t="s">
        <v>56</v>
      </c>
    </row>
    <row r="93" customFormat="false" ht="15" hidden="false" customHeight="false" outlineLevel="0" collapsed="false">
      <c r="A93" s="21" t="n">
        <v>46302</v>
      </c>
      <c r="B93" s="22" t="s">
        <v>86</v>
      </c>
      <c r="C93" s="23" t="n">
        <v>0.416666666666667</v>
      </c>
      <c r="D93" s="24" t="n">
        <v>13526.436</v>
      </c>
      <c r="E93" s="24" t="n">
        <v>10912.324</v>
      </c>
      <c r="F93" s="24" t="n">
        <v>17627.916</v>
      </c>
      <c r="G93" s="22" t="n">
        <f aca="false">HOUR(C93)*60+MINUTE(C93)</f>
        <v>600</v>
      </c>
      <c r="H93" s="25" t="n">
        <f aca="false">IF(AND(B93=B92,A93=A92,D93&gt;0,N(D92)&gt;0,G93&gt;N(G92)),(D93-D92)/((G93-G92)/60),"")</f>
        <v>3.57200000000012</v>
      </c>
      <c r="I93" s="22" t="str">
        <f aca="false">IFERROR(INDEX(Medidores!$B:$B,MATCH(B93,Medidores!$A:$A,0)),"")</f>
        <v>L20</v>
      </c>
      <c r="J93" s="22" t="s">
        <v>57</v>
      </c>
    </row>
    <row r="94" customFormat="false" ht="15" hidden="false" customHeight="false" outlineLevel="0" collapsed="false">
      <c r="A94" s="21" t="n">
        <v>46302</v>
      </c>
      <c r="B94" s="22" t="s">
        <v>86</v>
      </c>
      <c r="C94" s="23" t="n">
        <v>0.427083333333333</v>
      </c>
      <c r="D94" s="24" t="n">
        <v>13526.971</v>
      </c>
      <c r="E94" s="24" t="n">
        <v>10912.777</v>
      </c>
      <c r="F94" s="24" t="n">
        <v>17628.619</v>
      </c>
      <c r="G94" s="22" t="n">
        <f aca="false">HOUR(C94)*60+MINUTE(C94)</f>
        <v>615</v>
      </c>
      <c r="H94" s="25" t="n">
        <f aca="false">IF(AND(B94=B93,A94=A93,D94&gt;0,N(D93)&gt;0,G94&gt;N(G93)),(D94-D93)/((G94-G93)/60),"")</f>
        <v>2.13999999999942</v>
      </c>
      <c r="I94" s="22" t="str">
        <f aca="false">IFERROR(INDEX(Medidores!$B:$B,MATCH(B94,Medidores!$A:$A,0)),"")</f>
        <v>L20</v>
      </c>
      <c r="J94" s="22" t="s">
        <v>58</v>
      </c>
    </row>
    <row r="95" customFormat="false" ht="15" hidden="false" customHeight="false" outlineLevel="0" collapsed="false">
      <c r="A95" s="21" t="n">
        <v>46302</v>
      </c>
      <c r="B95" s="22" t="s">
        <v>86</v>
      </c>
      <c r="C95" s="23" t="n">
        <v>0.4375</v>
      </c>
      <c r="D95" s="24" t="n">
        <v>13527.443</v>
      </c>
      <c r="E95" s="24" t="n">
        <v>10913.228</v>
      </c>
      <c r="F95" s="24" t="n">
        <v>17629.275</v>
      </c>
      <c r="G95" s="22" t="n">
        <f aca="false">HOUR(C95)*60+MINUTE(C95)</f>
        <v>630</v>
      </c>
      <c r="H95" s="25" t="n">
        <f aca="false">IF(AND(B95=B94,A95=A94,D95&gt;0,N(D94)&gt;0,G95&gt;N(G94)),(D95-D94)/((G95-G94)/60),"")</f>
        <v>1.88799999999901</v>
      </c>
      <c r="I95" s="22" t="str">
        <f aca="false">IFERROR(INDEX(Medidores!$B:$B,MATCH(B95,Medidores!$A:$A,0)),"")</f>
        <v>L20</v>
      </c>
      <c r="J95" s="22" t="s">
        <v>59</v>
      </c>
    </row>
    <row r="96" customFormat="false" ht="15" hidden="false" customHeight="false" outlineLevel="0" collapsed="false">
      <c r="A96" s="21" t="n">
        <v>46302</v>
      </c>
      <c r="B96" s="22" t="s">
        <v>86</v>
      </c>
      <c r="C96" s="23" t="n">
        <v>0.447916666666667</v>
      </c>
      <c r="D96" s="24" t="n">
        <v>13527.81</v>
      </c>
      <c r="E96" s="24" t="n">
        <v>10913.622</v>
      </c>
      <c r="F96" s="24" t="n">
        <v>17629.816</v>
      </c>
      <c r="G96" s="22" t="n">
        <f aca="false">HOUR(C96)*60+MINUTE(C96)</f>
        <v>645</v>
      </c>
      <c r="H96" s="25" t="n">
        <f aca="false">IF(AND(B96=B95,A96=A95,D96&gt;0,N(D95)&gt;0,G96&gt;N(G95)),(D96-D95)/((G96-G95)/60),"")</f>
        <v>1.46800000000076</v>
      </c>
      <c r="I96" s="22" t="str">
        <f aca="false">IFERROR(INDEX(Medidores!$B:$B,MATCH(B96,Medidores!$A:$A,0)),"")</f>
        <v>L20</v>
      </c>
      <c r="J96" s="22" t="s">
        <v>60</v>
      </c>
    </row>
    <row r="97" customFormat="false" ht="15" hidden="false" customHeight="false" outlineLevel="0" collapsed="false">
      <c r="A97" s="21" t="n">
        <v>46302</v>
      </c>
      <c r="B97" s="22" t="s">
        <v>86</v>
      </c>
      <c r="C97" s="23" t="n">
        <v>0.458333333333333</v>
      </c>
      <c r="D97" s="24" t="n">
        <v>13528.364</v>
      </c>
      <c r="E97" s="24" t="n">
        <v>10914.108</v>
      </c>
      <c r="F97" s="24" t="n">
        <v>17630.559</v>
      </c>
      <c r="G97" s="22" t="n">
        <f aca="false">HOUR(C97)*60+MINUTE(C97)</f>
        <v>660</v>
      </c>
      <c r="H97" s="25" t="n">
        <f aca="false">IF(AND(B97=B96,A97=A96,D97&gt;0,N(D96)&gt;0,G97&gt;N(G96)),(D97-D96)/((G97-G96)/60),"")</f>
        <v>2.21600000000035</v>
      </c>
      <c r="I97" s="22" t="str">
        <f aca="false">IFERROR(INDEX(Medidores!$B:$B,MATCH(B97,Medidores!$A:$A,0)),"")</f>
        <v>L20</v>
      </c>
      <c r="J97" s="22" t="s">
        <v>61</v>
      </c>
    </row>
    <row r="98" customFormat="false" ht="15" hidden="false" customHeight="false" outlineLevel="0" collapsed="false">
      <c r="A98" s="21" t="n">
        <v>46302</v>
      </c>
      <c r="B98" s="22" t="s">
        <v>87</v>
      </c>
      <c r="C98" s="23" t="n">
        <v>0.260416666666667</v>
      </c>
      <c r="D98" s="24" t="n">
        <v>6593.832</v>
      </c>
      <c r="E98" s="24" t="n">
        <v>1750.864</v>
      </c>
      <c r="F98" s="24" t="n">
        <v>8186.162</v>
      </c>
      <c r="G98" s="22" t="n">
        <f aca="false">HOUR(C98)*60+MINUTE(C98)</f>
        <v>375</v>
      </c>
      <c r="H98" s="25" t="str">
        <f aca="false">IF(AND(B98=B97,A98=A97,D98&gt;0,N(D97)&gt;0,G98&gt;N(G97)),(D98-D97)/((G98-G97)/60),"")</f>
        <v/>
      </c>
      <c r="I98" s="22" t="str">
        <f aca="false">IFERROR(INDEX(Medidores!$B:$B,MATCH(B98,Medidores!$A:$A,0)),"")</f>
        <v>L16</v>
      </c>
      <c r="J98" s="22" t="s">
        <v>42</v>
      </c>
    </row>
    <row r="99" customFormat="false" ht="15" hidden="false" customHeight="false" outlineLevel="0" collapsed="false">
      <c r="A99" s="21" t="n">
        <v>46302</v>
      </c>
      <c r="B99" s="22" t="s">
        <v>87</v>
      </c>
      <c r="C99" s="23" t="n">
        <v>0.270833333333333</v>
      </c>
      <c r="D99" s="24" t="n">
        <v>6593.861</v>
      </c>
      <c r="E99" s="24" t="n">
        <v>1750.864</v>
      </c>
      <c r="F99" s="24" t="n">
        <v>8186.26</v>
      </c>
      <c r="G99" s="22" t="n">
        <f aca="false">HOUR(C99)*60+MINUTE(C99)</f>
        <v>390</v>
      </c>
      <c r="H99" s="25" t="n">
        <f aca="false">IF(AND(B99=B98,A99=A98,D99&gt;0,N(D98)&gt;0,G99&gt;N(G98)),(D99-D98)/((G99-G98)/60),"")</f>
        <v>0.115999999998166</v>
      </c>
      <c r="I99" s="22" t="str">
        <f aca="false">IFERROR(INDEX(Medidores!$B:$B,MATCH(B99,Medidores!$A:$A,0)),"")</f>
        <v>L16</v>
      </c>
      <c r="J99" s="22" t="s">
        <v>43</v>
      </c>
    </row>
    <row r="100" customFormat="false" ht="15" hidden="false" customHeight="false" outlineLevel="0" collapsed="false">
      <c r="A100" s="21" t="n">
        <v>46302</v>
      </c>
      <c r="B100" s="22" t="s">
        <v>87</v>
      </c>
      <c r="C100" s="23" t="n">
        <v>0.28125</v>
      </c>
      <c r="D100" s="24" t="n">
        <v>6593.891</v>
      </c>
      <c r="E100" s="24" t="n">
        <v>1750.864</v>
      </c>
      <c r="F100" s="24" t="n">
        <v>8186.359</v>
      </c>
      <c r="G100" s="22" t="n">
        <f aca="false">HOUR(C100)*60+MINUTE(C100)</f>
        <v>405</v>
      </c>
      <c r="H100" s="25" t="n">
        <f aca="false">IF(AND(B100=B99,A100=A99,D100&gt;0,N(D99)&gt;0,G100&gt;N(G99)),(D100-D99)/((G100-G99)/60),"")</f>
        <v>0.119999999998981</v>
      </c>
      <c r="I100" s="22" t="str">
        <f aca="false">IFERROR(INDEX(Medidores!$B:$B,MATCH(B100,Medidores!$A:$A,0)),"")</f>
        <v>L16</v>
      </c>
      <c r="J100" s="22" t="s">
        <v>44</v>
      </c>
    </row>
    <row r="101" customFormat="false" ht="15" hidden="false" customHeight="false" outlineLevel="0" collapsed="false">
      <c r="A101" s="21" t="n">
        <v>46302</v>
      </c>
      <c r="B101" s="22" t="s">
        <v>87</v>
      </c>
      <c r="C101" s="23" t="n">
        <v>0.291666666666667</v>
      </c>
      <c r="D101" s="24" t="n">
        <v>6593.92</v>
      </c>
      <c r="E101" s="24" t="n">
        <v>1750.864</v>
      </c>
      <c r="F101" s="24" t="n">
        <v>8186.458</v>
      </c>
      <c r="G101" s="22" t="n">
        <f aca="false">HOUR(C101)*60+MINUTE(C101)</f>
        <v>420</v>
      </c>
      <c r="H101" s="25" t="n">
        <f aca="false">IF(AND(B101=B100,A101=A100,D101&gt;0,N(D100)&gt;0,G101&gt;N(G100)),(D101-D100)/((G101-G100)/60),"")</f>
        <v>0.116000000001804</v>
      </c>
      <c r="I101" s="22" t="str">
        <f aca="false">IFERROR(INDEX(Medidores!$B:$B,MATCH(B101,Medidores!$A:$A,0)),"")</f>
        <v>L16</v>
      </c>
      <c r="J101" s="22" t="s">
        <v>45</v>
      </c>
    </row>
    <row r="102" customFormat="false" ht="15" hidden="false" customHeight="false" outlineLevel="0" collapsed="false">
      <c r="A102" s="21" t="n">
        <v>46302</v>
      </c>
      <c r="B102" s="22" t="s">
        <v>87</v>
      </c>
      <c r="C102" s="23" t="n">
        <v>0.302083333333333</v>
      </c>
      <c r="D102" s="24" t="n">
        <v>6593.95</v>
      </c>
      <c r="E102" s="24" t="n">
        <v>1750.864</v>
      </c>
      <c r="F102" s="24" t="n">
        <v>8186.557</v>
      </c>
      <c r="G102" s="22" t="n">
        <f aca="false">HOUR(C102)*60+MINUTE(C102)</f>
        <v>435</v>
      </c>
      <c r="H102" s="25" t="n">
        <f aca="false">IF(AND(B102=B101,A102=A101,D102&gt;0,N(D101)&gt;0,G102&gt;N(G101)),(D102-D101)/((G102-G101)/60),"")</f>
        <v>0.119999999998981</v>
      </c>
      <c r="I102" s="22" t="str">
        <f aca="false">IFERROR(INDEX(Medidores!$B:$B,MATCH(B102,Medidores!$A:$A,0)),"")</f>
        <v>L16</v>
      </c>
      <c r="J102" s="22" t="s">
        <v>46</v>
      </c>
    </row>
    <row r="103" customFormat="false" ht="15" hidden="false" customHeight="false" outlineLevel="0" collapsed="false">
      <c r="A103" s="21" t="n">
        <v>46302</v>
      </c>
      <c r="B103" s="22" t="s">
        <v>87</v>
      </c>
      <c r="C103" s="23" t="n">
        <v>0.3125</v>
      </c>
      <c r="D103" s="24" t="n">
        <v>6593.979</v>
      </c>
      <c r="E103" s="24" t="n">
        <v>1750.864</v>
      </c>
      <c r="F103" s="24" t="n">
        <v>8186.655</v>
      </c>
      <c r="G103" s="22" t="n">
        <f aca="false">HOUR(C103)*60+MINUTE(C103)</f>
        <v>450</v>
      </c>
      <c r="H103" s="25" t="n">
        <f aca="false">IF(AND(B103=B102,A103=A102,D103&gt;0,N(D102)&gt;0,G103&gt;N(G102)),(D103-D102)/((G103-G102)/60),"")</f>
        <v>0.116000000001804</v>
      </c>
      <c r="I103" s="22" t="str">
        <f aca="false">IFERROR(INDEX(Medidores!$B:$B,MATCH(B103,Medidores!$A:$A,0)),"")</f>
        <v>L16</v>
      </c>
      <c r="J103" s="22" t="s">
        <v>47</v>
      </c>
    </row>
    <row r="104" customFormat="false" ht="15" hidden="false" customHeight="false" outlineLevel="0" collapsed="false">
      <c r="A104" s="21" t="n">
        <v>46302</v>
      </c>
      <c r="B104" s="22" t="s">
        <v>87</v>
      </c>
      <c r="C104" s="23" t="n">
        <v>0.322916666666667</v>
      </c>
      <c r="D104" s="24" t="n">
        <v>6594.008</v>
      </c>
      <c r="E104" s="24" t="n">
        <v>1750.864</v>
      </c>
      <c r="F104" s="24" t="n">
        <v>8186.754</v>
      </c>
      <c r="G104" s="22" t="n">
        <f aca="false">HOUR(C104)*60+MINUTE(C104)</f>
        <v>465</v>
      </c>
      <c r="H104" s="25" t="n">
        <f aca="false">IF(AND(B104=B103,A104=A103,D104&gt;0,N(D103)&gt;0,G104&gt;N(G103)),(D104-D103)/((G104-G103)/60),"")</f>
        <v>0.115999999998166</v>
      </c>
      <c r="I104" s="22" t="str">
        <f aca="false">IFERROR(INDEX(Medidores!$B:$B,MATCH(B104,Medidores!$A:$A,0)),"")</f>
        <v>L16</v>
      </c>
      <c r="J104" s="22" t="s">
        <v>48</v>
      </c>
    </row>
    <row r="105" customFormat="false" ht="15" hidden="false" customHeight="false" outlineLevel="0" collapsed="false">
      <c r="A105" s="21" t="n">
        <v>46302</v>
      </c>
      <c r="B105" s="22" t="s">
        <v>87</v>
      </c>
      <c r="C105" s="23" t="n">
        <v>0.333333333333333</v>
      </c>
      <c r="D105" s="24" t="n">
        <v>6594.038</v>
      </c>
      <c r="E105" s="24" t="n">
        <v>1750.864</v>
      </c>
      <c r="F105" s="24" t="n">
        <v>8186.853</v>
      </c>
      <c r="G105" s="22" t="n">
        <f aca="false">HOUR(C105)*60+MINUTE(C105)</f>
        <v>480</v>
      </c>
      <c r="H105" s="25" t="n">
        <f aca="false">IF(AND(B105=B104,A105=A104,D105&gt;0,N(D104)&gt;0,G105&gt;N(G104)),(D105-D104)/((G105-G104)/60),"")</f>
        <v>0.119999999998981</v>
      </c>
      <c r="I105" s="22" t="str">
        <f aca="false">IFERROR(INDEX(Medidores!$B:$B,MATCH(B105,Medidores!$A:$A,0)),"")</f>
        <v>L16</v>
      </c>
      <c r="J105" s="22" t="s">
        <v>49</v>
      </c>
    </row>
    <row r="106" customFormat="false" ht="15" hidden="false" customHeight="false" outlineLevel="0" collapsed="false">
      <c r="A106" s="21" t="n">
        <v>46302</v>
      </c>
      <c r="B106" s="22" t="s">
        <v>87</v>
      </c>
      <c r="C106" s="23" t="n">
        <v>0.34375</v>
      </c>
      <c r="D106" s="24" t="n">
        <v>6594.067</v>
      </c>
      <c r="E106" s="24" t="n">
        <v>1750.864</v>
      </c>
      <c r="F106" s="24" t="n">
        <v>8186.951</v>
      </c>
      <c r="G106" s="22" t="n">
        <f aca="false">HOUR(C106)*60+MINUTE(C106)</f>
        <v>495</v>
      </c>
      <c r="H106" s="25" t="n">
        <f aca="false">IF(AND(B106=B105,A106=A105,D106&gt;0,N(D105)&gt;0,G106&gt;N(G105)),(D106-D105)/((G106-G105)/60),"")</f>
        <v>0.116000000001804</v>
      </c>
      <c r="I106" s="22" t="str">
        <f aca="false">IFERROR(INDEX(Medidores!$B:$B,MATCH(B106,Medidores!$A:$A,0)),"")</f>
        <v>L16</v>
      </c>
      <c r="J106" s="22" t="s">
        <v>50</v>
      </c>
    </row>
    <row r="107" customFormat="false" ht="15" hidden="false" customHeight="false" outlineLevel="0" collapsed="false">
      <c r="A107" s="21" t="n">
        <v>46302</v>
      </c>
      <c r="B107" s="22" t="s">
        <v>87</v>
      </c>
      <c r="C107" s="23" t="n">
        <v>0.354166666666667</v>
      </c>
      <c r="D107" s="24" t="n">
        <v>6594.097</v>
      </c>
      <c r="E107" s="24" t="n">
        <v>1750.864</v>
      </c>
      <c r="F107" s="24" t="n">
        <v>8187.05</v>
      </c>
      <c r="G107" s="22" t="n">
        <f aca="false">HOUR(C107)*60+MINUTE(C107)</f>
        <v>510</v>
      </c>
      <c r="H107" s="25" t="n">
        <f aca="false">IF(AND(B107=B106,A107=A106,D107&gt;0,N(D106)&gt;0,G107&gt;N(G106)),(D107-D106)/((G107-G106)/60),"")</f>
        <v>0.119999999998981</v>
      </c>
      <c r="I107" s="22" t="str">
        <f aca="false">IFERROR(INDEX(Medidores!$B:$B,MATCH(B107,Medidores!$A:$A,0)),"")</f>
        <v>L16</v>
      </c>
      <c r="J107" s="22" t="s">
        <v>51</v>
      </c>
    </row>
    <row r="108" customFormat="false" ht="15" hidden="false" customHeight="false" outlineLevel="0" collapsed="false">
      <c r="A108" s="21" t="n">
        <v>46302</v>
      </c>
      <c r="B108" s="22" t="s">
        <v>87</v>
      </c>
      <c r="C108" s="23" t="n">
        <v>0.364583333333333</v>
      </c>
      <c r="D108" s="24" t="n">
        <v>6594.126</v>
      </c>
      <c r="E108" s="24" t="n">
        <v>1750.864</v>
      </c>
      <c r="F108" s="24" t="n">
        <v>8187.149</v>
      </c>
      <c r="G108" s="22" t="n">
        <f aca="false">HOUR(C108)*60+MINUTE(C108)</f>
        <v>525</v>
      </c>
      <c r="H108" s="25" t="n">
        <f aca="false">IF(AND(B108=B107,A108=A107,D108&gt;0,N(D107)&gt;0,G108&gt;N(G107)),(D108-D107)/((G108-G107)/60),"")</f>
        <v>0.116000000001804</v>
      </c>
      <c r="I108" s="22" t="str">
        <f aca="false">IFERROR(INDEX(Medidores!$B:$B,MATCH(B108,Medidores!$A:$A,0)),"")</f>
        <v>L16</v>
      </c>
      <c r="J108" s="22" t="s">
        <v>52</v>
      </c>
    </row>
    <row r="109" customFormat="false" ht="15" hidden="false" customHeight="false" outlineLevel="0" collapsed="false">
      <c r="A109" s="21" t="n">
        <v>46302</v>
      </c>
      <c r="B109" s="22" t="s">
        <v>87</v>
      </c>
      <c r="C109" s="23" t="n">
        <v>0.375</v>
      </c>
      <c r="D109" s="24" t="n">
        <v>6594.156</v>
      </c>
      <c r="E109" s="24" t="n">
        <v>1750.864</v>
      </c>
      <c r="F109" s="24" t="n">
        <v>8187.248</v>
      </c>
      <c r="G109" s="22" t="n">
        <f aca="false">HOUR(C109)*60+MINUTE(C109)</f>
        <v>540</v>
      </c>
      <c r="H109" s="25" t="n">
        <f aca="false">IF(AND(B109=B108,A109=A108,D109&gt;0,N(D108)&gt;0,G109&gt;N(G108)),(D109-D108)/((G109-G108)/60),"")</f>
        <v>0.119999999998981</v>
      </c>
      <c r="I109" s="22" t="str">
        <f aca="false">IFERROR(INDEX(Medidores!$B:$B,MATCH(B109,Medidores!$A:$A,0)),"")</f>
        <v>L16</v>
      </c>
      <c r="J109" s="22" t="s">
        <v>53</v>
      </c>
    </row>
    <row r="110" customFormat="false" ht="15" hidden="false" customHeight="false" outlineLevel="0" collapsed="false">
      <c r="A110" s="21" t="n">
        <v>46302</v>
      </c>
      <c r="B110" s="22" t="s">
        <v>87</v>
      </c>
      <c r="C110" s="23" t="n">
        <v>0.385416666666667</v>
      </c>
      <c r="D110" s="24" t="n">
        <v>6594.186</v>
      </c>
      <c r="E110" s="24" t="n">
        <v>1750.864</v>
      </c>
      <c r="F110" s="24" t="n">
        <v>8187.346</v>
      </c>
      <c r="G110" s="22" t="n">
        <f aca="false">HOUR(C110)*60+MINUTE(C110)</f>
        <v>555</v>
      </c>
      <c r="H110" s="25" t="n">
        <f aca="false">IF(AND(B110=B109,A110=A109,D110&gt;0,N(D109)&gt;0,G110&gt;N(G109)),(D110-D109)/((G110-G109)/60),"")</f>
        <v>0.119999999998981</v>
      </c>
      <c r="I110" s="22" t="str">
        <f aca="false">IFERROR(INDEX(Medidores!$B:$B,MATCH(B110,Medidores!$A:$A,0)),"")</f>
        <v>L16</v>
      </c>
      <c r="J110" s="22" t="s">
        <v>54</v>
      </c>
    </row>
    <row r="111" customFormat="false" ht="15" hidden="false" customHeight="false" outlineLevel="0" collapsed="false">
      <c r="A111" s="21" t="n">
        <v>46302</v>
      </c>
      <c r="B111" s="22" t="s">
        <v>87</v>
      </c>
      <c r="C111" s="23" t="n">
        <v>0.395833333333333</v>
      </c>
      <c r="D111" s="24" t="n">
        <v>6594.215</v>
      </c>
      <c r="E111" s="24" t="n">
        <v>1750.864</v>
      </c>
      <c r="F111" s="24" t="n">
        <v>8187.445</v>
      </c>
      <c r="G111" s="22" t="n">
        <f aca="false">HOUR(C111)*60+MINUTE(C111)</f>
        <v>570</v>
      </c>
      <c r="H111" s="25" t="n">
        <f aca="false">IF(AND(B111=B110,A111=A110,D111&gt;0,N(D110)&gt;0,G111&gt;N(G110)),(D111-D110)/((G111-G110)/60),"")</f>
        <v>0.116000000001804</v>
      </c>
      <c r="I111" s="22" t="str">
        <f aca="false">IFERROR(INDEX(Medidores!$B:$B,MATCH(B111,Medidores!$A:$A,0)),"")</f>
        <v>L16</v>
      </c>
      <c r="J111" s="22" t="s">
        <v>55</v>
      </c>
    </row>
    <row r="112" customFormat="false" ht="15" hidden="false" customHeight="false" outlineLevel="0" collapsed="false">
      <c r="A112" s="21" t="n">
        <v>46302</v>
      </c>
      <c r="B112" s="22" t="s">
        <v>87</v>
      </c>
      <c r="C112" s="23" t="n">
        <v>0.40625</v>
      </c>
      <c r="D112" s="24" t="n">
        <v>6594.245</v>
      </c>
      <c r="E112" s="24" t="n">
        <v>1750.864</v>
      </c>
      <c r="F112" s="24" t="n">
        <v>8187.543</v>
      </c>
      <c r="G112" s="22" t="n">
        <f aca="false">HOUR(C112)*60+MINUTE(C112)</f>
        <v>585</v>
      </c>
      <c r="H112" s="25" t="n">
        <f aca="false">IF(AND(B112=B111,A112=A111,D112&gt;0,N(D111)&gt;0,G112&gt;N(G111)),(D112-D111)/((G112-G111)/60),"")</f>
        <v>0.119999999998981</v>
      </c>
      <c r="I112" s="22" t="str">
        <f aca="false">IFERROR(INDEX(Medidores!$B:$B,MATCH(B112,Medidores!$A:$A,0)),"")</f>
        <v>L16</v>
      </c>
      <c r="J112" s="22" t="s">
        <v>56</v>
      </c>
    </row>
    <row r="113" customFormat="false" ht="15" hidden="false" customHeight="false" outlineLevel="0" collapsed="false">
      <c r="A113" s="21" t="n">
        <v>46302</v>
      </c>
      <c r="B113" s="22" t="s">
        <v>87</v>
      </c>
      <c r="C113" s="23" t="n">
        <v>0.416666666666667</v>
      </c>
      <c r="D113" s="24" t="n">
        <v>6594.274</v>
      </c>
      <c r="E113" s="24" t="n">
        <v>1750.864</v>
      </c>
      <c r="F113" s="24" t="n">
        <v>8187.642</v>
      </c>
      <c r="G113" s="22" t="n">
        <f aca="false">HOUR(C113)*60+MINUTE(C113)</f>
        <v>600</v>
      </c>
      <c r="H113" s="25" t="n">
        <f aca="false">IF(AND(B113=B112,A113=A112,D113&gt;0,N(D112)&gt;0,G113&gt;N(G112)),(D113-D112)/((G113-G112)/60),"")</f>
        <v>0.116000000001804</v>
      </c>
      <c r="I113" s="22" t="str">
        <f aca="false">IFERROR(INDEX(Medidores!$B:$B,MATCH(B113,Medidores!$A:$A,0)),"")</f>
        <v>L16</v>
      </c>
      <c r="J113" s="22" t="s">
        <v>57</v>
      </c>
    </row>
    <row r="114" customFormat="false" ht="15" hidden="false" customHeight="false" outlineLevel="0" collapsed="false">
      <c r="A114" s="21" t="n">
        <v>46302</v>
      </c>
      <c r="B114" s="22" t="s">
        <v>87</v>
      </c>
      <c r="C114" s="23" t="n">
        <v>0.427083333333333</v>
      </c>
      <c r="D114" s="24" t="n">
        <v>6594.304</v>
      </c>
      <c r="E114" s="24" t="n">
        <v>1750.864</v>
      </c>
      <c r="F114" s="24" t="n">
        <v>8187.74</v>
      </c>
      <c r="G114" s="22" t="n">
        <f aca="false">HOUR(C114)*60+MINUTE(C114)</f>
        <v>615</v>
      </c>
      <c r="H114" s="25" t="n">
        <f aca="false">IF(AND(B114=B113,A114=A113,D114&gt;0,N(D113)&gt;0,G114&gt;N(G113)),(D114-D113)/((G114-G113)/60),"")</f>
        <v>0.119999999998981</v>
      </c>
      <c r="I114" s="22" t="str">
        <f aca="false">IFERROR(INDEX(Medidores!$B:$B,MATCH(B114,Medidores!$A:$A,0)),"")</f>
        <v>L16</v>
      </c>
      <c r="J114" s="22" t="s">
        <v>58</v>
      </c>
    </row>
    <row r="115" customFormat="false" ht="15" hidden="false" customHeight="false" outlineLevel="0" collapsed="false">
      <c r="A115" s="21" t="n">
        <v>46302</v>
      </c>
      <c r="B115" s="22" t="s">
        <v>87</v>
      </c>
      <c r="C115" s="23" t="n">
        <v>0.4375</v>
      </c>
      <c r="D115" s="24" t="n">
        <v>6594.334</v>
      </c>
      <c r="E115" s="24" t="n">
        <v>1750.864</v>
      </c>
      <c r="F115" s="24" t="n">
        <v>8187.837</v>
      </c>
      <c r="G115" s="22" t="n">
        <f aca="false">HOUR(C115)*60+MINUTE(C115)</f>
        <v>630</v>
      </c>
      <c r="H115" s="25" t="n">
        <f aca="false">IF(AND(B115=B114,A115=A114,D115&gt;0,N(D114)&gt;0,G115&gt;N(G114)),(D115-D114)/((G115-G114)/60),"")</f>
        <v>0.119999999998981</v>
      </c>
      <c r="I115" s="22" t="str">
        <f aca="false">IFERROR(INDEX(Medidores!$B:$B,MATCH(B115,Medidores!$A:$A,0)),"")</f>
        <v>L16</v>
      </c>
      <c r="J115" s="22" t="s">
        <v>59</v>
      </c>
    </row>
    <row r="116" customFormat="false" ht="15" hidden="false" customHeight="false" outlineLevel="0" collapsed="false">
      <c r="A116" s="21" t="n">
        <v>46302</v>
      </c>
      <c r="B116" s="22" t="s">
        <v>87</v>
      </c>
      <c r="C116" s="23" t="n">
        <v>0.447916666666667</v>
      </c>
      <c r="D116" s="24" t="n">
        <v>6594.363</v>
      </c>
      <c r="E116" s="24" t="n">
        <v>1750.864</v>
      </c>
      <c r="F116" s="24" t="n">
        <v>8187.935</v>
      </c>
      <c r="G116" s="22" t="n">
        <f aca="false">HOUR(C116)*60+MINUTE(C116)</f>
        <v>645</v>
      </c>
      <c r="H116" s="25" t="n">
        <f aca="false">IF(AND(B116=B115,A116=A115,D116&gt;0,N(D115)&gt;0,G116&gt;N(G115)),(D116-D115)/((G116-G115)/60),"")</f>
        <v>0.116000000001804</v>
      </c>
      <c r="I116" s="22" t="str">
        <f aca="false">IFERROR(INDEX(Medidores!$B:$B,MATCH(B116,Medidores!$A:$A,0)),"")</f>
        <v>L16</v>
      </c>
      <c r="J116" s="22" t="s">
        <v>60</v>
      </c>
    </row>
    <row r="117" customFormat="false" ht="15" hidden="false" customHeight="false" outlineLevel="0" collapsed="false">
      <c r="A117" s="21" t="n">
        <v>46302</v>
      </c>
      <c r="B117" s="22" t="s">
        <v>87</v>
      </c>
      <c r="C117" s="23" t="n">
        <v>0.458333333333333</v>
      </c>
      <c r="D117" s="24" t="n">
        <v>6594.392</v>
      </c>
      <c r="E117" s="24" t="n">
        <v>1750.864</v>
      </c>
      <c r="F117" s="24" t="n">
        <v>8188.033</v>
      </c>
      <c r="G117" s="22" t="n">
        <f aca="false">HOUR(C117)*60+MINUTE(C117)</f>
        <v>660</v>
      </c>
      <c r="H117" s="25" t="n">
        <f aca="false">IF(AND(B117=B116,A117=A116,D117&gt;0,N(D116)&gt;0,G117&gt;N(G116)),(D117-D116)/((G117-G116)/60),"")</f>
        <v>0.115999999998166</v>
      </c>
      <c r="I117" s="22" t="str">
        <f aca="false">IFERROR(INDEX(Medidores!$B:$B,MATCH(B117,Medidores!$A:$A,0)),"")</f>
        <v>L16</v>
      </c>
      <c r="J117" s="22" t="s">
        <v>61</v>
      </c>
    </row>
    <row r="118" customFormat="false" ht="15" hidden="false" customHeight="false" outlineLevel="0" collapsed="false">
      <c r="A118" s="21" t="n">
        <v>46302</v>
      </c>
      <c r="B118" s="22" t="s">
        <v>88</v>
      </c>
      <c r="C118" s="23" t="n">
        <v>0.322916666666667</v>
      </c>
      <c r="D118" s="24" t="n">
        <v>0</v>
      </c>
      <c r="E118" s="24" t="n">
        <v>0</v>
      </c>
      <c r="F118" s="24" t="n">
        <v>0</v>
      </c>
      <c r="G118" s="22" t="n">
        <f aca="false">HOUR(C118)*60+MINUTE(C118)</f>
        <v>465</v>
      </c>
      <c r="H118" s="25" t="str">
        <f aca="false">IF(AND(B118=B117,A118=A117,D118&gt;0,N(D117)&gt;0,G118&gt;N(G117)),(D118-D117)/((G118-G117)/60),"")</f>
        <v/>
      </c>
      <c r="I118" s="22" t="str">
        <f aca="false">IFERROR(INDEX(Medidores!$B:$B,MATCH(B118,Medidores!$A:$A,0)),"")</f>
        <v>Estación planta</v>
      </c>
      <c r="J118" s="22" t="s">
        <v>48</v>
      </c>
    </row>
    <row r="119" customFormat="false" ht="15" hidden="false" customHeight="false" outlineLevel="0" collapsed="false">
      <c r="A119" s="21" t="n">
        <v>46302</v>
      </c>
      <c r="B119" s="22" t="s">
        <v>88</v>
      </c>
      <c r="C119" s="23" t="n">
        <v>0.333333333333333</v>
      </c>
      <c r="D119" s="24" t="n">
        <v>106805.727</v>
      </c>
      <c r="E119" s="24" t="n">
        <v>22789.602</v>
      </c>
      <c r="F119" s="24" t="n">
        <v>109763.266</v>
      </c>
      <c r="G119" s="22" t="n">
        <f aca="false">HOUR(C119)*60+MINUTE(C119)</f>
        <v>480</v>
      </c>
      <c r="H119" s="25" t="str">
        <f aca="false">IF(AND(B119=B118,A119=A118,D119&gt;0,N(D118)&gt;0,G119&gt;N(G118)),(D119-D118)/((G119-G118)/60),"")</f>
        <v/>
      </c>
      <c r="I119" s="22" t="str">
        <f aca="false">IFERROR(INDEX(Medidores!$B:$B,MATCH(B119,Medidores!$A:$A,0)),"")</f>
        <v>Estación planta</v>
      </c>
      <c r="J119" s="22" t="s">
        <v>49</v>
      </c>
    </row>
    <row r="120" customFormat="false" ht="15" hidden="false" customHeight="false" outlineLevel="0" collapsed="false">
      <c r="A120" s="21" t="n">
        <v>46302</v>
      </c>
      <c r="B120" s="22" t="s">
        <v>88</v>
      </c>
      <c r="C120" s="23" t="n">
        <v>0.34375</v>
      </c>
      <c r="D120" s="24" t="n">
        <v>106812.055</v>
      </c>
      <c r="E120" s="24" t="n">
        <v>22789.846</v>
      </c>
      <c r="F120" s="24" t="n">
        <v>109769.602</v>
      </c>
      <c r="G120" s="22" t="n">
        <f aca="false">HOUR(C120)*60+MINUTE(C120)</f>
        <v>495</v>
      </c>
      <c r="H120" s="25" t="n">
        <f aca="false">IF(AND(B120=B119,A120=A119,D120&gt;0,N(D119)&gt;0,G120&gt;N(G119)),(D120-D119)/((G120-G119)/60),"")</f>
        <v>25.3119999999763</v>
      </c>
      <c r="I120" s="22" t="str">
        <f aca="false">IFERROR(INDEX(Medidores!$B:$B,MATCH(B120,Medidores!$A:$A,0)),"")</f>
        <v>Estación planta</v>
      </c>
      <c r="J120" s="22" t="s">
        <v>50</v>
      </c>
    </row>
    <row r="121" customFormat="false" ht="15" hidden="false" customHeight="false" outlineLevel="0" collapsed="false">
      <c r="A121" s="21" t="n">
        <v>46302</v>
      </c>
      <c r="B121" s="22" t="s">
        <v>88</v>
      </c>
      <c r="C121" s="23" t="n">
        <v>0.354166666666667</v>
      </c>
      <c r="D121" s="24" t="n">
        <v>106818.852</v>
      </c>
      <c r="E121" s="24" t="n">
        <v>22790.152</v>
      </c>
      <c r="F121" s="24" t="n">
        <v>109776.398</v>
      </c>
      <c r="G121" s="22" t="n">
        <f aca="false">HOUR(C121)*60+MINUTE(C121)</f>
        <v>510</v>
      </c>
      <c r="H121" s="25" t="n">
        <f aca="false">IF(AND(B121=B120,A121=A120,D121&gt;0,N(D120)&gt;0,G121&gt;N(G120)),(D121-D120)/((G121-G120)/60),"")</f>
        <v>27.1880000000238</v>
      </c>
      <c r="I121" s="22" t="str">
        <f aca="false">IFERROR(INDEX(Medidores!$B:$B,MATCH(B121,Medidores!$A:$A,0)),"")</f>
        <v>Estación planta</v>
      </c>
      <c r="J121" s="22" t="s">
        <v>51</v>
      </c>
    </row>
    <row r="122" customFormat="false" ht="15" hidden="false" customHeight="false" outlineLevel="0" collapsed="false">
      <c r="A122" s="21" t="n">
        <v>46302</v>
      </c>
      <c r="B122" s="22" t="s">
        <v>89</v>
      </c>
      <c r="C122" s="23" t="n">
        <v>0.270833333333333</v>
      </c>
      <c r="D122" s="24" t="n">
        <v>265368.781</v>
      </c>
      <c r="E122" s="24" t="n">
        <v>109231.531</v>
      </c>
      <c r="F122" s="24"/>
      <c r="G122" s="22" t="n">
        <f aca="false">HOUR(C122)*60+MINUTE(C122)</f>
        <v>390</v>
      </c>
      <c r="H122" s="25" t="str">
        <f aca="false">IF(AND(B122=B121,A122=A121,D122&gt;0,N(D121)&gt;0,G122&gt;N(G121)),(D122-D121)/((G122-G121)/60),"")</f>
        <v/>
      </c>
      <c r="I122" s="22" t="str">
        <f aca="false">IFERROR(INDEX(Medidores!$B:$B,MATCH(B122,Medidores!$A:$A,0)),"")</f>
        <v>Estación celda 3</v>
      </c>
      <c r="J122" s="22" t="s">
        <v>43</v>
      </c>
    </row>
    <row r="123" customFormat="false" ht="15" hidden="false" customHeight="false" outlineLevel="0" collapsed="false">
      <c r="A123" s="21" t="n">
        <v>46302</v>
      </c>
      <c r="B123" s="22" t="s">
        <v>89</v>
      </c>
      <c r="C123" s="23" t="n">
        <v>0.28125</v>
      </c>
      <c r="D123" s="24" t="n">
        <v>265380.438</v>
      </c>
      <c r="E123" s="24" t="n">
        <v>109235.914</v>
      </c>
      <c r="F123" s="24"/>
      <c r="G123" s="22" t="n">
        <f aca="false">HOUR(C123)*60+MINUTE(C123)</f>
        <v>405</v>
      </c>
      <c r="H123" s="25" t="n">
        <f aca="false">IF(AND(B123=B122,A123=A122,D123&gt;0,N(D122)&gt;0,G123&gt;N(G122)),(D123-D122)/((G123-G122)/60),"")</f>
        <v>46.6280000000261</v>
      </c>
      <c r="I123" s="22" t="str">
        <f aca="false">IFERROR(INDEX(Medidores!$B:$B,MATCH(B123,Medidores!$A:$A,0)),"")</f>
        <v>Estación celda 3</v>
      </c>
      <c r="J123" s="22" t="s">
        <v>44</v>
      </c>
    </row>
    <row r="124" customFormat="false" ht="15" hidden="false" customHeight="false" outlineLevel="0" collapsed="false">
      <c r="A124" s="21" t="n">
        <v>46302</v>
      </c>
      <c r="B124" s="22" t="s">
        <v>89</v>
      </c>
      <c r="C124" s="23" t="n">
        <v>0.291666666666667</v>
      </c>
      <c r="D124" s="24" t="n">
        <v>265388.25</v>
      </c>
      <c r="E124" s="24" t="n">
        <v>109238.117</v>
      </c>
      <c r="F124" s="24"/>
      <c r="G124" s="22" t="n">
        <f aca="false">HOUR(C124)*60+MINUTE(C124)</f>
        <v>420</v>
      </c>
      <c r="H124" s="25" t="n">
        <f aca="false">IF(AND(B124=B123,A124=A123,D124&gt;0,N(D123)&gt;0,G124&gt;N(G123)),(D124-D123)/((G124-G123)/60),"")</f>
        <v>31.247999999905</v>
      </c>
      <c r="I124" s="22" t="str">
        <f aca="false">IFERROR(INDEX(Medidores!$B:$B,MATCH(B124,Medidores!$A:$A,0)),"")</f>
        <v>Estación celda 3</v>
      </c>
      <c r="J124" s="22" t="s">
        <v>45</v>
      </c>
    </row>
    <row r="125" customFormat="false" ht="15" hidden="false" customHeight="false" outlineLevel="0" collapsed="false">
      <c r="A125" s="21" t="n">
        <v>46302</v>
      </c>
      <c r="B125" s="22" t="s">
        <v>89</v>
      </c>
      <c r="C125" s="23" t="n">
        <v>0.302083333333333</v>
      </c>
      <c r="D125" s="24" t="n">
        <v>265398.281</v>
      </c>
      <c r="E125" s="24" t="n">
        <v>109242.859</v>
      </c>
      <c r="F125" s="24"/>
      <c r="G125" s="22" t="n">
        <f aca="false">HOUR(C125)*60+MINUTE(C125)</f>
        <v>435</v>
      </c>
      <c r="H125" s="25" t="n">
        <f aca="false">IF(AND(B125=B124,A125=A124,D125&gt;0,N(D124)&gt;0,G125&gt;N(G124)),(D125-D124)/((G125-G124)/60),"")</f>
        <v>40.1240000000689</v>
      </c>
      <c r="I125" s="22" t="str">
        <f aca="false">IFERROR(INDEX(Medidores!$B:$B,MATCH(B125,Medidores!$A:$A,0)),"")</f>
        <v>Estación celda 3</v>
      </c>
      <c r="J125" s="22" t="s">
        <v>46</v>
      </c>
    </row>
    <row r="126" customFormat="false" ht="15" hidden="false" customHeight="false" outlineLevel="0" collapsed="false">
      <c r="A126" s="21" t="n">
        <v>46302</v>
      </c>
      <c r="B126" s="22" t="s">
        <v>89</v>
      </c>
      <c r="C126" s="23" t="n">
        <v>0.3125</v>
      </c>
      <c r="D126" s="24" t="n">
        <v>265411.906</v>
      </c>
      <c r="E126" s="24" t="n">
        <v>109250.344</v>
      </c>
      <c r="F126" s="24"/>
      <c r="G126" s="22" t="n">
        <f aca="false">HOUR(C126)*60+MINUTE(C126)</f>
        <v>450</v>
      </c>
      <c r="H126" s="25" t="n">
        <f aca="false">IF(AND(B126=B125,A126=A125,D126&gt;0,N(D125)&gt;0,G126&gt;N(G125)),(D126-D125)/((G126-G125)/60),"")</f>
        <v>54.5</v>
      </c>
      <c r="I126" s="22" t="str">
        <f aca="false">IFERROR(INDEX(Medidores!$B:$B,MATCH(B126,Medidores!$A:$A,0)),"")</f>
        <v>Estación celda 3</v>
      </c>
      <c r="J126" s="22" t="s">
        <v>47</v>
      </c>
    </row>
    <row r="127" customFormat="false" ht="15" hidden="false" customHeight="false" outlineLevel="0" collapsed="false">
      <c r="A127" s="21" t="n">
        <v>46302</v>
      </c>
      <c r="B127" s="22" t="s">
        <v>89</v>
      </c>
      <c r="C127" s="23" t="n">
        <v>0.322916666666667</v>
      </c>
      <c r="D127" s="24" t="n">
        <v>265423.625</v>
      </c>
      <c r="E127" s="24" t="n">
        <v>109256.297</v>
      </c>
      <c r="F127" s="24"/>
      <c r="G127" s="22" t="n">
        <f aca="false">HOUR(C127)*60+MINUTE(C127)</f>
        <v>465</v>
      </c>
      <c r="H127" s="25" t="n">
        <f aca="false">IF(AND(B127=B126,A127=A126,D127&gt;0,N(D126)&gt;0,G127&gt;N(G126)),(D127-D126)/((G127-G126)/60),"")</f>
        <v>46.8759999999311</v>
      </c>
      <c r="I127" s="22" t="str">
        <f aca="false">IFERROR(INDEX(Medidores!$B:$B,MATCH(B127,Medidores!$A:$A,0)),"")</f>
        <v>Estación celda 3</v>
      </c>
      <c r="J127" s="22" t="s">
        <v>48</v>
      </c>
    </row>
    <row r="128" customFormat="false" ht="15" hidden="false" customHeight="false" outlineLevel="0" collapsed="false">
      <c r="A128" s="21" t="n">
        <v>46302</v>
      </c>
      <c r="B128" s="22" t="s">
        <v>89</v>
      </c>
      <c r="C128" s="23" t="n">
        <v>0.333333333333333</v>
      </c>
      <c r="D128" s="24" t="n">
        <v>265435.469</v>
      </c>
      <c r="E128" s="24" t="n">
        <v>109262.203</v>
      </c>
      <c r="F128" s="24"/>
      <c r="G128" s="22" t="n">
        <f aca="false">HOUR(C128)*60+MINUTE(C128)</f>
        <v>480</v>
      </c>
      <c r="H128" s="25" t="n">
        <f aca="false">IF(AND(B128=B127,A128=A127,D128&gt;0,N(D127)&gt;0,G128&gt;N(G127)),(D128-D127)/((G128-G127)/60),"")</f>
        <v>47.3759999999311</v>
      </c>
      <c r="I128" s="22" t="str">
        <f aca="false">IFERROR(INDEX(Medidores!$B:$B,MATCH(B128,Medidores!$A:$A,0)),"")</f>
        <v>Estación celda 3</v>
      </c>
      <c r="J128" s="22" t="s">
        <v>49</v>
      </c>
    </row>
    <row r="129" customFormat="false" ht="15" hidden="false" customHeight="false" outlineLevel="0" collapsed="false">
      <c r="A129" s="21" t="n">
        <v>46302</v>
      </c>
      <c r="B129" s="22" t="s">
        <v>89</v>
      </c>
      <c r="C129" s="23" t="n">
        <v>0.34375</v>
      </c>
      <c r="D129" s="24" t="n">
        <v>265450.188</v>
      </c>
      <c r="E129" s="24" t="n">
        <v>109270.898</v>
      </c>
      <c r="F129" s="24"/>
      <c r="G129" s="22" t="n">
        <f aca="false">HOUR(C129)*60+MINUTE(C129)</f>
        <v>495</v>
      </c>
      <c r="H129" s="25" t="n">
        <f aca="false">IF(AND(B129=B128,A129=A128,D129&gt;0,N(D128)&gt;0,G129&gt;N(G128)),(D129-D128)/((G129-G128)/60),"")</f>
        <v>58.8760000001639</v>
      </c>
      <c r="I129" s="22" t="str">
        <f aca="false">IFERROR(INDEX(Medidores!$B:$B,MATCH(B129,Medidores!$A:$A,0)),"")</f>
        <v>Estación celda 3</v>
      </c>
      <c r="J129" s="22" t="s">
        <v>50</v>
      </c>
    </row>
    <row r="130" customFormat="false" ht="15" hidden="false" customHeight="false" outlineLevel="0" collapsed="false">
      <c r="A130" s="21" t="n">
        <v>46302</v>
      </c>
      <c r="B130" s="22" t="s">
        <v>89</v>
      </c>
      <c r="C130" s="23" t="n">
        <v>0.354166666666667</v>
      </c>
      <c r="D130" s="24" t="n">
        <v>265463.25</v>
      </c>
      <c r="E130" s="24" t="n">
        <v>109277.938</v>
      </c>
      <c r="F130" s="24"/>
      <c r="G130" s="22" t="n">
        <f aca="false">HOUR(C130)*60+MINUTE(C130)</f>
        <v>510</v>
      </c>
      <c r="H130" s="25" t="n">
        <f aca="false">IF(AND(B130=B129,A130=A129,D130&gt;0,N(D129)&gt;0,G130&gt;N(G129)),(D130-D129)/((G130-G129)/60),"")</f>
        <v>52.247999999905</v>
      </c>
      <c r="I130" s="22" t="str">
        <f aca="false">IFERROR(INDEX(Medidores!$B:$B,MATCH(B130,Medidores!$A:$A,0)),"")</f>
        <v>Estación celda 3</v>
      </c>
      <c r="J130" s="22" t="s">
        <v>51</v>
      </c>
    </row>
    <row r="131" customFormat="false" ht="15" hidden="false" customHeight="false" outlineLevel="0" collapsed="false">
      <c r="A131" s="21" t="n">
        <v>46302</v>
      </c>
      <c r="B131" s="22" t="s">
        <v>89</v>
      </c>
      <c r="C131" s="23" t="n">
        <v>0.364583333333333</v>
      </c>
      <c r="D131" s="24" t="n">
        <v>265475.438</v>
      </c>
      <c r="E131" s="24" t="n">
        <v>109284.367</v>
      </c>
      <c r="F131" s="24"/>
      <c r="G131" s="22" t="n">
        <f aca="false">HOUR(C131)*60+MINUTE(C131)</f>
        <v>525</v>
      </c>
      <c r="H131" s="25" t="n">
        <f aca="false">IF(AND(B131=B130,A131=A130,D131&gt;0,N(D130)&gt;0,G131&gt;N(G130)),(D131-D130)/((G131-G130)/60),"")</f>
        <v>48.752000000095</v>
      </c>
      <c r="I131" s="22" t="str">
        <f aca="false">IFERROR(INDEX(Medidores!$B:$B,MATCH(B131,Medidores!$A:$A,0)),"")</f>
        <v>Estación celda 3</v>
      </c>
      <c r="J131" s="22" t="s">
        <v>52</v>
      </c>
    </row>
    <row r="132" customFormat="false" ht="15" hidden="false" customHeight="false" outlineLevel="0" collapsed="false">
      <c r="A132" s="21" t="n">
        <v>46302</v>
      </c>
      <c r="B132" s="22" t="s">
        <v>89</v>
      </c>
      <c r="C132" s="23" t="n">
        <v>0.375</v>
      </c>
      <c r="D132" s="24" t="n">
        <v>265490.938</v>
      </c>
      <c r="E132" s="24" t="n">
        <v>109293.477</v>
      </c>
      <c r="F132" s="24"/>
      <c r="G132" s="22" t="n">
        <f aca="false">HOUR(C132)*60+MINUTE(C132)</f>
        <v>540</v>
      </c>
      <c r="H132" s="25" t="n">
        <f aca="false">IF(AND(B132=B131,A132=A131,D132&gt;0,N(D131)&gt;0,G132&gt;N(G131)),(D132-D131)/((G132-G131)/60),"")</f>
        <v>62</v>
      </c>
      <c r="I132" s="22" t="str">
        <f aca="false">IFERROR(INDEX(Medidores!$B:$B,MATCH(B132,Medidores!$A:$A,0)),"")</f>
        <v>Estación celda 3</v>
      </c>
      <c r="J132" s="22" t="s">
        <v>53</v>
      </c>
    </row>
    <row r="133" customFormat="false" ht="15" hidden="false" customHeight="false" outlineLevel="0" collapsed="false">
      <c r="A133" s="21" t="n">
        <v>46302</v>
      </c>
      <c r="B133" s="22" t="s">
        <v>89</v>
      </c>
      <c r="C133" s="23" t="n">
        <v>0.385416666666667</v>
      </c>
      <c r="D133" s="24" t="n">
        <v>265503.625</v>
      </c>
      <c r="E133" s="24" t="n">
        <v>109300.383</v>
      </c>
      <c r="F133" s="24"/>
      <c r="G133" s="22" t="n">
        <f aca="false">HOUR(C133)*60+MINUTE(C133)</f>
        <v>555</v>
      </c>
      <c r="H133" s="25" t="n">
        <f aca="false">IF(AND(B133=B132,A133=A132,D133&gt;0,N(D132)&gt;0,G133&gt;N(G132)),(D133-D132)/((G133-G132)/60),"")</f>
        <v>50.747999999905</v>
      </c>
      <c r="I133" s="22" t="str">
        <f aca="false">IFERROR(INDEX(Medidores!$B:$B,MATCH(B133,Medidores!$A:$A,0)),"")</f>
        <v>Estación celda 3</v>
      </c>
      <c r="J133" s="22" t="s">
        <v>54</v>
      </c>
    </row>
    <row r="134" customFormat="false" ht="15" hidden="false" customHeight="false" outlineLevel="0" collapsed="false">
      <c r="A134" s="21" t="n">
        <v>46302</v>
      </c>
      <c r="B134" s="22" t="s">
        <v>89</v>
      </c>
      <c r="C134" s="23" t="n">
        <v>0.395833333333333</v>
      </c>
      <c r="D134" s="24" t="n">
        <v>265516.156</v>
      </c>
      <c r="E134" s="24" t="n">
        <v>109307.008</v>
      </c>
      <c r="F134" s="24"/>
      <c r="G134" s="22" t="n">
        <f aca="false">HOUR(C134)*60+MINUTE(C134)</f>
        <v>570</v>
      </c>
      <c r="H134" s="25" t="n">
        <f aca="false">IF(AND(B134=B133,A134=A133,D134&gt;0,N(D133)&gt;0,G134&gt;N(G133)),(D134-D133)/((G134-G133)/60),"")</f>
        <v>50.1240000000689</v>
      </c>
      <c r="I134" s="22" t="str">
        <f aca="false">IFERROR(INDEX(Medidores!$B:$B,MATCH(B134,Medidores!$A:$A,0)),"")</f>
        <v>Estación celda 3</v>
      </c>
      <c r="J134" s="22" t="s">
        <v>55</v>
      </c>
    </row>
    <row r="135" customFormat="false" ht="15" hidden="false" customHeight="false" outlineLevel="0" collapsed="false">
      <c r="A135" s="21" t="n">
        <v>46302</v>
      </c>
      <c r="B135" s="22" t="s">
        <v>89</v>
      </c>
      <c r="C135" s="23" t="n">
        <v>0.40625</v>
      </c>
      <c r="D135" s="24" t="n">
        <v>265530.594</v>
      </c>
      <c r="E135" s="24" t="n">
        <v>109314.258</v>
      </c>
      <c r="F135" s="24"/>
      <c r="G135" s="22" t="n">
        <f aca="false">HOUR(C135)*60+MINUTE(C135)</f>
        <v>585</v>
      </c>
      <c r="H135" s="25" t="n">
        <f aca="false">IF(AND(B135=B134,A135=A134,D135&gt;0,N(D134)&gt;0,G135&gt;N(G134)),(D135-D134)/((G135-G134)/60),"")</f>
        <v>57.7519999998622</v>
      </c>
      <c r="I135" s="22" t="str">
        <f aca="false">IFERROR(INDEX(Medidores!$B:$B,MATCH(B135,Medidores!$A:$A,0)),"")</f>
        <v>Estación celda 3</v>
      </c>
      <c r="J135" s="22" t="s">
        <v>56</v>
      </c>
    </row>
    <row r="136" customFormat="false" ht="15" hidden="false" customHeight="false" outlineLevel="0" collapsed="false">
      <c r="A136" s="21" t="n">
        <v>46302</v>
      </c>
      <c r="B136" s="22" t="s">
        <v>89</v>
      </c>
      <c r="C136" s="23" t="n">
        <v>0.416666666666667</v>
      </c>
      <c r="D136" s="24" t="n">
        <v>265542.969</v>
      </c>
      <c r="E136" s="24" t="n">
        <v>109320.102</v>
      </c>
      <c r="F136" s="24"/>
      <c r="G136" s="22" t="n">
        <f aca="false">HOUR(C136)*60+MINUTE(C136)</f>
        <v>600</v>
      </c>
      <c r="H136" s="25" t="n">
        <f aca="false">IF(AND(B136=B135,A136=A135,D136&gt;0,N(D135)&gt;0,G136&gt;N(G135)),(D136-D135)/((G136-G135)/60),"")</f>
        <v>49.5</v>
      </c>
      <c r="I136" s="22" t="str">
        <f aca="false">IFERROR(INDEX(Medidores!$B:$B,MATCH(B136,Medidores!$A:$A,0)),"")</f>
        <v>Estación celda 3</v>
      </c>
      <c r="J136" s="22" t="s">
        <v>57</v>
      </c>
    </row>
    <row r="137" customFormat="false" ht="15" hidden="false" customHeight="false" outlineLevel="0" collapsed="false">
      <c r="A137" s="21" t="n">
        <v>46302</v>
      </c>
      <c r="B137" s="22" t="s">
        <v>89</v>
      </c>
      <c r="C137" s="23" t="n">
        <v>0.427083333333333</v>
      </c>
      <c r="D137" s="24" t="n">
        <v>265556.438</v>
      </c>
      <c r="E137" s="24" t="n">
        <v>109327.648</v>
      </c>
      <c r="F137" s="24"/>
      <c r="G137" s="22" t="n">
        <f aca="false">HOUR(C137)*60+MINUTE(C137)</f>
        <v>615</v>
      </c>
      <c r="H137" s="25" t="n">
        <f aca="false">IF(AND(B137=B136,A137=A136,D137&gt;0,N(D136)&gt;0,G137&gt;N(G136)),(D137-D136)/((G137-G136)/60),"")</f>
        <v>53.8760000001639</v>
      </c>
      <c r="I137" s="22" t="str">
        <f aca="false">IFERROR(INDEX(Medidores!$B:$B,MATCH(B137,Medidores!$A:$A,0)),"")</f>
        <v>Estación celda 3</v>
      </c>
      <c r="J137" s="22" t="s">
        <v>58</v>
      </c>
    </row>
    <row r="138" customFormat="false" ht="15" hidden="false" customHeight="false" outlineLevel="0" collapsed="false">
      <c r="A138" s="21" t="n">
        <v>46302</v>
      </c>
      <c r="B138" s="22" t="s">
        <v>89</v>
      </c>
      <c r="C138" s="23" t="n">
        <v>0.4375</v>
      </c>
      <c r="D138" s="24" t="n">
        <v>265568.719</v>
      </c>
      <c r="E138" s="24" t="n">
        <v>109333.859</v>
      </c>
      <c r="F138" s="24"/>
      <c r="G138" s="22" t="n">
        <f aca="false">HOUR(C138)*60+MINUTE(C138)</f>
        <v>630</v>
      </c>
      <c r="H138" s="25" t="n">
        <f aca="false">IF(AND(B138=B137,A138=A137,D138&gt;0,N(D137)&gt;0,G138&gt;N(G137)),(D138-D137)/((G138-G137)/60),"")</f>
        <v>49.1239999998361</v>
      </c>
      <c r="I138" s="22" t="str">
        <f aca="false">IFERROR(INDEX(Medidores!$B:$B,MATCH(B138,Medidores!$A:$A,0)),"")</f>
        <v>Estación celda 3</v>
      </c>
      <c r="J138" s="22" t="s">
        <v>59</v>
      </c>
    </row>
    <row r="139" customFormat="false" ht="15" hidden="false" customHeight="false" outlineLevel="0" collapsed="false">
      <c r="A139" s="21" t="n">
        <v>46302</v>
      </c>
      <c r="B139" s="22" t="s">
        <v>89</v>
      </c>
      <c r="C139" s="23" t="n">
        <v>0.447916666666667</v>
      </c>
      <c r="D139" s="24" t="n">
        <v>265580.094</v>
      </c>
      <c r="E139" s="24" t="n">
        <v>109339.266</v>
      </c>
      <c r="F139" s="24"/>
      <c r="G139" s="22" t="n">
        <f aca="false">HOUR(C139)*60+MINUTE(C139)</f>
        <v>645</v>
      </c>
      <c r="H139" s="25" t="n">
        <f aca="false">IF(AND(B139=B138,A139=A138,D139&gt;0,N(D138)&gt;0,G139&gt;N(G138)),(D139-D138)/((G139-G138)/60),"")</f>
        <v>45.5</v>
      </c>
      <c r="I139" s="22" t="str">
        <f aca="false">IFERROR(INDEX(Medidores!$B:$B,MATCH(B139,Medidores!$A:$A,0)),"")</f>
        <v>Estación celda 3</v>
      </c>
      <c r="J139" s="22" t="s">
        <v>60</v>
      </c>
    </row>
    <row r="140" customFormat="false" ht="15" hidden="false" customHeight="false" outlineLevel="0" collapsed="false">
      <c r="A140" s="21" t="n">
        <v>46302</v>
      </c>
      <c r="B140" s="22" t="s">
        <v>89</v>
      </c>
      <c r="C140" s="23" t="n">
        <v>0.458333333333333</v>
      </c>
      <c r="D140" s="24" t="n">
        <v>265593.375</v>
      </c>
      <c r="E140" s="24" t="n">
        <v>109346.641</v>
      </c>
      <c r="F140" s="24"/>
      <c r="G140" s="22" t="n">
        <f aca="false">HOUR(C140)*60+MINUTE(C140)</f>
        <v>660</v>
      </c>
      <c r="H140" s="25" t="n">
        <f aca="false">IF(AND(B140=B139,A140=A139,D140&gt;0,N(D139)&gt;0,G140&gt;N(G139)),(D140-D139)/((G140-G139)/60),"")</f>
        <v>53.1240000000689</v>
      </c>
      <c r="I140" s="22" t="str">
        <f aca="false">IFERROR(INDEX(Medidores!$B:$B,MATCH(B140,Medidores!$A:$A,0)),"")</f>
        <v>Estación celda 3</v>
      </c>
      <c r="J140" s="22" t="s">
        <v>61</v>
      </c>
    </row>
    <row r="141" customFormat="false" ht="15" hidden="false" customHeight="false" outlineLevel="0" collapsed="false">
      <c r="A141" s="21" t="n">
        <v>46302</v>
      </c>
      <c r="B141" s="22" t="s">
        <v>89</v>
      </c>
      <c r="C141" s="23" t="n">
        <v>0.46875</v>
      </c>
      <c r="D141" s="24" t="n">
        <v>265604.281</v>
      </c>
      <c r="E141" s="24" t="n">
        <v>109352.016</v>
      </c>
      <c r="F141" s="24"/>
      <c r="G141" s="22" t="n">
        <f aca="false">HOUR(C141)*60+MINUTE(C141)</f>
        <v>675</v>
      </c>
      <c r="H141" s="25" t="n">
        <f aca="false">IF(AND(B141=B140,A141=A140,D141&gt;0,N(D140)&gt;0,G141&gt;N(G140)),(D141-D140)/((G141-G140)/60),"")</f>
        <v>43.6240000000689</v>
      </c>
      <c r="I141" s="22" t="str">
        <f aca="false">IFERROR(INDEX(Medidores!$B:$B,MATCH(B141,Medidores!$A:$A,0)),"")</f>
        <v>Estación celda 3</v>
      </c>
      <c r="J141" s="22" t="s">
        <v>83</v>
      </c>
    </row>
    <row r="142" customFormat="false" ht="15" hidden="false" customHeight="false" outlineLevel="0" collapsed="false">
      <c r="A142" s="21" t="n">
        <v>46302</v>
      </c>
      <c r="B142" s="22" t="s">
        <v>90</v>
      </c>
      <c r="C142" s="23" t="n">
        <v>0.270833333333333</v>
      </c>
      <c r="D142" s="24" t="n">
        <v>432776.563</v>
      </c>
      <c r="E142" s="24" t="n">
        <v>172677.563</v>
      </c>
      <c r="F142" s="24" t="n">
        <v>467890.781</v>
      </c>
      <c r="G142" s="22" t="n">
        <f aca="false">HOUR(C142)*60+MINUTE(C142)</f>
        <v>390</v>
      </c>
      <c r="H142" s="25" t="str">
        <f aca="false">IF(AND(B142=B141,A142=A141,D142&gt;0,N(D141)&gt;0,G142&gt;N(G141)),(D142-D141)/((G142-G141)/60),"")</f>
        <v/>
      </c>
      <c r="I142" s="22" t="str">
        <f aca="false">IFERROR(INDEX(Medidores!$B:$B,MATCH(B142,Medidores!$A:$A,0)),"")</f>
        <v>Estación celda 2</v>
      </c>
      <c r="J142" s="22" t="s">
        <v>43</v>
      </c>
    </row>
    <row r="143" customFormat="false" ht="15" hidden="false" customHeight="false" outlineLevel="0" collapsed="false">
      <c r="A143" s="21" t="n">
        <v>46302</v>
      </c>
      <c r="B143" s="22" t="s">
        <v>90</v>
      </c>
      <c r="C143" s="23" t="n">
        <v>0.28125</v>
      </c>
      <c r="D143" s="24" t="n">
        <v>432787.969</v>
      </c>
      <c r="E143" s="24" t="n">
        <v>172682.156</v>
      </c>
      <c r="F143" s="24" t="n">
        <v>467903.031</v>
      </c>
      <c r="G143" s="22" t="n">
        <f aca="false">HOUR(C143)*60+MINUTE(C143)</f>
        <v>405</v>
      </c>
      <c r="H143" s="25" t="n">
        <f aca="false">IF(AND(B143=B142,A143=A142,D143&gt;0,N(D142)&gt;0,G143&gt;N(G142)),(D143-D142)/((G143-G142)/60),"")</f>
        <v>45.6239999998361</v>
      </c>
      <c r="I143" s="22" t="str">
        <f aca="false">IFERROR(INDEX(Medidores!$B:$B,MATCH(B143,Medidores!$A:$A,0)),"")</f>
        <v>Estación celda 2</v>
      </c>
      <c r="J143" s="22" t="s">
        <v>44</v>
      </c>
    </row>
    <row r="144" customFormat="false" ht="15" hidden="false" customHeight="false" outlineLevel="0" collapsed="false">
      <c r="A144" s="21" t="n">
        <v>46302</v>
      </c>
      <c r="B144" s="22" t="s">
        <v>90</v>
      </c>
      <c r="C144" s="23" t="n">
        <v>0.291666666666667</v>
      </c>
      <c r="D144" s="24" t="n">
        <v>432800.469</v>
      </c>
      <c r="E144" s="24" t="n">
        <v>172687.297</v>
      </c>
      <c r="F144" s="24" t="n">
        <v>467916.563</v>
      </c>
      <c r="G144" s="22" t="n">
        <f aca="false">HOUR(C144)*60+MINUTE(C144)</f>
        <v>420</v>
      </c>
      <c r="H144" s="25" t="n">
        <f aca="false">IF(AND(B144=B143,A144=A143,D144&gt;0,N(D143)&gt;0,G144&gt;N(G143)),(D144-D143)/((G144-G143)/60),"")</f>
        <v>50</v>
      </c>
      <c r="I144" s="22" t="str">
        <f aca="false">IFERROR(INDEX(Medidores!$B:$B,MATCH(B144,Medidores!$A:$A,0)),"")</f>
        <v>Estación celda 2</v>
      </c>
      <c r="J144" s="22" t="s">
        <v>45</v>
      </c>
    </row>
    <row r="145" customFormat="false" ht="15" hidden="false" customHeight="false" outlineLevel="0" collapsed="false">
      <c r="A145" s="21" t="n">
        <v>46302</v>
      </c>
      <c r="B145" s="22" t="s">
        <v>90</v>
      </c>
      <c r="C145" s="23" t="n">
        <v>0.302083333333333</v>
      </c>
      <c r="D145" s="24" t="n">
        <v>432819.719</v>
      </c>
      <c r="E145" s="24" t="n">
        <v>172695.188</v>
      </c>
      <c r="F145" s="24" t="n">
        <v>467937.375</v>
      </c>
      <c r="G145" s="22" t="n">
        <f aca="false">HOUR(C145)*60+MINUTE(C145)</f>
        <v>435</v>
      </c>
      <c r="H145" s="25" t="n">
        <f aca="false">IF(AND(B145=B144,A145=A144,D145&gt;0,N(D144)&gt;0,G145&gt;N(G144)),(D145-D144)/((G145-G144)/60),"")</f>
        <v>77</v>
      </c>
      <c r="I145" s="22" t="str">
        <f aca="false">IFERROR(INDEX(Medidores!$B:$B,MATCH(B145,Medidores!$A:$A,0)),"")</f>
        <v>Estación celda 2</v>
      </c>
      <c r="J145" s="22" t="s">
        <v>46</v>
      </c>
    </row>
    <row r="146" customFormat="false" ht="15" hidden="false" customHeight="false" outlineLevel="0" collapsed="false">
      <c r="A146" s="21" t="n">
        <v>46302</v>
      </c>
      <c r="B146" s="22" t="s">
        <v>90</v>
      </c>
      <c r="C146" s="23" t="n">
        <v>0.3125</v>
      </c>
      <c r="D146" s="24" t="n">
        <v>432841.813</v>
      </c>
      <c r="E146" s="24" t="n">
        <v>172703.609</v>
      </c>
      <c r="F146" s="24" t="n">
        <v>467961.031</v>
      </c>
      <c r="G146" s="22" t="n">
        <f aca="false">HOUR(C146)*60+MINUTE(C146)</f>
        <v>450</v>
      </c>
      <c r="H146" s="25" t="n">
        <f aca="false">IF(AND(B146=B145,A146=A145,D146&gt;0,N(D145)&gt;0,G146&gt;N(G145)),(D146-D145)/((G146-G145)/60),"")</f>
        <v>88.3760000001639</v>
      </c>
      <c r="I146" s="22" t="str">
        <f aca="false">IFERROR(INDEX(Medidores!$B:$B,MATCH(B146,Medidores!$A:$A,0)),"")</f>
        <v>Estación celda 2</v>
      </c>
      <c r="J146" s="22" t="s">
        <v>47</v>
      </c>
    </row>
    <row r="147" customFormat="false" ht="15" hidden="false" customHeight="false" outlineLevel="0" collapsed="false">
      <c r="A147" s="21" t="n">
        <v>46302</v>
      </c>
      <c r="B147" s="22" t="s">
        <v>90</v>
      </c>
      <c r="C147" s="23" t="n">
        <v>0.322916666666667</v>
      </c>
      <c r="D147" s="24" t="n">
        <v>432863.781</v>
      </c>
      <c r="E147" s="24" t="n">
        <v>172712.641</v>
      </c>
      <c r="F147" s="24" t="n">
        <v>467984.813</v>
      </c>
      <c r="G147" s="22" t="n">
        <f aca="false">HOUR(C147)*60+MINUTE(C147)</f>
        <v>465</v>
      </c>
      <c r="H147" s="25" t="n">
        <f aca="false">IF(AND(B147=B146,A147=A146,D147&gt;0,N(D146)&gt;0,G147&gt;N(G146)),(D147-D146)/((G147-G146)/60),"")</f>
        <v>87.8719999999739</v>
      </c>
      <c r="I147" s="22" t="str">
        <f aca="false">IFERROR(INDEX(Medidores!$B:$B,MATCH(B147,Medidores!$A:$A,0)),"")</f>
        <v>Estación celda 2</v>
      </c>
      <c r="J147" s="22" t="s">
        <v>48</v>
      </c>
    </row>
    <row r="148" customFormat="false" ht="15" hidden="false" customHeight="false" outlineLevel="0" collapsed="false">
      <c r="A148" s="21" t="n">
        <v>46302</v>
      </c>
      <c r="B148" s="22" t="s">
        <v>90</v>
      </c>
      <c r="C148" s="23" t="n">
        <v>0.333333333333333</v>
      </c>
      <c r="D148" s="24" t="n">
        <v>432885.469</v>
      </c>
      <c r="E148" s="24" t="n">
        <v>172721.906</v>
      </c>
      <c r="F148" s="24" t="n">
        <v>468008.375</v>
      </c>
      <c r="G148" s="22" t="n">
        <f aca="false">HOUR(C148)*60+MINUTE(C148)</f>
        <v>480</v>
      </c>
      <c r="H148" s="25" t="n">
        <f aca="false">IF(AND(B148=B147,A148=A147,D148&gt;0,N(D147)&gt;0,G148&gt;N(G147)),(D148-D147)/((G148-G147)/60),"")</f>
        <v>86.7519999998622</v>
      </c>
      <c r="I148" s="22" t="str">
        <f aca="false">IFERROR(INDEX(Medidores!$B:$B,MATCH(B148,Medidores!$A:$A,0)),"")</f>
        <v>Estación celda 2</v>
      </c>
      <c r="J148" s="22" t="s">
        <v>49</v>
      </c>
    </row>
    <row r="149" customFormat="false" ht="15" hidden="false" customHeight="false" outlineLevel="0" collapsed="false">
      <c r="A149" s="21" t="n">
        <v>46302</v>
      </c>
      <c r="B149" s="22" t="s">
        <v>90</v>
      </c>
      <c r="C149" s="23" t="n">
        <v>0.34375</v>
      </c>
      <c r="D149" s="24" t="n">
        <v>432907.594</v>
      </c>
      <c r="E149" s="24" t="n">
        <v>172731.125</v>
      </c>
      <c r="F149" s="24" t="n">
        <v>468032.313</v>
      </c>
      <c r="G149" s="22" t="n">
        <f aca="false">HOUR(C149)*60+MINUTE(C149)</f>
        <v>495</v>
      </c>
      <c r="H149" s="25" t="n">
        <f aca="false">IF(AND(B149=B148,A149=A148,D149&gt;0,N(D148)&gt;0,G149&gt;N(G148)),(D149-D148)/((G149-G148)/60),"")</f>
        <v>88.5</v>
      </c>
      <c r="I149" s="22" t="str">
        <f aca="false">IFERROR(INDEX(Medidores!$B:$B,MATCH(B149,Medidores!$A:$A,0)),"")</f>
        <v>Estación celda 2</v>
      </c>
      <c r="J149" s="22" t="s">
        <v>50</v>
      </c>
    </row>
    <row r="150" customFormat="false" ht="15" hidden="false" customHeight="false" outlineLevel="0" collapsed="false">
      <c r="A150" s="21" t="n">
        <v>46302</v>
      </c>
      <c r="B150" s="22" t="s">
        <v>90</v>
      </c>
      <c r="C150" s="23" t="n">
        <v>0.354166666666667</v>
      </c>
      <c r="D150" s="24" t="n">
        <v>432929.781</v>
      </c>
      <c r="E150" s="24" t="n">
        <v>172740.344</v>
      </c>
      <c r="F150" s="24" t="n">
        <v>468056.375</v>
      </c>
      <c r="G150" s="22" t="n">
        <f aca="false">HOUR(C150)*60+MINUTE(C150)</f>
        <v>510</v>
      </c>
      <c r="H150" s="25" t="n">
        <f aca="false">IF(AND(B150=B149,A150=A149,D150&gt;0,N(D149)&gt;0,G150&gt;N(G149)),(D150-D149)/((G150-G149)/60),"")</f>
        <v>88.7480000001378</v>
      </c>
      <c r="I150" s="22" t="str">
        <f aca="false">IFERROR(INDEX(Medidores!$B:$B,MATCH(B150,Medidores!$A:$A,0)),"")</f>
        <v>Estación celda 2</v>
      </c>
      <c r="J150" s="22" t="s">
        <v>51</v>
      </c>
    </row>
    <row r="151" customFormat="false" ht="15" hidden="false" customHeight="false" outlineLevel="0" collapsed="false">
      <c r="A151" s="21" t="n">
        <v>46302</v>
      </c>
      <c r="B151" s="22" t="s">
        <v>90</v>
      </c>
      <c r="C151" s="23" t="n">
        <v>0.364583333333333</v>
      </c>
      <c r="D151" s="24" t="n">
        <v>432951.625</v>
      </c>
      <c r="E151" s="24" t="n">
        <v>172749.406</v>
      </c>
      <c r="F151" s="24" t="n">
        <v>468080</v>
      </c>
      <c r="G151" s="22" t="n">
        <f aca="false">HOUR(C151)*60+MINUTE(C151)</f>
        <v>525</v>
      </c>
      <c r="H151" s="25" t="n">
        <f aca="false">IF(AND(B151=B150,A151=A150,D151&gt;0,N(D150)&gt;0,G151&gt;N(G150)),(D151-D150)/((G151-G150)/60),"")</f>
        <v>87.3759999999311</v>
      </c>
      <c r="I151" s="22" t="str">
        <f aca="false">IFERROR(INDEX(Medidores!$B:$B,MATCH(B151,Medidores!$A:$A,0)),"")</f>
        <v>Estación celda 2</v>
      </c>
      <c r="J151" s="22" t="s">
        <v>52</v>
      </c>
    </row>
    <row r="152" customFormat="false" ht="15" hidden="false" customHeight="false" outlineLevel="0" collapsed="false">
      <c r="A152" s="21" t="n">
        <v>46302</v>
      </c>
      <c r="B152" s="22" t="s">
        <v>90</v>
      </c>
      <c r="C152" s="23" t="n">
        <v>0.375</v>
      </c>
      <c r="D152" s="24" t="n">
        <v>432974.281</v>
      </c>
      <c r="E152" s="24" t="n">
        <v>172758.5</v>
      </c>
      <c r="F152" s="24" t="n">
        <v>468104.406</v>
      </c>
      <c r="G152" s="22" t="n">
        <f aca="false">HOUR(C152)*60+MINUTE(C152)</f>
        <v>540</v>
      </c>
      <c r="H152" s="25" t="n">
        <f aca="false">IF(AND(B152=B151,A152=A151,D152&gt;0,N(D151)&gt;0,G152&gt;N(G151)),(D152-D151)/((G152-G151)/60),"")</f>
        <v>90.6240000000689</v>
      </c>
      <c r="I152" s="22" t="str">
        <f aca="false">IFERROR(INDEX(Medidores!$B:$B,MATCH(B152,Medidores!$A:$A,0)),"")</f>
        <v>Estación celda 2</v>
      </c>
      <c r="J152" s="22" t="s">
        <v>53</v>
      </c>
    </row>
    <row r="153" customFormat="false" ht="15" hidden="false" customHeight="false" outlineLevel="0" collapsed="false">
      <c r="A153" s="21" t="n">
        <v>46302</v>
      </c>
      <c r="B153" s="22" t="s">
        <v>90</v>
      </c>
      <c r="C153" s="23" t="n">
        <v>0.385416666666667</v>
      </c>
      <c r="D153" s="24" t="n">
        <v>432996.375</v>
      </c>
      <c r="E153" s="24" t="n">
        <v>172767.484</v>
      </c>
      <c r="F153" s="24" t="n">
        <v>468128.281</v>
      </c>
      <c r="G153" s="22" t="n">
        <f aca="false">HOUR(C153)*60+MINUTE(C153)</f>
        <v>555</v>
      </c>
      <c r="H153" s="25" t="n">
        <f aca="false">IF(AND(B153=B152,A153=A152,D153&gt;0,N(D152)&gt;0,G153&gt;N(G152)),(D153-D152)/((G153-G152)/60),"")</f>
        <v>88.3759999999311</v>
      </c>
      <c r="I153" s="22" t="str">
        <f aca="false">IFERROR(INDEX(Medidores!$B:$B,MATCH(B153,Medidores!$A:$A,0)),"")</f>
        <v>Estación celda 2</v>
      </c>
      <c r="J153" s="22" t="s">
        <v>54</v>
      </c>
    </row>
    <row r="154" customFormat="false" ht="15" hidden="false" customHeight="false" outlineLevel="0" collapsed="false">
      <c r="A154" s="21" t="n">
        <v>46302</v>
      </c>
      <c r="B154" s="22" t="s">
        <v>90</v>
      </c>
      <c r="C154" s="23" t="n">
        <v>0.395833333333333</v>
      </c>
      <c r="D154" s="24" t="n">
        <v>433018.344</v>
      </c>
      <c r="E154" s="24" t="n">
        <v>172776.5</v>
      </c>
      <c r="F154" s="24" t="n">
        <v>468152.031</v>
      </c>
      <c r="G154" s="22" t="n">
        <f aca="false">HOUR(C154)*60+MINUTE(C154)</f>
        <v>570</v>
      </c>
      <c r="H154" s="25" t="n">
        <f aca="false">IF(AND(B154=B153,A154=A153,D154&gt;0,N(D153)&gt;0,G154&gt;N(G153)),(D154-D153)/((G154-G153)/60),"")</f>
        <v>87.8759999999311</v>
      </c>
      <c r="I154" s="22" t="str">
        <f aca="false">IFERROR(INDEX(Medidores!$B:$B,MATCH(B154,Medidores!$A:$A,0)),"")</f>
        <v>Estación celda 2</v>
      </c>
      <c r="J154" s="22" t="s">
        <v>55</v>
      </c>
    </row>
    <row r="155" customFormat="false" ht="15" hidden="false" customHeight="false" outlineLevel="0" collapsed="false">
      <c r="A155" s="21" t="n">
        <v>46302</v>
      </c>
      <c r="B155" s="22" t="s">
        <v>90</v>
      </c>
      <c r="C155" s="23" t="n">
        <v>0.40625</v>
      </c>
      <c r="D155" s="24" t="n">
        <v>433041.781</v>
      </c>
      <c r="E155" s="24" t="n">
        <v>172786.297</v>
      </c>
      <c r="F155" s="24" t="n">
        <v>468177.469</v>
      </c>
      <c r="G155" s="22" t="n">
        <f aca="false">HOUR(C155)*60+MINUTE(C155)</f>
        <v>585</v>
      </c>
      <c r="H155" s="25" t="n">
        <f aca="false">IF(AND(B155=B154,A155=A154,D155&gt;0,N(D154)&gt;0,G155&gt;N(G154)),(D155-D154)/((G155-G154)/60),"")</f>
        <v>93.7480000001378</v>
      </c>
      <c r="I155" s="22" t="str">
        <f aca="false">IFERROR(INDEX(Medidores!$B:$B,MATCH(B155,Medidores!$A:$A,0)),"")</f>
        <v>Estación celda 2</v>
      </c>
      <c r="J155" s="22" t="s">
        <v>56</v>
      </c>
    </row>
    <row r="156" customFormat="false" ht="15" hidden="false" customHeight="false" outlineLevel="0" collapsed="false">
      <c r="A156" s="21" t="n">
        <v>46302</v>
      </c>
      <c r="B156" s="22" t="s">
        <v>90</v>
      </c>
      <c r="C156" s="23" t="n">
        <v>0.416666666666667</v>
      </c>
      <c r="D156" s="24" t="n">
        <v>433066.25</v>
      </c>
      <c r="E156" s="24" t="n">
        <v>172796.375</v>
      </c>
      <c r="F156" s="24" t="n">
        <v>468203.875</v>
      </c>
      <c r="G156" s="22" t="n">
        <f aca="false">HOUR(C156)*60+MINUTE(C156)</f>
        <v>600</v>
      </c>
      <c r="H156" s="25" t="n">
        <f aca="false">IF(AND(B156=B155,A156=A155,D156&gt;0,N(D155)&gt;0,G156&gt;N(G155)),(D156-D155)/((G156-G155)/60),"")</f>
        <v>97.8759999999311</v>
      </c>
      <c r="I156" s="22" t="str">
        <f aca="false">IFERROR(INDEX(Medidores!$B:$B,MATCH(B156,Medidores!$A:$A,0)),"")</f>
        <v>Estación celda 2</v>
      </c>
      <c r="J156" s="22" t="s">
        <v>57</v>
      </c>
    </row>
    <row r="157" customFormat="false" ht="15" hidden="false" customHeight="false" outlineLevel="0" collapsed="false">
      <c r="A157" s="21" t="n">
        <v>46302</v>
      </c>
      <c r="B157" s="22" t="s">
        <v>90</v>
      </c>
      <c r="C157" s="23" t="n">
        <v>0.427083333333333</v>
      </c>
      <c r="D157" s="24" t="n">
        <v>433090.438</v>
      </c>
      <c r="E157" s="24" t="n">
        <v>172806.453</v>
      </c>
      <c r="F157" s="24" t="n">
        <v>468230.125</v>
      </c>
      <c r="G157" s="22" t="n">
        <f aca="false">HOUR(C157)*60+MINUTE(C157)</f>
        <v>615</v>
      </c>
      <c r="H157" s="25" t="n">
        <f aca="false">IF(AND(B157=B156,A157=A156,D157&gt;0,N(D156)&gt;0,G157&gt;N(G156)),(D157-D156)/((G157-G156)/60),"")</f>
        <v>96.752000000095</v>
      </c>
      <c r="I157" s="22" t="str">
        <f aca="false">IFERROR(INDEX(Medidores!$B:$B,MATCH(B157,Medidores!$A:$A,0)),"")</f>
        <v>Estación celda 2</v>
      </c>
      <c r="J157" s="22" t="s">
        <v>58</v>
      </c>
    </row>
    <row r="158" customFormat="false" ht="15" hidden="false" customHeight="false" outlineLevel="0" collapsed="false">
      <c r="A158" s="21" t="n">
        <v>46302</v>
      </c>
      <c r="B158" s="22" t="s">
        <v>90</v>
      </c>
      <c r="C158" s="23" t="n">
        <v>0.4375</v>
      </c>
      <c r="D158" s="24" t="n">
        <v>433112.813</v>
      </c>
      <c r="E158" s="24" t="n">
        <v>172816</v>
      </c>
      <c r="F158" s="24" t="n">
        <v>468254.438</v>
      </c>
      <c r="G158" s="22" t="n">
        <f aca="false">HOUR(C158)*60+MINUTE(C158)</f>
        <v>630</v>
      </c>
      <c r="H158" s="25" t="n">
        <f aca="false">IF(AND(B158=B157,A158=A157,D158&gt;0,N(D157)&gt;0,G158&gt;N(G157)),(D158-D157)/((G158-G157)/60),"")</f>
        <v>89.5</v>
      </c>
      <c r="I158" s="22" t="str">
        <f aca="false">IFERROR(INDEX(Medidores!$B:$B,MATCH(B158,Medidores!$A:$A,0)),"")</f>
        <v>Estación celda 2</v>
      </c>
      <c r="J158" s="22" t="s">
        <v>59</v>
      </c>
    </row>
    <row r="159" customFormat="false" ht="15" hidden="false" customHeight="false" outlineLevel="0" collapsed="false">
      <c r="A159" s="21" t="n">
        <v>46302</v>
      </c>
      <c r="B159" s="22" t="s">
        <v>90</v>
      </c>
      <c r="C159" s="23" t="n">
        <v>0.447916666666667</v>
      </c>
      <c r="D159" s="24" t="n">
        <v>433133.188</v>
      </c>
      <c r="E159" s="24" t="n">
        <v>172825.109</v>
      </c>
      <c r="F159" s="24" t="n">
        <v>468276.75</v>
      </c>
      <c r="G159" s="22" t="n">
        <f aca="false">HOUR(C159)*60+MINUTE(C159)</f>
        <v>645</v>
      </c>
      <c r="H159" s="25" t="n">
        <f aca="false">IF(AND(B159=B158,A159=A158,D159&gt;0,N(D158)&gt;0,G159&gt;N(G158)),(D159-D158)/((G159-G158)/60),"")</f>
        <v>81.5</v>
      </c>
      <c r="I159" s="22" t="str">
        <f aca="false">IFERROR(INDEX(Medidores!$B:$B,MATCH(B159,Medidores!$A:$A,0)),"")</f>
        <v>Estación celda 2</v>
      </c>
      <c r="J159" s="22" t="s">
        <v>60</v>
      </c>
    </row>
    <row r="160" customFormat="false" ht="15" hidden="false" customHeight="false" outlineLevel="0" collapsed="false">
      <c r="A160" s="21" t="n">
        <v>46302</v>
      </c>
      <c r="B160" s="22" t="s">
        <v>90</v>
      </c>
      <c r="C160" s="23" t="n">
        <v>0.458333333333333</v>
      </c>
      <c r="D160" s="24" t="n">
        <v>433154.938</v>
      </c>
      <c r="E160" s="24" t="n">
        <v>172834.563</v>
      </c>
      <c r="F160" s="24" t="n">
        <v>468300.469</v>
      </c>
      <c r="G160" s="22" t="n">
        <f aca="false">HOUR(C160)*60+MINUTE(C160)</f>
        <v>660</v>
      </c>
      <c r="H160" s="25" t="n">
        <f aca="false">IF(AND(B160=B159,A160=A159,D160&gt;0,N(D159)&gt;0,G160&gt;N(G159)),(D160-D159)/((G160-G159)/60),"")</f>
        <v>87</v>
      </c>
      <c r="I160" s="22" t="str">
        <f aca="false">IFERROR(INDEX(Medidores!$B:$B,MATCH(B160,Medidores!$A:$A,0)),"")</f>
        <v>Estación celda 2</v>
      </c>
      <c r="J160" s="22" t="s">
        <v>61</v>
      </c>
    </row>
    <row r="161" customFormat="false" ht="15" hidden="false" customHeight="false" outlineLevel="0" collapsed="false">
      <c r="A161" s="21" t="n">
        <v>46302</v>
      </c>
      <c r="B161" s="22" t="s">
        <v>90</v>
      </c>
      <c r="C161" s="23" t="n">
        <v>0.46875</v>
      </c>
      <c r="D161" s="24" t="n">
        <v>433178.531</v>
      </c>
      <c r="E161" s="24" t="n">
        <v>172844.516</v>
      </c>
      <c r="F161" s="24" t="n">
        <v>468326.063</v>
      </c>
      <c r="G161" s="22" t="n">
        <f aca="false">HOUR(C161)*60+MINUTE(C161)</f>
        <v>675</v>
      </c>
      <c r="H161" s="25" t="n">
        <f aca="false">IF(AND(B161=B160,A161=A160,D161&gt;0,N(D160)&gt;0,G161&gt;N(G160)),(D161-D160)/((G161-G160)/60),"")</f>
        <v>94.3719999999739</v>
      </c>
      <c r="I161" s="22" t="str">
        <f aca="false">IFERROR(INDEX(Medidores!$B:$B,MATCH(B161,Medidores!$A:$A,0)),"")</f>
        <v>Estación celda 2</v>
      </c>
      <c r="J161" s="22" t="s">
        <v>83</v>
      </c>
    </row>
    <row r="162" customFormat="false" ht="15" hidden="false" customHeight="false" outlineLevel="0" collapsed="false">
      <c r="A162" s="21" t="n">
        <v>46302</v>
      </c>
      <c r="B162" s="22" t="s">
        <v>91</v>
      </c>
      <c r="C162" s="23" t="n">
        <v>0.270833333333333</v>
      </c>
      <c r="D162" s="24" t="n">
        <v>328632.844</v>
      </c>
      <c r="E162" s="24" t="n">
        <v>171777.375</v>
      </c>
      <c r="F162" s="24" t="n">
        <v>372216.125</v>
      </c>
      <c r="G162" s="22" t="n">
        <f aca="false">HOUR(C162)*60+MINUTE(C162)</f>
        <v>390</v>
      </c>
      <c r="H162" s="25" t="str">
        <f aca="false">IF(AND(B162=B161,A162=A161,D162&gt;0,N(D161)&gt;0,G162&gt;N(G161)),(D162-D161)/((G162-G161)/60),"")</f>
        <v/>
      </c>
      <c r="I162" s="22" t="str">
        <f aca="false">IFERROR(INDEX(Medidores!$B:$B,MATCH(B162,Medidores!$A:$A,0)),"")</f>
        <v>Estación celda 1</v>
      </c>
      <c r="J162" s="22" t="s">
        <v>43</v>
      </c>
    </row>
    <row r="163" customFormat="false" ht="15" hidden="false" customHeight="false" outlineLevel="0" collapsed="false">
      <c r="A163" s="21" t="n">
        <v>46302</v>
      </c>
      <c r="B163" s="22" t="s">
        <v>91</v>
      </c>
      <c r="C163" s="23" t="n">
        <v>0.28125</v>
      </c>
      <c r="D163" s="24" t="n">
        <v>328640.688</v>
      </c>
      <c r="E163" s="24" t="n">
        <v>171781.109</v>
      </c>
      <c r="F163" s="24" t="n">
        <v>372224.875</v>
      </c>
      <c r="G163" s="22" t="n">
        <f aca="false">HOUR(C163)*60+MINUTE(C163)</f>
        <v>405</v>
      </c>
      <c r="H163" s="25" t="n">
        <f aca="false">IF(AND(B163=B162,A163=A162,D163&gt;0,N(D162)&gt;0,G163&gt;N(G162)),(D163-D162)/((G163-G162)/60),"")</f>
        <v>31.3760000001639</v>
      </c>
      <c r="I163" s="22" t="str">
        <f aca="false">IFERROR(INDEX(Medidores!$B:$B,MATCH(B163,Medidores!$A:$A,0)),"")</f>
        <v>Estación celda 1</v>
      </c>
      <c r="J163" s="22" t="s">
        <v>44</v>
      </c>
    </row>
    <row r="164" customFormat="false" ht="15" hidden="false" customHeight="false" outlineLevel="0" collapsed="false">
      <c r="A164" s="21" t="n">
        <v>46302</v>
      </c>
      <c r="B164" s="22" t="s">
        <v>91</v>
      </c>
      <c r="C164" s="23" t="n">
        <v>0.291666666666667</v>
      </c>
      <c r="D164" s="24" t="n">
        <v>328648.25</v>
      </c>
      <c r="E164" s="24" t="n">
        <v>171784.766</v>
      </c>
      <c r="F164" s="24" t="n">
        <v>372233.313</v>
      </c>
      <c r="G164" s="22" t="n">
        <f aca="false">HOUR(C164)*60+MINUTE(C164)</f>
        <v>420</v>
      </c>
      <c r="H164" s="25" t="n">
        <f aca="false">IF(AND(B164=B163,A164=A163,D164&gt;0,N(D163)&gt;0,G164&gt;N(G163)),(D164-D163)/((G164-G163)/60),"")</f>
        <v>30.247999999905</v>
      </c>
      <c r="I164" s="22" t="str">
        <f aca="false">IFERROR(INDEX(Medidores!$B:$B,MATCH(B164,Medidores!$A:$A,0)),"")</f>
        <v>Estación celda 1</v>
      </c>
      <c r="J164" s="22" t="s">
        <v>45</v>
      </c>
    </row>
    <row r="165" customFormat="false" ht="15" hidden="false" customHeight="false" outlineLevel="0" collapsed="false">
      <c r="A165" s="21" t="n">
        <v>46302</v>
      </c>
      <c r="B165" s="22" t="s">
        <v>91</v>
      </c>
      <c r="C165" s="23" t="n">
        <v>0.302083333333333</v>
      </c>
      <c r="D165" s="24" t="n">
        <v>328658.594</v>
      </c>
      <c r="E165" s="24" t="n">
        <v>171789.859</v>
      </c>
      <c r="F165" s="24" t="n">
        <v>372244.875</v>
      </c>
      <c r="G165" s="22" t="n">
        <f aca="false">HOUR(C165)*60+MINUTE(C165)</f>
        <v>435</v>
      </c>
      <c r="H165" s="25" t="n">
        <f aca="false">IF(AND(B165=B164,A165=A164,D165&gt;0,N(D164)&gt;0,G165&gt;N(G164)),(D165-D164)/((G165-G164)/60),"")</f>
        <v>41.3759999999311</v>
      </c>
      <c r="I165" s="22" t="str">
        <f aca="false">IFERROR(INDEX(Medidores!$B:$B,MATCH(B165,Medidores!$A:$A,0)),"")</f>
        <v>Estación celda 1</v>
      </c>
      <c r="J165" s="22" t="s">
        <v>46</v>
      </c>
    </row>
    <row r="166" customFormat="false" ht="15" hidden="false" customHeight="false" outlineLevel="0" collapsed="false">
      <c r="A166" s="21" t="n">
        <v>46302</v>
      </c>
      <c r="B166" s="22" t="s">
        <v>91</v>
      </c>
      <c r="C166" s="23" t="n">
        <v>0.3125</v>
      </c>
      <c r="D166" s="24" t="n">
        <v>328670.969</v>
      </c>
      <c r="E166" s="24" t="n">
        <v>171795.828</v>
      </c>
      <c r="F166" s="24" t="n">
        <v>372258.625</v>
      </c>
      <c r="G166" s="22" t="n">
        <f aca="false">HOUR(C166)*60+MINUTE(C166)</f>
        <v>450</v>
      </c>
      <c r="H166" s="25" t="n">
        <f aca="false">IF(AND(B166=B165,A166=A165,D166&gt;0,N(D165)&gt;0,G166&gt;N(G165)),(D166-D165)/((G166-G165)/60),"")</f>
        <v>49.5</v>
      </c>
      <c r="I166" s="22" t="str">
        <f aca="false">IFERROR(INDEX(Medidores!$B:$B,MATCH(B166,Medidores!$A:$A,0)),"")</f>
        <v>Estación celda 1</v>
      </c>
      <c r="J166" s="22" t="s">
        <v>47</v>
      </c>
    </row>
    <row r="167" customFormat="false" ht="15" hidden="false" customHeight="false" outlineLevel="0" collapsed="false">
      <c r="A167" s="21" t="n">
        <v>46302</v>
      </c>
      <c r="B167" s="22" t="s">
        <v>91</v>
      </c>
      <c r="C167" s="23" t="n">
        <v>0.322916666666667</v>
      </c>
      <c r="D167" s="24" t="n">
        <v>328684.625</v>
      </c>
      <c r="E167" s="24" t="n">
        <v>171802.156</v>
      </c>
      <c r="F167" s="24" t="n">
        <v>372273.688</v>
      </c>
      <c r="G167" s="22" t="n">
        <f aca="false">HOUR(C167)*60+MINUTE(C167)</f>
        <v>465</v>
      </c>
      <c r="H167" s="25" t="n">
        <f aca="false">IF(AND(B167=B166,A167=A166,D167&gt;0,N(D166)&gt;0,G167&gt;N(G166)),(D167-D166)/((G167-G166)/60),"")</f>
        <v>54.6240000000689</v>
      </c>
      <c r="I167" s="22" t="str">
        <f aca="false">IFERROR(INDEX(Medidores!$B:$B,MATCH(B167,Medidores!$A:$A,0)),"")</f>
        <v>Estación celda 1</v>
      </c>
      <c r="J167" s="22" t="s">
        <v>48</v>
      </c>
    </row>
    <row r="168" customFormat="false" ht="15" hidden="false" customHeight="false" outlineLevel="0" collapsed="false">
      <c r="A168" s="21" t="n">
        <v>46302</v>
      </c>
      <c r="B168" s="22" t="s">
        <v>91</v>
      </c>
      <c r="C168" s="23" t="n">
        <v>0.333333333333333</v>
      </c>
      <c r="D168" s="24" t="n">
        <v>328698.438</v>
      </c>
      <c r="E168" s="24" t="n">
        <v>171808.547</v>
      </c>
      <c r="F168" s="24" t="n">
        <v>372288.906</v>
      </c>
      <c r="G168" s="22" t="n">
        <f aca="false">HOUR(C168)*60+MINUTE(C168)</f>
        <v>480</v>
      </c>
      <c r="H168" s="25" t="n">
        <f aca="false">IF(AND(B168=B167,A168=A167,D168&gt;0,N(D167)&gt;0,G168&gt;N(G167)),(D168-D167)/((G168-G167)/60),"")</f>
        <v>55.252000000095</v>
      </c>
      <c r="I168" s="22" t="str">
        <f aca="false">IFERROR(INDEX(Medidores!$B:$B,MATCH(B168,Medidores!$A:$A,0)),"")</f>
        <v>Estación celda 1</v>
      </c>
      <c r="J168" s="22" t="s">
        <v>49</v>
      </c>
    </row>
    <row r="169" customFormat="false" ht="15" hidden="false" customHeight="false" outlineLevel="0" collapsed="false">
      <c r="A169" s="21" t="n">
        <v>46302</v>
      </c>
      <c r="B169" s="22" t="s">
        <v>91</v>
      </c>
      <c r="C169" s="23" t="n">
        <v>0.34375</v>
      </c>
      <c r="D169" s="24" t="n">
        <v>328711.438</v>
      </c>
      <c r="E169" s="24" t="n">
        <v>171815.016</v>
      </c>
      <c r="F169" s="24" t="n">
        <v>372303.438</v>
      </c>
      <c r="G169" s="22" t="n">
        <f aca="false">HOUR(C169)*60+MINUTE(C169)</f>
        <v>495</v>
      </c>
      <c r="H169" s="25" t="n">
        <f aca="false">IF(AND(B169=B168,A169=A168,D169&gt;0,N(D168)&gt;0,G169&gt;N(G168)),(D169-D168)/((G169-G168)/60),"")</f>
        <v>52</v>
      </c>
      <c r="I169" s="22" t="str">
        <f aca="false">IFERROR(INDEX(Medidores!$B:$B,MATCH(B169,Medidores!$A:$A,0)),"")</f>
        <v>Estación celda 1</v>
      </c>
      <c r="J169" s="22" t="s">
        <v>50</v>
      </c>
    </row>
    <row r="170" customFormat="false" ht="15" hidden="false" customHeight="false" outlineLevel="0" collapsed="false">
      <c r="A170" s="21" t="n">
        <v>46302</v>
      </c>
      <c r="B170" s="22" t="s">
        <v>91</v>
      </c>
      <c r="C170" s="23" t="n">
        <v>0.354166666666667</v>
      </c>
      <c r="D170" s="24" t="n">
        <v>328725.094</v>
      </c>
      <c r="E170" s="24" t="n">
        <v>171821.656</v>
      </c>
      <c r="F170" s="24" t="n">
        <v>372318.625</v>
      </c>
      <c r="G170" s="22" t="n">
        <f aca="false">HOUR(C170)*60+MINUTE(C170)</f>
        <v>510</v>
      </c>
      <c r="H170" s="25" t="n">
        <f aca="false">IF(AND(B170=B169,A170=A169,D170&gt;0,N(D169)&gt;0,G170&gt;N(G169)),(D170-D169)/((G170-G169)/60),"")</f>
        <v>54.6239999998361</v>
      </c>
      <c r="I170" s="22" t="str">
        <f aca="false">IFERROR(INDEX(Medidores!$B:$B,MATCH(B170,Medidores!$A:$A,0)),"")</f>
        <v>Estación celda 1</v>
      </c>
      <c r="J170" s="22" t="s">
        <v>51</v>
      </c>
    </row>
    <row r="171" customFormat="false" ht="15" hidden="false" customHeight="false" outlineLevel="0" collapsed="false">
      <c r="A171" s="21" t="n">
        <v>46302</v>
      </c>
      <c r="B171" s="22" t="s">
        <v>91</v>
      </c>
      <c r="C171" s="23" t="n">
        <v>0.364583333333333</v>
      </c>
      <c r="D171" s="24" t="n">
        <v>328737.688</v>
      </c>
      <c r="E171" s="24" t="n">
        <v>171828.016</v>
      </c>
      <c r="F171" s="24" t="n">
        <v>372332.75</v>
      </c>
      <c r="G171" s="22" t="n">
        <f aca="false">HOUR(C171)*60+MINUTE(C171)</f>
        <v>525</v>
      </c>
      <c r="H171" s="25" t="n">
        <f aca="false">IF(AND(B171=B170,A171=A170,D171&gt;0,N(D170)&gt;0,G171&gt;N(G170)),(D171-D170)/((G171-G170)/60),"")</f>
        <v>50.3760000001639</v>
      </c>
      <c r="I171" s="22" t="str">
        <f aca="false">IFERROR(INDEX(Medidores!$B:$B,MATCH(B171,Medidores!$A:$A,0)),"")</f>
        <v>Estación celda 1</v>
      </c>
      <c r="J171" s="22" t="s">
        <v>52</v>
      </c>
    </row>
    <row r="172" customFormat="false" ht="15" hidden="false" customHeight="false" outlineLevel="0" collapsed="false">
      <c r="A172" s="21" t="n">
        <v>46302</v>
      </c>
      <c r="B172" s="22" t="s">
        <v>91</v>
      </c>
      <c r="C172" s="23" t="n">
        <v>0.375</v>
      </c>
      <c r="D172" s="24" t="n">
        <v>328750.469</v>
      </c>
      <c r="E172" s="24" t="n">
        <v>171834.313</v>
      </c>
      <c r="F172" s="24" t="n">
        <v>372346.969</v>
      </c>
      <c r="G172" s="22" t="n">
        <f aca="false">HOUR(C172)*60+MINUTE(C172)</f>
        <v>540</v>
      </c>
      <c r="H172" s="25" t="n">
        <f aca="false">IF(AND(B172=B171,A172=A171,D172&gt;0,N(D171)&gt;0,G172&gt;N(G171)),(D172-D171)/((G172-G171)/60),"")</f>
        <v>51.1239999998361</v>
      </c>
      <c r="I172" s="22" t="str">
        <f aca="false">IFERROR(INDEX(Medidores!$B:$B,MATCH(B172,Medidores!$A:$A,0)),"")</f>
        <v>Estación celda 1</v>
      </c>
      <c r="J172" s="22" t="s">
        <v>53</v>
      </c>
    </row>
    <row r="173" customFormat="false" ht="15" hidden="false" customHeight="false" outlineLevel="0" collapsed="false">
      <c r="A173" s="21" t="n">
        <v>46302</v>
      </c>
      <c r="B173" s="22" t="s">
        <v>91</v>
      </c>
      <c r="C173" s="23" t="n">
        <v>0.385416666666667</v>
      </c>
      <c r="D173" s="24" t="n">
        <v>328764</v>
      </c>
      <c r="E173" s="24" t="n">
        <v>171840.813</v>
      </c>
      <c r="F173" s="24" t="n">
        <v>372362.031</v>
      </c>
      <c r="G173" s="22" t="n">
        <f aca="false">HOUR(C173)*60+MINUTE(C173)</f>
        <v>555</v>
      </c>
      <c r="H173" s="25" t="n">
        <f aca="false">IF(AND(B173=B172,A173=A172,D173&gt;0,N(D172)&gt;0,G173&gt;N(G172)),(D173-D172)/((G173-G172)/60),"")</f>
        <v>54.1240000000689</v>
      </c>
      <c r="I173" s="22" t="str">
        <f aca="false">IFERROR(INDEX(Medidores!$B:$B,MATCH(B173,Medidores!$A:$A,0)),"")</f>
        <v>Estación celda 1</v>
      </c>
      <c r="J173" s="22" t="s">
        <v>54</v>
      </c>
    </row>
    <row r="174" customFormat="false" ht="15" hidden="false" customHeight="false" outlineLevel="0" collapsed="false">
      <c r="A174" s="21" t="n">
        <v>46302</v>
      </c>
      <c r="B174" s="22" t="s">
        <v>91</v>
      </c>
      <c r="C174" s="23" t="n">
        <v>0.395833333333333</v>
      </c>
      <c r="D174" s="24" t="n">
        <v>328776.719</v>
      </c>
      <c r="E174" s="24" t="n">
        <v>171847.016</v>
      </c>
      <c r="F174" s="24" t="n">
        <v>372376.125</v>
      </c>
      <c r="G174" s="22" t="n">
        <f aca="false">HOUR(C174)*60+MINUTE(C174)</f>
        <v>570</v>
      </c>
      <c r="H174" s="25" t="n">
        <f aca="false">IF(AND(B174=B173,A174=A173,D174&gt;0,N(D173)&gt;0,G174&gt;N(G173)),(D174-D173)/((G174-G173)/60),"")</f>
        <v>50.8759999999311</v>
      </c>
      <c r="I174" s="22" t="str">
        <f aca="false">IFERROR(INDEX(Medidores!$B:$B,MATCH(B174,Medidores!$A:$A,0)),"")</f>
        <v>Estación celda 1</v>
      </c>
      <c r="J174" s="22" t="s">
        <v>55</v>
      </c>
    </row>
    <row r="175" customFormat="false" ht="15" hidden="false" customHeight="false" outlineLevel="0" collapsed="false">
      <c r="A175" s="21" t="n">
        <v>46302</v>
      </c>
      <c r="B175" s="22" t="s">
        <v>91</v>
      </c>
      <c r="C175" s="23" t="n">
        <v>0.40625</v>
      </c>
      <c r="D175" s="24" t="n">
        <v>328789.563</v>
      </c>
      <c r="E175" s="24" t="n">
        <v>171853.266</v>
      </c>
      <c r="F175" s="24" t="n">
        <v>372390.469</v>
      </c>
      <c r="G175" s="22" t="n">
        <f aca="false">HOUR(C175)*60+MINUTE(C175)</f>
        <v>585</v>
      </c>
      <c r="H175" s="25" t="n">
        <f aca="false">IF(AND(B175=B174,A175=A174,D175&gt;0,N(D174)&gt;0,G175&gt;N(G174)),(D175-D174)/((G175-G174)/60),"")</f>
        <v>51.3760000001639</v>
      </c>
      <c r="I175" s="22" t="str">
        <f aca="false">IFERROR(INDEX(Medidores!$B:$B,MATCH(B175,Medidores!$A:$A,0)),"")</f>
        <v>Estación celda 1</v>
      </c>
      <c r="J175" s="22" t="s">
        <v>56</v>
      </c>
    </row>
    <row r="176" customFormat="false" ht="15" hidden="false" customHeight="false" outlineLevel="0" collapsed="false">
      <c r="A176" s="21" t="n">
        <v>46302</v>
      </c>
      <c r="B176" s="22" t="s">
        <v>91</v>
      </c>
      <c r="C176" s="23" t="n">
        <v>0.416666666666667</v>
      </c>
      <c r="D176" s="24" t="n">
        <v>328805.281</v>
      </c>
      <c r="E176" s="24" t="n">
        <v>171860.547</v>
      </c>
      <c r="F176" s="24" t="n">
        <v>372407.781</v>
      </c>
      <c r="G176" s="22" t="n">
        <f aca="false">HOUR(C176)*60+MINUTE(C176)</f>
        <v>600</v>
      </c>
      <c r="H176" s="25" t="n">
        <f aca="false">IF(AND(B176=B175,A176=A175,D176&gt;0,N(D175)&gt;0,G176&gt;N(G175)),(D176-D175)/((G176-G175)/60),"")</f>
        <v>62.8719999999739</v>
      </c>
      <c r="I176" s="22" t="str">
        <f aca="false">IFERROR(INDEX(Medidores!$B:$B,MATCH(B176,Medidores!$A:$A,0)),"")</f>
        <v>Estación celda 1</v>
      </c>
      <c r="J176" s="22" t="s">
        <v>57</v>
      </c>
    </row>
    <row r="177" customFormat="false" ht="15" hidden="false" customHeight="false" outlineLevel="0" collapsed="false">
      <c r="A177" s="21" t="n">
        <v>46302</v>
      </c>
      <c r="B177" s="22" t="s">
        <v>91</v>
      </c>
      <c r="C177" s="23" t="n">
        <v>0.427083333333333</v>
      </c>
      <c r="D177" s="24" t="n">
        <v>328819.094</v>
      </c>
      <c r="E177" s="24" t="n">
        <v>171867.188</v>
      </c>
      <c r="F177" s="24" t="n">
        <v>372423.125</v>
      </c>
      <c r="G177" s="22" t="n">
        <f aca="false">HOUR(C177)*60+MINUTE(C177)</f>
        <v>615</v>
      </c>
      <c r="H177" s="25" t="n">
        <f aca="false">IF(AND(B177=B176,A177=A176,D177&gt;0,N(D176)&gt;0,G177&gt;N(G176)),(D177-D176)/((G177-G176)/60),"")</f>
        <v>55.2519999998622</v>
      </c>
      <c r="I177" s="22" t="str">
        <f aca="false">IFERROR(INDEX(Medidores!$B:$B,MATCH(B177,Medidores!$A:$A,0)),"")</f>
        <v>Estación celda 1</v>
      </c>
      <c r="J177" s="22" t="s">
        <v>58</v>
      </c>
    </row>
    <row r="178" customFormat="false" ht="15" hidden="false" customHeight="false" outlineLevel="0" collapsed="false">
      <c r="A178" s="21" t="n">
        <v>46302</v>
      </c>
      <c r="B178" s="22" t="s">
        <v>91</v>
      </c>
      <c r="C178" s="23" t="n">
        <v>0.4375</v>
      </c>
      <c r="D178" s="24" t="n">
        <v>328833.438</v>
      </c>
      <c r="E178" s="24" t="n">
        <v>171873.984</v>
      </c>
      <c r="F178" s="24" t="n">
        <v>372439</v>
      </c>
      <c r="G178" s="22" t="n">
        <f aca="false">HOUR(C178)*60+MINUTE(C178)</f>
        <v>630</v>
      </c>
      <c r="H178" s="25" t="n">
        <f aca="false">IF(AND(B178=B177,A178=A177,D178&gt;0,N(D177)&gt;0,G178&gt;N(G177)),(D178-D177)/((G178-G177)/60),"")</f>
        <v>57.3760000001639</v>
      </c>
      <c r="I178" s="22" t="str">
        <f aca="false">IFERROR(INDEX(Medidores!$B:$B,MATCH(B178,Medidores!$A:$A,0)),"")</f>
        <v>Estación celda 1</v>
      </c>
      <c r="J178" s="22" t="s">
        <v>59</v>
      </c>
    </row>
    <row r="179" customFormat="false" ht="15" hidden="false" customHeight="false" outlineLevel="0" collapsed="false">
      <c r="A179" s="21" t="n">
        <v>46302</v>
      </c>
      <c r="B179" s="22" t="s">
        <v>91</v>
      </c>
      <c r="C179" s="23" t="n">
        <v>0.447916666666667</v>
      </c>
      <c r="D179" s="24" t="n">
        <v>328845.563</v>
      </c>
      <c r="E179" s="24" t="n">
        <v>171880.125</v>
      </c>
      <c r="F179" s="24" t="n">
        <v>372452.594</v>
      </c>
      <c r="G179" s="22" t="n">
        <f aca="false">HOUR(C179)*60+MINUTE(C179)</f>
        <v>645</v>
      </c>
      <c r="H179" s="25" t="n">
        <f aca="false">IF(AND(B179=B178,A179=A178,D179&gt;0,N(D178)&gt;0,G179&gt;N(G178)),(D179-D178)/((G179-G178)/60),"")</f>
        <v>48.5</v>
      </c>
      <c r="I179" s="22" t="str">
        <f aca="false">IFERROR(INDEX(Medidores!$B:$B,MATCH(B179,Medidores!$A:$A,0)),"")</f>
        <v>Estación celda 1</v>
      </c>
      <c r="J179" s="22" t="s">
        <v>60</v>
      </c>
    </row>
    <row r="180" customFormat="false" ht="15" hidden="false" customHeight="false" outlineLevel="0" collapsed="false">
      <c r="A180" s="21" t="n">
        <v>46302</v>
      </c>
      <c r="B180" s="22" t="s">
        <v>91</v>
      </c>
      <c r="C180" s="23" t="n">
        <v>0.458333333333333</v>
      </c>
      <c r="D180" s="24" t="n">
        <v>328855.094</v>
      </c>
      <c r="E180" s="24" t="n">
        <v>171885.422</v>
      </c>
      <c r="F180" s="24" t="n">
        <v>372463.531</v>
      </c>
      <c r="G180" s="22" t="n">
        <f aca="false">HOUR(C180)*60+MINUTE(C180)</f>
        <v>660</v>
      </c>
      <c r="H180" s="25" t="n">
        <f aca="false">IF(AND(B180=B179,A180=A179,D180&gt;0,N(D179)&gt;0,G180&gt;N(G179)),(D180-D179)/((G180-G179)/60),"")</f>
        <v>38.1239999998361</v>
      </c>
      <c r="I180" s="22" t="str">
        <f aca="false">IFERROR(INDEX(Medidores!$B:$B,MATCH(B180,Medidores!$A:$A,0)),"")</f>
        <v>Estación celda 1</v>
      </c>
      <c r="J180" s="22" t="s">
        <v>61</v>
      </c>
    </row>
    <row r="181" customFormat="false" ht="15" hidden="false" customHeight="false" outlineLevel="0" collapsed="false">
      <c r="A181" s="21" t="n">
        <v>46302</v>
      </c>
      <c r="B181" s="22" t="s">
        <v>91</v>
      </c>
      <c r="C181" s="23" t="n">
        <v>0.46875</v>
      </c>
      <c r="D181" s="24" t="n">
        <v>328866.094</v>
      </c>
      <c r="E181" s="24" t="n">
        <v>171891.313</v>
      </c>
      <c r="F181" s="24" t="n">
        <v>372475.969</v>
      </c>
      <c r="G181" s="22" t="n">
        <f aca="false">HOUR(C181)*60+MINUTE(C181)</f>
        <v>675</v>
      </c>
      <c r="H181" s="25" t="n">
        <f aca="false">IF(AND(B181=B180,A181=A180,D181&gt;0,N(D180)&gt;0,G181&gt;N(G180)),(D181-D180)/((G181-G180)/60),"")</f>
        <v>44</v>
      </c>
      <c r="I181" s="22" t="str">
        <f aca="false">IFERROR(INDEX(Medidores!$B:$B,MATCH(B181,Medidores!$A:$A,0)),"")</f>
        <v>Estación celda 1</v>
      </c>
      <c r="J181" s="22" t="s">
        <v>83</v>
      </c>
    </row>
    <row r="182" customFormat="false" ht="15" hidden="false" customHeight="false" outlineLevel="0" collapsed="false">
      <c r="A182" s="21" t="n">
        <v>46303</v>
      </c>
      <c r="B182" s="22" t="s">
        <v>41</v>
      </c>
      <c r="C182" s="23" t="n">
        <v>0.416666666666667</v>
      </c>
      <c r="D182" s="24" t="n">
        <v>23335.144</v>
      </c>
      <c r="E182" s="24" t="n">
        <v>5905.492</v>
      </c>
      <c r="F182" s="24" t="n">
        <v>24277.713</v>
      </c>
      <c r="G182" s="22" t="n">
        <f aca="false">HOUR(C182)*60+MINUTE(C182)</f>
        <v>600</v>
      </c>
      <c r="H182" s="25" t="str">
        <f aca="false">IF(AND(B182=B181,A182=A181,D182&gt;0,N(D181)&gt;0,G182&gt;N(G181)),(D182-D181)/((G182-G181)/60),"")</f>
        <v/>
      </c>
      <c r="I182" s="22" t="str">
        <f aca="false">IFERROR(INDEX(Medidores!$B:$B,MATCH(B182,Medidores!$A:$A,0)),"")</f>
        <v>L22</v>
      </c>
      <c r="J182" s="22" t="s">
        <v>92</v>
      </c>
    </row>
    <row r="183" customFormat="false" ht="15" hidden="false" customHeight="false" outlineLevel="0" collapsed="false">
      <c r="A183" s="21" t="n">
        <v>46303</v>
      </c>
      <c r="B183" s="22" t="s">
        <v>41</v>
      </c>
      <c r="C183" s="23" t="n">
        <v>0.427083333333333</v>
      </c>
      <c r="D183" s="24" t="n">
        <v>23336.824</v>
      </c>
      <c r="E183" s="24" t="n">
        <v>5906.001</v>
      </c>
      <c r="F183" s="24" t="n">
        <v>24279.481</v>
      </c>
      <c r="G183" s="22" t="n">
        <f aca="false">HOUR(C183)*60+MINUTE(C183)</f>
        <v>615</v>
      </c>
      <c r="H183" s="25" t="n">
        <f aca="false">IF(AND(B183=B182,A183=A182,D183&gt;0,N(D182)&gt;0,G183&gt;N(G182)),(D183-D182)/((G183-G182)/60),"")</f>
        <v>6.72000000000116</v>
      </c>
      <c r="I183" s="22" t="str">
        <f aca="false">IFERROR(INDEX(Medidores!$B:$B,MATCH(B183,Medidores!$A:$A,0)),"")</f>
        <v>L22</v>
      </c>
      <c r="J183" s="22" t="s">
        <v>93</v>
      </c>
    </row>
    <row r="184" customFormat="false" ht="15" hidden="false" customHeight="false" outlineLevel="0" collapsed="false">
      <c r="A184" s="21" t="n">
        <v>46303</v>
      </c>
      <c r="B184" s="22" t="s">
        <v>41</v>
      </c>
      <c r="C184" s="23" t="n">
        <v>0.4375</v>
      </c>
      <c r="D184" s="24" t="n">
        <v>23338.508</v>
      </c>
      <c r="E184" s="24" t="n">
        <v>5906.517</v>
      </c>
      <c r="F184" s="24" t="n">
        <v>24281.256</v>
      </c>
      <c r="G184" s="22" t="n">
        <f aca="false">HOUR(C184)*60+MINUTE(C184)</f>
        <v>630</v>
      </c>
      <c r="H184" s="25" t="n">
        <f aca="false">IF(AND(B184=B183,A184=A183,D184&gt;0,N(D183)&gt;0,G184&gt;N(G183)),(D184-D183)/((G184-G183)/60),"")</f>
        <v>6.73600000000442</v>
      </c>
      <c r="I184" s="22" t="str">
        <f aca="false">IFERROR(INDEX(Medidores!$B:$B,MATCH(B184,Medidores!$A:$A,0)),"")</f>
        <v>L22</v>
      </c>
      <c r="J184" s="22" t="s">
        <v>94</v>
      </c>
    </row>
    <row r="185" customFormat="false" ht="15" hidden="false" customHeight="false" outlineLevel="0" collapsed="false">
      <c r="A185" s="21" t="n">
        <v>46303</v>
      </c>
      <c r="B185" s="22" t="s">
        <v>41</v>
      </c>
      <c r="C185" s="23" t="n">
        <v>0.447916666666667</v>
      </c>
      <c r="D185" s="24" t="n">
        <v>23339.59</v>
      </c>
      <c r="E185" s="24" t="n">
        <v>5906.8</v>
      </c>
      <c r="F185" s="24" t="n">
        <v>24282.389</v>
      </c>
      <c r="G185" s="22" t="n">
        <f aca="false">HOUR(C185)*60+MINUTE(C185)</f>
        <v>645</v>
      </c>
      <c r="H185" s="25" t="n">
        <f aca="false">IF(AND(B185=B184,A185=A184,D185&gt;0,N(D184)&gt;0,G185&gt;N(G184)),(D185-D184)/((G185-G184)/60),"")</f>
        <v>4.32799999999406</v>
      </c>
      <c r="I185" s="22" t="str">
        <f aca="false">IFERROR(INDEX(Medidores!$B:$B,MATCH(B185,Medidores!$A:$A,0)),"")</f>
        <v>L22</v>
      </c>
      <c r="J185" s="22" t="s">
        <v>95</v>
      </c>
    </row>
    <row r="186" customFormat="false" ht="15" hidden="false" customHeight="false" outlineLevel="0" collapsed="false">
      <c r="A186" s="21" t="n">
        <v>46303</v>
      </c>
      <c r="B186" s="22" t="s">
        <v>41</v>
      </c>
      <c r="C186" s="23" t="n">
        <v>0.458333333333333</v>
      </c>
      <c r="D186" s="24" t="n">
        <v>23340.273</v>
      </c>
      <c r="E186" s="24" t="n">
        <v>5906.905</v>
      </c>
      <c r="F186" s="24" t="n">
        <v>24283.082</v>
      </c>
      <c r="G186" s="22" t="n">
        <f aca="false">HOUR(C186)*60+MINUTE(C186)</f>
        <v>660</v>
      </c>
      <c r="H186" s="25" t="n">
        <f aca="false">IF(AND(B186=B185,A186=A185,D186&gt;0,N(D185)&gt;0,G186&gt;N(G185)),(D186-D185)/((G186-G185)/60),"")</f>
        <v>2.73200000000361</v>
      </c>
      <c r="I186" s="22" t="str">
        <f aca="false">IFERROR(INDEX(Medidores!$B:$B,MATCH(B186,Medidores!$A:$A,0)),"")</f>
        <v>L22</v>
      </c>
      <c r="J186" s="22" t="s">
        <v>96</v>
      </c>
    </row>
    <row r="187" customFormat="false" ht="15" hidden="false" customHeight="false" outlineLevel="0" collapsed="false">
      <c r="A187" s="21" t="n">
        <v>46303</v>
      </c>
      <c r="B187" s="22" t="s">
        <v>41</v>
      </c>
      <c r="C187" s="23" t="n">
        <v>0.46875</v>
      </c>
      <c r="D187" s="24" t="n">
        <v>23341.572</v>
      </c>
      <c r="E187" s="24" t="n">
        <v>5907.249</v>
      </c>
      <c r="F187" s="24" t="n">
        <v>24284.434</v>
      </c>
      <c r="G187" s="22" t="n">
        <f aca="false">HOUR(C187)*60+MINUTE(C187)</f>
        <v>675</v>
      </c>
      <c r="H187" s="25" t="n">
        <f aca="false">IF(AND(B187=B186,A187=A186,D187&gt;0,N(D186)&gt;0,G187&gt;N(G186)),(D187-D186)/((G187-G186)/60),"")</f>
        <v>5.19599999999628</v>
      </c>
      <c r="I187" s="22" t="str">
        <f aca="false">IFERROR(INDEX(Medidores!$B:$B,MATCH(B187,Medidores!$A:$A,0)),"")</f>
        <v>L22</v>
      </c>
      <c r="J187" s="22" t="s">
        <v>97</v>
      </c>
    </row>
    <row r="188" customFormat="false" ht="15" hidden="false" customHeight="false" outlineLevel="0" collapsed="false">
      <c r="A188" s="21" t="n">
        <v>46303</v>
      </c>
      <c r="B188" s="22" t="s">
        <v>41</v>
      </c>
      <c r="C188" s="23" t="n">
        <v>0.479166666666667</v>
      </c>
      <c r="D188" s="24" t="n">
        <v>23343.225</v>
      </c>
      <c r="E188" s="24" t="n">
        <v>5907.764</v>
      </c>
      <c r="F188" s="24" t="n">
        <v>24286.184</v>
      </c>
      <c r="G188" s="22" t="n">
        <f aca="false">HOUR(C188)*60+MINUTE(C188)</f>
        <v>690</v>
      </c>
      <c r="H188" s="25" t="n">
        <f aca="false">IF(AND(B188=B187,A188=A187,D188&gt;0,N(D187)&gt;0,G188&gt;N(G187)),(D188-D187)/((G188-G187)/60),"")</f>
        <v>6.61199999999371</v>
      </c>
      <c r="I188" s="22" t="str">
        <f aca="false">IFERROR(INDEX(Medidores!$B:$B,MATCH(B188,Medidores!$A:$A,0)),"")</f>
        <v>L22</v>
      </c>
      <c r="J188" s="22" t="s">
        <v>98</v>
      </c>
    </row>
    <row r="189" customFormat="false" ht="15" hidden="false" customHeight="false" outlineLevel="0" collapsed="false">
      <c r="A189" s="21" t="n">
        <v>46303</v>
      </c>
      <c r="B189" s="22" t="s">
        <v>41</v>
      </c>
      <c r="C189" s="23" t="n">
        <v>0.489583333333333</v>
      </c>
      <c r="D189" s="24" t="n">
        <v>23344.881</v>
      </c>
      <c r="E189" s="24" t="n">
        <v>5908.26</v>
      </c>
      <c r="F189" s="24" t="n">
        <v>24287.928</v>
      </c>
      <c r="G189" s="22" t="n">
        <f aca="false">HOUR(C189)*60+MINUTE(C189)</f>
        <v>705</v>
      </c>
      <c r="H189" s="25" t="n">
        <f aca="false">IF(AND(B189=B188,A189=A188,D189&gt;0,N(D188)&gt;0,G189&gt;N(G188)),(D189-D188)/((G189-G188)/60),"")</f>
        <v>6.62400000001071</v>
      </c>
      <c r="I189" s="22" t="str">
        <f aca="false">IFERROR(INDEX(Medidores!$B:$B,MATCH(B189,Medidores!$A:$A,0)),"")</f>
        <v>L22</v>
      </c>
      <c r="J189" s="22" t="s">
        <v>99</v>
      </c>
    </row>
    <row r="190" customFormat="false" ht="15" hidden="false" customHeight="false" outlineLevel="0" collapsed="false">
      <c r="A190" s="21" t="n">
        <v>46303</v>
      </c>
      <c r="B190" s="22" t="s">
        <v>41</v>
      </c>
      <c r="C190" s="23" t="n">
        <v>0.5</v>
      </c>
      <c r="D190" s="24" t="n">
        <v>23346.531</v>
      </c>
      <c r="E190" s="24" t="n">
        <v>5908.78</v>
      </c>
      <c r="F190" s="24" t="n">
        <v>24289.672</v>
      </c>
      <c r="G190" s="22" t="n">
        <f aca="false">HOUR(C190)*60+MINUTE(C190)</f>
        <v>720</v>
      </c>
      <c r="H190" s="25" t="n">
        <f aca="false">IF(AND(B190=B189,A190=A189,D190&gt;0,N(D189)&gt;0,G190&gt;N(G189)),(D190-D189)/((G190-G189)/60),"")</f>
        <v>6.59999999999127</v>
      </c>
      <c r="I190" s="22" t="str">
        <f aca="false">IFERROR(INDEX(Medidores!$B:$B,MATCH(B190,Medidores!$A:$A,0)),"")</f>
        <v>L22</v>
      </c>
      <c r="J190" s="22" t="s">
        <v>100</v>
      </c>
    </row>
    <row r="191" customFormat="false" ht="15" hidden="false" customHeight="false" outlineLevel="0" collapsed="false">
      <c r="A191" s="21" t="n">
        <v>46303</v>
      </c>
      <c r="B191" s="22" t="s">
        <v>41</v>
      </c>
      <c r="C191" s="23" t="n">
        <v>0.510416666666667</v>
      </c>
      <c r="D191" s="24" t="n">
        <v>23348.188</v>
      </c>
      <c r="E191" s="24" t="n">
        <v>5909.318</v>
      </c>
      <c r="F191" s="24" t="n">
        <v>24291.428</v>
      </c>
      <c r="G191" s="22" t="n">
        <f aca="false">HOUR(C191)*60+MINUTE(C191)</f>
        <v>735</v>
      </c>
      <c r="H191" s="25" t="n">
        <f aca="false">IF(AND(B191=B190,A191=A190,D191&gt;0,N(D190)&gt;0,G191&gt;N(G190)),(D191-D190)/((G191-G190)/60),"")</f>
        <v>6.62799999999697</v>
      </c>
      <c r="I191" s="22" t="str">
        <f aca="false">IFERROR(INDEX(Medidores!$B:$B,MATCH(B191,Medidores!$A:$A,0)),"")</f>
        <v>L22</v>
      </c>
      <c r="J191" s="22" t="s">
        <v>101</v>
      </c>
    </row>
    <row r="192" customFormat="false" ht="15" hidden="false" customHeight="false" outlineLevel="0" collapsed="false">
      <c r="A192" s="21" t="n">
        <v>46303</v>
      </c>
      <c r="B192" s="22" t="s">
        <v>41</v>
      </c>
      <c r="C192" s="23" t="n">
        <v>0.520833333333333</v>
      </c>
      <c r="D192" s="24" t="n">
        <v>23349.832</v>
      </c>
      <c r="E192" s="24" t="n">
        <v>5909.808</v>
      </c>
      <c r="F192" s="24" t="n">
        <v>24293.156</v>
      </c>
      <c r="G192" s="22" t="n">
        <f aca="false">HOUR(C192)*60+MINUTE(C192)</f>
        <v>750</v>
      </c>
      <c r="H192" s="25" t="n">
        <f aca="false">IF(AND(B192=B191,A192=A191,D192&gt;0,N(D191)&gt;0,G192&gt;N(G191)),(D192-D191)/((G192-G191)/60),"")</f>
        <v>6.57600000000093</v>
      </c>
      <c r="I192" s="22" t="str">
        <f aca="false">IFERROR(INDEX(Medidores!$B:$B,MATCH(B192,Medidores!$A:$A,0)),"")</f>
        <v>L22</v>
      </c>
      <c r="J192" s="22" t="s">
        <v>102</v>
      </c>
    </row>
    <row r="193" customFormat="false" ht="15" hidden="false" customHeight="false" outlineLevel="0" collapsed="false">
      <c r="A193" s="21" t="n">
        <v>46303</v>
      </c>
      <c r="B193" s="22" t="s">
        <v>41</v>
      </c>
      <c r="C193" s="23" t="n">
        <v>0.53125</v>
      </c>
      <c r="D193" s="24" t="n">
        <v>23351.494</v>
      </c>
      <c r="E193" s="24" t="n">
        <v>5910.358</v>
      </c>
      <c r="F193" s="24" t="n">
        <v>24294.92</v>
      </c>
      <c r="G193" s="22" t="n">
        <f aca="false">HOUR(C193)*60+MINUTE(C193)</f>
        <v>765</v>
      </c>
      <c r="H193" s="25" t="n">
        <f aca="false">IF(AND(B193=B192,A193=A192,D193&gt;0,N(D192)&gt;0,G193&gt;N(G192)),(D193-D192)/((G193-G192)/60),"")</f>
        <v>6.64800000000105</v>
      </c>
      <c r="I193" s="22" t="str">
        <f aca="false">IFERROR(INDEX(Medidores!$B:$B,MATCH(B193,Medidores!$A:$A,0)),"")</f>
        <v>L22</v>
      </c>
      <c r="J193" s="22" t="s">
        <v>103</v>
      </c>
    </row>
    <row r="194" customFormat="false" ht="15" hidden="false" customHeight="false" outlineLevel="0" collapsed="false">
      <c r="A194" s="21" t="n">
        <v>46303</v>
      </c>
      <c r="B194" s="22" t="s">
        <v>41</v>
      </c>
      <c r="C194" s="23" t="n">
        <v>0.541666666666667</v>
      </c>
      <c r="D194" s="24" t="n">
        <v>23353.021</v>
      </c>
      <c r="E194" s="24" t="n">
        <v>5910.819</v>
      </c>
      <c r="F194" s="24" t="n">
        <v>24296.531</v>
      </c>
      <c r="G194" s="22" t="n">
        <f aca="false">HOUR(C194)*60+MINUTE(C194)</f>
        <v>780</v>
      </c>
      <c r="H194" s="25" t="n">
        <f aca="false">IF(AND(B194=B193,A194=A193,D194&gt;0,N(D193)&gt;0,G194&gt;N(G193)),(D194-D193)/((G194-G193)/60),"")</f>
        <v>6.10800000000745</v>
      </c>
      <c r="I194" s="22" t="str">
        <f aca="false">IFERROR(INDEX(Medidores!$B:$B,MATCH(B194,Medidores!$A:$A,0)),"")</f>
        <v>L22</v>
      </c>
      <c r="J194" s="22" t="s">
        <v>104</v>
      </c>
    </row>
    <row r="195" customFormat="false" ht="15" hidden="false" customHeight="false" outlineLevel="0" collapsed="false">
      <c r="A195" s="21" t="n">
        <v>46303</v>
      </c>
      <c r="B195" s="22" t="s">
        <v>41</v>
      </c>
      <c r="C195" s="23" t="n">
        <v>0.552083333333333</v>
      </c>
      <c r="D195" s="24" t="n">
        <v>23354.68</v>
      </c>
      <c r="E195" s="24" t="n">
        <v>5911.301</v>
      </c>
      <c r="F195" s="24" t="n">
        <v>24298.273</v>
      </c>
      <c r="G195" s="22" t="n">
        <f aca="false">HOUR(C195)*60+MINUTE(C195)</f>
        <v>795</v>
      </c>
      <c r="H195" s="25" t="n">
        <f aca="false">IF(AND(B195=B194,A195=A194,D195&gt;0,N(D194)&gt;0,G195&gt;N(G194)),(D195-D194)/((G195-G194)/60),"")</f>
        <v>6.6359999999986</v>
      </c>
      <c r="I195" s="22" t="str">
        <f aca="false">IFERROR(INDEX(Medidores!$B:$B,MATCH(B195,Medidores!$A:$A,0)),"")</f>
        <v>L22</v>
      </c>
      <c r="J195" s="22" t="s">
        <v>105</v>
      </c>
    </row>
    <row r="196" customFormat="false" ht="15" hidden="false" customHeight="false" outlineLevel="0" collapsed="false">
      <c r="A196" s="21" t="n">
        <v>46303</v>
      </c>
      <c r="B196" s="22" t="s">
        <v>41</v>
      </c>
      <c r="C196" s="23" t="n">
        <v>0.5625</v>
      </c>
      <c r="D196" s="24" t="n">
        <v>23356.344</v>
      </c>
      <c r="E196" s="24" t="n">
        <v>5911.802</v>
      </c>
      <c r="F196" s="24" t="n">
        <v>24300.023</v>
      </c>
      <c r="G196" s="22" t="n">
        <f aca="false">HOUR(C196)*60+MINUTE(C196)</f>
        <v>810</v>
      </c>
      <c r="H196" s="25" t="n">
        <f aca="false">IF(AND(B196=B195,A196=A195,D196&gt;0,N(D195)&gt;0,G196&gt;N(G195)),(D196-D195)/((G196-G195)/60),"")</f>
        <v>6.65600000000268</v>
      </c>
      <c r="I196" s="22" t="str">
        <f aca="false">IFERROR(INDEX(Medidores!$B:$B,MATCH(B196,Medidores!$A:$A,0)),"")</f>
        <v>L22</v>
      </c>
      <c r="J196" s="22" t="s">
        <v>106</v>
      </c>
    </row>
    <row r="197" customFormat="false" ht="15" hidden="false" customHeight="false" outlineLevel="0" collapsed="false">
      <c r="A197" s="21" t="n">
        <v>46303</v>
      </c>
      <c r="B197" s="22" t="s">
        <v>41</v>
      </c>
      <c r="C197" s="23" t="n">
        <v>0.572916666666667</v>
      </c>
      <c r="D197" s="24" t="n">
        <v>23358.008</v>
      </c>
      <c r="E197" s="24" t="n">
        <v>5912.328</v>
      </c>
      <c r="F197" s="24" t="n">
        <v>24301.783</v>
      </c>
      <c r="G197" s="22" t="n">
        <f aca="false">HOUR(C197)*60+MINUTE(C197)</f>
        <v>825</v>
      </c>
      <c r="H197" s="25" t="n">
        <f aca="false">IF(AND(B197=B196,A197=A196,D197&gt;0,N(D196)&gt;0,G197&gt;N(G196)),(D197-D196)/((G197-G196)/60),"")</f>
        <v>6.65600000000268</v>
      </c>
      <c r="I197" s="22" t="str">
        <f aca="false">IFERROR(INDEX(Medidores!$B:$B,MATCH(B197,Medidores!$A:$A,0)),"")</f>
        <v>L22</v>
      </c>
      <c r="J197" s="22" t="s">
        <v>107</v>
      </c>
    </row>
    <row r="198" customFormat="false" ht="15" hidden="false" customHeight="false" outlineLevel="0" collapsed="false">
      <c r="A198" s="21" t="n">
        <v>46303</v>
      </c>
      <c r="B198" s="22" t="s">
        <v>41</v>
      </c>
      <c r="C198" s="23" t="n">
        <v>0.583333333333333</v>
      </c>
      <c r="D198" s="24" t="n">
        <v>23359.668</v>
      </c>
      <c r="E198" s="24" t="n">
        <v>5912.831</v>
      </c>
      <c r="F198" s="24" t="n">
        <v>24303.531</v>
      </c>
      <c r="G198" s="22" t="n">
        <f aca="false">HOUR(C198)*60+MINUTE(C198)</f>
        <v>840</v>
      </c>
      <c r="H198" s="25" t="n">
        <f aca="false">IF(AND(B198=B197,A198=A197,D198&gt;0,N(D197)&gt;0,G198&gt;N(G197)),(D198-D197)/((G198-G197)/60),"")</f>
        <v>6.63999999999942</v>
      </c>
      <c r="I198" s="22" t="str">
        <f aca="false">IFERROR(INDEX(Medidores!$B:$B,MATCH(B198,Medidores!$A:$A,0)),"")</f>
        <v>L22</v>
      </c>
      <c r="J198" s="22" t="s">
        <v>108</v>
      </c>
    </row>
    <row r="199" customFormat="false" ht="15" hidden="false" customHeight="false" outlineLevel="0" collapsed="false">
      <c r="A199" s="21" t="n">
        <v>46303</v>
      </c>
      <c r="B199" s="22" t="s">
        <v>41</v>
      </c>
      <c r="C199" s="23" t="n">
        <v>0.59375</v>
      </c>
      <c r="D199" s="24" t="n">
        <v>23361.342</v>
      </c>
      <c r="E199" s="24" t="n">
        <v>5913.34</v>
      </c>
      <c r="F199" s="24" t="n">
        <v>24305.297</v>
      </c>
      <c r="G199" s="22" t="n">
        <f aca="false">HOUR(C199)*60+MINUTE(C199)</f>
        <v>855</v>
      </c>
      <c r="H199" s="25" t="n">
        <f aca="false">IF(AND(B199=B198,A199=A198,D199&gt;0,N(D198)&gt;0,G199&gt;N(G198)),(D199-D198)/((G199-G198)/60),"")</f>
        <v>6.69599999999628</v>
      </c>
      <c r="I199" s="22" t="str">
        <f aca="false">IFERROR(INDEX(Medidores!$B:$B,MATCH(B199,Medidores!$A:$A,0)),"")</f>
        <v>L22</v>
      </c>
      <c r="J199" s="22" t="s">
        <v>109</v>
      </c>
    </row>
    <row r="200" customFormat="false" ht="15" hidden="false" customHeight="false" outlineLevel="0" collapsed="false">
      <c r="A200" s="21" t="n">
        <v>46303</v>
      </c>
      <c r="B200" s="22" t="s">
        <v>41</v>
      </c>
      <c r="C200" s="23" t="n">
        <v>0.604166666666667</v>
      </c>
      <c r="D200" s="24" t="n">
        <v>23363.012</v>
      </c>
      <c r="E200" s="24" t="n">
        <v>5913.859</v>
      </c>
      <c r="F200" s="24" t="n">
        <v>24307.06</v>
      </c>
      <c r="G200" s="22" t="n">
        <f aca="false">HOUR(C200)*60+MINUTE(C200)</f>
        <v>870</v>
      </c>
      <c r="H200" s="25" t="n">
        <f aca="false">IF(AND(B200=B199,A200=A199,D200&gt;0,N(D199)&gt;0,G200&gt;N(G199)),(D200-D199)/((G200-G199)/60),"")</f>
        <v>6.67999999999302</v>
      </c>
      <c r="I200" s="22" t="str">
        <f aca="false">IFERROR(INDEX(Medidores!$B:$B,MATCH(B200,Medidores!$A:$A,0)),"")</f>
        <v>L22</v>
      </c>
      <c r="J200" s="22" t="s">
        <v>110</v>
      </c>
    </row>
    <row r="201" customFormat="false" ht="15" hidden="false" customHeight="false" outlineLevel="0" collapsed="false">
      <c r="A201" s="21" t="n">
        <v>46303</v>
      </c>
      <c r="B201" s="22" t="s">
        <v>41</v>
      </c>
      <c r="C201" s="23" t="n">
        <v>0.614583333333333</v>
      </c>
      <c r="D201" s="24" t="n">
        <v>23364.68</v>
      </c>
      <c r="E201" s="24" t="n">
        <v>5914.39</v>
      </c>
      <c r="F201" s="24" t="n">
        <v>24308.824</v>
      </c>
      <c r="G201" s="22" t="n">
        <f aca="false">HOUR(C201)*60+MINUTE(C201)</f>
        <v>885</v>
      </c>
      <c r="H201" s="25" t="n">
        <f aca="false">IF(AND(B201=B200,A201=A200,D201&gt;0,N(D200)&gt;0,G201&gt;N(G200)),(D201-D200)/((G201-G200)/60),"")</f>
        <v>6.67200000000594</v>
      </c>
      <c r="I201" s="22" t="str">
        <f aca="false">IFERROR(INDEX(Medidores!$B:$B,MATCH(B201,Medidores!$A:$A,0)),"")</f>
        <v>L22</v>
      </c>
      <c r="J201" s="22" t="s">
        <v>111</v>
      </c>
    </row>
    <row r="202" customFormat="false" ht="15" hidden="false" customHeight="false" outlineLevel="0" collapsed="false">
      <c r="A202" s="21" t="n">
        <v>46303</v>
      </c>
      <c r="B202" s="22" t="s">
        <v>62</v>
      </c>
      <c r="C202" s="23" t="n">
        <v>0.416666666666667</v>
      </c>
      <c r="D202" s="24" t="n">
        <v>8733.255</v>
      </c>
      <c r="E202" s="24" t="n">
        <v>5315.319</v>
      </c>
      <c r="F202" s="24" t="n">
        <v>11586.082</v>
      </c>
      <c r="G202" s="22" t="n">
        <f aca="false">HOUR(C202)*60+MINUTE(C202)</f>
        <v>600</v>
      </c>
      <c r="H202" s="25" t="str">
        <f aca="false">IF(AND(B202=B201,A202=A201,D202&gt;0,N(D201)&gt;0,G202&gt;N(G201)),(D202-D201)/((G202-G201)/60),"")</f>
        <v/>
      </c>
      <c r="I202" s="22" t="str">
        <f aca="false">IFERROR(INDEX(Medidores!$B:$B,MATCH(B202,Medidores!$A:$A,0)),"")</f>
        <v>L50</v>
      </c>
      <c r="J202" s="22" t="s">
        <v>112</v>
      </c>
    </row>
    <row r="203" customFormat="false" ht="15" hidden="false" customHeight="false" outlineLevel="0" collapsed="false">
      <c r="A203" s="21" t="n">
        <v>46303</v>
      </c>
      <c r="B203" s="22" t="s">
        <v>62</v>
      </c>
      <c r="C203" s="23" t="n">
        <v>0.427083333333333</v>
      </c>
      <c r="D203" s="24" t="n">
        <v>8733.388</v>
      </c>
      <c r="E203" s="24" t="n">
        <v>5315.319</v>
      </c>
      <c r="F203" s="24" t="n">
        <v>11586.221</v>
      </c>
      <c r="G203" s="22" t="n">
        <f aca="false">HOUR(C203)*60+MINUTE(C203)</f>
        <v>615</v>
      </c>
      <c r="H203" s="25" t="n">
        <f aca="false">IF(AND(B203=B202,A203=A202,D203&gt;0,N(D202)&gt;0,G203&gt;N(G202)),(D203-D202)/((G203-G202)/60),"")</f>
        <v>0.532000000006519</v>
      </c>
      <c r="I203" s="22" t="str">
        <f aca="false">IFERROR(INDEX(Medidores!$B:$B,MATCH(B203,Medidores!$A:$A,0)),"")</f>
        <v>L50</v>
      </c>
      <c r="J203" s="22" t="s">
        <v>113</v>
      </c>
    </row>
    <row r="204" customFormat="false" ht="15" hidden="false" customHeight="false" outlineLevel="0" collapsed="false">
      <c r="A204" s="21" t="n">
        <v>46303</v>
      </c>
      <c r="B204" s="22" t="s">
        <v>62</v>
      </c>
      <c r="C204" s="23" t="n">
        <v>0.4375</v>
      </c>
      <c r="D204" s="24" t="n">
        <v>8733.521</v>
      </c>
      <c r="E204" s="24" t="n">
        <v>5315.319</v>
      </c>
      <c r="F204" s="24" t="n">
        <v>11586.36</v>
      </c>
      <c r="G204" s="22" t="n">
        <f aca="false">HOUR(C204)*60+MINUTE(C204)</f>
        <v>630</v>
      </c>
      <c r="H204" s="25" t="n">
        <f aca="false">IF(AND(B204=B203,A204=A203,D204&gt;0,N(D203)&gt;0,G204&gt;N(G203)),(D204-D203)/((G204-G203)/60),"")</f>
        <v>0.531999999999243</v>
      </c>
      <c r="I204" s="22" t="str">
        <f aca="false">IFERROR(INDEX(Medidores!$B:$B,MATCH(B204,Medidores!$A:$A,0)),"")</f>
        <v>L50</v>
      </c>
      <c r="J204" s="22" t="s">
        <v>114</v>
      </c>
    </row>
    <row r="205" customFormat="false" ht="15" hidden="false" customHeight="false" outlineLevel="0" collapsed="false">
      <c r="A205" s="21" t="n">
        <v>46303</v>
      </c>
      <c r="B205" s="22" t="s">
        <v>62</v>
      </c>
      <c r="C205" s="23" t="n">
        <v>0.447916666666667</v>
      </c>
      <c r="D205" s="24" t="n">
        <v>8733.654</v>
      </c>
      <c r="E205" s="24" t="n">
        <v>5315.319</v>
      </c>
      <c r="F205" s="24" t="n">
        <v>11586.499</v>
      </c>
      <c r="G205" s="22" t="n">
        <f aca="false">HOUR(C205)*60+MINUTE(C205)</f>
        <v>645</v>
      </c>
      <c r="H205" s="25" t="n">
        <f aca="false">IF(AND(B205=B204,A205=A204,D205&gt;0,N(D204)&gt;0,G205&gt;N(G204)),(D205-D204)/((G205-G204)/60),"")</f>
        <v>0.531999999999243</v>
      </c>
      <c r="I205" s="22" t="str">
        <f aca="false">IFERROR(INDEX(Medidores!$B:$B,MATCH(B205,Medidores!$A:$A,0)),"")</f>
        <v>L50</v>
      </c>
      <c r="J205" s="22" t="s">
        <v>115</v>
      </c>
    </row>
    <row r="206" customFormat="false" ht="15" hidden="false" customHeight="false" outlineLevel="0" collapsed="false">
      <c r="A206" s="21" t="n">
        <v>46303</v>
      </c>
      <c r="B206" s="22" t="s">
        <v>62</v>
      </c>
      <c r="C206" s="23" t="n">
        <v>0.458333333333333</v>
      </c>
      <c r="D206" s="24" t="n">
        <v>8733.787</v>
      </c>
      <c r="E206" s="24" t="n">
        <v>5315.319</v>
      </c>
      <c r="F206" s="24" t="n">
        <v>11586.638</v>
      </c>
      <c r="G206" s="22" t="n">
        <f aca="false">HOUR(C206)*60+MINUTE(C206)</f>
        <v>660</v>
      </c>
      <c r="H206" s="25" t="n">
        <f aca="false">IF(AND(B206=B205,A206=A205,D206&gt;0,N(D205)&gt;0,G206&gt;N(G205)),(D206-D205)/((G206-G205)/60),"")</f>
        <v>0.531999999999243</v>
      </c>
      <c r="I206" s="22" t="str">
        <f aca="false">IFERROR(INDEX(Medidores!$B:$B,MATCH(B206,Medidores!$A:$A,0)),"")</f>
        <v>L50</v>
      </c>
      <c r="J206" s="22" t="s">
        <v>116</v>
      </c>
    </row>
    <row r="207" customFormat="false" ht="15" hidden="false" customHeight="false" outlineLevel="0" collapsed="false">
      <c r="A207" s="21" t="n">
        <v>46303</v>
      </c>
      <c r="B207" s="22" t="s">
        <v>62</v>
      </c>
      <c r="C207" s="23" t="n">
        <v>0.46875</v>
      </c>
      <c r="D207" s="24" t="n">
        <v>8733.92</v>
      </c>
      <c r="E207" s="24" t="n">
        <v>5315.319</v>
      </c>
      <c r="F207" s="24" t="n">
        <v>11586.776</v>
      </c>
      <c r="G207" s="22" t="n">
        <f aca="false">HOUR(C207)*60+MINUTE(C207)</f>
        <v>675</v>
      </c>
      <c r="H207" s="25" t="n">
        <f aca="false">IF(AND(B207=B206,A207=A206,D207&gt;0,N(D206)&gt;0,G207&gt;N(G206)),(D207-D206)/((G207-G206)/60),"")</f>
        <v>0.531999999999243</v>
      </c>
      <c r="I207" s="22" t="str">
        <f aca="false">IFERROR(INDEX(Medidores!$B:$B,MATCH(B207,Medidores!$A:$A,0)),"")</f>
        <v>L50</v>
      </c>
      <c r="J207" s="22" t="s">
        <v>117</v>
      </c>
    </row>
    <row r="208" customFormat="false" ht="15" hidden="false" customHeight="false" outlineLevel="0" collapsed="false">
      <c r="A208" s="21" t="n">
        <v>46303</v>
      </c>
      <c r="B208" s="22" t="s">
        <v>62</v>
      </c>
      <c r="C208" s="23" t="n">
        <v>0.479166666666667</v>
      </c>
      <c r="D208" s="24" t="n">
        <v>8734.053</v>
      </c>
      <c r="E208" s="24" t="n">
        <v>5315.319</v>
      </c>
      <c r="F208" s="24" t="n">
        <v>11586.915</v>
      </c>
      <c r="G208" s="22" t="n">
        <f aca="false">HOUR(C208)*60+MINUTE(C208)</f>
        <v>690</v>
      </c>
      <c r="H208" s="25" t="n">
        <f aca="false">IF(AND(B208=B207,A208=A207,D208&gt;0,N(D207)&gt;0,G208&gt;N(G207)),(D208-D207)/((G208-G207)/60),"")</f>
        <v>0.531999999999243</v>
      </c>
      <c r="I208" s="22" t="str">
        <f aca="false">IFERROR(INDEX(Medidores!$B:$B,MATCH(B208,Medidores!$A:$A,0)),"")</f>
        <v>L50</v>
      </c>
      <c r="J208" s="22" t="s">
        <v>118</v>
      </c>
    </row>
    <row r="209" customFormat="false" ht="15" hidden="false" customHeight="false" outlineLevel="0" collapsed="false">
      <c r="A209" s="21" t="n">
        <v>46303</v>
      </c>
      <c r="B209" s="22" t="s">
        <v>62</v>
      </c>
      <c r="C209" s="23" t="n">
        <v>0.489583333333333</v>
      </c>
      <c r="D209" s="24" t="n">
        <v>8734.186</v>
      </c>
      <c r="E209" s="24" t="n">
        <v>5315.319</v>
      </c>
      <c r="F209" s="24" t="n">
        <v>11587.054</v>
      </c>
      <c r="G209" s="22" t="n">
        <f aca="false">HOUR(C209)*60+MINUTE(C209)</f>
        <v>705</v>
      </c>
      <c r="H209" s="25" t="n">
        <f aca="false">IF(AND(B209=B208,A209=A208,D209&gt;0,N(D208)&gt;0,G209&gt;N(G208)),(D209-D208)/((G209-G208)/60),"")</f>
        <v>0.531999999999243</v>
      </c>
      <c r="I209" s="22" t="str">
        <f aca="false">IFERROR(INDEX(Medidores!$B:$B,MATCH(B209,Medidores!$A:$A,0)),"")</f>
        <v>L50</v>
      </c>
      <c r="J209" s="22" t="s">
        <v>119</v>
      </c>
    </row>
    <row r="210" customFormat="false" ht="15" hidden="false" customHeight="false" outlineLevel="0" collapsed="false">
      <c r="A210" s="21" t="n">
        <v>46303</v>
      </c>
      <c r="B210" s="22" t="s">
        <v>62</v>
      </c>
      <c r="C210" s="23" t="n">
        <v>0.5</v>
      </c>
      <c r="D210" s="24" t="n">
        <v>8734.32</v>
      </c>
      <c r="E210" s="24" t="n">
        <v>5315.319</v>
      </c>
      <c r="F210" s="24" t="n">
        <v>11587.193</v>
      </c>
      <c r="G210" s="22" t="n">
        <f aca="false">HOUR(C210)*60+MINUTE(C210)</f>
        <v>720</v>
      </c>
      <c r="H210" s="25" t="n">
        <f aca="false">IF(AND(B210=B209,A210=A209,D210&gt;0,N(D209)&gt;0,G210&gt;N(G209)),(D210-D209)/((G210-G209)/60),"")</f>
        <v>0.536000000000058</v>
      </c>
      <c r="I210" s="22" t="str">
        <f aca="false">IFERROR(INDEX(Medidores!$B:$B,MATCH(B210,Medidores!$A:$A,0)),"")</f>
        <v>L50</v>
      </c>
      <c r="J210" s="22" t="s">
        <v>120</v>
      </c>
    </row>
    <row r="211" customFormat="false" ht="15" hidden="false" customHeight="false" outlineLevel="0" collapsed="false">
      <c r="A211" s="21" t="n">
        <v>46303</v>
      </c>
      <c r="B211" s="22" t="s">
        <v>62</v>
      </c>
      <c r="C211" s="23" t="n">
        <v>0.510416666666667</v>
      </c>
      <c r="D211" s="24" t="n">
        <v>8734.453</v>
      </c>
      <c r="E211" s="24" t="n">
        <v>5315.319</v>
      </c>
      <c r="F211" s="24" t="n">
        <v>11587.332</v>
      </c>
      <c r="G211" s="22" t="n">
        <f aca="false">HOUR(C211)*60+MINUTE(C211)</f>
        <v>735</v>
      </c>
      <c r="H211" s="25" t="n">
        <f aca="false">IF(AND(B211=B210,A211=A210,D211&gt;0,N(D210)&gt;0,G211&gt;N(G210)),(D211-D210)/((G211-G210)/60),"")</f>
        <v>0.531999999999243</v>
      </c>
      <c r="I211" s="22" t="str">
        <f aca="false">IFERROR(INDEX(Medidores!$B:$B,MATCH(B211,Medidores!$A:$A,0)),"")</f>
        <v>L50</v>
      </c>
      <c r="J211" s="22" t="s">
        <v>121</v>
      </c>
    </row>
    <row r="212" customFormat="false" ht="15" hidden="false" customHeight="false" outlineLevel="0" collapsed="false">
      <c r="A212" s="21" t="n">
        <v>46303</v>
      </c>
      <c r="B212" s="22" t="s">
        <v>62</v>
      </c>
      <c r="C212" s="23" t="n">
        <v>0.520833333333333</v>
      </c>
      <c r="D212" s="24" t="n">
        <v>8734.586</v>
      </c>
      <c r="E212" s="24" t="n">
        <v>5315.319</v>
      </c>
      <c r="F212" s="24" t="n">
        <v>11587.471</v>
      </c>
      <c r="G212" s="22" t="n">
        <f aca="false">HOUR(C212)*60+MINUTE(C212)</f>
        <v>750</v>
      </c>
      <c r="H212" s="25" t="n">
        <f aca="false">IF(AND(B212=B211,A212=A211,D212&gt;0,N(D211)&gt;0,G212&gt;N(G211)),(D212-D211)/((G212-G211)/60),"")</f>
        <v>0.531999999999243</v>
      </c>
      <c r="I212" s="22" t="str">
        <f aca="false">IFERROR(INDEX(Medidores!$B:$B,MATCH(B212,Medidores!$A:$A,0)),"")</f>
        <v>L50</v>
      </c>
      <c r="J212" s="22" t="s">
        <v>122</v>
      </c>
    </row>
    <row r="213" customFormat="false" ht="15" hidden="false" customHeight="false" outlineLevel="0" collapsed="false">
      <c r="A213" s="21" t="n">
        <v>46303</v>
      </c>
      <c r="B213" s="22" t="s">
        <v>62</v>
      </c>
      <c r="C213" s="23" t="n">
        <v>0.53125</v>
      </c>
      <c r="D213" s="24" t="n">
        <v>8734.72</v>
      </c>
      <c r="E213" s="24" t="n">
        <v>5315.319</v>
      </c>
      <c r="F213" s="24" t="n">
        <v>11587.611</v>
      </c>
      <c r="G213" s="22" t="n">
        <f aca="false">HOUR(C213)*60+MINUTE(C213)</f>
        <v>765</v>
      </c>
      <c r="H213" s="25" t="n">
        <f aca="false">IF(AND(B213=B212,A213=A212,D213&gt;0,N(D212)&gt;0,G213&gt;N(G212)),(D213-D212)/((G213-G212)/60),"")</f>
        <v>0.536000000000058</v>
      </c>
      <c r="I213" s="22" t="str">
        <f aca="false">IFERROR(INDEX(Medidores!$B:$B,MATCH(B213,Medidores!$A:$A,0)),"")</f>
        <v>L50</v>
      </c>
      <c r="J213" s="22" t="s">
        <v>123</v>
      </c>
    </row>
    <row r="214" customFormat="false" ht="15" hidden="false" customHeight="false" outlineLevel="0" collapsed="false">
      <c r="A214" s="21" t="n">
        <v>46303</v>
      </c>
      <c r="B214" s="22" t="s">
        <v>62</v>
      </c>
      <c r="C214" s="23" t="n">
        <v>0.541666666666667</v>
      </c>
      <c r="D214" s="24" t="n">
        <v>8734.853</v>
      </c>
      <c r="E214" s="24" t="n">
        <v>5315.319</v>
      </c>
      <c r="F214" s="24" t="n">
        <v>11587.75</v>
      </c>
      <c r="G214" s="22" t="n">
        <f aca="false">HOUR(C214)*60+MINUTE(C214)</f>
        <v>780</v>
      </c>
      <c r="H214" s="25" t="n">
        <f aca="false">IF(AND(B214=B213,A214=A213,D214&gt;0,N(D213)&gt;0,G214&gt;N(G213)),(D214-D213)/((G214-G213)/60),"")</f>
        <v>0.531999999999243</v>
      </c>
      <c r="I214" s="22" t="str">
        <f aca="false">IFERROR(INDEX(Medidores!$B:$B,MATCH(B214,Medidores!$A:$A,0)),"")</f>
        <v>L50</v>
      </c>
      <c r="J214" s="22" t="s">
        <v>124</v>
      </c>
    </row>
    <row r="215" customFormat="false" ht="15" hidden="false" customHeight="false" outlineLevel="0" collapsed="false">
      <c r="A215" s="21" t="n">
        <v>46303</v>
      </c>
      <c r="B215" s="22" t="s">
        <v>62</v>
      </c>
      <c r="C215" s="23" t="n">
        <v>0.552083333333333</v>
      </c>
      <c r="D215" s="24" t="n">
        <v>8734.987</v>
      </c>
      <c r="E215" s="24" t="n">
        <v>5315.319</v>
      </c>
      <c r="F215" s="24" t="n">
        <v>11587.89</v>
      </c>
      <c r="G215" s="22" t="n">
        <f aca="false">HOUR(C215)*60+MINUTE(C215)</f>
        <v>795</v>
      </c>
      <c r="H215" s="25" t="n">
        <f aca="false">IF(AND(B215=B214,A215=A214,D215&gt;0,N(D214)&gt;0,G215&gt;N(G214)),(D215-D214)/((G215-G214)/60),"")</f>
        <v>0.536000000000058</v>
      </c>
      <c r="I215" s="22" t="str">
        <f aca="false">IFERROR(INDEX(Medidores!$B:$B,MATCH(B215,Medidores!$A:$A,0)),"")</f>
        <v>L50</v>
      </c>
      <c r="J215" s="22" t="s">
        <v>125</v>
      </c>
    </row>
    <row r="216" customFormat="false" ht="15" hidden="false" customHeight="false" outlineLevel="0" collapsed="false">
      <c r="A216" s="21" t="n">
        <v>46303</v>
      </c>
      <c r="B216" s="22" t="s">
        <v>62</v>
      </c>
      <c r="C216" s="23" t="n">
        <v>0.5625</v>
      </c>
      <c r="D216" s="24" t="n">
        <v>8735.12</v>
      </c>
      <c r="E216" s="24" t="n">
        <v>5315.319</v>
      </c>
      <c r="F216" s="24" t="n">
        <v>11588.03</v>
      </c>
      <c r="G216" s="22" t="n">
        <f aca="false">HOUR(C216)*60+MINUTE(C216)</f>
        <v>810</v>
      </c>
      <c r="H216" s="25" t="n">
        <f aca="false">IF(AND(B216=B215,A216=A215,D216&gt;0,N(D215)&gt;0,G216&gt;N(G215)),(D216-D215)/((G216-G215)/60),"")</f>
        <v>0.532000000006519</v>
      </c>
      <c r="I216" s="22" t="str">
        <f aca="false">IFERROR(INDEX(Medidores!$B:$B,MATCH(B216,Medidores!$A:$A,0)),"")</f>
        <v>L50</v>
      </c>
      <c r="J216" s="22" t="s">
        <v>126</v>
      </c>
    </row>
    <row r="217" customFormat="false" ht="15" hidden="false" customHeight="false" outlineLevel="0" collapsed="false">
      <c r="A217" s="21" t="n">
        <v>46303</v>
      </c>
      <c r="B217" s="22" t="s">
        <v>62</v>
      </c>
      <c r="C217" s="23" t="n">
        <v>0.572916666666667</v>
      </c>
      <c r="D217" s="24" t="n">
        <v>8735.254</v>
      </c>
      <c r="E217" s="24" t="n">
        <v>5315.319</v>
      </c>
      <c r="F217" s="24" t="n">
        <v>11588.17</v>
      </c>
      <c r="G217" s="22" t="n">
        <f aca="false">HOUR(C217)*60+MINUTE(C217)</f>
        <v>825</v>
      </c>
      <c r="H217" s="25" t="n">
        <f aca="false">IF(AND(B217=B216,A217=A216,D217&gt;0,N(D216)&gt;0,G217&gt;N(G216)),(D217-D216)/((G217-G216)/60),"")</f>
        <v>0.536000000000058</v>
      </c>
      <c r="I217" s="22" t="str">
        <f aca="false">IFERROR(INDEX(Medidores!$B:$B,MATCH(B217,Medidores!$A:$A,0)),"")</f>
        <v>L50</v>
      </c>
      <c r="J217" s="22" t="s">
        <v>127</v>
      </c>
    </row>
    <row r="218" customFormat="false" ht="15" hidden="false" customHeight="false" outlineLevel="0" collapsed="false">
      <c r="A218" s="21" t="n">
        <v>46303</v>
      </c>
      <c r="B218" s="22" t="s">
        <v>62</v>
      </c>
      <c r="C218" s="23" t="n">
        <v>0.583333333333333</v>
      </c>
      <c r="D218" s="24" t="n">
        <v>8735.387</v>
      </c>
      <c r="E218" s="24" t="n">
        <v>5315.319</v>
      </c>
      <c r="F218" s="24" t="n">
        <v>11588.309</v>
      </c>
      <c r="G218" s="22" t="n">
        <f aca="false">HOUR(C218)*60+MINUTE(C218)</f>
        <v>840</v>
      </c>
      <c r="H218" s="25" t="n">
        <f aca="false">IF(AND(B218=B217,A218=A217,D218&gt;0,N(D217)&gt;0,G218&gt;N(G217)),(D218-D217)/((G218-G217)/60),"")</f>
        <v>0.531999999999243</v>
      </c>
      <c r="I218" s="22" t="str">
        <f aca="false">IFERROR(INDEX(Medidores!$B:$B,MATCH(B218,Medidores!$A:$A,0)),"")</f>
        <v>L50</v>
      </c>
      <c r="J218" s="22" t="s">
        <v>128</v>
      </c>
    </row>
    <row r="219" customFormat="false" ht="15" hidden="false" customHeight="false" outlineLevel="0" collapsed="false">
      <c r="A219" s="21" t="n">
        <v>46303</v>
      </c>
      <c r="B219" s="22" t="s">
        <v>62</v>
      </c>
      <c r="C219" s="23" t="n">
        <v>0.59375</v>
      </c>
      <c r="D219" s="24" t="n">
        <v>8735.545</v>
      </c>
      <c r="E219" s="24" t="n">
        <v>5315.326</v>
      </c>
      <c r="F219" s="24" t="n">
        <v>11588.487</v>
      </c>
      <c r="G219" s="22" t="n">
        <f aca="false">HOUR(C219)*60+MINUTE(C219)</f>
        <v>855</v>
      </c>
      <c r="H219" s="25" t="n">
        <f aca="false">IF(AND(B219=B218,A219=A218,D219&gt;0,N(D218)&gt;0,G219&gt;N(G218)),(D219-D218)/((G219-G218)/60),"")</f>
        <v>0.631999999997788</v>
      </c>
      <c r="I219" s="22" t="str">
        <f aca="false">IFERROR(INDEX(Medidores!$B:$B,MATCH(B219,Medidores!$A:$A,0)),"")</f>
        <v>L50</v>
      </c>
      <c r="J219" s="22" t="s">
        <v>129</v>
      </c>
    </row>
    <row r="220" customFormat="false" ht="15" hidden="false" customHeight="false" outlineLevel="0" collapsed="false">
      <c r="A220" s="21" t="n">
        <v>46303</v>
      </c>
      <c r="B220" s="22" t="s">
        <v>62</v>
      </c>
      <c r="C220" s="23" t="n">
        <v>0.604166666666667</v>
      </c>
      <c r="D220" s="24" t="n">
        <v>8736.063</v>
      </c>
      <c r="E220" s="24" t="n">
        <v>5315.779</v>
      </c>
      <c r="F220" s="24" t="n">
        <v>11589.19</v>
      </c>
      <c r="G220" s="22" t="n">
        <f aca="false">HOUR(C220)*60+MINUTE(C220)</f>
        <v>870</v>
      </c>
      <c r="H220" s="25" t="n">
        <f aca="false">IF(AND(B220=B219,A220=A219,D220&gt;0,N(D219)&gt;0,G220&gt;N(G219)),(D220-D219)/((G220-G219)/60),"")</f>
        <v>2.07200000000012</v>
      </c>
      <c r="I220" s="22" t="str">
        <f aca="false">IFERROR(INDEX(Medidores!$B:$B,MATCH(B220,Medidores!$A:$A,0)),"")</f>
        <v>L50</v>
      </c>
      <c r="J220" s="22" t="s">
        <v>130</v>
      </c>
    </row>
    <row r="221" customFormat="false" ht="15" hidden="false" customHeight="false" outlineLevel="0" collapsed="false">
      <c r="A221" s="21" t="n">
        <v>46303</v>
      </c>
      <c r="B221" s="22" t="s">
        <v>62</v>
      </c>
      <c r="C221" s="23" t="n">
        <v>0.614583333333333</v>
      </c>
      <c r="D221" s="24" t="n">
        <v>8736.439</v>
      </c>
      <c r="E221" s="24" t="n">
        <v>5315.895</v>
      </c>
      <c r="F221" s="24" t="n">
        <v>11589.597</v>
      </c>
      <c r="G221" s="22" t="n">
        <f aca="false">HOUR(C221)*60+MINUTE(C221)</f>
        <v>885</v>
      </c>
      <c r="H221" s="25" t="n">
        <f aca="false">IF(AND(B221=B220,A221=A220,D221&gt;0,N(D220)&gt;0,G221&gt;N(G220)),(D221-D220)/((G221-G220)/60),"")</f>
        <v>1.50400000000082</v>
      </c>
      <c r="I221" s="22" t="str">
        <f aca="false">IFERROR(INDEX(Medidores!$B:$B,MATCH(B221,Medidores!$A:$A,0)),"")</f>
        <v>L50</v>
      </c>
      <c r="J221" s="22" t="s">
        <v>131</v>
      </c>
    </row>
    <row r="222" customFormat="false" ht="15" hidden="false" customHeight="false" outlineLevel="0" collapsed="false">
      <c r="A222" s="21" t="n">
        <v>46303</v>
      </c>
      <c r="B222" s="22" t="s">
        <v>82</v>
      </c>
      <c r="C222" s="23" t="n">
        <v>0.427083333333333</v>
      </c>
      <c r="D222" s="24" t="n">
        <v>9918.276</v>
      </c>
      <c r="E222" s="24" t="n">
        <v>3641.205</v>
      </c>
      <c r="F222" s="24" t="n">
        <v>10997.144</v>
      </c>
      <c r="G222" s="22" t="n">
        <f aca="false">HOUR(C222)*60+MINUTE(C222)</f>
        <v>615</v>
      </c>
      <c r="H222" s="25" t="str">
        <f aca="false">IF(AND(B222=B221,A222=A221,D222&gt;0,N(D221)&gt;0,G222&gt;N(G221)),(D222-D221)/((G222-G221)/60),"")</f>
        <v/>
      </c>
      <c r="I222" s="22" t="str">
        <f aca="false">IFERROR(INDEX(Medidores!$B:$B,MATCH(B222,Medidores!$A:$A,0)),"")</f>
        <v>L21</v>
      </c>
      <c r="J222" s="22" t="s">
        <v>93</v>
      </c>
    </row>
    <row r="223" customFormat="false" ht="15" hidden="false" customHeight="false" outlineLevel="0" collapsed="false">
      <c r="A223" s="21" t="n">
        <v>46303</v>
      </c>
      <c r="B223" s="22" t="s">
        <v>82</v>
      </c>
      <c r="C223" s="23" t="n">
        <v>0.4375</v>
      </c>
      <c r="D223" s="24" t="n">
        <v>9918.43</v>
      </c>
      <c r="E223" s="24" t="n">
        <v>3641.205</v>
      </c>
      <c r="F223" s="24" t="n">
        <v>10997.299</v>
      </c>
      <c r="G223" s="22" t="n">
        <f aca="false">HOUR(C223)*60+MINUTE(C223)</f>
        <v>630</v>
      </c>
      <c r="H223" s="25" t="n">
        <f aca="false">IF(AND(B223=B222,A223=A222,D223&gt;0,N(D222)&gt;0,G223&gt;N(G222)),(D223-D222)/((G223-G222)/60),"")</f>
        <v>0.616000000001804</v>
      </c>
      <c r="I223" s="22" t="str">
        <f aca="false">IFERROR(INDEX(Medidores!$B:$B,MATCH(B223,Medidores!$A:$A,0)),"")</f>
        <v>L21</v>
      </c>
      <c r="J223" s="22" t="s">
        <v>94</v>
      </c>
    </row>
    <row r="224" customFormat="false" ht="15" hidden="false" customHeight="false" outlineLevel="0" collapsed="false">
      <c r="A224" s="21" t="n">
        <v>46303</v>
      </c>
      <c r="B224" s="22" t="s">
        <v>82</v>
      </c>
      <c r="C224" s="23" t="n">
        <v>0.447916666666667</v>
      </c>
      <c r="D224" s="24" t="n">
        <v>9918.583</v>
      </c>
      <c r="E224" s="24" t="n">
        <v>3641.205</v>
      </c>
      <c r="F224" s="24" t="n">
        <v>10997.456</v>
      </c>
      <c r="G224" s="22" t="n">
        <f aca="false">HOUR(C224)*60+MINUTE(C224)</f>
        <v>645</v>
      </c>
      <c r="H224" s="25" t="n">
        <f aca="false">IF(AND(B224=B223,A224=A223,D224&gt;0,N(D223)&gt;0,G224&gt;N(G223)),(D224-D223)/((G224-G223)/60),"")</f>
        <v>0.61200000000099</v>
      </c>
      <c r="I224" s="22" t="str">
        <f aca="false">IFERROR(INDEX(Medidores!$B:$B,MATCH(B224,Medidores!$A:$A,0)),"")</f>
        <v>L21</v>
      </c>
      <c r="J224" s="22" t="s">
        <v>95</v>
      </c>
    </row>
    <row r="225" customFormat="false" ht="15" hidden="false" customHeight="false" outlineLevel="0" collapsed="false">
      <c r="A225" s="21" t="n">
        <v>46303</v>
      </c>
      <c r="B225" s="22" t="s">
        <v>82</v>
      </c>
      <c r="C225" s="23" t="n">
        <v>0.458333333333333</v>
      </c>
      <c r="D225" s="24" t="n">
        <v>9918.738</v>
      </c>
      <c r="E225" s="24" t="n">
        <v>3641.205</v>
      </c>
      <c r="F225" s="24" t="n">
        <v>10997.613</v>
      </c>
      <c r="G225" s="22" t="n">
        <f aca="false">HOUR(C225)*60+MINUTE(C225)</f>
        <v>660</v>
      </c>
      <c r="H225" s="25" t="n">
        <f aca="false">IF(AND(B225=B224,A225=A224,D225&gt;0,N(D224)&gt;0,G225&gt;N(G224)),(D225-D224)/((G225-G224)/60),"")</f>
        <v>0.619999999995343</v>
      </c>
      <c r="I225" s="22" t="str">
        <f aca="false">IFERROR(INDEX(Medidores!$B:$B,MATCH(B225,Medidores!$A:$A,0)),"")</f>
        <v>L21</v>
      </c>
      <c r="J225" s="22" t="s">
        <v>96</v>
      </c>
    </row>
    <row r="226" customFormat="false" ht="15" hidden="false" customHeight="false" outlineLevel="0" collapsed="false">
      <c r="A226" s="21" t="n">
        <v>46303</v>
      </c>
      <c r="B226" s="22" t="s">
        <v>82</v>
      </c>
      <c r="C226" s="23" t="n">
        <v>0.46875</v>
      </c>
      <c r="D226" s="24" t="n">
        <v>9918.892</v>
      </c>
      <c r="E226" s="24" t="n">
        <v>3641.205</v>
      </c>
      <c r="F226" s="24" t="n">
        <v>10997.77</v>
      </c>
      <c r="G226" s="22" t="n">
        <f aca="false">HOUR(C226)*60+MINUTE(C226)</f>
        <v>675</v>
      </c>
      <c r="H226" s="25" t="n">
        <f aca="false">IF(AND(B226=B225,A226=A225,D226&gt;0,N(D225)&gt;0,G226&gt;N(G225)),(D226-D225)/((G226-G225)/60),"")</f>
        <v>0.616000000001804</v>
      </c>
      <c r="I226" s="22" t="str">
        <f aca="false">IFERROR(INDEX(Medidores!$B:$B,MATCH(B226,Medidores!$A:$A,0)),"")</f>
        <v>L21</v>
      </c>
      <c r="J226" s="22" t="s">
        <v>97</v>
      </c>
    </row>
    <row r="227" customFormat="false" ht="15" hidden="false" customHeight="false" outlineLevel="0" collapsed="false">
      <c r="A227" s="21" t="n">
        <v>46303</v>
      </c>
      <c r="B227" s="22" t="s">
        <v>82</v>
      </c>
      <c r="C227" s="23" t="n">
        <v>0.479166666666667</v>
      </c>
      <c r="D227" s="24" t="n">
        <v>9919.045</v>
      </c>
      <c r="E227" s="24" t="n">
        <v>3641.205</v>
      </c>
      <c r="F227" s="24" t="n">
        <v>10997.926</v>
      </c>
      <c r="G227" s="22" t="n">
        <f aca="false">HOUR(C227)*60+MINUTE(C227)</f>
        <v>690</v>
      </c>
      <c r="H227" s="25" t="n">
        <f aca="false">IF(AND(B227=B226,A227=A226,D227&gt;0,N(D226)&gt;0,G227&gt;N(G226)),(D227-D226)/((G227-G226)/60),"")</f>
        <v>0.61200000000099</v>
      </c>
      <c r="I227" s="22" t="str">
        <f aca="false">IFERROR(INDEX(Medidores!$B:$B,MATCH(B227,Medidores!$A:$A,0)),"")</f>
        <v>L21</v>
      </c>
      <c r="J227" s="22" t="s">
        <v>98</v>
      </c>
    </row>
    <row r="228" customFormat="false" ht="15" hidden="false" customHeight="false" outlineLevel="0" collapsed="false">
      <c r="A228" s="21" t="n">
        <v>46303</v>
      </c>
      <c r="B228" s="22" t="s">
        <v>82</v>
      </c>
      <c r="C228" s="23" t="n">
        <v>0.489583333333333</v>
      </c>
      <c r="D228" s="24" t="n">
        <v>9919.199</v>
      </c>
      <c r="E228" s="24" t="n">
        <v>3641.205</v>
      </c>
      <c r="F228" s="24" t="n">
        <v>10998.083</v>
      </c>
      <c r="G228" s="22" t="n">
        <f aca="false">HOUR(C228)*60+MINUTE(C228)</f>
        <v>705</v>
      </c>
      <c r="H228" s="25" t="n">
        <f aca="false">IF(AND(B228=B227,A228=A227,D228&gt;0,N(D227)&gt;0,G228&gt;N(G227)),(D228-D227)/((G228-G227)/60),"")</f>
        <v>0.616000000001804</v>
      </c>
      <c r="I228" s="22" t="str">
        <f aca="false">IFERROR(INDEX(Medidores!$B:$B,MATCH(B228,Medidores!$A:$A,0)),"")</f>
        <v>L21</v>
      </c>
      <c r="J228" s="22" t="s">
        <v>99</v>
      </c>
    </row>
    <row r="229" customFormat="false" ht="15" hidden="false" customHeight="false" outlineLevel="0" collapsed="false">
      <c r="A229" s="21" t="n">
        <v>46303</v>
      </c>
      <c r="B229" s="22" t="s">
        <v>82</v>
      </c>
      <c r="C229" s="23" t="n">
        <v>0.5</v>
      </c>
      <c r="D229" s="24" t="n">
        <v>9919.355</v>
      </c>
      <c r="E229" s="24" t="n">
        <v>3641.205</v>
      </c>
      <c r="F229" s="24" t="n">
        <v>10998.24</v>
      </c>
      <c r="G229" s="22" t="n">
        <f aca="false">HOUR(C229)*60+MINUTE(C229)</f>
        <v>720</v>
      </c>
      <c r="H229" s="25" t="n">
        <f aca="false">IF(AND(B229=B228,A229=A228,D229&gt;0,N(D228)&gt;0,G229&gt;N(G228)),(D229-D228)/((G229-G228)/60),"")</f>
        <v>0.623999999996158</v>
      </c>
      <c r="I229" s="22" t="str">
        <f aca="false">IFERROR(INDEX(Medidores!$B:$B,MATCH(B229,Medidores!$A:$A,0)),"")</f>
        <v>L21</v>
      </c>
      <c r="J229" s="22" t="s">
        <v>100</v>
      </c>
    </row>
    <row r="230" customFormat="false" ht="15" hidden="false" customHeight="false" outlineLevel="0" collapsed="false">
      <c r="A230" s="21" t="n">
        <v>46303</v>
      </c>
      <c r="B230" s="22" t="s">
        <v>82</v>
      </c>
      <c r="C230" s="23" t="n">
        <v>0.510416666666667</v>
      </c>
      <c r="D230" s="24" t="n">
        <v>9919.509</v>
      </c>
      <c r="E230" s="24" t="n">
        <v>3641.205</v>
      </c>
      <c r="F230" s="24" t="n">
        <v>10998.397</v>
      </c>
      <c r="G230" s="22" t="n">
        <f aca="false">HOUR(C230)*60+MINUTE(C230)</f>
        <v>735</v>
      </c>
      <c r="H230" s="25" t="n">
        <f aca="false">IF(AND(B230=B229,A230=A229,D230&gt;0,N(D229)&gt;0,G230&gt;N(G229)),(D230-D229)/((G230-G229)/60),"")</f>
        <v>0.616000000001804</v>
      </c>
      <c r="I230" s="22" t="str">
        <f aca="false">IFERROR(INDEX(Medidores!$B:$B,MATCH(B230,Medidores!$A:$A,0)),"")</f>
        <v>L21</v>
      </c>
      <c r="J230" s="22" t="s">
        <v>101</v>
      </c>
    </row>
    <row r="231" customFormat="false" ht="15" hidden="false" customHeight="false" outlineLevel="0" collapsed="false">
      <c r="A231" s="21" t="n">
        <v>46303</v>
      </c>
      <c r="B231" s="22" t="s">
        <v>82</v>
      </c>
      <c r="C231" s="23" t="n">
        <v>0.520833333333333</v>
      </c>
      <c r="D231" s="24" t="n">
        <v>9919.663</v>
      </c>
      <c r="E231" s="24" t="n">
        <v>3641.205</v>
      </c>
      <c r="F231" s="24" t="n">
        <v>10998.554</v>
      </c>
      <c r="G231" s="22" t="n">
        <f aca="false">HOUR(C231)*60+MINUTE(C231)</f>
        <v>750</v>
      </c>
      <c r="H231" s="25" t="n">
        <f aca="false">IF(AND(B231=B230,A231=A230,D231&gt;0,N(D230)&gt;0,G231&gt;N(G230)),(D231-D230)/((G231-G230)/60),"")</f>
        <v>0.616000000001804</v>
      </c>
      <c r="I231" s="22" t="str">
        <f aca="false">IFERROR(INDEX(Medidores!$B:$B,MATCH(B231,Medidores!$A:$A,0)),"")</f>
        <v>L21</v>
      </c>
      <c r="J231" s="22" t="s">
        <v>102</v>
      </c>
    </row>
    <row r="232" customFormat="false" ht="15" hidden="false" customHeight="false" outlineLevel="0" collapsed="false">
      <c r="A232" s="21" t="n">
        <v>46303</v>
      </c>
      <c r="B232" s="22" t="s">
        <v>82</v>
      </c>
      <c r="C232" s="23" t="n">
        <v>0.53125</v>
      </c>
      <c r="D232" s="24" t="n">
        <v>9919.818</v>
      </c>
      <c r="E232" s="24" t="n">
        <v>3641.205</v>
      </c>
      <c r="F232" s="24" t="n">
        <v>10998.71</v>
      </c>
      <c r="G232" s="22" t="n">
        <f aca="false">HOUR(C232)*60+MINUTE(C232)</f>
        <v>765</v>
      </c>
      <c r="H232" s="25" t="n">
        <f aca="false">IF(AND(B232=B231,A232=A231,D232&gt;0,N(D231)&gt;0,G232&gt;N(G231)),(D232-D231)/((G232-G231)/60),"")</f>
        <v>0.619999999995343</v>
      </c>
      <c r="I232" s="22" t="str">
        <f aca="false">IFERROR(INDEX(Medidores!$B:$B,MATCH(B232,Medidores!$A:$A,0)),"")</f>
        <v>L21</v>
      </c>
      <c r="J232" s="22" t="s">
        <v>103</v>
      </c>
    </row>
    <row r="233" customFormat="false" ht="15" hidden="false" customHeight="false" outlineLevel="0" collapsed="false">
      <c r="A233" s="21" t="n">
        <v>46303</v>
      </c>
      <c r="B233" s="22" t="s">
        <v>82</v>
      </c>
      <c r="C233" s="23" t="n">
        <v>0.541666666666667</v>
      </c>
      <c r="D233" s="24" t="n">
        <v>9919.972</v>
      </c>
      <c r="E233" s="24" t="n">
        <v>3641.205</v>
      </c>
      <c r="F233" s="24" t="n">
        <v>10998.867</v>
      </c>
      <c r="G233" s="22" t="n">
        <f aca="false">HOUR(C233)*60+MINUTE(C233)</f>
        <v>780</v>
      </c>
      <c r="H233" s="25" t="n">
        <f aca="false">IF(AND(B233=B232,A233=A232,D233&gt;0,N(D232)&gt;0,G233&gt;N(G232)),(D233-D232)/((G233-G232)/60),"")</f>
        <v>0.616000000001804</v>
      </c>
      <c r="I233" s="22" t="str">
        <f aca="false">IFERROR(INDEX(Medidores!$B:$B,MATCH(B233,Medidores!$A:$A,0)),"")</f>
        <v>L21</v>
      </c>
      <c r="J233" s="22" t="s">
        <v>104</v>
      </c>
    </row>
    <row r="234" customFormat="false" ht="15" hidden="false" customHeight="false" outlineLevel="0" collapsed="false">
      <c r="A234" s="21" t="n">
        <v>46303</v>
      </c>
      <c r="B234" s="22" t="s">
        <v>82</v>
      </c>
      <c r="C234" s="23" t="n">
        <v>0.552083333333333</v>
      </c>
      <c r="D234" s="24" t="n">
        <v>9920.128</v>
      </c>
      <c r="E234" s="24" t="n">
        <v>3641.205</v>
      </c>
      <c r="F234" s="24" t="n">
        <v>10999.025</v>
      </c>
      <c r="G234" s="22" t="n">
        <f aca="false">HOUR(C234)*60+MINUTE(C234)</f>
        <v>795</v>
      </c>
      <c r="H234" s="25" t="n">
        <f aca="false">IF(AND(B234=B233,A234=A233,D234&gt;0,N(D233)&gt;0,G234&gt;N(G233)),(D234-D233)/((G234-G233)/60),"")</f>
        <v>0.624000000003434</v>
      </c>
      <c r="I234" s="22" t="str">
        <f aca="false">IFERROR(INDEX(Medidores!$B:$B,MATCH(B234,Medidores!$A:$A,0)),"")</f>
        <v>L21</v>
      </c>
      <c r="J234" s="22" t="s">
        <v>105</v>
      </c>
    </row>
    <row r="235" customFormat="false" ht="15" hidden="false" customHeight="false" outlineLevel="0" collapsed="false">
      <c r="A235" s="21" t="n">
        <v>46303</v>
      </c>
      <c r="B235" s="22" t="s">
        <v>82</v>
      </c>
      <c r="C235" s="23" t="n">
        <v>0.5625</v>
      </c>
      <c r="D235" s="24" t="n">
        <v>9920.284</v>
      </c>
      <c r="E235" s="24" t="n">
        <v>3641.205</v>
      </c>
      <c r="F235" s="24" t="n">
        <v>10999.184</v>
      </c>
      <c r="G235" s="22" t="n">
        <f aca="false">HOUR(C235)*60+MINUTE(C235)</f>
        <v>810</v>
      </c>
      <c r="H235" s="25" t="n">
        <f aca="false">IF(AND(B235=B234,A235=A234,D235&gt;0,N(D234)&gt;0,G235&gt;N(G234)),(D235-D234)/((G235-G234)/60),"")</f>
        <v>0.623999999996158</v>
      </c>
      <c r="I235" s="22" t="str">
        <f aca="false">IFERROR(INDEX(Medidores!$B:$B,MATCH(B235,Medidores!$A:$A,0)),"")</f>
        <v>L21</v>
      </c>
      <c r="J235" s="22" t="s">
        <v>106</v>
      </c>
    </row>
    <row r="236" customFormat="false" ht="15" hidden="false" customHeight="false" outlineLevel="0" collapsed="false">
      <c r="A236" s="21" t="n">
        <v>46303</v>
      </c>
      <c r="B236" s="22" t="s">
        <v>82</v>
      </c>
      <c r="C236" s="23" t="n">
        <v>0.572916666666667</v>
      </c>
      <c r="D236" s="24" t="n">
        <v>9920.441</v>
      </c>
      <c r="E236" s="24" t="n">
        <v>3641.205</v>
      </c>
      <c r="F236" s="24" t="n">
        <v>10999.343</v>
      </c>
      <c r="G236" s="22" t="n">
        <f aca="false">HOUR(C236)*60+MINUTE(C236)</f>
        <v>825</v>
      </c>
      <c r="H236" s="25" t="n">
        <f aca="false">IF(AND(B236=B235,A236=A235,D236&gt;0,N(D235)&gt;0,G236&gt;N(G235)),(D236-D235)/((G236-G235)/60),"")</f>
        <v>0.628000000004249</v>
      </c>
      <c r="I236" s="22" t="str">
        <f aca="false">IFERROR(INDEX(Medidores!$B:$B,MATCH(B236,Medidores!$A:$A,0)),"")</f>
        <v>L21</v>
      </c>
      <c r="J236" s="22" t="s">
        <v>107</v>
      </c>
    </row>
    <row r="237" customFormat="false" ht="15" hidden="false" customHeight="false" outlineLevel="0" collapsed="false">
      <c r="A237" s="21" t="n">
        <v>46303</v>
      </c>
      <c r="B237" s="22" t="s">
        <v>82</v>
      </c>
      <c r="C237" s="23" t="n">
        <v>0.583333333333333</v>
      </c>
      <c r="D237" s="24" t="n">
        <v>9920.596</v>
      </c>
      <c r="E237" s="24" t="n">
        <v>3641.205</v>
      </c>
      <c r="F237" s="24" t="n">
        <v>10999.501</v>
      </c>
      <c r="G237" s="22" t="n">
        <f aca="false">HOUR(C237)*60+MINUTE(C237)</f>
        <v>840</v>
      </c>
      <c r="H237" s="25" t="n">
        <f aca="false">IF(AND(B237=B236,A237=A236,D237&gt;0,N(D236)&gt;0,G237&gt;N(G236)),(D237-D236)/((G237-G236)/60),"")</f>
        <v>0.619999999995343</v>
      </c>
      <c r="I237" s="22" t="str">
        <f aca="false">IFERROR(INDEX(Medidores!$B:$B,MATCH(B237,Medidores!$A:$A,0)),"")</f>
        <v>L21</v>
      </c>
      <c r="J237" s="22" t="s">
        <v>108</v>
      </c>
    </row>
    <row r="238" customFormat="false" ht="15" hidden="false" customHeight="false" outlineLevel="0" collapsed="false">
      <c r="A238" s="21" t="n">
        <v>46303</v>
      </c>
      <c r="B238" s="22" t="s">
        <v>82</v>
      </c>
      <c r="C238" s="23" t="n">
        <v>0.59375</v>
      </c>
      <c r="D238" s="24" t="n">
        <v>9921.124</v>
      </c>
      <c r="E238" s="24" t="n">
        <v>3641.205</v>
      </c>
      <c r="F238" s="24" t="n">
        <v>11000.031</v>
      </c>
      <c r="G238" s="22" t="n">
        <f aca="false">HOUR(C238)*60+MINUTE(C238)</f>
        <v>855</v>
      </c>
      <c r="H238" s="25" t="n">
        <f aca="false">IF(AND(B238=B237,A238=A237,D238&gt;0,N(D237)&gt;0,G238&gt;N(G237)),(D238-D237)/((G238-G237)/60),"")</f>
        <v>2.11200000000099</v>
      </c>
      <c r="I238" s="22" t="str">
        <f aca="false">IFERROR(INDEX(Medidores!$B:$B,MATCH(B238,Medidores!$A:$A,0)),"")</f>
        <v>L21</v>
      </c>
      <c r="J238" s="22" t="s">
        <v>109</v>
      </c>
    </row>
    <row r="239" customFormat="false" ht="15" hidden="false" customHeight="false" outlineLevel="0" collapsed="false">
      <c r="A239" s="21" t="n">
        <v>46303</v>
      </c>
      <c r="B239" s="22" t="s">
        <v>82</v>
      </c>
      <c r="C239" s="23" t="n">
        <v>0.604166666666667</v>
      </c>
      <c r="D239" s="24" t="n">
        <v>9921.876</v>
      </c>
      <c r="E239" s="24" t="n">
        <v>3641.24</v>
      </c>
      <c r="F239" s="24" t="n">
        <v>11000.801</v>
      </c>
      <c r="G239" s="22" t="n">
        <f aca="false">HOUR(C239)*60+MINUTE(C239)</f>
        <v>870</v>
      </c>
      <c r="H239" s="25" t="n">
        <f aca="false">IF(AND(B239=B238,A239=A238,D239&gt;0,N(D238)&gt;0,G239&gt;N(G238)),(D239-D238)/((G239-G238)/60),"")</f>
        <v>3.00800000000163</v>
      </c>
      <c r="I239" s="22" t="str">
        <f aca="false">IFERROR(INDEX(Medidores!$B:$B,MATCH(B239,Medidores!$A:$A,0)),"")</f>
        <v>L21</v>
      </c>
      <c r="J239" s="22" t="s">
        <v>110</v>
      </c>
    </row>
    <row r="240" customFormat="false" ht="15" hidden="false" customHeight="false" outlineLevel="0" collapsed="false">
      <c r="A240" s="21" t="n">
        <v>46303</v>
      </c>
      <c r="B240" s="22" t="s">
        <v>82</v>
      </c>
      <c r="C240" s="23" t="n">
        <v>0.614583333333333</v>
      </c>
      <c r="D240" s="24" t="n">
        <v>9922.558</v>
      </c>
      <c r="E240" s="24" t="n">
        <v>3641.637</v>
      </c>
      <c r="F240" s="24" t="n">
        <v>11001.608</v>
      </c>
      <c r="G240" s="22" t="n">
        <f aca="false">HOUR(C240)*60+MINUTE(C240)</f>
        <v>885</v>
      </c>
      <c r="H240" s="25" t="n">
        <f aca="false">IF(AND(B240=B239,A240=A239,D240&gt;0,N(D239)&gt;0,G240&gt;N(G239)),(D240-D239)/((G240-G239)/60),"")</f>
        <v>2.72800000000279</v>
      </c>
      <c r="I240" s="22" t="str">
        <f aca="false">IFERROR(INDEX(Medidores!$B:$B,MATCH(B240,Medidores!$A:$A,0)),"")</f>
        <v>L21</v>
      </c>
      <c r="J240" s="22" t="s">
        <v>111</v>
      </c>
    </row>
    <row r="241" customFormat="false" ht="15" hidden="false" customHeight="false" outlineLevel="0" collapsed="false">
      <c r="A241" s="21" t="n">
        <v>46303</v>
      </c>
      <c r="B241" s="22" t="s">
        <v>82</v>
      </c>
      <c r="C241" s="23" t="n">
        <v>0.625</v>
      </c>
      <c r="D241" s="24" t="n">
        <v>9923.381</v>
      </c>
      <c r="E241" s="24" t="n">
        <v>3642.175</v>
      </c>
      <c r="F241" s="24" t="n">
        <v>11002.594</v>
      </c>
      <c r="G241" s="22" t="n">
        <f aca="false">HOUR(C241)*60+MINUTE(C241)</f>
        <v>900</v>
      </c>
      <c r="H241" s="25" t="n">
        <f aca="false">IF(AND(B241=B240,A241=A240,D241&gt;0,N(D240)&gt;0,G241&gt;N(G240)),(D241-D240)/((G241-G240)/60),"")</f>
        <v>3.291999999994</v>
      </c>
      <c r="I241" s="22" t="str">
        <f aca="false">IFERROR(INDEX(Medidores!$B:$B,MATCH(B241,Medidores!$A:$A,0)),"")</f>
        <v>L21</v>
      </c>
      <c r="J241" s="22" t="s">
        <v>132</v>
      </c>
    </row>
    <row r="242" customFormat="false" ht="15" hidden="false" customHeight="false" outlineLevel="0" collapsed="false">
      <c r="A242" s="21" t="n">
        <v>46303</v>
      </c>
      <c r="B242" s="22" t="s">
        <v>84</v>
      </c>
      <c r="C242" s="23" t="n">
        <v>0.416666666666667</v>
      </c>
      <c r="D242" s="24" t="n">
        <v>10505.768</v>
      </c>
      <c r="E242" s="24" t="n">
        <v>4913.93</v>
      </c>
      <c r="F242" s="24" t="n">
        <v>11778.164</v>
      </c>
      <c r="G242" s="22" t="n">
        <f aca="false">HOUR(C242)*60+MINUTE(C242)</f>
        <v>600</v>
      </c>
      <c r="H242" s="25" t="str">
        <f aca="false">IF(AND(B242=B241,A242=A241,D242&gt;0,N(D241)&gt;0,G242&gt;N(G241)),(D242-D241)/((G242-G241)/60),"")</f>
        <v/>
      </c>
      <c r="I242" s="22" t="str">
        <f aca="false">IFERROR(INDEX(Medidores!$B:$B,MATCH(B242,Medidores!$A:$A,0)),"")</f>
        <v>L14</v>
      </c>
      <c r="J242" s="22" t="s">
        <v>112</v>
      </c>
    </row>
    <row r="243" customFormat="false" ht="15" hidden="false" customHeight="false" outlineLevel="0" collapsed="false">
      <c r="A243" s="21" t="n">
        <v>46303</v>
      </c>
      <c r="B243" s="22" t="s">
        <v>84</v>
      </c>
      <c r="C243" s="23" t="n">
        <v>0.427083333333333</v>
      </c>
      <c r="D243" s="24" t="n">
        <v>10506.634</v>
      </c>
      <c r="E243" s="24" t="n">
        <v>4914.398</v>
      </c>
      <c r="F243" s="24" t="n">
        <v>11779.152</v>
      </c>
      <c r="G243" s="22" t="n">
        <f aca="false">HOUR(C243)*60+MINUTE(C243)</f>
        <v>615</v>
      </c>
      <c r="H243" s="25" t="n">
        <f aca="false">IF(AND(B243=B242,A243=A242,D243&gt;0,N(D242)&gt;0,G243&gt;N(G242)),(D243-D242)/((G243-G242)/60),"")</f>
        <v>3.46399999999994</v>
      </c>
      <c r="I243" s="22" t="str">
        <f aca="false">IFERROR(INDEX(Medidores!$B:$B,MATCH(B243,Medidores!$A:$A,0)),"")</f>
        <v>L14</v>
      </c>
      <c r="J243" s="22" t="s">
        <v>113</v>
      </c>
    </row>
    <row r="244" customFormat="false" ht="15" hidden="false" customHeight="false" outlineLevel="0" collapsed="false">
      <c r="A244" s="21" t="n">
        <v>46303</v>
      </c>
      <c r="B244" s="22" t="s">
        <v>84</v>
      </c>
      <c r="C244" s="23" t="n">
        <v>0.4375</v>
      </c>
      <c r="D244" s="24" t="n">
        <v>10507.683</v>
      </c>
      <c r="E244" s="24" t="n">
        <v>4914.922</v>
      </c>
      <c r="F244" s="24" t="n">
        <v>11780.325</v>
      </c>
      <c r="G244" s="22" t="n">
        <f aca="false">HOUR(C244)*60+MINUTE(C244)</f>
        <v>630</v>
      </c>
      <c r="H244" s="25" t="n">
        <f aca="false">IF(AND(B244=B243,A244=A243,D244&gt;0,N(D243)&gt;0,G244&gt;N(G243)),(D244-D243)/((G244-G243)/60),"")</f>
        <v>4.19600000000355</v>
      </c>
      <c r="I244" s="22" t="str">
        <f aca="false">IFERROR(INDEX(Medidores!$B:$B,MATCH(B244,Medidores!$A:$A,0)),"")</f>
        <v>L14</v>
      </c>
      <c r="J244" s="22" t="s">
        <v>114</v>
      </c>
    </row>
    <row r="245" customFormat="false" ht="15" hidden="false" customHeight="false" outlineLevel="0" collapsed="false">
      <c r="A245" s="21" t="n">
        <v>46303</v>
      </c>
      <c r="B245" s="22" t="s">
        <v>84</v>
      </c>
      <c r="C245" s="23" t="n">
        <v>0.447916666666667</v>
      </c>
      <c r="D245" s="24" t="n">
        <v>10508.399</v>
      </c>
      <c r="E245" s="24" t="n">
        <v>4915.233</v>
      </c>
      <c r="F245" s="24" t="n">
        <v>11781.114</v>
      </c>
      <c r="G245" s="22" t="n">
        <f aca="false">HOUR(C245)*60+MINUTE(C245)</f>
        <v>645</v>
      </c>
      <c r="H245" s="25" t="n">
        <f aca="false">IF(AND(B245=B244,A245=A244,D245&gt;0,N(D244)&gt;0,G245&gt;N(G244)),(D245-D244)/((G245-G244)/60),"")</f>
        <v>2.86399999999412</v>
      </c>
      <c r="I245" s="22" t="str">
        <f aca="false">IFERROR(INDEX(Medidores!$B:$B,MATCH(B245,Medidores!$A:$A,0)),"")</f>
        <v>L14</v>
      </c>
      <c r="J245" s="22" t="s">
        <v>115</v>
      </c>
    </row>
    <row r="246" customFormat="false" ht="15" hidden="false" customHeight="false" outlineLevel="0" collapsed="false">
      <c r="A246" s="21" t="n">
        <v>46303</v>
      </c>
      <c r="B246" s="22" t="s">
        <v>84</v>
      </c>
      <c r="C246" s="23" t="n">
        <v>0.458333333333333</v>
      </c>
      <c r="D246" s="24" t="n">
        <v>10508.856</v>
      </c>
      <c r="E246" s="24" t="n">
        <v>4915.375</v>
      </c>
      <c r="F246" s="24" t="n">
        <v>11781.602</v>
      </c>
      <c r="G246" s="22" t="n">
        <f aca="false">HOUR(C246)*60+MINUTE(C246)</f>
        <v>660</v>
      </c>
      <c r="H246" s="25" t="n">
        <f aca="false">IF(AND(B246=B245,A246=A245,D246&gt;0,N(D245)&gt;0,G246&gt;N(G245)),(D246-D245)/((G246-G245)/60),"")</f>
        <v>1.82800000000134</v>
      </c>
      <c r="I246" s="22" t="str">
        <f aca="false">IFERROR(INDEX(Medidores!$B:$B,MATCH(B246,Medidores!$A:$A,0)),"")</f>
        <v>L14</v>
      </c>
      <c r="J246" s="22" t="s">
        <v>116</v>
      </c>
    </row>
    <row r="247" customFormat="false" ht="15" hidden="false" customHeight="false" outlineLevel="0" collapsed="false">
      <c r="A247" s="21" t="n">
        <v>46303</v>
      </c>
      <c r="B247" s="22" t="s">
        <v>84</v>
      </c>
      <c r="C247" s="23" t="n">
        <v>0.46875</v>
      </c>
      <c r="D247" s="24" t="n">
        <v>10509.443</v>
      </c>
      <c r="E247" s="24" t="n">
        <v>4915.58</v>
      </c>
      <c r="F247" s="24" t="n">
        <v>11782.235</v>
      </c>
      <c r="G247" s="22" t="n">
        <f aca="false">HOUR(C247)*60+MINUTE(C247)</f>
        <v>675</v>
      </c>
      <c r="H247" s="25" t="n">
        <f aca="false">IF(AND(B247=B246,A247=A246,D247&gt;0,N(D246)&gt;0,G247&gt;N(G246)),(D247-D246)/((G247-G246)/60),"")</f>
        <v>2.34799999999814</v>
      </c>
      <c r="I247" s="22" t="str">
        <f aca="false">IFERROR(INDEX(Medidores!$B:$B,MATCH(B247,Medidores!$A:$A,0)),"")</f>
        <v>L14</v>
      </c>
      <c r="J247" s="22" t="s">
        <v>117</v>
      </c>
    </row>
    <row r="248" customFormat="false" ht="15" hidden="false" customHeight="false" outlineLevel="0" collapsed="false">
      <c r="A248" s="21" t="n">
        <v>46303</v>
      </c>
      <c r="B248" s="22" t="s">
        <v>84</v>
      </c>
      <c r="C248" s="23" t="n">
        <v>0.479166666666667</v>
      </c>
      <c r="D248" s="24" t="n">
        <v>10510.365</v>
      </c>
      <c r="E248" s="24" t="n">
        <v>4916.066</v>
      </c>
      <c r="F248" s="24" t="n">
        <v>11783.28</v>
      </c>
      <c r="G248" s="22" t="n">
        <f aca="false">HOUR(C248)*60+MINUTE(C248)</f>
        <v>690</v>
      </c>
      <c r="H248" s="25" t="n">
        <f aca="false">IF(AND(B248=B247,A248=A247,D248&gt;0,N(D247)&gt;0,G248&gt;N(G247)),(D248-D247)/((G248-G247)/60),"")</f>
        <v>3.68800000000192</v>
      </c>
      <c r="I248" s="22" t="str">
        <f aca="false">IFERROR(INDEX(Medidores!$B:$B,MATCH(B248,Medidores!$A:$A,0)),"")</f>
        <v>L14</v>
      </c>
      <c r="J248" s="22" t="s">
        <v>118</v>
      </c>
    </row>
    <row r="249" customFormat="false" ht="15" hidden="false" customHeight="false" outlineLevel="0" collapsed="false">
      <c r="A249" s="21" t="n">
        <v>46303</v>
      </c>
      <c r="B249" s="22" t="s">
        <v>84</v>
      </c>
      <c r="C249" s="23" t="n">
        <v>0.489583333333333</v>
      </c>
      <c r="D249" s="24" t="n">
        <v>10511.408</v>
      </c>
      <c r="E249" s="24" t="n">
        <v>4916.592</v>
      </c>
      <c r="F249" s="24" t="n">
        <v>11784.45</v>
      </c>
      <c r="G249" s="22" t="n">
        <f aca="false">HOUR(C249)*60+MINUTE(C249)</f>
        <v>705</v>
      </c>
      <c r="H249" s="25" t="n">
        <f aca="false">IF(AND(B249=B248,A249=A248,D249&gt;0,N(D248)&gt;0,G249&gt;N(G248)),(D249-D248)/((G249-G248)/60),"")</f>
        <v>4.17199999999866</v>
      </c>
      <c r="I249" s="22" t="str">
        <f aca="false">IFERROR(INDEX(Medidores!$B:$B,MATCH(B249,Medidores!$A:$A,0)),"")</f>
        <v>L14</v>
      </c>
      <c r="J249" s="22" t="s">
        <v>119</v>
      </c>
    </row>
    <row r="250" customFormat="false" ht="15" hidden="false" customHeight="false" outlineLevel="0" collapsed="false">
      <c r="A250" s="21" t="n">
        <v>46303</v>
      </c>
      <c r="B250" s="22" t="s">
        <v>84</v>
      </c>
      <c r="C250" s="23" t="n">
        <v>0.5</v>
      </c>
      <c r="D250" s="24" t="n">
        <v>10512.41</v>
      </c>
      <c r="E250" s="24" t="n">
        <v>4917.124</v>
      </c>
      <c r="F250" s="24" t="n">
        <v>11785.585</v>
      </c>
      <c r="G250" s="22" t="n">
        <f aca="false">HOUR(C250)*60+MINUTE(C250)</f>
        <v>720</v>
      </c>
      <c r="H250" s="25" t="n">
        <f aca="false">IF(AND(B250=B249,A250=A249,D250&gt;0,N(D249)&gt;0,G250&gt;N(G249)),(D250-D249)/((G250-G249)/60),"")</f>
        <v>4.00800000000163</v>
      </c>
      <c r="I250" s="22" t="str">
        <f aca="false">IFERROR(INDEX(Medidores!$B:$B,MATCH(B250,Medidores!$A:$A,0)),"")</f>
        <v>L14</v>
      </c>
      <c r="J250" s="22" t="s">
        <v>120</v>
      </c>
    </row>
    <row r="251" customFormat="false" ht="15" hidden="false" customHeight="false" outlineLevel="0" collapsed="false">
      <c r="A251" s="21" t="n">
        <v>46303</v>
      </c>
      <c r="B251" s="22" t="s">
        <v>84</v>
      </c>
      <c r="C251" s="23" t="n">
        <v>0.510416666666667</v>
      </c>
      <c r="D251" s="24" t="n">
        <v>10513.449</v>
      </c>
      <c r="E251" s="24" t="n">
        <v>4917.667</v>
      </c>
      <c r="F251" s="24" t="n">
        <v>11786.76</v>
      </c>
      <c r="G251" s="22" t="n">
        <f aca="false">HOUR(C251)*60+MINUTE(C251)</f>
        <v>735</v>
      </c>
      <c r="H251" s="25" t="n">
        <f aca="false">IF(AND(B251=B250,A251=A250,D251&gt;0,N(D250)&gt;0,G251&gt;N(G250)),(D251-D250)/((G251-G250)/60),"")</f>
        <v>4.15600000000268</v>
      </c>
      <c r="I251" s="22" t="str">
        <f aca="false">IFERROR(INDEX(Medidores!$B:$B,MATCH(B251,Medidores!$A:$A,0)),"")</f>
        <v>L14</v>
      </c>
      <c r="J251" s="22" t="s">
        <v>121</v>
      </c>
    </row>
    <row r="252" customFormat="false" ht="15" hidden="false" customHeight="false" outlineLevel="0" collapsed="false">
      <c r="A252" s="21" t="n">
        <v>46303</v>
      </c>
      <c r="B252" s="22" t="s">
        <v>84</v>
      </c>
      <c r="C252" s="23" t="n">
        <v>0.520833333333333</v>
      </c>
      <c r="D252" s="24" t="n">
        <v>10514.475</v>
      </c>
      <c r="E252" s="24" t="n">
        <v>4918.213</v>
      </c>
      <c r="F252" s="24" t="n">
        <v>11787.924</v>
      </c>
      <c r="G252" s="22" t="n">
        <f aca="false">HOUR(C252)*60+MINUTE(C252)</f>
        <v>750</v>
      </c>
      <c r="H252" s="25" t="n">
        <f aca="false">IF(AND(B252=B251,A252=A251,D252&gt;0,N(D251)&gt;0,G252&gt;N(G251)),(D252-D251)/((G252-G251)/60),"")</f>
        <v>4.10399999999936</v>
      </c>
      <c r="I252" s="22" t="str">
        <f aca="false">IFERROR(INDEX(Medidores!$B:$B,MATCH(B252,Medidores!$A:$A,0)),"")</f>
        <v>L14</v>
      </c>
      <c r="J252" s="22" t="s">
        <v>122</v>
      </c>
    </row>
    <row r="253" customFormat="false" ht="15" hidden="false" customHeight="false" outlineLevel="0" collapsed="false">
      <c r="A253" s="21" t="n">
        <v>46303</v>
      </c>
      <c r="B253" s="22" t="s">
        <v>84</v>
      </c>
      <c r="C253" s="23" t="n">
        <v>0.53125</v>
      </c>
      <c r="D253" s="24" t="n">
        <v>10515.273</v>
      </c>
      <c r="E253" s="24" t="n">
        <v>4918.675</v>
      </c>
      <c r="F253" s="24" t="n">
        <v>11788.847</v>
      </c>
      <c r="G253" s="22" t="n">
        <f aca="false">HOUR(C253)*60+MINUTE(C253)</f>
        <v>765</v>
      </c>
      <c r="H253" s="25" t="n">
        <f aca="false">IF(AND(B253=B252,A253=A252,D253&gt;0,N(D252)&gt;0,G253&gt;N(G252)),(D253-D252)/((G253-G252)/60),"")</f>
        <v>3.19199999999546</v>
      </c>
      <c r="I253" s="22" t="str">
        <f aca="false">IFERROR(INDEX(Medidores!$B:$B,MATCH(B253,Medidores!$A:$A,0)),"")</f>
        <v>L14</v>
      </c>
      <c r="J253" s="22" t="s">
        <v>123</v>
      </c>
    </row>
    <row r="254" customFormat="false" ht="15" hidden="false" customHeight="false" outlineLevel="0" collapsed="false">
      <c r="A254" s="21" t="n">
        <v>46303</v>
      </c>
      <c r="B254" s="22" t="s">
        <v>84</v>
      </c>
      <c r="C254" s="23" t="n">
        <v>0.541666666666667</v>
      </c>
      <c r="D254" s="24" t="n">
        <v>10516.296</v>
      </c>
      <c r="E254" s="24" t="n">
        <v>4919.194</v>
      </c>
      <c r="F254" s="24" t="n">
        <v>11789.997</v>
      </c>
      <c r="G254" s="22" t="n">
        <f aca="false">HOUR(C254)*60+MINUTE(C254)</f>
        <v>780</v>
      </c>
      <c r="H254" s="25" t="n">
        <f aca="false">IF(AND(B254=B253,A254=A253,D254&gt;0,N(D253)&gt;0,G254&gt;N(G253)),(D254-D253)/((G254-G253)/60),"")</f>
        <v>4.09200000000419</v>
      </c>
      <c r="I254" s="22" t="str">
        <f aca="false">IFERROR(INDEX(Medidores!$B:$B,MATCH(B254,Medidores!$A:$A,0)),"")</f>
        <v>L14</v>
      </c>
      <c r="J254" s="22" t="s">
        <v>124</v>
      </c>
    </row>
    <row r="255" customFormat="false" ht="15" hidden="false" customHeight="false" outlineLevel="0" collapsed="false">
      <c r="A255" s="21" t="n">
        <v>46303</v>
      </c>
      <c r="B255" s="22" t="s">
        <v>84</v>
      </c>
      <c r="C255" s="23" t="n">
        <v>0.552083333333333</v>
      </c>
      <c r="D255" s="24" t="n">
        <v>10517.332</v>
      </c>
      <c r="E255" s="24" t="n">
        <v>4919.748</v>
      </c>
      <c r="F255" s="24" t="n">
        <v>11791.172</v>
      </c>
      <c r="G255" s="22" t="n">
        <f aca="false">HOUR(C255)*60+MINUTE(C255)</f>
        <v>795</v>
      </c>
      <c r="H255" s="25" t="n">
        <f aca="false">IF(AND(B255=B254,A255=A254,D255&gt;0,N(D254)&gt;0,G255&gt;N(G254)),(D255-D254)/((G255-G254)/60),"")</f>
        <v>4.14400000000023</v>
      </c>
      <c r="I255" s="22" t="str">
        <f aca="false">IFERROR(INDEX(Medidores!$B:$B,MATCH(B255,Medidores!$A:$A,0)),"")</f>
        <v>L14</v>
      </c>
      <c r="J255" s="22" t="s">
        <v>125</v>
      </c>
    </row>
    <row r="256" customFormat="false" ht="15" hidden="false" customHeight="false" outlineLevel="0" collapsed="false">
      <c r="A256" s="21" t="n">
        <v>46303</v>
      </c>
      <c r="B256" s="22" t="s">
        <v>84</v>
      </c>
      <c r="C256" s="23" t="n">
        <v>0.5625</v>
      </c>
      <c r="D256" s="24" t="n">
        <v>10518.368</v>
      </c>
      <c r="E256" s="24" t="n">
        <v>4920.274</v>
      </c>
      <c r="F256" s="24" t="n">
        <v>11792.338</v>
      </c>
      <c r="G256" s="22" t="n">
        <f aca="false">HOUR(C256)*60+MINUTE(C256)</f>
        <v>810</v>
      </c>
      <c r="H256" s="25" t="n">
        <f aca="false">IF(AND(B256=B255,A256=A255,D256&gt;0,N(D255)&gt;0,G256&gt;N(G255)),(D256-D255)/((G256-G255)/60),"")</f>
        <v>4.14400000000023</v>
      </c>
      <c r="I256" s="22" t="str">
        <f aca="false">IFERROR(INDEX(Medidores!$B:$B,MATCH(B256,Medidores!$A:$A,0)),"")</f>
        <v>L14</v>
      </c>
      <c r="J256" s="22" t="s">
        <v>126</v>
      </c>
    </row>
    <row r="257" customFormat="false" ht="15" hidden="false" customHeight="false" outlineLevel="0" collapsed="false">
      <c r="A257" s="21" t="n">
        <v>46303</v>
      </c>
      <c r="B257" s="22" t="s">
        <v>84</v>
      </c>
      <c r="C257" s="23" t="n">
        <v>0.572916666666667</v>
      </c>
      <c r="D257" s="24" t="n">
        <v>10519.404</v>
      </c>
      <c r="E257" s="24" t="n">
        <v>4920.825</v>
      </c>
      <c r="F257" s="24" t="n">
        <v>11793.512</v>
      </c>
      <c r="G257" s="22" t="n">
        <f aca="false">HOUR(C257)*60+MINUTE(C257)</f>
        <v>825</v>
      </c>
      <c r="H257" s="25" t="n">
        <f aca="false">IF(AND(B257=B256,A257=A256,D257&gt;0,N(D256)&gt;0,G257&gt;N(G256)),(D257-D256)/((G257-G256)/60),"")</f>
        <v>4.14400000000023</v>
      </c>
      <c r="I257" s="22" t="str">
        <f aca="false">IFERROR(INDEX(Medidores!$B:$B,MATCH(B257,Medidores!$A:$A,0)),"")</f>
        <v>L14</v>
      </c>
      <c r="J257" s="22" t="s">
        <v>127</v>
      </c>
    </row>
    <row r="258" customFormat="false" ht="15" hidden="false" customHeight="false" outlineLevel="0" collapsed="false">
      <c r="A258" s="21" t="n">
        <v>46303</v>
      </c>
      <c r="B258" s="22" t="s">
        <v>84</v>
      </c>
      <c r="C258" s="23" t="n">
        <v>0.583333333333333</v>
      </c>
      <c r="D258" s="24" t="n">
        <v>10520.44</v>
      </c>
      <c r="E258" s="24" t="n">
        <v>4921.353</v>
      </c>
      <c r="F258" s="24" t="n">
        <v>11794.678</v>
      </c>
      <c r="G258" s="22" t="n">
        <f aca="false">HOUR(C258)*60+MINUTE(C258)</f>
        <v>840</v>
      </c>
      <c r="H258" s="25" t="n">
        <f aca="false">IF(AND(B258=B257,A258=A257,D258&gt;0,N(D257)&gt;0,G258&gt;N(G257)),(D258-D257)/((G258-G257)/60),"")</f>
        <v>4.14400000000023</v>
      </c>
      <c r="I258" s="22" t="str">
        <f aca="false">IFERROR(INDEX(Medidores!$B:$B,MATCH(B258,Medidores!$A:$A,0)),"")</f>
        <v>L14</v>
      </c>
      <c r="J258" s="22" t="s">
        <v>128</v>
      </c>
    </row>
    <row r="259" customFormat="false" ht="15" hidden="false" customHeight="false" outlineLevel="0" collapsed="false">
      <c r="A259" s="21" t="n">
        <v>46303</v>
      </c>
      <c r="B259" s="22" t="s">
        <v>84</v>
      </c>
      <c r="C259" s="23" t="n">
        <v>0.59375</v>
      </c>
      <c r="D259" s="24" t="n">
        <v>10521.397</v>
      </c>
      <c r="E259" s="24" t="n">
        <v>4921.87</v>
      </c>
      <c r="F259" s="24" t="n">
        <v>11795.766</v>
      </c>
      <c r="G259" s="22" t="n">
        <f aca="false">HOUR(C259)*60+MINUTE(C259)</f>
        <v>855</v>
      </c>
      <c r="H259" s="25" t="n">
        <f aca="false">IF(AND(B259=B258,A259=A258,D259&gt;0,N(D258)&gt;0,G259&gt;N(G258)),(D259-D258)/((G259-G258)/60),"")</f>
        <v>3.82800000000134</v>
      </c>
      <c r="I259" s="22" t="str">
        <f aca="false">IFERROR(INDEX(Medidores!$B:$B,MATCH(B259,Medidores!$A:$A,0)),"")</f>
        <v>L14</v>
      </c>
      <c r="J259" s="22" t="s">
        <v>129</v>
      </c>
    </row>
    <row r="260" customFormat="false" ht="15" hidden="false" customHeight="false" outlineLevel="0" collapsed="false">
      <c r="A260" s="21" t="n">
        <v>46303</v>
      </c>
      <c r="B260" s="22" t="s">
        <v>84</v>
      </c>
      <c r="C260" s="23" t="n">
        <v>0.604166666666667</v>
      </c>
      <c r="D260" s="24" t="n">
        <v>10522.433</v>
      </c>
      <c r="E260" s="24" t="n">
        <v>4922.41</v>
      </c>
      <c r="F260" s="24" t="n">
        <v>11796.936</v>
      </c>
      <c r="G260" s="22" t="n">
        <f aca="false">HOUR(C260)*60+MINUTE(C260)</f>
        <v>870</v>
      </c>
      <c r="H260" s="25" t="n">
        <f aca="false">IF(AND(B260=B259,A260=A259,D260&gt;0,N(D259)&gt;0,G260&gt;N(G259)),(D260-D259)/((G260-G259)/60),"")</f>
        <v>4.14400000000023</v>
      </c>
      <c r="I260" s="22" t="str">
        <f aca="false">IFERROR(INDEX(Medidores!$B:$B,MATCH(B260,Medidores!$A:$A,0)),"")</f>
        <v>L14</v>
      </c>
      <c r="J260" s="22" t="s">
        <v>130</v>
      </c>
    </row>
    <row r="261" customFormat="false" ht="15" hidden="false" customHeight="false" outlineLevel="0" collapsed="false">
      <c r="A261" s="21" t="n">
        <v>46303</v>
      </c>
      <c r="B261" s="22" t="s">
        <v>84</v>
      </c>
      <c r="C261" s="23" t="n">
        <v>0.614583333333333</v>
      </c>
      <c r="D261" s="24" t="n">
        <v>10523.467</v>
      </c>
      <c r="E261" s="24" t="n">
        <v>4922.955</v>
      </c>
      <c r="F261" s="24" t="n">
        <v>11798.107</v>
      </c>
      <c r="G261" s="22" t="n">
        <f aca="false">HOUR(C261)*60+MINUTE(C261)</f>
        <v>885</v>
      </c>
      <c r="H261" s="25" t="n">
        <f aca="false">IF(AND(B261=B260,A261=A260,D261&gt;0,N(D260)&gt;0,G261&gt;N(G260)),(D261-D260)/((G261-G260)/60),"")</f>
        <v>4.1359999999986</v>
      </c>
      <c r="I261" s="22" t="str">
        <f aca="false">IFERROR(INDEX(Medidores!$B:$B,MATCH(B261,Medidores!$A:$A,0)),"")</f>
        <v>L14</v>
      </c>
      <c r="J261" s="22" t="s">
        <v>131</v>
      </c>
    </row>
    <row r="262" customFormat="false" ht="15" hidden="false" customHeight="false" outlineLevel="0" collapsed="false">
      <c r="A262" s="21" t="n">
        <v>46303</v>
      </c>
      <c r="B262" s="22" t="s">
        <v>86</v>
      </c>
      <c r="C262" s="23" t="n">
        <v>0.416666666666667</v>
      </c>
      <c r="D262" s="24" t="n">
        <v>13582.362</v>
      </c>
      <c r="E262" s="24" t="n">
        <v>10957.626</v>
      </c>
      <c r="F262" s="24" t="n">
        <v>17700.393</v>
      </c>
      <c r="G262" s="22" t="n">
        <f aca="false">HOUR(C262)*60+MINUTE(C262)</f>
        <v>600</v>
      </c>
      <c r="H262" s="25" t="str">
        <f aca="false">IF(AND(B262=B261,A262=A261,D262&gt;0,N(D261)&gt;0,G262&gt;N(G261)),(D262-D261)/((G262-G261)/60),"")</f>
        <v/>
      </c>
      <c r="I262" s="22" t="str">
        <f aca="false">IFERROR(INDEX(Medidores!$B:$B,MATCH(B262,Medidores!$A:$A,0)),"")</f>
        <v>L20</v>
      </c>
      <c r="J262" s="22" t="s">
        <v>92</v>
      </c>
    </row>
    <row r="263" customFormat="false" ht="15" hidden="false" customHeight="false" outlineLevel="0" collapsed="false">
      <c r="A263" s="21" t="n">
        <v>46303</v>
      </c>
      <c r="B263" s="22" t="s">
        <v>86</v>
      </c>
      <c r="C263" s="23" t="n">
        <v>0.427083333333333</v>
      </c>
      <c r="D263" s="24" t="n">
        <v>13583.332</v>
      </c>
      <c r="E263" s="24" t="n">
        <v>10958.339</v>
      </c>
      <c r="F263" s="24" t="n">
        <v>17701.596</v>
      </c>
      <c r="G263" s="22" t="n">
        <f aca="false">HOUR(C263)*60+MINUTE(C263)</f>
        <v>615</v>
      </c>
      <c r="H263" s="25" t="n">
        <f aca="false">IF(AND(B263=B262,A263=A262,D263&gt;0,N(D262)&gt;0,G263&gt;N(G262)),(D263-D262)/((G263-G262)/60),"")</f>
        <v>3.88000000000466</v>
      </c>
      <c r="I263" s="22" t="str">
        <f aca="false">IFERROR(INDEX(Medidores!$B:$B,MATCH(B263,Medidores!$A:$A,0)),"")</f>
        <v>L20</v>
      </c>
      <c r="J263" s="22" t="s">
        <v>93</v>
      </c>
    </row>
    <row r="264" customFormat="false" ht="15" hidden="false" customHeight="false" outlineLevel="0" collapsed="false">
      <c r="A264" s="21" t="n">
        <v>46303</v>
      </c>
      <c r="B264" s="22" t="s">
        <v>86</v>
      </c>
      <c r="C264" s="23" t="n">
        <v>0.4375</v>
      </c>
      <c r="D264" s="24" t="n">
        <v>13584.07</v>
      </c>
      <c r="E264" s="24" t="n">
        <v>10958.873</v>
      </c>
      <c r="F264" s="24" t="n">
        <v>17702.51</v>
      </c>
      <c r="G264" s="22" t="n">
        <f aca="false">HOUR(C264)*60+MINUTE(C264)</f>
        <v>630</v>
      </c>
      <c r="H264" s="25" t="n">
        <f aca="false">IF(AND(B264=B263,A264=A263,D264&gt;0,N(D263)&gt;0,G264&gt;N(G263)),(D264-D263)/((G264-G263)/60),"")</f>
        <v>2.9519999999975</v>
      </c>
      <c r="I264" s="22" t="str">
        <f aca="false">IFERROR(INDEX(Medidores!$B:$B,MATCH(B264,Medidores!$A:$A,0)),"")</f>
        <v>L20</v>
      </c>
      <c r="J264" s="22" t="s">
        <v>94</v>
      </c>
    </row>
    <row r="265" customFormat="false" ht="15" hidden="false" customHeight="false" outlineLevel="0" collapsed="false">
      <c r="A265" s="21" t="n">
        <v>46303</v>
      </c>
      <c r="B265" s="22" t="s">
        <v>86</v>
      </c>
      <c r="C265" s="23" t="n">
        <v>0.447916666666667</v>
      </c>
      <c r="D265" s="24" t="n">
        <v>13584.397</v>
      </c>
      <c r="E265" s="24" t="n">
        <v>10959.101</v>
      </c>
      <c r="F265" s="24" t="n">
        <v>17702.912</v>
      </c>
      <c r="G265" s="22" t="n">
        <f aca="false">HOUR(C265)*60+MINUTE(C265)</f>
        <v>645</v>
      </c>
      <c r="H265" s="25" t="n">
        <f aca="false">IF(AND(B265=B264,A265=A264,D265&gt;0,N(D264)&gt;0,G265&gt;N(G264)),(D265-D264)/((G265-G264)/60),"")</f>
        <v>1.30800000000454</v>
      </c>
      <c r="I265" s="22" t="str">
        <f aca="false">IFERROR(INDEX(Medidores!$B:$B,MATCH(B265,Medidores!$A:$A,0)),"")</f>
        <v>L20</v>
      </c>
      <c r="J265" s="22" t="s">
        <v>95</v>
      </c>
    </row>
    <row r="266" customFormat="false" ht="15" hidden="false" customHeight="false" outlineLevel="0" collapsed="false">
      <c r="A266" s="21" t="n">
        <v>46303</v>
      </c>
      <c r="B266" s="22" t="s">
        <v>86</v>
      </c>
      <c r="C266" s="23" t="n">
        <v>0.458333333333333</v>
      </c>
      <c r="D266" s="24" t="n">
        <v>13584.775</v>
      </c>
      <c r="E266" s="24" t="n">
        <v>10959.397</v>
      </c>
      <c r="F266" s="24" t="n">
        <v>17703.396</v>
      </c>
      <c r="G266" s="22" t="n">
        <f aca="false">HOUR(C266)*60+MINUTE(C266)</f>
        <v>660</v>
      </c>
      <c r="H266" s="25" t="n">
        <f aca="false">IF(AND(B266=B265,A266=A265,D266&gt;0,N(D265)&gt;0,G266&gt;N(G265)),(D266-D265)/((G266-G265)/60),"")</f>
        <v>1.51199999999517</v>
      </c>
      <c r="I266" s="22" t="str">
        <f aca="false">IFERROR(INDEX(Medidores!$B:$B,MATCH(B266,Medidores!$A:$A,0)),"")</f>
        <v>L20</v>
      </c>
      <c r="J266" s="22" t="s">
        <v>96</v>
      </c>
    </row>
    <row r="267" customFormat="false" ht="15" hidden="false" customHeight="false" outlineLevel="0" collapsed="false">
      <c r="A267" s="21" t="n">
        <v>46303</v>
      </c>
      <c r="B267" s="22" t="s">
        <v>86</v>
      </c>
      <c r="C267" s="23" t="n">
        <v>0.46875</v>
      </c>
      <c r="D267" s="24" t="n">
        <v>13585.788</v>
      </c>
      <c r="E267" s="24" t="n">
        <v>10960.126</v>
      </c>
      <c r="F267" s="24" t="n">
        <v>17704.644</v>
      </c>
      <c r="G267" s="22" t="n">
        <f aca="false">HOUR(C267)*60+MINUTE(C267)</f>
        <v>675</v>
      </c>
      <c r="H267" s="25" t="n">
        <f aca="false">IF(AND(B267=B266,A267=A266,D267&gt;0,N(D266)&gt;0,G267&gt;N(G266)),(D267-D266)/((G267-G266)/60),"")</f>
        <v>4.05200000000332</v>
      </c>
      <c r="I267" s="22" t="str">
        <f aca="false">IFERROR(INDEX(Medidores!$B:$B,MATCH(B267,Medidores!$A:$A,0)),"")</f>
        <v>L20</v>
      </c>
      <c r="J267" s="22" t="s">
        <v>97</v>
      </c>
    </row>
    <row r="268" customFormat="false" ht="15" hidden="false" customHeight="false" outlineLevel="0" collapsed="false">
      <c r="A268" s="21" t="n">
        <v>46303</v>
      </c>
      <c r="B268" s="22" t="s">
        <v>86</v>
      </c>
      <c r="C268" s="23" t="n">
        <v>0.479166666666667</v>
      </c>
      <c r="D268" s="24" t="n">
        <v>13586.638</v>
      </c>
      <c r="E268" s="24" t="n">
        <v>10960.784</v>
      </c>
      <c r="F268" s="24" t="n">
        <v>17705.725</v>
      </c>
      <c r="G268" s="22" t="n">
        <f aca="false">HOUR(C268)*60+MINUTE(C268)</f>
        <v>690</v>
      </c>
      <c r="H268" s="25" t="n">
        <f aca="false">IF(AND(B268=B267,A268=A267,D268&gt;0,N(D267)&gt;0,G268&gt;N(G267)),(D268-D267)/((G268-G267)/60),"")</f>
        <v>3.40000000000146</v>
      </c>
      <c r="I268" s="22" t="str">
        <f aca="false">IFERROR(INDEX(Medidores!$B:$B,MATCH(B268,Medidores!$A:$A,0)),"")</f>
        <v>L20</v>
      </c>
      <c r="J268" s="22" t="s">
        <v>98</v>
      </c>
    </row>
    <row r="269" customFormat="false" ht="15" hidden="false" customHeight="false" outlineLevel="0" collapsed="false">
      <c r="A269" s="21" t="n">
        <v>46303</v>
      </c>
      <c r="B269" s="22" t="s">
        <v>86</v>
      </c>
      <c r="C269" s="23" t="n">
        <v>0.489583333333333</v>
      </c>
      <c r="D269" s="24" t="n">
        <v>13587.136</v>
      </c>
      <c r="E269" s="24" t="n">
        <v>10961.264</v>
      </c>
      <c r="F269" s="24" t="n">
        <v>17706.416</v>
      </c>
      <c r="G269" s="22" t="n">
        <f aca="false">HOUR(C269)*60+MINUTE(C269)</f>
        <v>705</v>
      </c>
      <c r="H269" s="25" t="n">
        <f aca="false">IF(AND(B269=B268,A269=A268,D269&gt;0,N(D268)&gt;0,G269&gt;N(G268)),(D269-D268)/((G269-G268)/60),"")</f>
        <v>1.99199999999837</v>
      </c>
      <c r="I269" s="22" t="str">
        <f aca="false">IFERROR(INDEX(Medidores!$B:$B,MATCH(B269,Medidores!$A:$A,0)),"")</f>
        <v>L20</v>
      </c>
      <c r="J269" s="22" t="s">
        <v>99</v>
      </c>
    </row>
    <row r="270" customFormat="false" ht="15" hidden="false" customHeight="false" outlineLevel="0" collapsed="false">
      <c r="A270" s="21" t="n">
        <v>46303</v>
      </c>
      <c r="B270" s="22" t="s">
        <v>86</v>
      </c>
      <c r="C270" s="23" t="n">
        <v>0.5</v>
      </c>
      <c r="D270" s="24" t="n">
        <v>13587.932</v>
      </c>
      <c r="E270" s="24" t="n">
        <v>10961.892</v>
      </c>
      <c r="F270" s="24" t="n">
        <v>17707.432</v>
      </c>
      <c r="G270" s="22" t="n">
        <f aca="false">HOUR(C270)*60+MINUTE(C270)</f>
        <v>720</v>
      </c>
      <c r="H270" s="25" t="n">
        <f aca="false">IF(AND(B270=B269,A270=A269,D270&gt;0,N(D269)&gt;0,G270&gt;N(G269)),(D270-D269)/((G270-G269)/60),"")</f>
        <v>3.18400000000111</v>
      </c>
      <c r="I270" s="22" t="str">
        <f aca="false">IFERROR(INDEX(Medidores!$B:$B,MATCH(B270,Medidores!$A:$A,0)),"")</f>
        <v>L20</v>
      </c>
      <c r="J270" s="22" t="s">
        <v>100</v>
      </c>
    </row>
    <row r="271" customFormat="false" ht="15" hidden="false" customHeight="false" outlineLevel="0" collapsed="false">
      <c r="A271" s="21" t="n">
        <v>46303</v>
      </c>
      <c r="B271" s="22" t="s">
        <v>86</v>
      </c>
      <c r="C271" s="23" t="n">
        <v>0.510416666666667</v>
      </c>
      <c r="D271" s="24" t="n">
        <v>13588.863</v>
      </c>
      <c r="E271" s="24" t="n">
        <v>10962.606</v>
      </c>
      <c r="F271" s="24" t="n">
        <v>17708.607</v>
      </c>
      <c r="G271" s="22" t="n">
        <f aca="false">HOUR(C271)*60+MINUTE(C271)</f>
        <v>735</v>
      </c>
      <c r="H271" s="25" t="n">
        <f aca="false">IF(AND(B271=B270,A271=A270,D271&gt;0,N(D270)&gt;0,G271&gt;N(G270)),(D271-D270)/((G271-G270)/60),"")</f>
        <v>3.7239999999947</v>
      </c>
      <c r="I271" s="22" t="str">
        <f aca="false">IFERROR(INDEX(Medidores!$B:$B,MATCH(B271,Medidores!$A:$A,0)),"")</f>
        <v>L20</v>
      </c>
      <c r="J271" s="22" t="s">
        <v>101</v>
      </c>
    </row>
    <row r="272" customFormat="false" ht="15" hidden="false" customHeight="false" outlineLevel="0" collapsed="false">
      <c r="A272" s="21" t="n">
        <v>46303</v>
      </c>
      <c r="B272" s="22" t="s">
        <v>86</v>
      </c>
      <c r="C272" s="23" t="n">
        <v>0.520833333333333</v>
      </c>
      <c r="D272" s="24" t="n">
        <v>13589.843</v>
      </c>
      <c r="E272" s="24" t="n">
        <v>10963.357</v>
      </c>
      <c r="F272" s="24" t="n">
        <v>17709.848</v>
      </c>
      <c r="G272" s="22" t="n">
        <f aca="false">HOUR(C272)*60+MINUTE(C272)</f>
        <v>750</v>
      </c>
      <c r="H272" s="25" t="n">
        <f aca="false">IF(AND(B272=B271,A272=A271,D272&gt;0,N(D271)&gt;0,G272&gt;N(G271)),(D272-D271)/((G272-G271)/60),"")</f>
        <v>3.92000000000553</v>
      </c>
      <c r="I272" s="22" t="str">
        <f aca="false">IFERROR(INDEX(Medidores!$B:$B,MATCH(B272,Medidores!$A:$A,0)),"")</f>
        <v>L20</v>
      </c>
      <c r="J272" s="22" t="s">
        <v>102</v>
      </c>
    </row>
    <row r="273" customFormat="false" ht="15" hidden="false" customHeight="false" outlineLevel="0" collapsed="false">
      <c r="A273" s="21" t="n">
        <v>46303</v>
      </c>
      <c r="B273" s="22" t="s">
        <v>86</v>
      </c>
      <c r="C273" s="23" t="n">
        <v>0.53125</v>
      </c>
      <c r="D273" s="24" t="n">
        <v>13590.836</v>
      </c>
      <c r="E273" s="24" t="n">
        <v>10964.121</v>
      </c>
      <c r="F273" s="24" t="n">
        <v>17711.107</v>
      </c>
      <c r="G273" s="22" t="n">
        <f aca="false">HOUR(C273)*60+MINUTE(C273)</f>
        <v>765</v>
      </c>
      <c r="H273" s="25" t="n">
        <f aca="false">IF(AND(B273=B272,A273=A272,D273&gt;0,N(D272)&gt;0,G273&gt;N(G272)),(D273-D272)/((G273-G272)/60),"")</f>
        <v>3.9719999999943</v>
      </c>
      <c r="I273" s="22" t="str">
        <f aca="false">IFERROR(INDEX(Medidores!$B:$B,MATCH(B273,Medidores!$A:$A,0)),"")</f>
        <v>L20</v>
      </c>
      <c r="J273" s="22" t="s">
        <v>103</v>
      </c>
    </row>
    <row r="274" customFormat="false" ht="15" hidden="false" customHeight="false" outlineLevel="0" collapsed="false">
      <c r="A274" s="21" t="n">
        <v>46303</v>
      </c>
      <c r="B274" s="22" t="s">
        <v>86</v>
      </c>
      <c r="C274" s="23" t="n">
        <v>0.541666666666667</v>
      </c>
      <c r="D274" s="24" t="n">
        <v>13591.794</v>
      </c>
      <c r="E274" s="24" t="n">
        <v>10964.835</v>
      </c>
      <c r="F274" s="24" t="n">
        <v>17712.307</v>
      </c>
      <c r="G274" s="22" t="n">
        <f aca="false">HOUR(C274)*60+MINUTE(C274)</f>
        <v>780</v>
      </c>
      <c r="H274" s="25" t="n">
        <f aca="false">IF(AND(B274=B273,A274=A273,D274&gt;0,N(D273)&gt;0,G274&gt;N(G273)),(D274-D273)/((G274-G273)/60),"")</f>
        <v>3.83200000000215</v>
      </c>
      <c r="I274" s="22" t="str">
        <f aca="false">IFERROR(INDEX(Medidores!$B:$B,MATCH(B274,Medidores!$A:$A,0)),"")</f>
        <v>L20</v>
      </c>
      <c r="J274" s="22" t="s">
        <v>104</v>
      </c>
    </row>
    <row r="275" customFormat="false" ht="15" hidden="false" customHeight="false" outlineLevel="0" collapsed="false">
      <c r="A275" s="21" t="n">
        <v>46303</v>
      </c>
      <c r="B275" s="22" t="s">
        <v>86</v>
      </c>
      <c r="C275" s="23" t="n">
        <v>0.552083333333333</v>
      </c>
      <c r="D275" s="24" t="n">
        <v>13592.763</v>
      </c>
      <c r="E275" s="24" t="n">
        <v>10965.566</v>
      </c>
      <c r="F275" s="24" t="n">
        <v>17713.519</v>
      </c>
      <c r="G275" s="22" t="n">
        <f aca="false">HOUR(C275)*60+MINUTE(C275)</f>
        <v>795</v>
      </c>
      <c r="H275" s="25" t="n">
        <f aca="false">IF(AND(B275=B274,A275=A274,D275&gt;0,N(D274)&gt;0,G275&gt;N(G274)),(D275-D274)/((G275-G274)/60),"")</f>
        <v>3.87600000000384</v>
      </c>
      <c r="I275" s="22" t="str">
        <f aca="false">IFERROR(INDEX(Medidores!$B:$B,MATCH(B275,Medidores!$A:$A,0)),"")</f>
        <v>L20</v>
      </c>
      <c r="J275" s="22" t="s">
        <v>105</v>
      </c>
    </row>
    <row r="276" customFormat="false" ht="15" hidden="false" customHeight="false" outlineLevel="0" collapsed="false">
      <c r="A276" s="21" t="n">
        <v>46303</v>
      </c>
      <c r="B276" s="22" t="s">
        <v>86</v>
      </c>
      <c r="C276" s="23" t="n">
        <v>0.5625</v>
      </c>
      <c r="D276" s="24" t="n">
        <v>13593.733</v>
      </c>
      <c r="E276" s="24" t="n">
        <v>10966.281</v>
      </c>
      <c r="F276" s="24" t="n">
        <v>17714.729</v>
      </c>
      <c r="G276" s="22" t="n">
        <f aca="false">HOUR(C276)*60+MINUTE(C276)</f>
        <v>810</v>
      </c>
      <c r="H276" s="25" t="n">
        <f aca="false">IF(AND(B276=B275,A276=A275,D276&gt;0,N(D275)&gt;0,G276&gt;N(G275)),(D276-D275)/((G276-G275)/60),"")</f>
        <v>3.87999999999738</v>
      </c>
      <c r="I276" s="22" t="str">
        <f aca="false">IFERROR(INDEX(Medidores!$B:$B,MATCH(B276,Medidores!$A:$A,0)),"")</f>
        <v>L20</v>
      </c>
      <c r="J276" s="22" t="s">
        <v>106</v>
      </c>
    </row>
    <row r="277" customFormat="false" ht="15" hidden="false" customHeight="false" outlineLevel="0" collapsed="false">
      <c r="A277" s="21" t="n">
        <v>46303</v>
      </c>
      <c r="B277" s="22" t="s">
        <v>86</v>
      </c>
      <c r="C277" s="23" t="n">
        <v>0.572916666666667</v>
      </c>
      <c r="D277" s="24" t="n">
        <v>13594.706</v>
      </c>
      <c r="E277" s="24" t="n">
        <v>10967.025</v>
      </c>
      <c r="F277" s="24" t="n">
        <v>17715.961</v>
      </c>
      <c r="G277" s="22" t="n">
        <f aca="false">HOUR(C277)*60+MINUTE(C277)</f>
        <v>825</v>
      </c>
      <c r="H277" s="25" t="n">
        <f aca="false">IF(AND(B277=B276,A277=A276,D277&gt;0,N(D276)&gt;0,G277&gt;N(G276)),(D277-D276)/((G277-G276)/60),"")</f>
        <v>3.89199999999983</v>
      </c>
      <c r="I277" s="22" t="str">
        <f aca="false">IFERROR(INDEX(Medidores!$B:$B,MATCH(B277,Medidores!$A:$A,0)),"")</f>
        <v>L20</v>
      </c>
      <c r="J277" s="22" t="s">
        <v>107</v>
      </c>
    </row>
    <row r="278" customFormat="false" ht="15" hidden="false" customHeight="false" outlineLevel="0" collapsed="false">
      <c r="A278" s="21" t="n">
        <v>46303</v>
      </c>
      <c r="B278" s="22" t="s">
        <v>86</v>
      </c>
      <c r="C278" s="23" t="n">
        <v>0.583333333333333</v>
      </c>
      <c r="D278" s="24" t="n">
        <v>13595.691</v>
      </c>
      <c r="E278" s="24" t="n">
        <v>10967.783</v>
      </c>
      <c r="F278" s="24" t="n">
        <v>17717.205</v>
      </c>
      <c r="G278" s="22" t="n">
        <f aca="false">HOUR(C278)*60+MINUTE(C278)</f>
        <v>840</v>
      </c>
      <c r="H278" s="25" t="n">
        <f aca="false">IF(AND(B278=B277,A278=A277,D278&gt;0,N(D277)&gt;0,G278&gt;N(G277)),(D278-D277)/((G278-G277)/60),"")</f>
        <v>3.94000000000233</v>
      </c>
      <c r="I278" s="22" t="str">
        <f aca="false">IFERROR(INDEX(Medidores!$B:$B,MATCH(B278,Medidores!$A:$A,0)),"")</f>
        <v>L20</v>
      </c>
      <c r="J278" s="22" t="s">
        <v>108</v>
      </c>
    </row>
    <row r="279" customFormat="false" ht="15" hidden="false" customHeight="false" outlineLevel="0" collapsed="false">
      <c r="A279" s="21" t="n">
        <v>46303</v>
      </c>
      <c r="B279" s="22" t="s">
        <v>86</v>
      </c>
      <c r="C279" s="23" t="n">
        <v>0.59375</v>
      </c>
      <c r="D279" s="24" t="n">
        <v>13596.648</v>
      </c>
      <c r="E279" s="24" t="n">
        <v>10968.519</v>
      </c>
      <c r="F279" s="24" t="n">
        <v>17718.416</v>
      </c>
      <c r="G279" s="22" t="n">
        <f aca="false">HOUR(C279)*60+MINUTE(C279)</f>
        <v>855</v>
      </c>
      <c r="H279" s="25" t="n">
        <f aca="false">IF(AND(B279=B278,A279=A278,D279&gt;0,N(D278)&gt;0,G279&gt;N(G278)),(D279-D278)/((G279-G278)/60),"")</f>
        <v>3.82799999999406</v>
      </c>
      <c r="I279" s="22" t="str">
        <f aca="false">IFERROR(INDEX(Medidores!$B:$B,MATCH(B279,Medidores!$A:$A,0)),"")</f>
        <v>L20</v>
      </c>
      <c r="J279" s="22" t="s">
        <v>109</v>
      </c>
    </row>
    <row r="280" customFormat="false" ht="15" hidden="false" customHeight="false" outlineLevel="0" collapsed="false">
      <c r="A280" s="21" t="n">
        <v>46303</v>
      </c>
      <c r="B280" s="22" t="s">
        <v>86</v>
      </c>
      <c r="C280" s="23" t="n">
        <v>0.604166666666667</v>
      </c>
      <c r="D280" s="24" t="n">
        <v>13597.625</v>
      </c>
      <c r="E280" s="24" t="n">
        <v>10969.251</v>
      </c>
      <c r="F280" s="24" t="n">
        <v>17719.641</v>
      </c>
      <c r="G280" s="22" t="n">
        <f aca="false">HOUR(C280)*60+MINUTE(C280)</f>
        <v>870</v>
      </c>
      <c r="H280" s="25" t="n">
        <f aca="false">IF(AND(B280=B279,A280=A279,D280&gt;0,N(D279)&gt;0,G280&gt;N(G279)),(D280-D279)/((G280-G279)/60),"")</f>
        <v>3.90800000000309</v>
      </c>
      <c r="I280" s="22" t="str">
        <f aca="false">IFERROR(INDEX(Medidores!$B:$B,MATCH(B280,Medidores!$A:$A,0)),"")</f>
        <v>L20</v>
      </c>
      <c r="J280" s="22" t="s">
        <v>110</v>
      </c>
    </row>
    <row r="281" customFormat="false" ht="15" hidden="false" customHeight="false" outlineLevel="0" collapsed="false">
      <c r="A281" s="21" t="n">
        <v>46303</v>
      </c>
      <c r="B281" s="22" t="s">
        <v>86</v>
      </c>
      <c r="C281" s="23" t="n">
        <v>0.614583333333333</v>
      </c>
      <c r="D281" s="24" t="n">
        <v>13598.605</v>
      </c>
      <c r="E281" s="24" t="n">
        <v>10969.985</v>
      </c>
      <c r="F281" s="24" t="n">
        <v>17720.863</v>
      </c>
      <c r="G281" s="22" t="n">
        <f aca="false">HOUR(C281)*60+MINUTE(C281)</f>
        <v>885</v>
      </c>
      <c r="H281" s="25" t="n">
        <f aca="false">IF(AND(B281=B280,A281=A280,D281&gt;0,N(D280)&gt;0,G281&gt;N(G280)),(D281-D280)/((G281-G280)/60),"")</f>
        <v>3.91999999999825</v>
      </c>
      <c r="I281" s="22" t="str">
        <f aca="false">IFERROR(INDEX(Medidores!$B:$B,MATCH(B281,Medidores!$A:$A,0)),"")</f>
        <v>L20</v>
      </c>
      <c r="J281" s="22" t="s">
        <v>111</v>
      </c>
    </row>
    <row r="282" customFormat="false" ht="15" hidden="false" customHeight="false" outlineLevel="0" collapsed="false">
      <c r="A282" s="21" t="n">
        <v>46303</v>
      </c>
      <c r="B282" s="22" t="s">
        <v>87</v>
      </c>
      <c r="C282" s="23" t="n">
        <v>0.416666666666667</v>
      </c>
      <c r="D282" s="24" t="n">
        <v>6624.58</v>
      </c>
      <c r="E282" s="24" t="n">
        <v>1761.235</v>
      </c>
      <c r="F282" s="24" t="n">
        <v>8224.658</v>
      </c>
      <c r="G282" s="22" t="n">
        <f aca="false">HOUR(C282)*60+MINUTE(C282)</f>
        <v>600</v>
      </c>
      <c r="H282" s="25" t="str">
        <f aca="false">IF(AND(B282=B281,A282=A281,D282&gt;0,N(D281)&gt;0,G282&gt;N(G281)),(D282-D281)/((G282-G281)/60),"")</f>
        <v/>
      </c>
      <c r="I282" s="22" t="str">
        <f aca="false">IFERROR(INDEX(Medidores!$B:$B,MATCH(B282,Medidores!$A:$A,0)),"")</f>
        <v>L16</v>
      </c>
      <c r="J282" s="22" t="s">
        <v>92</v>
      </c>
    </row>
    <row r="283" customFormat="false" ht="15" hidden="false" customHeight="false" outlineLevel="0" collapsed="false">
      <c r="A283" s="21" t="n">
        <v>46303</v>
      </c>
      <c r="B283" s="22" t="s">
        <v>87</v>
      </c>
      <c r="C283" s="23" t="n">
        <v>0.427083333333333</v>
      </c>
      <c r="D283" s="24" t="n">
        <v>6624.619</v>
      </c>
      <c r="E283" s="24" t="n">
        <v>1761.235</v>
      </c>
      <c r="F283" s="24" t="n">
        <v>8224.763</v>
      </c>
      <c r="G283" s="22" t="n">
        <f aca="false">HOUR(C283)*60+MINUTE(C283)</f>
        <v>615</v>
      </c>
      <c r="H283" s="25" t="n">
        <f aca="false">IF(AND(B283=B282,A283=A282,D283&gt;0,N(D282)&gt;0,G283&gt;N(G282)),(D283-D282)/((G283-G282)/60),"")</f>
        <v>0.15599999999904</v>
      </c>
      <c r="I283" s="22" t="str">
        <f aca="false">IFERROR(INDEX(Medidores!$B:$B,MATCH(B283,Medidores!$A:$A,0)),"")</f>
        <v>L16</v>
      </c>
      <c r="J283" s="22" t="s">
        <v>93</v>
      </c>
    </row>
    <row r="284" customFormat="false" ht="15" hidden="false" customHeight="false" outlineLevel="0" collapsed="false">
      <c r="A284" s="21" t="n">
        <v>46303</v>
      </c>
      <c r="B284" s="22" t="s">
        <v>87</v>
      </c>
      <c r="C284" s="23" t="n">
        <v>0.4375</v>
      </c>
      <c r="D284" s="24" t="n">
        <v>6624.658</v>
      </c>
      <c r="E284" s="24" t="n">
        <v>1761.235</v>
      </c>
      <c r="F284" s="24" t="n">
        <v>8224.868</v>
      </c>
      <c r="G284" s="22" t="n">
        <f aca="false">HOUR(C284)*60+MINUTE(C284)</f>
        <v>630</v>
      </c>
      <c r="H284" s="25" t="n">
        <f aca="false">IF(AND(B284=B283,A284=A283,D284&gt;0,N(D283)&gt;0,G284&gt;N(G283)),(D284-D283)/((G284-G283)/60),"")</f>
        <v>0.156000000002678</v>
      </c>
      <c r="I284" s="22" t="str">
        <f aca="false">IFERROR(INDEX(Medidores!$B:$B,MATCH(B284,Medidores!$A:$A,0)),"")</f>
        <v>L16</v>
      </c>
      <c r="J284" s="22" t="s">
        <v>94</v>
      </c>
    </row>
    <row r="285" customFormat="false" ht="15" hidden="false" customHeight="false" outlineLevel="0" collapsed="false">
      <c r="A285" s="21" t="n">
        <v>46303</v>
      </c>
      <c r="B285" s="22" t="s">
        <v>87</v>
      </c>
      <c r="C285" s="23" t="n">
        <v>0.447916666666667</v>
      </c>
      <c r="D285" s="24" t="n">
        <v>6624.697</v>
      </c>
      <c r="E285" s="24" t="n">
        <v>1761.235</v>
      </c>
      <c r="F285" s="24" t="n">
        <v>8224.975</v>
      </c>
      <c r="G285" s="22" t="n">
        <f aca="false">HOUR(C285)*60+MINUTE(C285)</f>
        <v>645</v>
      </c>
      <c r="H285" s="25" t="n">
        <f aca="false">IF(AND(B285=B284,A285=A284,D285&gt;0,N(D284)&gt;0,G285&gt;N(G284)),(D285-D284)/((G285-G284)/60),"")</f>
        <v>0.15599999999904</v>
      </c>
      <c r="I285" s="22" t="str">
        <f aca="false">IFERROR(INDEX(Medidores!$B:$B,MATCH(B285,Medidores!$A:$A,0)),"")</f>
        <v>L16</v>
      </c>
      <c r="J285" s="22" t="s">
        <v>95</v>
      </c>
    </row>
    <row r="286" customFormat="false" ht="15" hidden="false" customHeight="false" outlineLevel="0" collapsed="false">
      <c r="A286" s="21" t="n">
        <v>46303</v>
      </c>
      <c r="B286" s="22" t="s">
        <v>87</v>
      </c>
      <c r="C286" s="23" t="n">
        <v>0.458333333333333</v>
      </c>
      <c r="D286" s="24" t="n">
        <v>6624.737</v>
      </c>
      <c r="E286" s="24" t="n">
        <v>1761.235</v>
      </c>
      <c r="F286" s="24" t="n">
        <v>8225.081</v>
      </c>
      <c r="G286" s="22" t="n">
        <f aca="false">HOUR(C286)*60+MINUTE(C286)</f>
        <v>660</v>
      </c>
      <c r="H286" s="25" t="n">
        <f aca="false">IF(AND(B286=B285,A286=A285,D286&gt;0,N(D285)&gt;0,G286&gt;N(G285)),(D286-D285)/((G286-G285)/60),"")</f>
        <v>0.159999999999854</v>
      </c>
      <c r="I286" s="22" t="str">
        <f aca="false">IFERROR(INDEX(Medidores!$B:$B,MATCH(B286,Medidores!$A:$A,0)),"")</f>
        <v>L16</v>
      </c>
      <c r="J286" s="22" t="s">
        <v>96</v>
      </c>
    </row>
    <row r="287" customFormat="false" ht="15" hidden="false" customHeight="false" outlineLevel="0" collapsed="false">
      <c r="A287" s="21" t="n">
        <v>46303</v>
      </c>
      <c r="B287" s="22" t="s">
        <v>87</v>
      </c>
      <c r="C287" s="23" t="n">
        <v>0.46875</v>
      </c>
      <c r="D287" s="24" t="n">
        <v>6624.776</v>
      </c>
      <c r="E287" s="24" t="n">
        <v>1761.235</v>
      </c>
      <c r="F287" s="24" t="n">
        <v>8225.187</v>
      </c>
      <c r="G287" s="22" t="n">
        <f aca="false">HOUR(C287)*60+MINUTE(C287)</f>
        <v>675</v>
      </c>
      <c r="H287" s="25" t="n">
        <f aca="false">IF(AND(B287=B286,A287=A286,D287&gt;0,N(D286)&gt;0,G287&gt;N(G286)),(D287-D286)/((G287-G286)/60),"")</f>
        <v>0.15599999999904</v>
      </c>
      <c r="I287" s="22" t="str">
        <f aca="false">IFERROR(INDEX(Medidores!$B:$B,MATCH(B287,Medidores!$A:$A,0)),"")</f>
        <v>L16</v>
      </c>
      <c r="J287" s="22" t="s">
        <v>97</v>
      </c>
    </row>
    <row r="288" customFormat="false" ht="15" hidden="false" customHeight="false" outlineLevel="0" collapsed="false">
      <c r="A288" s="21" t="n">
        <v>46303</v>
      </c>
      <c r="B288" s="22" t="s">
        <v>87</v>
      </c>
      <c r="C288" s="23" t="n">
        <v>0.479166666666667</v>
      </c>
      <c r="D288" s="24" t="n">
        <v>6624.815</v>
      </c>
      <c r="E288" s="24" t="n">
        <v>1761.235</v>
      </c>
      <c r="F288" s="24" t="n">
        <v>8225.293</v>
      </c>
      <c r="G288" s="22" t="n">
        <f aca="false">HOUR(C288)*60+MINUTE(C288)</f>
        <v>690</v>
      </c>
      <c r="H288" s="25" t="n">
        <f aca="false">IF(AND(B288=B287,A288=A287,D288&gt;0,N(D287)&gt;0,G288&gt;N(G287)),(D288-D287)/((G288-G287)/60),"")</f>
        <v>0.15599999999904</v>
      </c>
      <c r="I288" s="22" t="str">
        <f aca="false">IFERROR(INDEX(Medidores!$B:$B,MATCH(B288,Medidores!$A:$A,0)),"")</f>
        <v>L16</v>
      </c>
      <c r="J288" s="22" t="s">
        <v>98</v>
      </c>
    </row>
    <row r="289" customFormat="false" ht="15" hidden="false" customHeight="false" outlineLevel="0" collapsed="false">
      <c r="A289" s="21" t="n">
        <v>46303</v>
      </c>
      <c r="B289" s="22" t="s">
        <v>87</v>
      </c>
      <c r="C289" s="23" t="n">
        <v>0.489583333333333</v>
      </c>
      <c r="D289" s="24" t="n">
        <v>6624.854</v>
      </c>
      <c r="E289" s="24" t="n">
        <v>1761.235</v>
      </c>
      <c r="F289" s="24" t="n">
        <v>8225.398</v>
      </c>
      <c r="G289" s="22" t="n">
        <f aca="false">HOUR(C289)*60+MINUTE(C289)</f>
        <v>705</v>
      </c>
      <c r="H289" s="25" t="n">
        <f aca="false">IF(AND(B289=B288,A289=A288,D289&gt;0,N(D288)&gt;0,G289&gt;N(G288)),(D289-D288)/((G289-G288)/60),"")</f>
        <v>0.156000000002678</v>
      </c>
      <c r="I289" s="22" t="str">
        <f aca="false">IFERROR(INDEX(Medidores!$B:$B,MATCH(B289,Medidores!$A:$A,0)),"")</f>
        <v>L16</v>
      </c>
      <c r="J289" s="22" t="s">
        <v>99</v>
      </c>
    </row>
    <row r="290" customFormat="false" ht="15" hidden="false" customHeight="false" outlineLevel="0" collapsed="false">
      <c r="A290" s="21" t="n">
        <v>46303</v>
      </c>
      <c r="B290" s="22" t="s">
        <v>87</v>
      </c>
      <c r="C290" s="23" t="n">
        <v>0.5</v>
      </c>
      <c r="D290" s="24" t="n">
        <v>6624.893</v>
      </c>
      <c r="E290" s="24" t="n">
        <v>1761.235</v>
      </c>
      <c r="F290" s="24" t="n">
        <v>8225.502</v>
      </c>
      <c r="G290" s="22" t="n">
        <f aca="false">HOUR(C290)*60+MINUTE(C290)</f>
        <v>720</v>
      </c>
      <c r="H290" s="25" t="n">
        <f aca="false">IF(AND(B290=B289,A290=A289,D290&gt;0,N(D289)&gt;0,G290&gt;N(G289)),(D290-D289)/((G290-G289)/60),"")</f>
        <v>0.15599999999904</v>
      </c>
      <c r="I290" s="22" t="str">
        <f aca="false">IFERROR(INDEX(Medidores!$B:$B,MATCH(B290,Medidores!$A:$A,0)),"")</f>
        <v>L16</v>
      </c>
      <c r="J290" s="22" t="s">
        <v>100</v>
      </c>
    </row>
    <row r="291" customFormat="false" ht="15" hidden="false" customHeight="false" outlineLevel="0" collapsed="false">
      <c r="A291" s="21" t="n">
        <v>46303</v>
      </c>
      <c r="B291" s="22" t="s">
        <v>87</v>
      </c>
      <c r="C291" s="23" t="n">
        <v>0.510416666666667</v>
      </c>
      <c r="D291" s="24" t="n">
        <v>6624.932</v>
      </c>
      <c r="E291" s="24" t="n">
        <v>1761.235</v>
      </c>
      <c r="F291" s="24" t="n">
        <v>8225.608</v>
      </c>
      <c r="G291" s="22" t="n">
        <f aca="false">HOUR(C291)*60+MINUTE(C291)</f>
        <v>735</v>
      </c>
      <c r="H291" s="25" t="n">
        <f aca="false">IF(AND(B291=B290,A291=A290,D291&gt;0,N(D290)&gt;0,G291&gt;N(G290)),(D291-D290)/((G291-G290)/60),"")</f>
        <v>0.15599999999904</v>
      </c>
      <c r="I291" s="22" t="str">
        <f aca="false">IFERROR(INDEX(Medidores!$B:$B,MATCH(B291,Medidores!$A:$A,0)),"")</f>
        <v>L16</v>
      </c>
      <c r="J291" s="22" t="s">
        <v>101</v>
      </c>
    </row>
    <row r="292" customFormat="false" ht="15" hidden="false" customHeight="false" outlineLevel="0" collapsed="false">
      <c r="A292" s="21" t="n">
        <v>46303</v>
      </c>
      <c r="B292" s="22" t="s">
        <v>87</v>
      </c>
      <c r="C292" s="23" t="n">
        <v>0.520833333333333</v>
      </c>
      <c r="D292" s="24" t="n">
        <v>6624.971</v>
      </c>
      <c r="E292" s="24" t="n">
        <v>1761.235</v>
      </c>
      <c r="F292" s="24" t="n">
        <v>8225.714</v>
      </c>
      <c r="G292" s="22" t="n">
        <f aca="false">HOUR(C292)*60+MINUTE(C292)</f>
        <v>750</v>
      </c>
      <c r="H292" s="25" t="n">
        <f aca="false">IF(AND(B292=B291,A292=A291,D292&gt;0,N(D291)&gt;0,G292&gt;N(G291)),(D292-D291)/((G292-G291)/60),"")</f>
        <v>0.15599999999904</v>
      </c>
      <c r="I292" s="22" t="str">
        <f aca="false">IFERROR(INDEX(Medidores!$B:$B,MATCH(B292,Medidores!$A:$A,0)),"")</f>
        <v>L16</v>
      </c>
      <c r="J292" s="22" t="s">
        <v>102</v>
      </c>
    </row>
    <row r="293" customFormat="false" ht="15" hidden="false" customHeight="false" outlineLevel="0" collapsed="false">
      <c r="A293" s="21" t="n">
        <v>46303</v>
      </c>
      <c r="B293" s="22" t="s">
        <v>87</v>
      </c>
      <c r="C293" s="23" t="n">
        <v>0.53125</v>
      </c>
      <c r="D293" s="24" t="n">
        <v>6625.01</v>
      </c>
      <c r="E293" s="24" t="n">
        <v>1761.235</v>
      </c>
      <c r="F293" s="24" t="n">
        <v>8225.82</v>
      </c>
      <c r="G293" s="22" t="n">
        <f aca="false">HOUR(C293)*60+MINUTE(C293)</f>
        <v>765</v>
      </c>
      <c r="H293" s="25" t="n">
        <f aca="false">IF(AND(B293=B292,A293=A292,D293&gt;0,N(D292)&gt;0,G293&gt;N(G292)),(D293-D292)/((G293-G292)/60),"")</f>
        <v>0.156000000002678</v>
      </c>
      <c r="I293" s="22" t="str">
        <f aca="false">IFERROR(INDEX(Medidores!$B:$B,MATCH(B293,Medidores!$A:$A,0)),"")</f>
        <v>L16</v>
      </c>
      <c r="J293" s="22" t="s">
        <v>103</v>
      </c>
    </row>
    <row r="294" customFormat="false" ht="15" hidden="false" customHeight="false" outlineLevel="0" collapsed="false">
      <c r="A294" s="21" t="n">
        <v>46303</v>
      </c>
      <c r="B294" s="22" t="s">
        <v>87</v>
      </c>
      <c r="C294" s="23" t="n">
        <v>0.541666666666667</v>
      </c>
      <c r="D294" s="24" t="n">
        <v>6625.049</v>
      </c>
      <c r="E294" s="24" t="n">
        <v>1761.235</v>
      </c>
      <c r="F294" s="24" t="n">
        <v>8225.925</v>
      </c>
      <c r="G294" s="22" t="n">
        <f aca="false">HOUR(C294)*60+MINUTE(C294)</f>
        <v>780</v>
      </c>
      <c r="H294" s="25" t="n">
        <f aca="false">IF(AND(B294=B293,A294=A293,D294&gt;0,N(D293)&gt;0,G294&gt;N(G293)),(D294-D293)/((G294-G293)/60),"")</f>
        <v>0.15599999999904</v>
      </c>
      <c r="I294" s="22" t="str">
        <f aca="false">IFERROR(INDEX(Medidores!$B:$B,MATCH(B294,Medidores!$A:$A,0)),"")</f>
        <v>L16</v>
      </c>
      <c r="J294" s="22" t="s">
        <v>104</v>
      </c>
    </row>
    <row r="295" customFormat="false" ht="15" hidden="false" customHeight="false" outlineLevel="0" collapsed="false">
      <c r="A295" s="21" t="n">
        <v>46303</v>
      </c>
      <c r="B295" s="22" t="s">
        <v>87</v>
      </c>
      <c r="C295" s="23" t="n">
        <v>0.552083333333333</v>
      </c>
      <c r="D295" s="24" t="n">
        <v>6625.087</v>
      </c>
      <c r="E295" s="24" t="n">
        <v>1761.235</v>
      </c>
      <c r="F295" s="24" t="n">
        <v>8226.031</v>
      </c>
      <c r="G295" s="22" t="n">
        <f aca="false">HOUR(C295)*60+MINUTE(C295)</f>
        <v>795</v>
      </c>
      <c r="H295" s="25" t="n">
        <f aca="false">IF(AND(B295=B294,A295=A294,D295&gt;0,N(D294)&gt;0,G295&gt;N(G294)),(D295-D294)/((G295-G294)/60),"")</f>
        <v>0.152000000001863</v>
      </c>
      <c r="I295" s="22" t="str">
        <f aca="false">IFERROR(INDEX(Medidores!$B:$B,MATCH(B295,Medidores!$A:$A,0)),"")</f>
        <v>L16</v>
      </c>
      <c r="J295" s="22" t="s">
        <v>105</v>
      </c>
    </row>
    <row r="296" customFormat="false" ht="15" hidden="false" customHeight="false" outlineLevel="0" collapsed="false">
      <c r="A296" s="21" t="n">
        <v>46303</v>
      </c>
      <c r="B296" s="22" t="s">
        <v>87</v>
      </c>
      <c r="C296" s="23" t="n">
        <v>0.5625</v>
      </c>
      <c r="D296" s="24" t="n">
        <v>6625.126</v>
      </c>
      <c r="E296" s="24" t="n">
        <v>1761.235</v>
      </c>
      <c r="F296" s="24" t="n">
        <v>8226.137</v>
      </c>
      <c r="G296" s="22" t="n">
        <f aca="false">HOUR(C296)*60+MINUTE(C296)</f>
        <v>810</v>
      </c>
      <c r="H296" s="25" t="n">
        <f aca="false">IF(AND(B296=B295,A296=A295,D296&gt;0,N(D295)&gt;0,G296&gt;N(G295)),(D296-D295)/((G296-G295)/60),"")</f>
        <v>0.15599999999904</v>
      </c>
      <c r="I296" s="22" t="str">
        <f aca="false">IFERROR(INDEX(Medidores!$B:$B,MATCH(B296,Medidores!$A:$A,0)),"")</f>
        <v>L16</v>
      </c>
      <c r="J296" s="22" t="s">
        <v>106</v>
      </c>
    </row>
    <row r="297" customFormat="false" ht="15" hidden="false" customHeight="false" outlineLevel="0" collapsed="false">
      <c r="A297" s="21" t="n">
        <v>46303</v>
      </c>
      <c r="B297" s="22" t="s">
        <v>87</v>
      </c>
      <c r="C297" s="23" t="n">
        <v>0.572916666666667</v>
      </c>
      <c r="D297" s="24" t="n">
        <v>6625.165</v>
      </c>
      <c r="E297" s="24" t="n">
        <v>1761.235</v>
      </c>
      <c r="F297" s="24" t="n">
        <v>8226.243</v>
      </c>
      <c r="G297" s="22" t="n">
        <f aca="false">HOUR(C297)*60+MINUTE(C297)</f>
        <v>825</v>
      </c>
      <c r="H297" s="25" t="n">
        <f aca="false">IF(AND(B297=B296,A297=A296,D297&gt;0,N(D296)&gt;0,G297&gt;N(G296)),(D297-D296)/((G297-G296)/60),"")</f>
        <v>0.15599999999904</v>
      </c>
      <c r="I297" s="22" t="str">
        <f aca="false">IFERROR(INDEX(Medidores!$B:$B,MATCH(B297,Medidores!$A:$A,0)),"")</f>
        <v>L16</v>
      </c>
      <c r="J297" s="22" t="s">
        <v>107</v>
      </c>
    </row>
    <row r="298" customFormat="false" ht="15" hidden="false" customHeight="false" outlineLevel="0" collapsed="false">
      <c r="A298" s="21" t="n">
        <v>46303</v>
      </c>
      <c r="B298" s="22" t="s">
        <v>87</v>
      </c>
      <c r="C298" s="23" t="n">
        <v>0.583333333333333</v>
      </c>
      <c r="D298" s="24" t="n">
        <v>6625.204</v>
      </c>
      <c r="E298" s="24" t="n">
        <v>1761.235</v>
      </c>
      <c r="F298" s="24" t="n">
        <v>8226.35</v>
      </c>
      <c r="G298" s="22" t="n">
        <f aca="false">HOUR(C298)*60+MINUTE(C298)</f>
        <v>840</v>
      </c>
      <c r="H298" s="25" t="n">
        <f aca="false">IF(AND(B298=B297,A298=A297,D298&gt;0,N(D297)&gt;0,G298&gt;N(G297)),(D298-D297)/((G298-G297)/60),"")</f>
        <v>0.15599999999904</v>
      </c>
      <c r="I298" s="22" t="str">
        <f aca="false">IFERROR(INDEX(Medidores!$B:$B,MATCH(B298,Medidores!$A:$A,0)),"")</f>
        <v>L16</v>
      </c>
      <c r="J298" s="22" t="s">
        <v>108</v>
      </c>
    </row>
    <row r="299" customFormat="false" ht="15" hidden="false" customHeight="false" outlineLevel="0" collapsed="false">
      <c r="A299" s="21" t="n">
        <v>46303</v>
      </c>
      <c r="B299" s="22" t="s">
        <v>87</v>
      </c>
      <c r="C299" s="23" t="n">
        <v>0.59375</v>
      </c>
      <c r="D299" s="24" t="n">
        <v>6625.243</v>
      </c>
      <c r="E299" s="24" t="n">
        <v>1761.235</v>
      </c>
      <c r="F299" s="24" t="n">
        <v>8226.455</v>
      </c>
      <c r="G299" s="22" t="n">
        <f aca="false">HOUR(C299)*60+MINUTE(C299)</f>
        <v>855</v>
      </c>
      <c r="H299" s="25" t="n">
        <f aca="false">IF(AND(B299=B298,A299=A298,D299&gt;0,N(D298)&gt;0,G299&gt;N(G298)),(D299-D298)/((G299-G298)/60),"")</f>
        <v>0.156000000002678</v>
      </c>
      <c r="I299" s="22" t="str">
        <f aca="false">IFERROR(INDEX(Medidores!$B:$B,MATCH(B299,Medidores!$A:$A,0)),"")</f>
        <v>L16</v>
      </c>
      <c r="J299" s="22" t="s">
        <v>109</v>
      </c>
    </row>
    <row r="300" customFormat="false" ht="15" hidden="false" customHeight="false" outlineLevel="0" collapsed="false">
      <c r="A300" s="21" t="n">
        <v>46303</v>
      </c>
      <c r="B300" s="22" t="s">
        <v>87</v>
      </c>
      <c r="C300" s="23" t="n">
        <v>0.604166666666667</v>
      </c>
      <c r="D300" s="24" t="n">
        <v>6625.282</v>
      </c>
      <c r="E300" s="24" t="n">
        <v>1761.235</v>
      </c>
      <c r="F300" s="24" t="n">
        <v>8226.562</v>
      </c>
      <c r="G300" s="22" t="n">
        <f aca="false">HOUR(C300)*60+MINUTE(C300)</f>
        <v>870</v>
      </c>
      <c r="H300" s="25" t="n">
        <f aca="false">IF(AND(B300=B299,A300=A299,D300&gt;0,N(D299)&gt;0,G300&gt;N(G299)),(D300-D299)/((G300-G299)/60),"")</f>
        <v>0.15599999999904</v>
      </c>
      <c r="I300" s="22" t="str">
        <f aca="false">IFERROR(INDEX(Medidores!$B:$B,MATCH(B300,Medidores!$A:$A,0)),"")</f>
        <v>L16</v>
      </c>
      <c r="J300" s="22" t="s">
        <v>110</v>
      </c>
    </row>
    <row r="301" customFormat="false" ht="15" hidden="false" customHeight="false" outlineLevel="0" collapsed="false">
      <c r="A301" s="21" t="n">
        <v>46303</v>
      </c>
      <c r="B301" s="22" t="s">
        <v>87</v>
      </c>
      <c r="C301" s="23" t="n">
        <v>0.614583333333333</v>
      </c>
      <c r="D301" s="24" t="n">
        <v>6625.321</v>
      </c>
      <c r="E301" s="24" t="n">
        <v>1761.235</v>
      </c>
      <c r="F301" s="24" t="n">
        <v>8226.669</v>
      </c>
      <c r="G301" s="22" t="n">
        <f aca="false">HOUR(C301)*60+MINUTE(C301)</f>
        <v>885</v>
      </c>
      <c r="H301" s="25" t="n">
        <f aca="false">IF(AND(B301=B300,A301=A300,D301&gt;0,N(D300)&gt;0,G301&gt;N(G300)),(D301-D300)/((G301-G300)/60),"")</f>
        <v>0.15599999999904</v>
      </c>
      <c r="I301" s="22" t="str">
        <f aca="false">IFERROR(INDEX(Medidores!$B:$B,MATCH(B301,Medidores!$A:$A,0)),"")</f>
        <v>L16</v>
      </c>
      <c r="J301" s="22" t="s">
        <v>111</v>
      </c>
    </row>
    <row r="302" customFormat="false" ht="15" hidden="false" customHeight="false" outlineLevel="0" collapsed="false">
      <c r="A302" s="21" t="n">
        <v>46303</v>
      </c>
      <c r="B302" s="22" t="s">
        <v>88</v>
      </c>
      <c r="C302" s="23" t="n">
        <v>0.427083333333333</v>
      </c>
      <c r="D302" s="24" t="n">
        <v>107335.148</v>
      </c>
      <c r="E302" s="24" t="n">
        <v>22824.824</v>
      </c>
      <c r="F302" s="24" t="n">
        <v>110294.266</v>
      </c>
      <c r="G302" s="22" t="n">
        <f aca="false">HOUR(C302)*60+MINUTE(C302)</f>
        <v>615</v>
      </c>
      <c r="H302" s="25" t="str">
        <f aca="false">IF(AND(B302=B301,A302=A301,D302&gt;0,N(D301)&gt;0,G302&gt;N(G301)),(D302-D301)/((G302-G301)/60),"")</f>
        <v/>
      </c>
      <c r="I302" s="22" t="str">
        <f aca="false">IFERROR(INDEX(Medidores!$B:$B,MATCH(B302,Medidores!$A:$A,0)),"")</f>
        <v>Estación planta</v>
      </c>
      <c r="J302" s="22" t="s">
        <v>93</v>
      </c>
    </row>
    <row r="303" customFormat="false" ht="15" hidden="false" customHeight="false" outlineLevel="0" collapsed="false">
      <c r="A303" s="21" t="n">
        <v>46303</v>
      </c>
      <c r="B303" s="22" t="s">
        <v>88</v>
      </c>
      <c r="C303" s="23" t="n">
        <v>0.4375</v>
      </c>
      <c r="D303" s="24" t="n">
        <v>107343.211</v>
      </c>
      <c r="E303" s="24" t="n">
        <v>22825.275</v>
      </c>
      <c r="F303" s="24" t="n">
        <v>110302.328</v>
      </c>
      <c r="G303" s="22" t="n">
        <f aca="false">HOUR(C303)*60+MINUTE(C303)</f>
        <v>630</v>
      </c>
      <c r="H303" s="25" t="n">
        <f aca="false">IF(AND(B303=B302,A303=A302,D303&gt;0,N(D302)&gt;0,G303&gt;N(G302)),(D303-D302)/((G303-G302)/60),"")</f>
        <v>32.2519999999786</v>
      </c>
      <c r="I303" s="22" t="str">
        <f aca="false">IFERROR(INDEX(Medidores!$B:$B,MATCH(B303,Medidores!$A:$A,0)),"")</f>
        <v>Estación planta</v>
      </c>
      <c r="J303" s="22" t="s">
        <v>94</v>
      </c>
    </row>
    <row r="304" customFormat="false" ht="15" hidden="false" customHeight="false" outlineLevel="0" collapsed="false">
      <c r="A304" s="21" t="n">
        <v>46303</v>
      </c>
      <c r="B304" s="22" t="s">
        <v>88</v>
      </c>
      <c r="C304" s="23" t="n">
        <v>0.447916666666667</v>
      </c>
      <c r="D304" s="24" t="n">
        <v>107351.266</v>
      </c>
      <c r="E304" s="24" t="n">
        <v>22825.713</v>
      </c>
      <c r="F304" s="24" t="n">
        <v>110310.398</v>
      </c>
      <c r="G304" s="22" t="n">
        <f aca="false">HOUR(C304)*60+MINUTE(C304)</f>
        <v>645</v>
      </c>
      <c r="H304" s="25" t="n">
        <f aca="false">IF(AND(B304=B303,A304=A303,D304&gt;0,N(D303)&gt;0,G304&gt;N(G303)),(D304-D303)/((G304-G303)/60),"")</f>
        <v>32.2200000000303</v>
      </c>
      <c r="I304" s="22" t="str">
        <f aca="false">IFERROR(INDEX(Medidores!$B:$B,MATCH(B304,Medidores!$A:$A,0)),"")</f>
        <v>Estación planta</v>
      </c>
      <c r="J304" s="22" t="s">
        <v>95</v>
      </c>
    </row>
    <row r="305" customFormat="false" ht="15" hidden="false" customHeight="false" outlineLevel="0" collapsed="false">
      <c r="A305" s="21" t="n">
        <v>46303</v>
      </c>
      <c r="B305" s="22" t="s">
        <v>88</v>
      </c>
      <c r="C305" s="23" t="n">
        <v>0.458333333333333</v>
      </c>
      <c r="D305" s="24" t="n">
        <v>107359.25</v>
      </c>
      <c r="E305" s="24" t="n">
        <v>22826.018</v>
      </c>
      <c r="F305" s="24" t="n">
        <v>110318.391</v>
      </c>
      <c r="G305" s="22" t="n">
        <f aca="false">HOUR(C305)*60+MINUTE(C305)</f>
        <v>660</v>
      </c>
      <c r="H305" s="25" t="n">
        <f aca="false">IF(AND(B305=B304,A305=A304,D305&gt;0,N(D304)&gt;0,G305&gt;N(G304)),(D305-D304)/((G305-G304)/60),"")</f>
        <v>31.935999999987</v>
      </c>
      <c r="I305" s="22" t="str">
        <f aca="false">IFERROR(INDEX(Medidores!$B:$B,MATCH(B305,Medidores!$A:$A,0)),"")</f>
        <v>Estación planta</v>
      </c>
      <c r="J305" s="22" t="s">
        <v>96</v>
      </c>
    </row>
    <row r="306" customFormat="false" ht="15" hidden="false" customHeight="false" outlineLevel="0" collapsed="false">
      <c r="A306" s="21" t="n">
        <v>46303</v>
      </c>
      <c r="B306" s="22" t="s">
        <v>88</v>
      </c>
      <c r="C306" s="23" t="n">
        <v>0.46875</v>
      </c>
      <c r="D306" s="24" t="n">
        <v>107367.43</v>
      </c>
      <c r="E306" s="24" t="n">
        <v>22826.424</v>
      </c>
      <c r="F306" s="24" t="n">
        <v>110326.594</v>
      </c>
      <c r="G306" s="22" t="n">
        <f aca="false">HOUR(C306)*60+MINUTE(C306)</f>
        <v>675</v>
      </c>
      <c r="H306" s="25" t="n">
        <f aca="false">IF(AND(B306=B305,A306=A305,D306&gt;0,N(D305)&gt;0,G306&gt;N(G305)),(D306-D305)/((G306-G305)/60),"")</f>
        <v>32.7199999999721</v>
      </c>
      <c r="I306" s="22" t="str">
        <f aca="false">IFERROR(INDEX(Medidores!$B:$B,MATCH(B306,Medidores!$A:$A,0)),"")</f>
        <v>Estación planta</v>
      </c>
      <c r="J306" s="22" t="s">
        <v>97</v>
      </c>
    </row>
    <row r="307" customFormat="false" ht="15" hidden="false" customHeight="false" outlineLevel="0" collapsed="false">
      <c r="A307" s="21" t="n">
        <v>46303</v>
      </c>
      <c r="B307" s="22" t="s">
        <v>88</v>
      </c>
      <c r="C307" s="23" t="n">
        <v>0.479166666666667</v>
      </c>
      <c r="D307" s="24" t="n">
        <v>107375.539</v>
      </c>
      <c r="E307" s="24" t="n">
        <v>22826.769</v>
      </c>
      <c r="F307" s="24" t="n">
        <v>110334.703</v>
      </c>
      <c r="G307" s="22" t="n">
        <f aca="false">HOUR(C307)*60+MINUTE(C307)</f>
        <v>690</v>
      </c>
      <c r="H307" s="25" t="n">
        <f aca="false">IF(AND(B307=B306,A307=A306,D307&gt;0,N(D306)&gt;0,G307&gt;N(G306)),(D307-D306)/((G307-G306)/60),"")</f>
        <v>32.4360000000452</v>
      </c>
      <c r="I307" s="22" t="str">
        <f aca="false">IFERROR(INDEX(Medidores!$B:$B,MATCH(B307,Medidores!$A:$A,0)),"")</f>
        <v>Estación planta</v>
      </c>
      <c r="J307" s="22" t="s">
        <v>98</v>
      </c>
    </row>
    <row r="308" customFormat="false" ht="15" hidden="false" customHeight="false" outlineLevel="0" collapsed="false">
      <c r="A308" s="21" t="n">
        <v>46303</v>
      </c>
      <c r="B308" s="22" t="s">
        <v>88</v>
      </c>
      <c r="C308" s="23" t="n">
        <v>0.489583333333333</v>
      </c>
      <c r="D308" s="24" t="n">
        <v>107383.641</v>
      </c>
      <c r="E308" s="24" t="n">
        <v>22827.137</v>
      </c>
      <c r="F308" s="24" t="n">
        <v>110342.805</v>
      </c>
      <c r="G308" s="22" t="n">
        <f aca="false">HOUR(C308)*60+MINUTE(C308)</f>
        <v>705</v>
      </c>
      <c r="H308" s="25" t="n">
        <f aca="false">IF(AND(B308=B307,A308=A307,D308&gt;0,N(D307)&gt;0,G308&gt;N(G307)),(D308-D307)/((G308-G307)/60),"")</f>
        <v>32.4079999999958</v>
      </c>
      <c r="I308" s="22" t="str">
        <f aca="false">IFERROR(INDEX(Medidores!$B:$B,MATCH(B308,Medidores!$A:$A,0)),"")</f>
        <v>Estación planta</v>
      </c>
      <c r="J308" s="22" t="s">
        <v>99</v>
      </c>
    </row>
    <row r="309" customFormat="false" ht="15" hidden="false" customHeight="false" outlineLevel="0" collapsed="false">
      <c r="A309" s="21" t="n">
        <v>46303</v>
      </c>
      <c r="B309" s="22" t="s">
        <v>88</v>
      </c>
      <c r="C309" s="23" t="n">
        <v>0.5</v>
      </c>
      <c r="D309" s="24" t="n">
        <v>107391.961</v>
      </c>
      <c r="E309" s="24" t="n">
        <v>22827.568</v>
      </c>
      <c r="F309" s="24" t="n">
        <v>110351.141</v>
      </c>
      <c r="G309" s="22" t="n">
        <f aca="false">HOUR(C309)*60+MINUTE(C309)</f>
        <v>720</v>
      </c>
      <c r="H309" s="25" t="n">
        <f aca="false">IF(AND(B309=B308,A309=A308,D309&gt;0,N(D308)&gt;0,G309&gt;N(G308)),(D309-D308)/((G309-G308)/60),"")</f>
        <v>33.2799999999697</v>
      </c>
      <c r="I309" s="22" t="str">
        <f aca="false">IFERROR(INDEX(Medidores!$B:$B,MATCH(B309,Medidores!$A:$A,0)),"")</f>
        <v>Estación planta</v>
      </c>
      <c r="J309" s="22" t="s">
        <v>100</v>
      </c>
    </row>
    <row r="310" customFormat="false" ht="15" hidden="false" customHeight="false" outlineLevel="0" collapsed="false">
      <c r="A310" s="21" t="n">
        <v>46303</v>
      </c>
      <c r="B310" s="22" t="s">
        <v>88</v>
      </c>
      <c r="C310" s="23" t="n">
        <v>0.510416666666667</v>
      </c>
      <c r="D310" s="24" t="n">
        <v>107399.547</v>
      </c>
      <c r="E310" s="24" t="n">
        <v>22827.947</v>
      </c>
      <c r="F310" s="24" t="n">
        <v>110358.734</v>
      </c>
      <c r="G310" s="22" t="n">
        <f aca="false">HOUR(C310)*60+MINUTE(C310)</f>
        <v>735</v>
      </c>
      <c r="H310" s="25" t="n">
        <f aca="false">IF(AND(B310=B309,A310=A309,D310&gt;0,N(D309)&gt;0,G310&gt;N(G309)),(D310-D309)/((G310-G309)/60),"")</f>
        <v>30.344000000041</v>
      </c>
      <c r="I310" s="22" t="str">
        <f aca="false">IFERROR(INDEX(Medidores!$B:$B,MATCH(B310,Medidores!$A:$A,0)),"")</f>
        <v>Estación planta</v>
      </c>
      <c r="J310" s="22" t="s">
        <v>101</v>
      </c>
    </row>
    <row r="311" customFormat="false" ht="15" hidden="false" customHeight="false" outlineLevel="0" collapsed="false">
      <c r="A311" s="21" t="n">
        <v>46303</v>
      </c>
      <c r="B311" s="22" t="s">
        <v>88</v>
      </c>
      <c r="C311" s="23" t="n">
        <v>0.520833333333333</v>
      </c>
      <c r="D311" s="24" t="n">
        <v>107407.078</v>
      </c>
      <c r="E311" s="24" t="n">
        <v>22828.367</v>
      </c>
      <c r="F311" s="24" t="n">
        <v>110366.289</v>
      </c>
      <c r="G311" s="22" t="n">
        <f aca="false">HOUR(C311)*60+MINUTE(C311)</f>
        <v>750</v>
      </c>
      <c r="H311" s="25" t="n">
        <f aca="false">IF(AND(B311=B310,A311=A310,D311&gt;0,N(D310)&gt;0,G311&gt;N(G310)),(D311-D310)/((G311-G310)/60),"")</f>
        <v>30.1239999999525</v>
      </c>
      <c r="I311" s="22" t="str">
        <f aca="false">IFERROR(INDEX(Medidores!$B:$B,MATCH(B311,Medidores!$A:$A,0)),"")</f>
        <v>Estación planta</v>
      </c>
      <c r="J311" s="22" t="s">
        <v>102</v>
      </c>
    </row>
    <row r="312" customFormat="false" ht="15" hidden="false" customHeight="false" outlineLevel="0" collapsed="false">
      <c r="A312" s="21" t="n">
        <v>46303</v>
      </c>
      <c r="B312" s="22" t="s">
        <v>88</v>
      </c>
      <c r="C312" s="23" t="n">
        <v>0.53125</v>
      </c>
      <c r="D312" s="24" t="n">
        <v>107414.648</v>
      </c>
      <c r="E312" s="24" t="n">
        <v>22828.84</v>
      </c>
      <c r="F312" s="24" t="n">
        <v>110373.875</v>
      </c>
      <c r="G312" s="22" t="n">
        <f aca="false">HOUR(C312)*60+MINUTE(C312)</f>
        <v>765</v>
      </c>
      <c r="H312" s="25" t="n">
        <f aca="false">IF(AND(B312=B311,A312=A311,D312&gt;0,N(D311)&gt;0,G312&gt;N(G311)),(D312-D311)/((G312-G311)/60),"")</f>
        <v>30.2800000000279</v>
      </c>
      <c r="I312" s="22" t="str">
        <f aca="false">IFERROR(INDEX(Medidores!$B:$B,MATCH(B312,Medidores!$A:$A,0)),"")</f>
        <v>Estación planta</v>
      </c>
      <c r="J312" s="22" t="s">
        <v>103</v>
      </c>
    </row>
    <row r="313" customFormat="false" ht="15" hidden="false" customHeight="false" outlineLevel="0" collapsed="false">
      <c r="A313" s="21" t="n">
        <v>46303</v>
      </c>
      <c r="B313" s="22" t="s">
        <v>88</v>
      </c>
      <c r="C313" s="23" t="n">
        <v>0.541666666666667</v>
      </c>
      <c r="D313" s="24" t="n">
        <v>107422.18</v>
      </c>
      <c r="E313" s="24" t="n">
        <v>22829.232</v>
      </c>
      <c r="F313" s="24" t="n">
        <v>110381.406</v>
      </c>
      <c r="G313" s="22" t="n">
        <f aca="false">HOUR(C313)*60+MINUTE(C313)</f>
        <v>780</v>
      </c>
      <c r="H313" s="25" t="n">
        <f aca="false">IF(AND(B313=B312,A313=A312,D313&gt;0,N(D312)&gt;0,G313&gt;N(G312)),(D313-D312)/((G313-G312)/60),"")</f>
        <v>30.1279999999679</v>
      </c>
      <c r="I313" s="22" t="str">
        <f aca="false">IFERROR(INDEX(Medidores!$B:$B,MATCH(B313,Medidores!$A:$A,0)),"")</f>
        <v>Estación planta</v>
      </c>
      <c r="J313" s="22" t="s">
        <v>104</v>
      </c>
    </row>
    <row r="314" customFormat="false" ht="15" hidden="false" customHeight="false" outlineLevel="0" collapsed="false">
      <c r="A314" s="21" t="n">
        <v>46303</v>
      </c>
      <c r="B314" s="22" t="s">
        <v>88</v>
      </c>
      <c r="C314" s="23" t="n">
        <v>0.552083333333333</v>
      </c>
      <c r="D314" s="24" t="n">
        <v>107429.266</v>
      </c>
      <c r="E314" s="24" t="n">
        <v>22829.586</v>
      </c>
      <c r="F314" s="24" t="n">
        <v>110388.516</v>
      </c>
      <c r="G314" s="22" t="n">
        <f aca="false">HOUR(C314)*60+MINUTE(C314)</f>
        <v>795</v>
      </c>
      <c r="H314" s="25" t="n">
        <f aca="false">IF(AND(B314=B313,A314=A313,D314&gt;0,N(D313)&gt;0,G314&gt;N(G313)),(D314-D313)/((G314-G313)/60),"")</f>
        <v>28.344000000041</v>
      </c>
      <c r="I314" s="22" t="str">
        <f aca="false">IFERROR(INDEX(Medidores!$B:$B,MATCH(B314,Medidores!$A:$A,0)),"")</f>
        <v>Estación planta</v>
      </c>
      <c r="J314" s="22" t="s">
        <v>105</v>
      </c>
    </row>
    <row r="315" customFormat="false" ht="15" hidden="false" customHeight="false" outlineLevel="0" collapsed="false">
      <c r="A315" s="21" t="n">
        <v>46303</v>
      </c>
      <c r="B315" s="22" t="s">
        <v>88</v>
      </c>
      <c r="C315" s="23" t="n">
        <v>0.5625</v>
      </c>
      <c r="D315" s="24" t="n">
        <v>107436.492</v>
      </c>
      <c r="E315" s="24" t="n">
        <v>22829.859</v>
      </c>
      <c r="F315" s="24" t="n">
        <v>110395.742</v>
      </c>
      <c r="G315" s="22" t="n">
        <f aca="false">HOUR(C315)*60+MINUTE(C315)</f>
        <v>810</v>
      </c>
      <c r="H315" s="25" t="n">
        <f aca="false">IF(AND(B315=B314,A315=A314,D315&gt;0,N(D314)&gt;0,G315&gt;N(G314)),(D315-D314)/((G315-G314)/60),"")</f>
        <v>28.9039999999804</v>
      </c>
      <c r="I315" s="22" t="str">
        <f aca="false">IFERROR(INDEX(Medidores!$B:$B,MATCH(B315,Medidores!$A:$A,0)),"")</f>
        <v>Estación planta</v>
      </c>
      <c r="J315" s="22" t="s">
        <v>106</v>
      </c>
    </row>
    <row r="316" customFormat="false" ht="15" hidden="false" customHeight="false" outlineLevel="0" collapsed="false">
      <c r="A316" s="21" t="n">
        <v>46303</v>
      </c>
      <c r="B316" s="22" t="s">
        <v>88</v>
      </c>
      <c r="C316" s="23" t="n">
        <v>0.572916666666667</v>
      </c>
      <c r="D316" s="24" t="n">
        <v>107443.461</v>
      </c>
      <c r="E316" s="24" t="n">
        <v>22830.031</v>
      </c>
      <c r="F316" s="24" t="n">
        <v>110402.719</v>
      </c>
      <c r="G316" s="22" t="n">
        <f aca="false">HOUR(C316)*60+MINUTE(C316)</f>
        <v>825</v>
      </c>
      <c r="H316" s="25" t="n">
        <f aca="false">IF(AND(B316=B315,A316=A315,D316&gt;0,N(D315)&gt;0,G316&gt;N(G315)),(D316-D315)/((G316-G315)/60),"")</f>
        <v>27.8759999999893</v>
      </c>
      <c r="I316" s="22" t="str">
        <f aca="false">IFERROR(INDEX(Medidores!$B:$B,MATCH(B316,Medidores!$A:$A,0)),"")</f>
        <v>Estación planta</v>
      </c>
      <c r="J316" s="22" t="s">
        <v>107</v>
      </c>
    </row>
    <row r="317" customFormat="false" ht="15" hidden="false" customHeight="false" outlineLevel="0" collapsed="false">
      <c r="A317" s="21" t="n">
        <v>46303</v>
      </c>
      <c r="B317" s="22" t="s">
        <v>88</v>
      </c>
      <c r="C317" s="23" t="n">
        <v>0.583333333333333</v>
      </c>
      <c r="D317" s="24" t="n">
        <v>107450.859</v>
      </c>
      <c r="E317" s="24" t="n">
        <v>22830.271</v>
      </c>
      <c r="F317" s="24" t="n">
        <v>110410.117</v>
      </c>
      <c r="G317" s="22" t="n">
        <f aca="false">HOUR(C317)*60+MINUTE(C317)</f>
        <v>840</v>
      </c>
      <c r="H317" s="25" t="n">
        <f aca="false">IF(AND(B317=B316,A317=A316,D317&gt;0,N(D316)&gt;0,G317&gt;N(G316)),(D317-D316)/((G317-G316)/60),"")</f>
        <v>29.5920000000042</v>
      </c>
      <c r="I317" s="22" t="str">
        <f aca="false">IFERROR(INDEX(Medidores!$B:$B,MATCH(B317,Medidores!$A:$A,0)),"")</f>
        <v>Estación planta</v>
      </c>
      <c r="J317" s="22" t="s">
        <v>108</v>
      </c>
    </row>
    <row r="318" customFormat="false" ht="15" hidden="false" customHeight="false" outlineLevel="0" collapsed="false">
      <c r="A318" s="21" t="n">
        <v>46303</v>
      </c>
      <c r="B318" s="22" t="s">
        <v>88</v>
      </c>
      <c r="C318" s="23" t="n">
        <v>0.59375</v>
      </c>
      <c r="D318" s="24" t="n">
        <v>107458.938</v>
      </c>
      <c r="E318" s="24" t="n">
        <v>22830.711</v>
      </c>
      <c r="F318" s="24" t="n">
        <v>110418.219</v>
      </c>
      <c r="G318" s="22" t="n">
        <f aca="false">HOUR(C318)*60+MINUTE(C318)</f>
        <v>855</v>
      </c>
      <c r="H318" s="25" t="n">
        <f aca="false">IF(AND(B318=B317,A318=A317,D318&gt;0,N(D317)&gt;0,G318&gt;N(G317)),(D318-D317)/((G318-G317)/60),"")</f>
        <v>32.3159999999916</v>
      </c>
      <c r="I318" s="22" t="str">
        <f aca="false">IFERROR(INDEX(Medidores!$B:$B,MATCH(B318,Medidores!$A:$A,0)),"")</f>
        <v>Estación planta</v>
      </c>
      <c r="J318" s="22" t="s">
        <v>109</v>
      </c>
    </row>
    <row r="319" customFormat="false" ht="15" hidden="false" customHeight="false" outlineLevel="0" collapsed="false">
      <c r="A319" s="21" t="n">
        <v>46303</v>
      </c>
      <c r="B319" s="22" t="s">
        <v>88</v>
      </c>
      <c r="C319" s="23" t="n">
        <v>0.604166666666667</v>
      </c>
      <c r="D319" s="24" t="n">
        <v>107467.047</v>
      </c>
      <c r="E319" s="24" t="n">
        <v>22831.123</v>
      </c>
      <c r="F319" s="24" t="n">
        <v>110426.336</v>
      </c>
      <c r="G319" s="22" t="n">
        <f aca="false">HOUR(C319)*60+MINUTE(C319)</f>
        <v>870</v>
      </c>
      <c r="H319" s="25" t="n">
        <f aca="false">IF(AND(B319=B318,A319=A318,D319&gt;0,N(D318)&gt;0,G319&gt;N(G318)),(D319-D318)/((G319-G318)/60),"")</f>
        <v>32.4360000000452</v>
      </c>
      <c r="I319" s="22" t="str">
        <f aca="false">IFERROR(INDEX(Medidores!$B:$B,MATCH(B319,Medidores!$A:$A,0)),"")</f>
        <v>Estación planta</v>
      </c>
      <c r="J319" s="22" t="s">
        <v>110</v>
      </c>
    </row>
    <row r="320" customFormat="false" ht="15" hidden="false" customHeight="false" outlineLevel="0" collapsed="false">
      <c r="A320" s="21" t="n">
        <v>46303</v>
      </c>
      <c r="B320" s="22" t="s">
        <v>88</v>
      </c>
      <c r="C320" s="23" t="n">
        <v>0.614583333333333</v>
      </c>
      <c r="D320" s="24" t="n">
        <v>107475.195</v>
      </c>
      <c r="E320" s="24" t="n">
        <v>22831.428</v>
      </c>
      <c r="F320" s="24" t="n">
        <v>110434.484</v>
      </c>
      <c r="G320" s="22" t="n">
        <f aca="false">HOUR(C320)*60+MINUTE(C320)</f>
        <v>885</v>
      </c>
      <c r="H320" s="25" t="n">
        <f aca="false">IF(AND(B320=B319,A320=A319,D320&gt;0,N(D319)&gt;0,G320&gt;N(G319)),(D320-D319)/((G320-G319)/60),"")</f>
        <v>32.5920000000042</v>
      </c>
      <c r="I320" s="22" t="str">
        <f aca="false">IFERROR(INDEX(Medidores!$B:$B,MATCH(B320,Medidores!$A:$A,0)),"")</f>
        <v>Estación planta</v>
      </c>
      <c r="J320" s="22" t="s">
        <v>111</v>
      </c>
    </row>
    <row r="321" customFormat="false" ht="15" hidden="false" customHeight="false" outlineLevel="0" collapsed="false">
      <c r="A321" s="21" t="n">
        <v>46303</v>
      </c>
      <c r="B321" s="22" t="s">
        <v>88</v>
      </c>
      <c r="C321" s="23" t="n">
        <v>0.625</v>
      </c>
      <c r="D321" s="24" t="n">
        <v>107483.469</v>
      </c>
      <c r="E321" s="24" t="n">
        <v>22831.725</v>
      </c>
      <c r="F321" s="24" t="n">
        <v>110442.766</v>
      </c>
      <c r="G321" s="22" t="n">
        <f aca="false">HOUR(C321)*60+MINUTE(C321)</f>
        <v>900</v>
      </c>
      <c r="H321" s="25" t="n">
        <f aca="false">IF(AND(B321=B320,A321=A320,D321&gt;0,N(D320)&gt;0,G321&gt;N(G320)),(D321-D320)/((G321-G320)/60),"")</f>
        <v>33.0959999999614</v>
      </c>
      <c r="I321" s="22" t="str">
        <f aca="false">IFERROR(INDEX(Medidores!$B:$B,MATCH(B321,Medidores!$A:$A,0)),"")</f>
        <v>Estación planta</v>
      </c>
      <c r="J321" s="22" t="s">
        <v>132</v>
      </c>
    </row>
    <row r="322" customFormat="false" ht="15" hidden="false" customHeight="false" outlineLevel="0" collapsed="false">
      <c r="A322" s="21" t="n">
        <v>46303</v>
      </c>
      <c r="B322" s="22" t="s">
        <v>89</v>
      </c>
      <c r="C322" s="23" t="n">
        <v>0.427083333333333</v>
      </c>
      <c r="D322" s="24" t="n">
        <v>266524.438</v>
      </c>
      <c r="E322" s="24" t="n">
        <v>109773.281</v>
      </c>
      <c r="F322" s="24" t="n">
        <v>289884.406</v>
      </c>
      <c r="G322" s="22" t="n">
        <f aca="false">HOUR(C322)*60+MINUTE(C322)</f>
        <v>615</v>
      </c>
      <c r="H322" s="25" t="str">
        <f aca="false">IF(AND(B322=B321,A322=A321,D322&gt;0,N(D321)&gt;0,G322&gt;N(G321)),(D322-D321)/((G322-G321)/60),"")</f>
        <v/>
      </c>
      <c r="I322" s="22" t="str">
        <f aca="false">IFERROR(INDEX(Medidores!$B:$B,MATCH(B322,Medidores!$A:$A,0)),"")</f>
        <v>Estación celda 3</v>
      </c>
      <c r="J322" s="22" t="s">
        <v>93</v>
      </c>
    </row>
    <row r="323" customFormat="false" ht="15" hidden="false" customHeight="false" outlineLevel="0" collapsed="false">
      <c r="A323" s="21" t="n">
        <v>46303</v>
      </c>
      <c r="B323" s="22" t="s">
        <v>89</v>
      </c>
      <c r="C323" s="23" t="n">
        <v>0.4375</v>
      </c>
      <c r="D323" s="24" t="n">
        <v>266541.781</v>
      </c>
      <c r="E323" s="24" t="n">
        <v>109781.609</v>
      </c>
      <c r="F323" s="24" t="n">
        <v>289903.656</v>
      </c>
      <c r="G323" s="22" t="n">
        <f aca="false">HOUR(C323)*60+MINUTE(C323)</f>
        <v>630</v>
      </c>
      <c r="H323" s="25" t="n">
        <f aca="false">IF(AND(B323=B322,A323=A322,D323&gt;0,N(D322)&gt;0,G323&gt;N(G322)),(D323-D322)/((G323-G322)/60),"")</f>
        <v>69.3719999999739</v>
      </c>
      <c r="I323" s="22" t="str">
        <f aca="false">IFERROR(INDEX(Medidores!$B:$B,MATCH(B323,Medidores!$A:$A,0)),"")</f>
        <v>Estación celda 3</v>
      </c>
      <c r="J323" s="22" t="s">
        <v>94</v>
      </c>
    </row>
    <row r="324" customFormat="false" ht="15" hidden="false" customHeight="false" outlineLevel="0" collapsed="false">
      <c r="A324" s="21" t="n">
        <v>46303</v>
      </c>
      <c r="B324" s="22" t="s">
        <v>89</v>
      </c>
      <c r="C324" s="23" t="n">
        <v>0.447916666666667</v>
      </c>
      <c r="D324" s="24" t="n">
        <v>266556.563</v>
      </c>
      <c r="E324" s="24" t="n">
        <v>109788</v>
      </c>
      <c r="F324" s="24" t="n">
        <v>289919.781</v>
      </c>
      <c r="G324" s="22" t="n">
        <f aca="false">HOUR(C324)*60+MINUTE(C324)</f>
        <v>645</v>
      </c>
      <c r="H324" s="25" t="n">
        <f aca="false">IF(AND(B324=B323,A324=A323,D324&gt;0,N(D323)&gt;0,G324&gt;N(G323)),(D324-D323)/((G324-G323)/60),"")</f>
        <v>59.1280000000261</v>
      </c>
      <c r="I324" s="22" t="str">
        <f aca="false">IFERROR(INDEX(Medidores!$B:$B,MATCH(B324,Medidores!$A:$A,0)),"")</f>
        <v>Estación celda 3</v>
      </c>
      <c r="J324" s="22" t="s">
        <v>95</v>
      </c>
    </row>
    <row r="325" customFormat="false" ht="15" hidden="false" customHeight="false" outlineLevel="0" collapsed="false">
      <c r="A325" s="21" t="n">
        <v>46303</v>
      </c>
      <c r="B325" s="22" t="s">
        <v>89</v>
      </c>
      <c r="C325" s="23" t="n">
        <v>0.458333333333333</v>
      </c>
      <c r="D325" s="24" t="n">
        <v>266568.781</v>
      </c>
      <c r="E325" s="24" t="n">
        <v>109792.68</v>
      </c>
      <c r="F325" s="24" t="n">
        <v>289932.875</v>
      </c>
      <c r="G325" s="22" t="n">
        <f aca="false">HOUR(C325)*60+MINUTE(C325)</f>
        <v>660</v>
      </c>
      <c r="H325" s="25" t="n">
        <f aca="false">IF(AND(B325=B324,A325=A324,D325&gt;0,N(D324)&gt;0,G325&gt;N(G324)),(D325-D324)/((G325-G324)/60),"")</f>
        <v>48.8719999999739</v>
      </c>
      <c r="I325" s="22" t="str">
        <f aca="false">IFERROR(INDEX(Medidores!$B:$B,MATCH(B325,Medidores!$A:$A,0)),"")</f>
        <v>Estación celda 3</v>
      </c>
      <c r="J325" s="22" t="s">
        <v>96</v>
      </c>
    </row>
    <row r="326" customFormat="false" ht="15" hidden="false" customHeight="false" outlineLevel="0" collapsed="false">
      <c r="A326" s="21" t="n">
        <v>46303</v>
      </c>
      <c r="B326" s="22" t="s">
        <v>89</v>
      </c>
      <c r="C326" s="23" t="n">
        <v>0.46875</v>
      </c>
      <c r="D326" s="24" t="n">
        <v>266583.281</v>
      </c>
      <c r="E326" s="24" t="n">
        <v>109799.469</v>
      </c>
      <c r="F326" s="24" t="n">
        <v>289948.906</v>
      </c>
      <c r="G326" s="22" t="n">
        <f aca="false">HOUR(C326)*60+MINUTE(C326)</f>
        <v>675</v>
      </c>
      <c r="H326" s="25" t="n">
        <f aca="false">IF(AND(B326=B325,A326=A325,D326&gt;0,N(D325)&gt;0,G326&gt;N(G325)),(D326-D325)/((G326-G325)/60),"")</f>
        <v>58</v>
      </c>
      <c r="I326" s="22" t="str">
        <f aca="false">IFERROR(INDEX(Medidores!$B:$B,MATCH(B326,Medidores!$A:$A,0)),"")</f>
        <v>Estación celda 3</v>
      </c>
      <c r="J326" s="22" t="s">
        <v>97</v>
      </c>
    </row>
    <row r="327" customFormat="false" ht="15" hidden="false" customHeight="false" outlineLevel="0" collapsed="false">
      <c r="A327" s="21" t="n">
        <v>46303</v>
      </c>
      <c r="B327" s="22" t="s">
        <v>89</v>
      </c>
      <c r="C327" s="23" t="n">
        <v>0.479166666666667</v>
      </c>
      <c r="D327" s="24" t="n">
        <v>266596.625</v>
      </c>
      <c r="E327" s="24" t="n">
        <v>109804.688</v>
      </c>
      <c r="F327" s="24" t="n">
        <v>289963.219</v>
      </c>
      <c r="G327" s="22" t="n">
        <f aca="false">HOUR(C327)*60+MINUTE(C327)</f>
        <v>690</v>
      </c>
      <c r="H327" s="25" t="n">
        <f aca="false">IF(AND(B327=B326,A327=A326,D327&gt;0,N(D326)&gt;0,G327&gt;N(G326)),(D327-D326)/((G327-G326)/60),"")</f>
        <v>53.3759999999311</v>
      </c>
      <c r="I327" s="22" t="str">
        <f aca="false">IFERROR(INDEX(Medidores!$B:$B,MATCH(B327,Medidores!$A:$A,0)),"")</f>
        <v>Estación celda 3</v>
      </c>
      <c r="J327" s="22" t="s">
        <v>98</v>
      </c>
    </row>
    <row r="328" customFormat="false" ht="15" hidden="false" customHeight="false" outlineLevel="0" collapsed="false">
      <c r="A328" s="21" t="n">
        <v>46303</v>
      </c>
      <c r="B328" s="22" t="s">
        <v>89</v>
      </c>
      <c r="C328" s="23" t="n">
        <v>0.489583333333333</v>
      </c>
      <c r="D328" s="24" t="n">
        <v>266613.969</v>
      </c>
      <c r="E328" s="24" t="n">
        <v>109813.094</v>
      </c>
      <c r="F328" s="24" t="n">
        <v>289982.531</v>
      </c>
      <c r="G328" s="22" t="n">
        <f aca="false">HOUR(C328)*60+MINUTE(C328)</f>
        <v>705</v>
      </c>
      <c r="H328" s="25" t="n">
        <f aca="false">IF(AND(B328=B327,A328=A327,D328&gt;0,N(D327)&gt;0,G328&gt;N(G327)),(D328-D327)/((G328-G327)/60),"")</f>
        <v>69.3759999999311</v>
      </c>
      <c r="I328" s="22" t="str">
        <f aca="false">IFERROR(INDEX(Medidores!$B:$B,MATCH(B328,Medidores!$A:$A,0)),"")</f>
        <v>Estación celda 3</v>
      </c>
      <c r="J328" s="22" t="s">
        <v>99</v>
      </c>
    </row>
    <row r="329" customFormat="false" ht="15" hidden="false" customHeight="false" outlineLevel="0" collapsed="false">
      <c r="A329" s="21" t="n">
        <v>46303</v>
      </c>
      <c r="B329" s="22" t="s">
        <v>89</v>
      </c>
      <c r="C329" s="23" t="n">
        <v>0.5</v>
      </c>
      <c r="D329" s="24" t="n">
        <v>266629</v>
      </c>
      <c r="E329" s="24" t="n">
        <v>109819.461</v>
      </c>
      <c r="F329" s="24" t="n">
        <v>289998.844</v>
      </c>
      <c r="G329" s="22" t="n">
        <f aca="false">HOUR(C329)*60+MINUTE(C329)</f>
        <v>720</v>
      </c>
      <c r="H329" s="25" t="n">
        <f aca="false">IF(AND(B329=B328,A329=A328,D329&gt;0,N(D328)&gt;0,G329&gt;N(G328)),(D329-D328)/((G329-G328)/60),"")</f>
        <v>60.1240000000689</v>
      </c>
      <c r="I329" s="22" t="str">
        <f aca="false">IFERROR(INDEX(Medidores!$B:$B,MATCH(B329,Medidores!$A:$A,0)),"")</f>
        <v>Estación celda 3</v>
      </c>
      <c r="J329" s="22" t="s">
        <v>100</v>
      </c>
    </row>
    <row r="330" customFormat="false" ht="15" hidden="false" customHeight="false" outlineLevel="0" collapsed="false">
      <c r="A330" s="21" t="n">
        <v>46303</v>
      </c>
      <c r="B330" s="22" t="s">
        <v>89</v>
      </c>
      <c r="C330" s="23" t="n">
        <v>0.510416666666667</v>
      </c>
      <c r="D330" s="24" t="n">
        <v>266647.875</v>
      </c>
      <c r="E330" s="24" t="n">
        <v>109828.773</v>
      </c>
      <c r="F330" s="24" t="n">
        <v>290019.906</v>
      </c>
      <c r="G330" s="22" t="n">
        <f aca="false">HOUR(C330)*60+MINUTE(C330)</f>
        <v>735</v>
      </c>
      <c r="H330" s="25" t="n">
        <f aca="false">IF(AND(B330=B329,A330=A329,D330&gt;0,N(D329)&gt;0,G330&gt;N(G329)),(D330-D329)/((G330-G329)/60),"")</f>
        <v>75.5</v>
      </c>
      <c r="I330" s="22" t="str">
        <f aca="false">IFERROR(INDEX(Medidores!$B:$B,MATCH(B330,Medidores!$A:$A,0)),"")</f>
        <v>Estación celda 3</v>
      </c>
      <c r="J330" s="22" t="s">
        <v>101</v>
      </c>
    </row>
    <row r="331" customFormat="false" ht="15" hidden="false" customHeight="false" outlineLevel="0" collapsed="false">
      <c r="A331" s="21" t="n">
        <v>46303</v>
      </c>
      <c r="B331" s="22" t="s">
        <v>89</v>
      </c>
      <c r="C331" s="23" t="n">
        <v>0.520833333333333</v>
      </c>
      <c r="D331" s="24" t="n">
        <v>266664.969</v>
      </c>
      <c r="E331" s="24" t="n">
        <v>109835.797</v>
      </c>
      <c r="F331" s="24" t="n">
        <v>290038.406</v>
      </c>
      <c r="G331" s="22" t="n">
        <f aca="false">HOUR(C331)*60+MINUTE(C331)</f>
        <v>750</v>
      </c>
      <c r="H331" s="25" t="n">
        <f aca="false">IF(AND(B331=B330,A331=A330,D331&gt;0,N(D330)&gt;0,G331&gt;N(G330)),(D331-D330)/((G331-G330)/60),"")</f>
        <v>68.3759999999311</v>
      </c>
      <c r="I331" s="22" t="str">
        <f aca="false">IFERROR(INDEX(Medidores!$B:$B,MATCH(B331,Medidores!$A:$A,0)),"")</f>
        <v>Estación celda 3</v>
      </c>
      <c r="J331" s="22" t="s">
        <v>102</v>
      </c>
    </row>
    <row r="332" customFormat="false" ht="15" hidden="false" customHeight="false" outlineLevel="0" collapsed="false">
      <c r="A332" s="21" t="n">
        <v>46303</v>
      </c>
      <c r="B332" s="22" t="s">
        <v>89</v>
      </c>
      <c r="C332" s="23" t="n">
        <v>0.53125</v>
      </c>
      <c r="D332" s="24" t="n">
        <v>266685.969</v>
      </c>
      <c r="E332" s="24" t="n">
        <v>109845.188</v>
      </c>
      <c r="F332" s="24" t="n">
        <v>290061.375</v>
      </c>
      <c r="G332" s="22" t="n">
        <f aca="false">HOUR(C332)*60+MINUTE(C332)</f>
        <v>765</v>
      </c>
      <c r="H332" s="25" t="n">
        <f aca="false">IF(AND(B332=B331,A332=A331,D332&gt;0,N(D331)&gt;0,G332&gt;N(G331)),(D332-D331)/((G332-G331)/60),"")</f>
        <v>84</v>
      </c>
      <c r="I332" s="22" t="str">
        <f aca="false">IFERROR(INDEX(Medidores!$B:$B,MATCH(B332,Medidores!$A:$A,0)),"")</f>
        <v>Estación celda 3</v>
      </c>
      <c r="J332" s="22" t="s">
        <v>103</v>
      </c>
    </row>
    <row r="333" customFormat="false" ht="15" hidden="false" customHeight="false" outlineLevel="0" collapsed="false">
      <c r="A333" s="21" t="n">
        <v>46303</v>
      </c>
      <c r="B333" s="22" t="s">
        <v>89</v>
      </c>
      <c r="C333" s="23" t="n">
        <v>0.541666666666667</v>
      </c>
      <c r="D333" s="24" t="n">
        <v>266706.531</v>
      </c>
      <c r="E333" s="24" t="n">
        <v>109853.242</v>
      </c>
      <c r="F333" s="24" t="n">
        <v>290083.5</v>
      </c>
      <c r="G333" s="22" t="n">
        <f aca="false">HOUR(C333)*60+MINUTE(C333)</f>
        <v>780</v>
      </c>
      <c r="H333" s="25" t="n">
        <f aca="false">IF(AND(B333=B332,A333=A332,D333&gt;0,N(D332)&gt;0,G333&gt;N(G332)),(D333-D332)/((G333-G332)/60),"")</f>
        <v>82.2480000001378</v>
      </c>
      <c r="I333" s="22" t="str">
        <f aca="false">IFERROR(INDEX(Medidores!$B:$B,MATCH(B333,Medidores!$A:$A,0)),"")</f>
        <v>Estación celda 3</v>
      </c>
      <c r="J333" s="22" t="s">
        <v>104</v>
      </c>
    </row>
    <row r="334" customFormat="false" ht="15" hidden="false" customHeight="false" outlineLevel="0" collapsed="false">
      <c r="A334" s="21" t="n">
        <v>46303</v>
      </c>
      <c r="B334" s="22" t="s">
        <v>89</v>
      </c>
      <c r="C334" s="23" t="n">
        <v>0.552083333333333</v>
      </c>
      <c r="D334" s="24" t="n">
        <v>266727.219</v>
      </c>
      <c r="E334" s="24" t="n">
        <v>109861.117</v>
      </c>
      <c r="F334" s="24" t="n">
        <v>290105.625</v>
      </c>
      <c r="G334" s="22" t="n">
        <f aca="false">HOUR(C334)*60+MINUTE(C334)</f>
        <v>795</v>
      </c>
      <c r="H334" s="25" t="n">
        <f aca="false">IF(AND(B334=B333,A334=A333,D334&gt;0,N(D333)&gt;0,G334&gt;N(G333)),(D334-D333)/((G334-G333)/60),"")</f>
        <v>82.7519999998622</v>
      </c>
      <c r="I334" s="22" t="str">
        <f aca="false">IFERROR(INDEX(Medidores!$B:$B,MATCH(B334,Medidores!$A:$A,0)),"")</f>
        <v>Estación celda 3</v>
      </c>
      <c r="J334" s="22" t="s">
        <v>105</v>
      </c>
    </row>
    <row r="335" customFormat="false" ht="15" hidden="false" customHeight="false" outlineLevel="0" collapsed="false">
      <c r="A335" s="21" t="n">
        <v>46303</v>
      </c>
      <c r="B335" s="22" t="s">
        <v>89</v>
      </c>
      <c r="C335" s="23" t="n">
        <v>0.5625</v>
      </c>
      <c r="D335" s="24" t="n">
        <v>266748.906</v>
      </c>
      <c r="E335" s="24" t="n">
        <v>109869.789</v>
      </c>
      <c r="F335" s="24" t="n">
        <v>290129.031</v>
      </c>
      <c r="G335" s="22" t="n">
        <f aca="false">HOUR(C335)*60+MINUTE(C335)</f>
        <v>810</v>
      </c>
      <c r="H335" s="25" t="n">
        <f aca="false">IF(AND(B335=B334,A335=A334,D335&gt;0,N(D334)&gt;0,G335&gt;N(G334)),(D335-D334)/((G335-G334)/60),"")</f>
        <v>86.7480000001378</v>
      </c>
      <c r="I335" s="22" t="str">
        <f aca="false">IFERROR(INDEX(Medidores!$B:$B,MATCH(B335,Medidores!$A:$A,0)),"")</f>
        <v>Estación celda 3</v>
      </c>
      <c r="J335" s="22" t="s">
        <v>106</v>
      </c>
    </row>
    <row r="336" customFormat="false" ht="15" hidden="false" customHeight="false" outlineLevel="0" collapsed="false">
      <c r="A336" s="21" t="n">
        <v>46303</v>
      </c>
      <c r="B336" s="22" t="s">
        <v>89</v>
      </c>
      <c r="C336" s="23" t="n">
        <v>0.572916666666667</v>
      </c>
      <c r="D336" s="24" t="n">
        <v>266770.906</v>
      </c>
      <c r="E336" s="24" t="n">
        <v>109878.953</v>
      </c>
      <c r="F336" s="24" t="n">
        <v>290152.844</v>
      </c>
      <c r="G336" s="22" t="n">
        <f aca="false">HOUR(C336)*60+MINUTE(C336)</f>
        <v>825</v>
      </c>
      <c r="H336" s="25" t="n">
        <f aca="false">IF(AND(B336=B335,A336=A335,D336&gt;0,N(D335)&gt;0,G336&gt;N(G335)),(D336-D335)/((G336-G335)/60),"")</f>
        <v>88</v>
      </c>
      <c r="I336" s="22" t="str">
        <f aca="false">IFERROR(INDEX(Medidores!$B:$B,MATCH(B336,Medidores!$A:$A,0)),"")</f>
        <v>Estación celda 3</v>
      </c>
      <c r="J336" s="22" t="s">
        <v>107</v>
      </c>
    </row>
    <row r="337" customFormat="false" ht="15" hidden="false" customHeight="false" outlineLevel="0" collapsed="false">
      <c r="A337" s="21" t="n">
        <v>46303</v>
      </c>
      <c r="B337" s="22" t="s">
        <v>89</v>
      </c>
      <c r="C337" s="23" t="n">
        <v>0.583333333333333</v>
      </c>
      <c r="D337" s="24" t="n">
        <v>266793.125</v>
      </c>
      <c r="E337" s="24" t="n">
        <v>109888.438</v>
      </c>
      <c r="F337" s="24" t="n">
        <v>290177.031</v>
      </c>
      <c r="G337" s="22" t="n">
        <f aca="false">HOUR(C337)*60+MINUTE(C337)</f>
        <v>840</v>
      </c>
      <c r="H337" s="25" t="n">
        <f aca="false">IF(AND(B337=B336,A337=A336,D337&gt;0,N(D336)&gt;0,G337&gt;N(G336)),(D337-D336)/((G337-G336)/60),"")</f>
        <v>88.8759999999311</v>
      </c>
      <c r="I337" s="22" t="str">
        <f aca="false">IFERROR(INDEX(Medidores!$B:$B,MATCH(B337,Medidores!$A:$A,0)),"")</f>
        <v>Estación celda 3</v>
      </c>
      <c r="J337" s="22" t="s">
        <v>108</v>
      </c>
    </row>
    <row r="338" customFormat="false" ht="15" hidden="false" customHeight="false" outlineLevel="0" collapsed="false">
      <c r="A338" s="21" t="n">
        <v>46303</v>
      </c>
      <c r="B338" s="22" t="s">
        <v>89</v>
      </c>
      <c r="C338" s="23" t="n">
        <v>0.59375</v>
      </c>
      <c r="D338" s="24" t="n">
        <v>266809.594</v>
      </c>
      <c r="E338" s="24" t="n">
        <v>109894.727</v>
      </c>
      <c r="F338" s="24" t="n">
        <v>290194.656</v>
      </c>
      <c r="G338" s="22" t="n">
        <f aca="false">HOUR(C338)*60+MINUTE(C338)</f>
        <v>855</v>
      </c>
      <c r="H338" s="25" t="n">
        <f aca="false">IF(AND(B338=B337,A338=A337,D338&gt;0,N(D337)&gt;0,G338&gt;N(G337)),(D338-D337)/((G338-G337)/60),"")</f>
        <v>65.8759999999311</v>
      </c>
      <c r="I338" s="22" t="str">
        <f aca="false">IFERROR(INDEX(Medidores!$B:$B,MATCH(B338,Medidores!$A:$A,0)),"")</f>
        <v>Estación celda 3</v>
      </c>
      <c r="J338" s="22" t="s">
        <v>109</v>
      </c>
    </row>
    <row r="339" customFormat="false" ht="15" hidden="false" customHeight="false" outlineLevel="0" collapsed="false">
      <c r="A339" s="21" t="n">
        <v>46303</v>
      </c>
      <c r="B339" s="22" t="s">
        <v>89</v>
      </c>
      <c r="C339" s="23" t="n">
        <v>0.604166666666667</v>
      </c>
      <c r="D339" s="24" t="n">
        <v>266827.5</v>
      </c>
      <c r="E339" s="24" t="n">
        <v>109903.883</v>
      </c>
      <c r="F339" s="24" t="n">
        <v>290214.75</v>
      </c>
      <c r="G339" s="22" t="n">
        <f aca="false">HOUR(C339)*60+MINUTE(C339)</f>
        <v>870</v>
      </c>
      <c r="H339" s="25" t="n">
        <f aca="false">IF(AND(B339=B338,A339=A338,D339&gt;0,N(D338)&gt;0,G339&gt;N(G338)),(D339-D338)/((G339-G338)/60),"")</f>
        <v>71.6240000000689</v>
      </c>
      <c r="I339" s="22" t="str">
        <f aca="false">IFERROR(INDEX(Medidores!$B:$B,MATCH(B339,Medidores!$A:$A,0)),"")</f>
        <v>Estación celda 3</v>
      </c>
      <c r="J339" s="22" t="s">
        <v>110</v>
      </c>
    </row>
    <row r="340" customFormat="false" ht="15" hidden="false" customHeight="false" outlineLevel="0" collapsed="false">
      <c r="A340" s="21" t="n">
        <v>46303</v>
      </c>
      <c r="B340" s="22" t="s">
        <v>89</v>
      </c>
      <c r="C340" s="23" t="n">
        <v>0.614583333333333</v>
      </c>
      <c r="D340" s="24" t="n">
        <v>266842.156</v>
      </c>
      <c r="E340" s="24" t="n">
        <v>109910.156</v>
      </c>
      <c r="F340" s="24" t="n">
        <v>290230.719</v>
      </c>
      <c r="G340" s="22" t="n">
        <f aca="false">HOUR(C340)*60+MINUTE(C340)</f>
        <v>885</v>
      </c>
      <c r="H340" s="25" t="n">
        <f aca="false">IF(AND(B340=B339,A340=A339,D340&gt;0,N(D339)&gt;0,G340&gt;N(G339)),(D340-D339)/((G340-G339)/60),"")</f>
        <v>58.6240000000689</v>
      </c>
      <c r="I340" s="22" t="str">
        <f aca="false">IFERROR(INDEX(Medidores!$B:$B,MATCH(B340,Medidores!$A:$A,0)),"")</f>
        <v>Estación celda 3</v>
      </c>
      <c r="J340" s="22" t="s">
        <v>111</v>
      </c>
    </row>
    <row r="341" customFormat="false" ht="15" hidden="false" customHeight="false" outlineLevel="0" collapsed="false">
      <c r="A341" s="21" t="n">
        <v>46303</v>
      </c>
      <c r="B341" s="22" t="s">
        <v>89</v>
      </c>
      <c r="C341" s="23" t="n">
        <v>0.625</v>
      </c>
      <c r="D341" s="24" t="n">
        <v>266858.688</v>
      </c>
      <c r="E341" s="24" t="n">
        <v>109917.875</v>
      </c>
      <c r="F341" s="24" t="n">
        <v>290248.969</v>
      </c>
      <c r="G341" s="22" t="n">
        <f aca="false">HOUR(C341)*60+MINUTE(C341)</f>
        <v>900</v>
      </c>
      <c r="H341" s="25" t="n">
        <f aca="false">IF(AND(B341=B340,A341=A340,D341&gt;0,N(D340)&gt;0,G341&gt;N(G340)),(D341-D340)/((G341-G340)/60),"")</f>
        <v>66.1280000000261</v>
      </c>
      <c r="I341" s="22" t="str">
        <f aca="false">IFERROR(INDEX(Medidores!$B:$B,MATCH(B341,Medidores!$A:$A,0)),"")</f>
        <v>Estación celda 3</v>
      </c>
      <c r="J341" s="22" t="s">
        <v>132</v>
      </c>
    </row>
    <row r="342" customFormat="false" ht="15" hidden="false" customHeight="false" outlineLevel="0" collapsed="false">
      <c r="A342" s="21" t="n">
        <v>46303</v>
      </c>
      <c r="B342" s="22" t="s">
        <v>90</v>
      </c>
      <c r="C342" s="23" t="n">
        <v>0.427083333333333</v>
      </c>
      <c r="D342" s="24" t="n">
        <v>434547.406</v>
      </c>
      <c r="E342" s="24" t="n">
        <v>173437.625</v>
      </c>
      <c r="F342" s="24" t="n">
        <v>469819.125</v>
      </c>
      <c r="G342" s="22" t="n">
        <f aca="false">HOUR(C342)*60+MINUTE(C342)</f>
        <v>615</v>
      </c>
      <c r="H342" s="25" t="str">
        <f aca="false">IF(AND(B342=B341,A342=A341,D342&gt;0,N(D341)&gt;0,G342&gt;N(G341)),(D342-D341)/((G342-G341)/60),"")</f>
        <v/>
      </c>
      <c r="I342" s="22" t="str">
        <f aca="false">IFERROR(INDEX(Medidores!$B:$B,MATCH(B342,Medidores!$A:$A,0)),"")</f>
        <v>Estación celda 2</v>
      </c>
      <c r="J342" s="22" t="s">
        <v>93</v>
      </c>
    </row>
    <row r="343" customFormat="false" ht="15" hidden="false" customHeight="false" outlineLevel="0" collapsed="false">
      <c r="A343" s="21" t="n">
        <v>46303</v>
      </c>
      <c r="B343" s="22" t="s">
        <v>90</v>
      </c>
      <c r="C343" s="23" t="n">
        <v>0.4375</v>
      </c>
      <c r="D343" s="24" t="n">
        <v>434569.656</v>
      </c>
      <c r="E343" s="24" t="n">
        <v>173446.875</v>
      </c>
      <c r="F343" s="24" t="n">
        <v>469843.219</v>
      </c>
      <c r="G343" s="22" t="n">
        <f aca="false">HOUR(C343)*60+MINUTE(C343)</f>
        <v>630</v>
      </c>
      <c r="H343" s="25" t="n">
        <f aca="false">IF(AND(B343=B342,A343=A342,D343&gt;0,N(D342)&gt;0,G343&gt;N(G342)),(D343-D342)/((G343-G342)/60),"")</f>
        <v>89</v>
      </c>
      <c r="I343" s="22" t="str">
        <f aca="false">IFERROR(INDEX(Medidores!$B:$B,MATCH(B343,Medidores!$A:$A,0)),"")</f>
        <v>Estación celda 2</v>
      </c>
      <c r="J343" s="22" t="s">
        <v>94</v>
      </c>
    </row>
    <row r="344" customFormat="false" ht="15" hidden="false" customHeight="false" outlineLevel="0" collapsed="false">
      <c r="A344" s="21" t="n">
        <v>46303</v>
      </c>
      <c r="B344" s="22" t="s">
        <v>90</v>
      </c>
      <c r="C344" s="23" t="n">
        <v>0.447916666666667</v>
      </c>
      <c r="D344" s="24" t="n">
        <v>434591.25</v>
      </c>
      <c r="E344" s="24" t="n">
        <v>173455.875</v>
      </c>
      <c r="F344" s="24" t="n">
        <v>469866.625</v>
      </c>
      <c r="G344" s="22" t="n">
        <f aca="false">HOUR(C344)*60+MINUTE(C344)</f>
        <v>645</v>
      </c>
      <c r="H344" s="25" t="n">
        <f aca="false">IF(AND(B344=B343,A344=A343,D344&gt;0,N(D343)&gt;0,G344&gt;N(G343)),(D344-D343)/((G344-G343)/60),"")</f>
        <v>86.3759999999311</v>
      </c>
      <c r="I344" s="22" t="str">
        <f aca="false">IFERROR(INDEX(Medidores!$B:$B,MATCH(B344,Medidores!$A:$A,0)),"")</f>
        <v>Estación celda 2</v>
      </c>
      <c r="J344" s="22" t="s">
        <v>95</v>
      </c>
    </row>
    <row r="345" customFormat="false" ht="15" hidden="false" customHeight="false" outlineLevel="0" collapsed="false">
      <c r="A345" s="21" t="n">
        <v>46303</v>
      </c>
      <c r="B345" s="22" t="s">
        <v>90</v>
      </c>
      <c r="C345" s="23" t="n">
        <v>0.458333333333333</v>
      </c>
      <c r="D345" s="24" t="n">
        <v>434612.188</v>
      </c>
      <c r="E345" s="24" t="n">
        <v>173464.734</v>
      </c>
      <c r="F345" s="24" t="n">
        <v>469889.375</v>
      </c>
      <c r="G345" s="22" t="n">
        <f aca="false">HOUR(C345)*60+MINUTE(C345)</f>
        <v>660</v>
      </c>
      <c r="H345" s="25" t="n">
        <f aca="false">IF(AND(B345=B344,A345=A344,D345&gt;0,N(D344)&gt;0,G345&gt;N(G344)),(D345-D344)/((G345-G344)/60),"")</f>
        <v>83.752000000095</v>
      </c>
      <c r="I345" s="22" t="str">
        <f aca="false">IFERROR(INDEX(Medidores!$B:$B,MATCH(B345,Medidores!$A:$A,0)),"")</f>
        <v>Estación celda 2</v>
      </c>
      <c r="J345" s="22" t="s">
        <v>96</v>
      </c>
    </row>
    <row r="346" customFormat="false" ht="15" hidden="false" customHeight="false" outlineLevel="0" collapsed="false">
      <c r="A346" s="21" t="n">
        <v>46303</v>
      </c>
      <c r="B346" s="22" t="s">
        <v>90</v>
      </c>
      <c r="C346" s="23" t="n">
        <v>0.46875</v>
      </c>
      <c r="D346" s="24" t="n">
        <v>434633.188</v>
      </c>
      <c r="E346" s="24" t="n">
        <v>173473.547</v>
      </c>
      <c r="F346" s="24" t="n">
        <v>469912.125</v>
      </c>
      <c r="G346" s="22" t="n">
        <f aca="false">HOUR(C346)*60+MINUTE(C346)</f>
        <v>675</v>
      </c>
      <c r="H346" s="25" t="n">
        <f aca="false">IF(AND(B346=B345,A346=A345,D346&gt;0,N(D345)&gt;0,G346&gt;N(G345)),(D346-D345)/((G346-G345)/60),"")</f>
        <v>84</v>
      </c>
      <c r="I346" s="22" t="str">
        <f aca="false">IFERROR(INDEX(Medidores!$B:$B,MATCH(B346,Medidores!$A:$A,0)),"")</f>
        <v>Estación celda 2</v>
      </c>
      <c r="J346" s="22" t="s">
        <v>97</v>
      </c>
    </row>
    <row r="347" customFormat="false" ht="15" hidden="false" customHeight="false" outlineLevel="0" collapsed="false">
      <c r="A347" s="21" t="n">
        <v>46303</v>
      </c>
      <c r="B347" s="22" t="s">
        <v>90</v>
      </c>
      <c r="C347" s="23" t="n">
        <v>0.479166666666667</v>
      </c>
      <c r="D347" s="24" t="n">
        <v>434654.406</v>
      </c>
      <c r="E347" s="24" t="n">
        <v>173482.234</v>
      </c>
      <c r="F347" s="24" t="n">
        <v>469935.031</v>
      </c>
      <c r="G347" s="22" t="n">
        <f aca="false">HOUR(C347)*60+MINUTE(C347)</f>
        <v>690</v>
      </c>
      <c r="H347" s="25" t="n">
        <f aca="false">IF(AND(B347=B346,A347=A346,D347&gt;0,N(D346)&gt;0,G347&gt;N(G346)),(D347-D346)/((G347-G346)/60),"")</f>
        <v>84.8719999999739</v>
      </c>
      <c r="I347" s="22" t="str">
        <f aca="false">IFERROR(INDEX(Medidores!$B:$B,MATCH(B347,Medidores!$A:$A,0)),"")</f>
        <v>Estación celda 2</v>
      </c>
      <c r="J347" s="22" t="s">
        <v>98</v>
      </c>
    </row>
    <row r="348" customFormat="false" ht="15" hidden="false" customHeight="false" outlineLevel="0" collapsed="false">
      <c r="A348" s="21" t="n">
        <v>46303</v>
      </c>
      <c r="B348" s="22" t="s">
        <v>90</v>
      </c>
      <c r="C348" s="23" t="n">
        <v>0.489583333333333</v>
      </c>
      <c r="D348" s="24" t="n">
        <v>434674.656</v>
      </c>
      <c r="E348" s="24" t="n">
        <v>173491.047</v>
      </c>
      <c r="F348" s="24" t="n">
        <v>469957.156</v>
      </c>
      <c r="G348" s="22" t="n">
        <f aca="false">HOUR(C348)*60+MINUTE(C348)</f>
        <v>705</v>
      </c>
      <c r="H348" s="25" t="n">
        <f aca="false">IF(AND(B348=B347,A348=A347,D348&gt;0,N(D347)&gt;0,G348&gt;N(G347)),(D348-D347)/((G348-G347)/60),"")</f>
        <v>81</v>
      </c>
      <c r="I348" s="22" t="str">
        <f aca="false">IFERROR(INDEX(Medidores!$B:$B,MATCH(B348,Medidores!$A:$A,0)),"")</f>
        <v>Estación celda 2</v>
      </c>
      <c r="J348" s="22" t="s">
        <v>99</v>
      </c>
    </row>
    <row r="349" customFormat="false" ht="15" hidden="false" customHeight="false" outlineLevel="0" collapsed="false">
      <c r="A349" s="21" t="n">
        <v>46303</v>
      </c>
      <c r="B349" s="22" t="s">
        <v>90</v>
      </c>
      <c r="C349" s="23" t="n">
        <v>0.5</v>
      </c>
      <c r="D349" s="24" t="n">
        <v>434694.563</v>
      </c>
      <c r="E349" s="24" t="n">
        <v>173499.609</v>
      </c>
      <c r="F349" s="24" t="n">
        <v>469978.813</v>
      </c>
      <c r="G349" s="22" t="n">
        <f aca="false">HOUR(C349)*60+MINUTE(C349)</f>
        <v>720</v>
      </c>
      <c r="H349" s="25" t="n">
        <f aca="false">IF(AND(B349=B348,A349=A348,D349&gt;0,N(D348)&gt;0,G349&gt;N(G348)),(D349-D348)/((G349-G348)/60),"")</f>
        <v>79.6280000000261</v>
      </c>
      <c r="I349" s="22" t="str">
        <f aca="false">IFERROR(INDEX(Medidores!$B:$B,MATCH(B349,Medidores!$A:$A,0)),"")</f>
        <v>Estación celda 2</v>
      </c>
      <c r="J349" s="22" t="s">
        <v>100</v>
      </c>
    </row>
    <row r="350" customFormat="false" ht="15" hidden="false" customHeight="false" outlineLevel="0" collapsed="false">
      <c r="A350" s="21" t="n">
        <v>46303</v>
      </c>
      <c r="B350" s="22" t="s">
        <v>90</v>
      </c>
      <c r="C350" s="23" t="n">
        <v>0.510416666666667</v>
      </c>
      <c r="D350" s="24" t="n">
        <v>434714.625</v>
      </c>
      <c r="E350" s="24" t="n">
        <v>173508.281</v>
      </c>
      <c r="F350" s="24" t="n">
        <v>470000.688</v>
      </c>
      <c r="G350" s="22" t="n">
        <f aca="false">HOUR(C350)*60+MINUTE(C350)</f>
        <v>735</v>
      </c>
      <c r="H350" s="25" t="n">
        <f aca="false">IF(AND(B350=B349,A350=A349,D350&gt;0,N(D349)&gt;0,G350&gt;N(G349)),(D350-D349)/((G350-G349)/60),"")</f>
        <v>80.247999999905</v>
      </c>
      <c r="I350" s="22" t="str">
        <f aca="false">IFERROR(INDEX(Medidores!$B:$B,MATCH(B350,Medidores!$A:$A,0)),"")</f>
        <v>Estación celda 2</v>
      </c>
      <c r="J350" s="22" t="s">
        <v>101</v>
      </c>
    </row>
    <row r="351" customFormat="false" ht="15" hidden="false" customHeight="false" outlineLevel="0" collapsed="false">
      <c r="A351" s="21" t="n">
        <v>46303</v>
      </c>
      <c r="B351" s="22" t="s">
        <v>90</v>
      </c>
      <c r="C351" s="23" t="n">
        <v>0.520833333333333</v>
      </c>
      <c r="D351" s="24" t="n">
        <v>434738.313</v>
      </c>
      <c r="E351" s="24" t="n">
        <v>173517.484</v>
      </c>
      <c r="F351" s="24" t="n">
        <v>470026.125</v>
      </c>
      <c r="G351" s="22" t="n">
        <f aca="false">HOUR(C351)*60+MINUTE(C351)</f>
        <v>750</v>
      </c>
      <c r="H351" s="25" t="n">
        <f aca="false">IF(AND(B351=B350,A351=A350,D351&gt;0,N(D350)&gt;0,G351&gt;N(G350)),(D351-D350)/((G351-G350)/60),"")</f>
        <v>94.752000000095</v>
      </c>
      <c r="I351" s="22" t="str">
        <f aca="false">IFERROR(INDEX(Medidores!$B:$B,MATCH(B351,Medidores!$A:$A,0)),"")</f>
        <v>Estación celda 2</v>
      </c>
      <c r="J351" s="22" t="s">
        <v>102</v>
      </c>
    </row>
    <row r="352" customFormat="false" ht="15" hidden="false" customHeight="false" outlineLevel="0" collapsed="false">
      <c r="A352" s="21" t="n">
        <v>46303</v>
      </c>
      <c r="B352" s="22" t="s">
        <v>90</v>
      </c>
      <c r="C352" s="23" t="n">
        <v>0.53125</v>
      </c>
      <c r="D352" s="24" t="n">
        <v>434762.219</v>
      </c>
      <c r="E352" s="24" t="n">
        <v>173526.75</v>
      </c>
      <c r="F352" s="24" t="n">
        <v>470051.719</v>
      </c>
      <c r="G352" s="22" t="n">
        <f aca="false">HOUR(C352)*60+MINUTE(C352)</f>
        <v>765</v>
      </c>
      <c r="H352" s="25" t="n">
        <f aca="false">IF(AND(B352=B351,A352=A351,D352&gt;0,N(D351)&gt;0,G352&gt;N(G351)),(D352-D351)/((G352-G351)/60),"")</f>
        <v>95.6239999998361</v>
      </c>
      <c r="I352" s="22" t="str">
        <f aca="false">IFERROR(INDEX(Medidores!$B:$B,MATCH(B352,Medidores!$A:$A,0)),"")</f>
        <v>Estación celda 2</v>
      </c>
      <c r="J352" s="22" t="s">
        <v>103</v>
      </c>
    </row>
    <row r="353" customFormat="false" ht="15" hidden="false" customHeight="false" outlineLevel="0" collapsed="false">
      <c r="A353" s="21" t="n">
        <v>46303</v>
      </c>
      <c r="B353" s="22" t="s">
        <v>90</v>
      </c>
      <c r="C353" s="23" t="n">
        <v>0.541666666666667</v>
      </c>
      <c r="D353" s="24" t="n">
        <v>434785.75</v>
      </c>
      <c r="E353" s="24" t="n">
        <v>173535.938</v>
      </c>
      <c r="F353" s="24" t="n">
        <v>470077</v>
      </c>
      <c r="G353" s="22" t="n">
        <f aca="false">HOUR(C353)*60+MINUTE(C353)</f>
        <v>780</v>
      </c>
      <c r="H353" s="25" t="n">
        <f aca="false">IF(AND(B353=B352,A353=A352,D353&gt;0,N(D352)&gt;0,G353&gt;N(G352)),(D353-D352)/((G353-G352)/60),"")</f>
        <v>94.1240000000689</v>
      </c>
      <c r="I353" s="22" t="str">
        <f aca="false">IFERROR(INDEX(Medidores!$B:$B,MATCH(B353,Medidores!$A:$A,0)),"")</f>
        <v>Estación celda 2</v>
      </c>
      <c r="J353" s="22" t="s">
        <v>104</v>
      </c>
    </row>
    <row r="354" customFormat="false" ht="15" hidden="false" customHeight="false" outlineLevel="0" collapsed="false">
      <c r="A354" s="21" t="n">
        <v>46303</v>
      </c>
      <c r="B354" s="22" t="s">
        <v>90</v>
      </c>
      <c r="C354" s="23" t="n">
        <v>0.552083333333333</v>
      </c>
      <c r="D354" s="24" t="n">
        <v>434808.094</v>
      </c>
      <c r="E354" s="24" t="n">
        <v>173545.438</v>
      </c>
      <c r="F354" s="24" t="n">
        <v>470101.281</v>
      </c>
      <c r="G354" s="22" t="n">
        <f aca="false">HOUR(C354)*60+MINUTE(C354)</f>
        <v>795</v>
      </c>
      <c r="H354" s="25" t="n">
        <f aca="false">IF(AND(B354=B353,A354=A353,D354&gt;0,N(D353)&gt;0,G354&gt;N(G353)),(D354-D353)/((G354-G353)/60),"")</f>
        <v>89.3759999999311</v>
      </c>
      <c r="I354" s="22" t="str">
        <f aca="false">IFERROR(INDEX(Medidores!$B:$B,MATCH(B354,Medidores!$A:$A,0)),"")</f>
        <v>Estación celda 2</v>
      </c>
      <c r="J354" s="22" t="s">
        <v>105</v>
      </c>
    </row>
    <row r="355" customFormat="false" ht="15" hidden="false" customHeight="false" outlineLevel="0" collapsed="false">
      <c r="A355" s="21" t="n">
        <v>46303</v>
      </c>
      <c r="B355" s="22" t="s">
        <v>90</v>
      </c>
      <c r="C355" s="23" t="n">
        <v>0.5625</v>
      </c>
      <c r="D355" s="24" t="n">
        <v>434829.531</v>
      </c>
      <c r="E355" s="24" t="n">
        <v>173555.25</v>
      </c>
      <c r="F355" s="24" t="n">
        <v>470124.875</v>
      </c>
      <c r="G355" s="22" t="n">
        <f aca="false">HOUR(C355)*60+MINUTE(C355)</f>
        <v>810</v>
      </c>
      <c r="H355" s="25" t="n">
        <f aca="false">IF(AND(B355=B354,A355=A354,D355&gt;0,N(D354)&gt;0,G355&gt;N(G354)),(D355-D354)/((G355-G354)/60),"")</f>
        <v>85.7480000001378</v>
      </c>
      <c r="I355" s="22" t="str">
        <f aca="false">IFERROR(INDEX(Medidores!$B:$B,MATCH(B355,Medidores!$A:$A,0)),"")</f>
        <v>Estación celda 2</v>
      </c>
      <c r="J355" s="22" t="s">
        <v>106</v>
      </c>
    </row>
    <row r="356" customFormat="false" ht="15" hidden="false" customHeight="false" outlineLevel="0" collapsed="false">
      <c r="A356" s="21" t="n">
        <v>46303</v>
      </c>
      <c r="B356" s="22" t="s">
        <v>90</v>
      </c>
      <c r="C356" s="23" t="n">
        <v>0.572916666666667</v>
      </c>
      <c r="D356" s="24" t="n">
        <v>434851.313</v>
      </c>
      <c r="E356" s="24" t="n">
        <v>173565.281</v>
      </c>
      <c r="F356" s="24" t="n">
        <v>470148.875</v>
      </c>
      <c r="G356" s="22" t="n">
        <f aca="false">HOUR(C356)*60+MINUTE(C356)</f>
        <v>825</v>
      </c>
      <c r="H356" s="25" t="n">
        <f aca="false">IF(AND(B356=B355,A356=A355,D356&gt;0,N(D355)&gt;0,G356&gt;N(G355)),(D356-D355)/((G356-G355)/60),"")</f>
        <v>87.1280000000261</v>
      </c>
      <c r="I356" s="22" t="str">
        <f aca="false">IFERROR(INDEX(Medidores!$B:$B,MATCH(B356,Medidores!$A:$A,0)),"")</f>
        <v>Estación celda 2</v>
      </c>
      <c r="J356" s="22" t="s">
        <v>107</v>
      </c>
    </row>
    <row r="357" customFormat="false" ht="15" hidden="false" customHeight="false" outlineLevel="0" collapsed="false">
      <c r="A357" s="21" t="n">
        <v>46303</v>
      </c>
      <c r="B357" s="22" t="s">
        <v>90</v>
      </c>
      <c r="C357" s="23" t="n">
        <v>0.583333333333333</v>
      </c>
      <c r="D357" s="24" t="n">
        <v>434874.063</v>
      </c>
      <c r="E357" s="24" t="n">
        <v>173575.594</v>
      </c>
      <c r="F357" s="24" t="n">
        <v>470173.813</v>
      </c>
      <c r="G357" s="22" t="n">
        <f aca="false">HOUR(C357)*60+MINUTE(C357)</f>
        <v>840</v>
      </c>
      <c r="H357" s="25" t="n">
        <f aca="false">IF(AND(B357=B356,A357=A356,D357&gt;0,N(D356)&gt;0,G357&gt;N(G356)),(D357-D356)/((G357-G356)/60),"")</f>
        <v>91</v>
      </c>
      <c r="I357" s="22" t="str">
        <f aca="false">IFERROR(INDEX(Medidores!$B:$B,MATCH(B357,Medidores!$A:$A,0)),"")</f>
        <v>Estación celda 2</v>
      </c>
      <c r="J357" s="22" t="s">
        <v>108</v>
      </c>
    </row>
    <row r="358" customFormat="false" ht="15" hidden="false" customHeight="false" outlineLevel="0" collapsed="false">
      <c r="A358" s="21" t="n">
        <v>46303</v>
      </c>
      <c r="B358" s="22" t="s">
        <v>90</v>
      </c>
      <c r="C358" s="23" t="n">
        <v>0.59375</v>
      </c>
      <c r="D358" s="24" t="n">
        <v>434897.094</v>
      </c>
      <c r="E358" s="24" t="n">
        <v>173585.938</v>
      </c>
      <c r="F358" s="24" t="n">
        <v>470199.063</v>
      </c>
      <c r="G358" s="22" t="n">
        <f aca="false">HOUR(C358)*60+MINUTE(C358)</f>
        <v>855</v>
      </c>
      <c r="H358" s="25" t="n">
        <f aca="false">IF(AND(B358=B357,A358=A357,D358&gt;0,N(D357)&gt;0,G358&gt;N(G357)),(D358-D357)/((G358-G357)/60),"")</f>
        <v>92.1239999998361</v>
      </c>
      <c r="I358" s="22" t="str">
        <f aca="false">IFERROR(INDEX(Medidores!$B:$B,MATCH(B358,Medidores!$A:$A,0)),"")</f>
        <v>Estación celda 2</v>
      </c>
      <c r="J358" s="22" t="s">
        <v>109</v>
      </c>
    </row>
    <row r="359" customFormat="false" ht="15" hidden="false" customHeight="false" outlineLevel="0" collapsed="false">
      <c r="A359" s="21" t="n">
        <v>46303</v>
      </c>
      <c r="B359" s="22" t="s">
        <v>90</v>
      </c>
      <c r="C359" s="23" t="n">
        <v>0.604166666666667</v>
      </c>
      <c r="D359" s="24" t="n">
        <v>434920.438</v>
      </c>
      <c r="E359" s="24" t="n">
        <v>173596.703</v>
      </c>
      <c r="F359" s="24" t="n">
        <v>470224.781</v>
      </c>
      <c r="G359" s="22" t="n">
        <f aca="false">HOUR(C359)*60+MINUTE(C359)</f>
        <v>870</v>
      </c>
      <c r="H359" s="25" t="n">
        <f aca="false">IF(AND(B359=B358,A359=A358,D359&gt;0,N(D358)&gt;0,G359&gt;N(G358)),(D359-D358)/((G359-G358)/60),"")</f>
        <v>93.3760000001639</v>
      </c>
      <c r="I359" s="22" t="str">
        <f aca="false">IFERROR(INDEX(Medidores!$B:$B,MATCH(B359,Medidores!$A:$A,0)),"")</f>
        <v>Estación celda 2</v>
      </c>
      <c r="J359" s="22" t="s">
        <v>110</v>
      </c>
    </row>
    <row r="360" customFormat="false" ht="15" hidden="false" customHeight="false" outlineLevel="0" collapsed="false">
      <c r="A360" s="21" t="n">
        <v>46303</v>
      </c>
      <c r="B360" s="22" t="s">
        <v>90</v>
      </c>
      <c r="C360" s="23" t="n">
        <v>0.614583333333333</v>
      </c>
      <c r="D360" s="24" t="n">
        <v>434943.969</v>
      </c>
      <c r="E360" s="24" t="n">
        <v>173607.328</v>
      </c>
      <c r="F360" s="24" t="n">
        <v>470250.594</v>
      </c>
      <c r="G360" s="22" t="n">
        <f aca="false">HOUR(C360)*60+MINUTE(C360)</f>
        <v>885</v>
      </c>
      <c r="H360" s="25" t="n">
        <f aca="false">IF(AND(B360=B359,A360=A359,D360&gt;0,N(D359)&gt;0,G360&gt;N(G359)),(D360-D359)/((G360-G359)/60),"")</f>
        <v>94.1239999998361</v>
      </c>
      <c r="I360" s="22" t="str">
        <f aca="false">IFERROR(INDEX(Medidores!$B:$B,MATCH(B360,Medidores!$A:$A,0)),"")</f>
        <v>Estación celda 2</v>
      </c>
      <c r="J360" s="22" t="s">
        <v>111</v>
      </c>
    </row>
    <row r="361" customFormat="false" ht="15" hidden="false" customHeight="false" outlineLevel="0" collapsed="false">
      <c r="A361" s="21" t="n">
        <v>46303</v>
      </c>
      <c r="B361" s="22" t="s">
        <v>90</v>
      </c>
      <c r="C361" s="23" t="n">
        <v>0.625</v>
      </c>
      <c r="D361" s="24" t="n">
        <v>434967.031</v>
      </c>
      <c r="E361" s="24" t="n">
        <v>173618.109</v>
      </c>
      <c r="F361" s="24" t="n">
        <v>470276.063</v>
      </c>
      <c r="G361" s="22" t="n">
        <f aca="false">HOUR(C361)*60+MINUTE(C361)</f>
        <v>900</v>
      </c>
      <c r="H361" s="25" t="n">
        <f aca="false">IF(AND(B361=B360,A361=A360,D361&gt;0,N(D360)&gt;0,G361&gt;N(G360)),(D361-D360)/((G361-G360)/60),"")</f>
        <v>92.2480000001378</v>
      </c>
      <c r="I361" s="22" t="str">
        <f aca="false">IFERROR(INDEX(Medidores!$B:$B,MATCH(B361,Medidores!$A:$A,0)),"")</f>
        <v>Estación celda 2</v>
      </c>
      <c r="J361" s="22" t="s">
        <v>132</v>
      </c>
    </row>
    <row r="362" customFormat="false" ht="15" hidden="false" customHeight="false" outlineLevel="0" collapsed="false">
      <c r="A362" s="21" t="n">
        <v>46303</v>
      </c>
      <c r="B362" s="22" t="s">
        <v>91</v>
      </c>
      <c r="C362" s="23" t="n">
        <v>0.427083333333333</v>
      </c>
      <c r="D362" s="24" t="n">
        <v>330103.375</v>
      </c>
      <c r="E362" s="24" t="n">
        <v>172539.172</v>
      </c>
      <c r="F362" s="24" t="n">
        <v>373876.219</v>
      </c>
      <c r="G362" s="22" t="n">
        <f aca="false">HOUR(C362)*60+MINUTE(C362)</f>
        <v>615</v>
      </c>
      <c r="H362" s="25" t="str">
        <f aca="false">IF(AND(B362=B361,A362=A361,D362&gt;0,N(D361)&gt;0,G362&gt;N(G361)),(D362-D361)/((G362-G361)/60),"")</f>
        <v/>
      </c>
      <c r="I362" s="22" t="str">
        <f aca="false">IFERROR(INDEX(Medidores!$B:$B,MATCH(B362,Medidores!$A:$A,0)),"")</f>
        <v>Estación celda 1</v>
      </c>
      <c r="J362" s="22" t="s">
        <v>93</v>
      </c>
    </row>
    <row r="363" customFormat="false" ht="15" hidden="false" customHeight="false" outlineLevel="0" collapsed="false">
      <c r="A363" s="21" t="n">
        <v>46303</v>
      </c>
      <c r="B363" s="22" t="s">
        <v>91</v>
      </c>
      <c r="C363" s="23" t="n">
        <v>0.4375</v>
      </c>
      <c r="D363" s="24" t="n">
        <v>330127.656</v>
      </c>
      <c r="E363" s="24" t="n">
        <v>172552.563</v>
      </c>
      <c r="F363" s="24" t="n">
        <v>373903.969</v>
      </c>
      <c r="G363" s="22" t="n">
        <f aca="false">HOUR(C363)*60+MINUTE(C363)</f>
        <v>630</v>
      </c>
      <c r="H363" s="25" t="n">
        <f aca="false">IF(AND(B363=B362,A363=A362,D363&gt;0,N(D362)&gt;0,G363&gt;N(G362)),(D363-D362)/((G363-G362)/60),"")</f>
        <v>97.1240000000689</v>
      </c>
      <c r="I363" s="22" t="str">
        <f aca="false">IFERROR(INDEX(Medidores!$B:$B,MATCH(B363,Medidores!$A:$A,0)),"")</f>
        <v>Estación celda 1</v>
      </c>
      <c r="J363" s="22" t="s">
        <v>94</v>
      </c>
    </row>
    <row r="364" customFormat="false" ht="15" hidden="false" customHeight="false" outlineLevel="0" collapsed="false">
      <c r="A364" s="21" t="n">
        <v>46303</v>
      </c>
      <c r="B364" s="22" t="s">
        <v>91</v>
      </c>
      <c r="C364" s="23" t="n">
        <v>0.447916666666667</v>
      </c>
      <c r="D364" s="24" t="n">
        <v>330143.688</v>
      </c>
      <c r="E364" s="24" t="n">
        <v>172561.859</v>
      </c>
      <c r="F364" s="24" t="n">
        <v>373922.531</v>
      </c>
      <c r="G364" s="22" t="n">
        <f aca="false">HOUR(C364)*60+MINUTE(C364)</f>
        <v>645</v>
      </c>
      <c r="H364" s="25" t="n">
        <f aca="false">IF(AND(B364=B363,A364=A363,D364&gt;0,N(D363)&gt;0,G364&gt;N(G363)),(D364-D363)/((G364-G363)/60),"")</f>
        <v>64.1280000000261</v>
      </c>
      <c r="I364" s="22" t="str">
        <f aca="false">IFERROR(INDEX(Medidores!$B:$B,MATCH(B364,Medidores!$A:$A,0)),"")</f>
        <v>Estación celda 1</v>
      </c>
      <c r="J364" s="22" t="s">
        <v>95</v>
      </c>
    </row>
    <row r="365" customFormat="false" ht="15" hidden="false" customHeight="false" outlineLevel="0" collapsed="false">
      <c r="A365" s="21" t="n">
        <v>46303</v>
      </c>
      <c r="B365" s="22" t="s">
        <v>91</v>
      </c>
      <c r="C365" s="23" t="n">
        <v>0.458333333333333</v>
      </c>
      <c r="D365" s="24" t="n">
        <v>330153.438</v>
      </c>
      <c r="E365" s="24" t="n">
        <v>172567.125</v>
      </c>
      <c r="F365" s="24" t="n">
        <v>373933.594</v>
      </c>
      <c r="G365" s="22" t="n">
        <f aca="false">HOUR(C365)*60+MINUTE(C365)</f>
        <v>660</v>
      </c>
      <c r="H365" s="25" t="n">
        <f aca="false">IF(AND(B365=B364,A365=A364,D365&gt;0,N(D364)&gt;0,G365&gt;N(G364)),(D365-D364)/((G365-G364)/60),"")</f>
        <v>39</v>
      </c>
      <c r="I365" s="22" t="str">
        <f aca="false">IFERROR(INDEX(Medidores!$B:$B,MATCH(B365,Medidores!$A:$A,0)),"")</f>
        <v>Estación celda 1</v>
      </c>
      <c r="J365" s="22" t="s">
        <v>96</v>
      </c>
    </row>
    <row r="366" customFormat="false" ht="15" hidden="false" customHeight="false" outlineLevel="0" collapsed="false">
      <c r="A366" s="21" t="n">
        <v>46303</v>
      </c>
      <c r="B366" s="22" t="s">
        <v>91</v>
      </c>
      <c r="C366" s="23" t="n">
        <v>0.46875</v>
      </c>
      <c r="D366" s="24" t="n">
        <v>330164.938</v>
      </c>
      <c r="E366" s="24" t="n">
        <v>172573.156</v>
      </c>
      <c r="F366" s="24" t="n">
        <v>373946.594</v>
      </c>
      <c r="G366" s="22" t="n">
        <f aca="false">HOUR(C366)*60+MINUTE(C366)</f>
        <v>675</v>
      </c>
      <c r="H366" s="25" t="n">
        <f aca="false">IF(AND(B366=B365,A366=A365,D366&gt;0,N(D365)&gt;0,G366&gt;N(G365)),(D366-D365)/((G366-G365)/60),"")</f>
        <v>46</v>
      </c>
      <c r="I366" s="22" t="str">
        <f aca="false">IFERROR(INDEX(Medidores!$B:$B,MATCH(B366,Medidores!$A:$A,0)),"")</f>
        <v>Estación celda 1</v>
      </c>
      <c r="J366" s="22" t="s">
        <v>97</v>
      </c>
    </row>
    <row r="367" customFormat="false" ht="15" hidden="false" customHeight="false" outlineLevel="0" collapsed="false">
      <c r="A367" s="21" t="n">
        <v>46303</v>
      </c>
      <c r="B367" s="22" t="s">
        <v>91</v>
      </c>
      <c r="C367" s="23" t="n">
        <v>0.479166666666667</v>
      </c>
      <c r="D367" s="24" t="n">
        <v>330183.031</v>
      </c>
      <c r="E367" s="24" t="n">
        <v>172582.688</v>
      </c>
      <c r="F367" s="24" t="n">
        <v>373967.094</v>
      </c>
      <c r="G367" s="22" t="n">
        <f aca="false">HOUR(C367)*60+MINUTE(C367)</f>
        <v>690</v>
      </c>
      <c r="H367" s="25" t="n">
        <f aca="false">IF(AND(B367=B366,A367=A366,D367&gt;0,N(D366)&gt;0,G367&gt;N(G366)),(D367-D366)/((G367-G366)/60),"")</f>
        <v>72.3719999999739</v>
      </c>
      <c r="I367" s="22" t="str">
        <f aca="false">IFERROR(INDEX(Medidores!$B:$B,MATCH(B367,Medidores!$A:$A,0)),"")</f>
        <v>Estación celda 1</v>
      </c>
      <c r="J367" s="22" t="s">
        <v>98</v>
      </c>
    </row>
    <row r="368" customFormat="false" ht="15" hidden="false" customHeight="false" outlineLevel="0" collapsed="false">
      <c r="A368" s="21" t="n">
        <v>46303</v>
      </c>
      <c r="B368" s="22" t="s">
        <v>91</v>
      </c>
      <c r="C368" s="23" t="n">
        <v>0.489583333333333</v>
      </c>
      <c r="D368" s="24" t="n">
        <v>330206.688</v>
      </c>
      <c r="E368" s="24" t="n">
        <v>172597.875</v>
      </c>
      <c r="F368" s="24" t="n">
        <v>373995.25</v>
      </c>
      <c r="G368" s="22" t="n">
        <f aca="false">HOUR(C368)*60+MINUTE(C368)</f>
        <v>705</v>
      </c>
      <c r="H368" s="25" t="n">
        <f aca="false">IF(AND(B368=B367,A368=A367,D368&gt;0,N(D367)&gt;0,G368&gt;N(G367)),(D368-D367)/((G368-G367)/60),"")</f>
        <v>94.6280000000261</v>
      </c>
      <c r="I368" s="22" t="str">
        <f aca="false">IFERROR(INDEX(Medidores!$B:$B,MATCH(B368,Medidores!$A:$A,0)),"")</f>
        <v>Estación celda 1</v>
      </c>
      <c r="J368" s="22" t="s">
        <v>99</v>
      </c>
    </row>
    <row r="369" customFormat="false" ht="15" hidden="false" customHeight="false" outlineLevel="0" collapsed="false">
      <c r="A369" s="21" t="n">
        <v>46303</v>
      </c>
      <c r="B369" s="22" t="s">
        <v>91</v>
      </c>
      <c r="C369" s="23" t="n">
        <v>0.5</v>
      </c>
      <c r="D369" s="24" t="n">
        <v>330231.375</v>
      </c>
      <c r="E369" s="24" t="n">
        <v>172615.281</v>
      </c>
      <c r="F369" s="24" t="n">
        <v>374025.438</v>
      </c>
      <c r="G369" s="22" t="n">
        <f aca="false">HOUR(C369)*60+MINUTE(C369)</f>
        <v>720</v>
      </c>
      <c r="H369" s="25" t="n">
        <f aca="false">IF(AND(B369=B368,A369=A368,D369&gt;0,N(D368)&gt;0,G369&gt;N(G368)),(D369-D368)/((G369-G368)/60),"")</f>
        <v>98.747999999905</v>
      </c>
      <c r="I369" s="22" t="str">
        <f aca="false">IFERROR(INDEX(Medidores!$B:$B,MATCH(B369,Medidores!$A:$A,0)),"")</f>
        <v>Estación celda 1</v>
      </c>
      <c r="J369" s="22" t="s">
        <v>100</v>
      </c>
    </row>
    <row r="370" customFormat="false" ht="15" hidden="false" customHeight="false" outlineLevel="0" collapsed="false">
      <c r="A370" s="21" t="n">
        <v>46303</v>
      </c>
      <c r="B370" s="22" t="s">
        <v>91</v>
      </c>
      <c r="C370" s="23" t="n">
        <v>0.510416666666667</v>
      </c>
      <c r="D370" s="24" t="n">
        <v>330258.531</v>
      </c>
      <c r="E370" s="24" t="n">
        <v>172633.766</v>
      </c>
      <c r="F370" s="24" t="n">
        <v>374058.344</v>
      </c>
      <c r="G370" s="22" t="n">
        <f aca="false">HOUR(C370)*60+MINUTE(C370)</f>
        <v>735</v>
      </c>
      <c r="H370" s="25" t="n">
        <f aca="false">IF(AND(B370=B369,A370=A369,D370&gt;0,N(D369)&gt;0,G370&gt;N(G369)),(D370-D369)/((G370-G369)/60),"")</f>
        <v>108.624000000069</v>
      </c>
      <c r="I370" s="22" t="str">
        <f aca="false">IFERROR(INDEX(Medidores!$B:$B,MATCH(B370,Medidores!$A:$A,0)),"")</f>
        <v>Estación celda 1</v>
      </c>
      <c r="J370" s="22" t="s">
        <v>101</v>
      </c>
    </row>
    <row r="371" customFormat="false" ht="15" hidden="false" customHeight="false" outlineLevel="0" collapsed="false">
      <c r="A371" s="21" t="n">
        <v>46303</v>
      </c>
      <c r="B371" s="22" t="s">
        <v>91</v>
      </c>
      <c r="C371" s="23" t="n">
        <v>0.520833333333333</v>
      </c>
      <c r="D371" s="24" t="n">
        <v>330283.406</v>
      </c>
      <c r="E371" s="24" t="n">
        <v>172648.906</v>
      </c>
      <c r="F371" s="24" t="n">
        <v>374087.5</v>
      </c>
      <c r="G371" s="22" t="n">
        <f aca="false">HOUR(C371)*60+MINUTE(C371)</f>
        <v>750</v>
      </c>
      <c r="H371" s="25" t="n">
        <f aca="false">IF(AND(B371=B370,A371=A370,D371&gt;0,N(D370)&gt;0,G371&gt;N(G370)),(D371-D370)/((G371-G370)/60),"")</f>
        <v>99.5</v>
      </c>
      <c r="I371" s="22" t="str">
        <f aca="false">IFERROR(INDEX(Medidores!$B:$B,MATCH(B371,Medidores!$A:$A,0)),"")</f>
        <v>Estación celda 1</v>
      </c>
      <c r="J371" s="22" t="s">
        <v>102</v>
      </c>
    </row>
    <row r="372" customFormat="false" ht="15" hidden="false" customHeight="false" outlineLevel="0" collapsed="false">
      <c r="A372" s="21" t="n">
        <v>46303</v>
      </c>
      <c r="B372" s="22" t="s">
        <v>91</v>
      </c>
      <c r="C372" s="23" t="n">
        <v>0.53125</v>
      </c>
      <c r="D372" s="24" t="n">
        <v>330306.875</v>
      </c>
      <c r="E372" s="24" t="n">
        <v>172661.781</v>
      </c>
      <c r="F372" s="24" t="n">
        <v>374114.25</v>
      </c>
      <c r="G372" s="22" t="n">
        <f aca="false">HOUR(C372)*60+MINUTE(C372)</f>
        <v>765</v>
      </c>
      <c r="H372" s="25" t="n">
        <f aca="false">IF(AND(B372=B371,A372=A371,D372&gt;0,N(D371)&gt;0,G372&gt;N(G371)),(D372-D371)/((G372-G371)/60),"")</f>
        <v>93.8759999999311</v>
      </c>
      <c r="I372" s="22" t="str">
        <f aca="false">IFERROR(INDEX(Medidores!$B:$B,MATCH(B372,Medidores!$A:$A,0)),"")</f>
        <v>Estación celda 1</v>
      </c>
      <c r="J372" s="22" t="s">
        <v>103</v>
      </c>
    </row>
    <row r="373" customFormat="false" ht="15" hidden="false" customHeight="false" outlineLevel="0" collapsed="false">
      <c r="A373" s="21" t="n">
        <v>46303</v>
      </c>
      <c r="B373" s="22" t="s">
        <v>91</v>
      </c>
      <c r="C373" s="23" t="n">
        <v>0.541666666666667</v>
      </c>
      <c r="D373" s="24" t="n">
        <v>330328.469</v>
      </c>
      <c r="E373" s="24" t="n">
        <v>172674.031</v>
      </c>
      <c r="F373" s="24" t="n">
        <v>374139.125</v>
      </c>
      <c r="G373" s="22" t="n">
        <f aca="false">HOUR(C373)*60+MINUTE(C373)</f>
        <v>780</v>
      </c>
      <c r="H373" s="25" t="n">
        <f aca="false">IF(AND(B373=B372,A373=A372,D373&gt;0,N(D372)&gt;0,G373&gt;N(G372)),(D373-D372)/((G373-G372)/60),"")</f>
        <v>86.3759999999311</v>
      </c>
      <c r="I373" s="22" t="str">
        <f aca="false">IFERROR(INDEX(Medidores!$B:$B,MATCH(B373,Medidores!$A:$A,0)),"")</f>
        <v>Estación celda 1</v>
      </c>
      <c r="J373" s="22" t="s">
        <v>104</v>
      </c>
    </row>
    <row r="374" customFormat="false" ht="15" hidden="false" customHeight="false" outlineLevel="0" collapsed="false">
      <c r="A374" s="21" t="n">
        <v>46303</v>
      </c>
      <c r="B374" s="22" t="s">
        <v>91</v>
      </c>
      <c r="C374" s="23" t="n">
        <v>0.552083333333333</v>
      </c>
      <c r="D374" s="24" t="n">
        <v>330350.656</v>
      </c>
      <c r="E374" s="24" t="n">
        <v>172685.875</v>
      </c>
      <c r="F374" s="24" t="n">
        <v>374164.281</v>
      </c>
      <c r="G374" s="22" t="n">
        <f aca="false">HOUR(C374)*60+MINUTE(C374)</f>
        <v>795</v>
      </c>
      <c r="H374" s="25" t="n">
        <f aca="false">IF(AND(B374=B373,A374=A373,D374&gt;0,N(D373)&gt;0,G374&gt;N(G373)),(D374-D373)/((G374-G373)/60),"")</f>
        <v>88.7480000001378</v>
      </c>
      <c r="I374" s="22" t="str">
        <f aca="false">IFERROR(INDEX(Medidores!$B:$B,MATCH(B374,Medidores!$A:$A,0)),"")</f>
        <v>Estación celda 1</v>
      </c>
      <c r="J374" s="22" t="s">
        <v>105</v>
      </c>
    </row>
    <row r="375" customFormat="false" ht="15" hidden="false" customHeight="false" outlineLevel="0" collapsed="false">
      <c r="A375" s="21" t="n">
        <v>46303</v>
      </c>
      <c r="B375" s="22" t="s">
        <v>91</v>
      </c>
      <c r="C375" s="23" t="n">
        <v>0.5625</v>
      </c>
      <c r="D375" s="24" t="n">
        <v>330367.406</v>
      </c>
      <c r="E375" s="24" t="n">
        <v>172693.141</v>
      </c>
      <c r="F375" s="24" t="n">
        <v>374182.531</v>
      </c>
      <c r="G375" s="22" t="n">
        <f aca="false">HOUR(C375)*60+MINUTE(C375)</f>
        <v>810</v>
      </c>
      <c r="H375" s="25" t="n">
        <f aca="false">IF(AND(B375=B374,A375=A374,D375&gt;0,N(D374)&gt;0,G375&gt;N(G374)),(D375-D374)/((G375-G374)/60),"")</f>
        <v>67</v>
      </c>
      <c r="I375" s="22" t="str">
        <f aca="false">IFERROR(INDEX(Medidores!$B:$B,MATCH(B375,Medidores!$A:$A,0)),"")</f>
        <v>Estación celda 1</v>
      </c>
      <c r="J375" s="22" t="s">
        <v>106</v>
      </c>
    </row>
    <row r="376" customFormat="false" ht="15" hidden="false" customHeight="false" outlineLevel="0" collapsed="false">
      <c r="A376" s="21" t="n">
        <v>46303</v>
      </c>
      <c r="B376" s="22" t="s">
        <v>91</v>
      </c>
      <c r="C376" s="23" t="n">
        <v>0.572916666666667</v>
      </c>
      <c r="D376" s="24" t="n">
        <v>330386.219</v>
      </c>
      <c r="E376" s="24" t="n">
        <v>172700.953</v>
      </c>
      <c r="F376" s="24" t="n">
        <v>374202.938</v>
      </c>
      <c r="G376" s="22" t="n">
        <f aca="false">HOUR(C376)*60+MINUTE(C376)</f>
        <v>825</v>
      </c>
      <c r="H376" s="25" t="n">
        <f aca="false">IF(AND(B376=B375,A376=A375,D376&gt;0,N(D375)&gt;0,G376&gt;N(G375)),(D376-D375)/((G376-G375)/60),"")</f>
        <v>75.2519999998622</v>
      </c>
      <c r="I376" s="22" t="str">
        <f aca="false">IFERROR(INDEX(Medidores!$B:$B,MATCH(B376,Medidores!$A:$A,0)),"")</f>
        <v>Estación celda 1</v>
      </c>
      <c r="J376" s="22" t="s">
        <v>107</v>
      </c>
    </row>
    <row r="377" customFormat="false" ht="15" hidden="false" customHeight="false" outlineLevel="0" collapsed="false">
      <c r="A377" s="21" t="n">
        <v>46303</v>
      </c>
      <c r="B377" s="22" t="s">
        <v>91</v>
      </c>
      <c r="C377" s="23" t="n">
        <v>0.583333333333333</v>
      </c>
      <c r="D377" s="24" t="n">
        <v>330403.813</v>
      </c>
      <c r="E377" s="24" t="n">
        <v>172708.656</v>
      </c>
      <c r="F377" s="24" t="n">
        <v>374222.156</v>
      </c>
      <c r="G377" s="22" t="n">
        <f aca="false">HOUR(C377)*60+MINUTE(C377)</f>
        <v>840</v>
      </c>
      <c r="H377" s="25" t="n">
        <f aca="false">IF(AND(B377=B376,A377=A376,D377&gt;0,N(D376)&gt;0,G377&gt;N(G376)),(D377-D376)/((G377-G376)/60),"")</f>
        <v>70.3760000001639</v>
      </c>
      <c r="I377" s="22" t="str">
        <f aca="false">IFERROR(INDEX(Medidores!$B:$B,MATCH(B377,Medidores!$A:$A,0)),"")</f>
        <v>Estación celda 1</v>
      </c>
      <c r="J377" s="22" t="s">
        <v>108</v>
      </c>
    </row>
    <row r="378" customFormat="false" ht="15" hidden="false" customHeight="false" outlineLevel="0" collapsed="false">
      <c r="A378" s="21" t="n">
        <v>46303</v>
      </c>
      <c r="B378" s="22" t="s">
        <v>91</v>
      </c>
      <c r="C378" s="23" t="n">
        <v>0.59375</v>
      </c>
      <c r="D378" s="24" t="n">
        <v>330424.281</v>
      </c>
      <c r="E378" s="24" t="n">
        <v>172718.953</v>
      </c>
      <c r="F378" s="24" t="n">
        <v>374245.094</v>
      </c>
      <c r="G378" s="22" t="n">
        <f aca="false">HOUR(C378)*60+MINUTE(C378)</f>
        <v>855</v>
      </c>
      <c r="H378" s="25" t="n">
        <f aca="false">IF(AND(B378=B377,A378=A377,D378&gt;0,N(D377)&gt;0,G378&gt;N(G377)),(D378-D377)/((G378-G377)/60),"")</f>
        <v>81.8719999999739</v>
      </c>
      <c r="I378" s="22" t="str">
        <f aca="false">IFERROR(INDEX(Medidores!$B:$B,MATCH(B378,Medidores!$A:$A,0)),"")</f>
        <v>Estación celda 1</v>
      </c>
      <c r="J378" s="22" t="s">
        <v>109</v>
      </c>
    </row>
    <row r="379" customFormat="false" ht="15" hidden="false" customHeight="false" outlineLevel="0" collapsed="false">
      <c r="A379" s="21" t="n">
        <v>46303</v>
      </c>
      <c r="B379" s="22" t="s">
        <v>91</v>
      </c>
      <c r="C379" s="23" t="n">
        <v>0.604166666666667</v>
      </c>
      <c r="D379" s="24" t="n">
        <v>330444.188</v>
      </c>
      <c r="E379" s="24" t="n">
        <v>172729.875</v>
      </c>
      <c r="F379" s="24" t="n">
        <v>374267.844</v>
      </c>
      <c r="G379" s="22" t="n">
        <f aca="false">HOUR(C379)*60+MINUTE(C379)</f>
        <v>870</v>
      </c>
      <c r="H379" s="25" t="n">
        <f aca="false">IF(AND(B379=B378,A379=A378,D379&gt;0,N(D378)&gt;0,G379&gt;N(G378)),(D379-D378)/((G379-G378)/60),"")</f>
        <v>79.6280000000261</v>
      </c>
      <c r="I379" s="22" t="str">
        <f aca="false">IFERROR(INDEX(Medidores!$B:$B,MATCH(B379,Medidores!$A:$A,0)),"")</f>
        <v>Estación celda 1</v>
      </c>
      <c r="J379" s="22" t="s">
        <v>110</v>
      </c>
    </row>
    <row r="380" customFormat="false" ht="15" hidden="false" customHeight="false" outlineLevel="0" collapsed="false">
      <c r="A380" s="21" t="n">
        <v>46303</v>
      </c>
      <c r="B380" s="22" t="s">
        <v>91</v>
      </c>
      <c r="C380" s="23" t="n">
        <v>0.614583333333333</v>
      </c>
      <c r="D380" s="24" t="n">
        <v>330461.438</v>
      </c>
      <c r="E380" s="24" t="n">
        <v>172737.625</v>
      </c>
      <c r="F380" s="24" t="n">
        <v>374286.75</v>
      </c>
      <c r="G380" s="22" t="n">
        <f aca="false">HOUR(C380)*60+MINUTE(C380)</f>
        <v>885</v>
      </c>
      <c r="H380" s="25" t="n">
        <f aca="false">IF(AND(B380=B379,A380=A379,D380&gt;0,N(D379)&gt;0,G380&gt;N(G379)),(D380-D379)/((G380-G379)/60),"")</f>
        <v>69</v>
      </c>
      <c r="I380" s="22" t="str">
        <f aca="false">IFERROR(INDEX(Medidores!$B:$B,MATCH(B380,Medidores!$A:$A,0)),"")</f>
        <v>Estación celda 1</v>
      </c>
      <c r="J380" s="22" t="s">
        <v>111</v>
      </c>
    </row>
    <row r="381" customFormat="false" ht="15" hidden="false" customHeight="false" outlineLevel="0" collapsed="false">
      <c r="A381" s="21" t="n">
        <v>46303</v>
      </c>
      <c r="B381" s="22" t="s">
        <v>91</v>
      </c>
      <c r="C381" s="23" t="n">
        <v>0.625</v>
      </c>
      <c r="D381" s="24" t="n">
        <v>330484.688</v>
      </c>
      <c r="E381" s="24" t="n">
        <v>172750.391</v>
      </c>
      <c r="F381" s="24" t="n">
        <v>374313.25</v>
      </c>
      <c r="G381" s="22" t="n">
        <f aca="false">HOUR(C381)*60+MINUTE(C381)</f>
        <v>900</v>
      </c>
      <c r="H381" s="25" t="n">
        <f aca="false">IF(AND(B381=B380,A381=A380,D381&gt;0,N(D380)&gt;0,G381&gt;N(G380)),(D381-D380)/((G381-G380)/60),"")</f>
        <v>93</v>
      </c>
      <c r="I381" s="22" t="str">
        <f aca="false">IFERROR(INDEX(Medidores!$B:$B,MATCH(B381,Medidores!$A:$A,0)),"")</f>
        <v>Estación celda 1</v>
      </c>
      <c r="J381" s="22" t="s">
        <v>132</v>
      </c>
    </row>
    <row r="382" customFormat="false" ht="15" hidden="false" customHeight="false" outlineLevel="0" collapsed="false">
      <c r="A382" s="21" t="n">
        <v>46304</v>
      </c>
      <c r="B382" s="22" t="s">
        <v>41</v>
      </c>
      <c r="C382" s="23" t="n">
        <v>0.385416666666667</v>
      </c>
      <c r="D382" s="24" t="n">
        <v>23434.707</v>
      </c>
      <c r="E382" s="24" t="n">
        <v>5934.66</v>
      </c>
      <c r="F382" s="24" t="n">
        <v>24382.352</v>
      </c>
      <c r="G382" s="22" t="n">
        <f aca="false">HOUR(C382)*60+MINUTE(C382)</f>
        <v>555</v>
      </c>
      <c r="H382" s="25" t="str">
        <f aca="false">IF(AND(B382=B381,A382=A381,D382&gt;0,N(D381)&gt;0,G382&gt;N(G381)),(D382-D381)/((G382-G381)/60),"")</f>
        <v/>
      </c>
      <c r="I382" s="22" t="str">
        <f aca="false">IFERROR(INDEX(Medidores!$B:$B,MATCH(B382,Medidores!$A:$A,0)),"")</f>
        <v>L22</v>
      </c>
      <c r="J382" s="22" t="s">
        <v>133</v>
      </c>
    </row>
    <row r="383" customFormat="false" ht="15" hidden="false" customHeight="false" outlineLevel="0" collapsed="false">
      <c r="A383" s="21" t="n">
        <v>46304</v>
      </c>
      <c r="B383" s="22" t="s">
        <v>41</v>
      </c>
      <c r="C383" s="23" t="n">
        <v>0.395833333333333</v>
      </c>
      <c r="D383" s="24" t="n">
        <v>23436.227</v>
      </c>
      <c r="E383" s="24" t="n">
        <v>5935.119</v>
      </c>
      <c r="F383" s="24" t="n">
        <v>24383.951</v>
      </c>
      <c r="G383" s="22" t="n">
        <f aca="false">HOUR(C383)*60+MINUTE(C383)</f>
        <v>570</v>
      </c>
      <c r="H383" s="25" t="n">
        <f aca="false">IF(AND(B383=B382,A383=A382,D383&gt;0,N(D382)&gt;0,G383&gt;N(G382)),(D383-D382)/((G383-G382)/60),"")</f>
        <v>6.08000000000175</v>
      </c>
      <c r="I383" s="22" t="str">
        <f aca="false">IFERROR(INDEX(Medidores!$B:$B,MATCH(B383,Medidores!$A:$A,0)),"")</f>
        <v>L22</v>
      </c>
      <c r="J383" s="22" t="s">
        <v>134</v>
      </c>
    </row>
    <row r="384" customFormat="false" ht="15" hidden="false" customHeight="false" outlineLevel="0" collapsed="false">
      <c r="A384" s="21" t="n">
        <v>46304</v>
      </c>
      <c r="B384" s="22" t="s">
        <v>41</v>
      </c>
      <c r="C384" s="23" t="n">
        <v>0.40625</v>
      </c>
      <c r="D384" s="24" t="n">
        <v>23437.754</v>
      </c>
      <c r="E384" s="24" t="n">
        <v>5935.558</v>
      </c>
      <c r="F384" s="24" t="n">
        <v>24385.553</v>
      </c>
      <c r="G384" s="22" t="n">
        <f aca="false">HOUR(C384)*60+MINUTE(C384)</f>
        <v>585</v>
      </c>
      <c r="H384" s="25" t="n">
        <f aca="false">IF(AND(B384=B383,A384=A383,D384&gt;0,N(D383)&gt;0,G384&gt;N(G383)),(D384-D383)/((G384-G383)/60),"")</f>
        <v>6.10800000000745</v>
      </c>
      <c r="I384" s="22" t="str">
        <f aca="false">IFERROR(INDEX(Medidores!$B:$B,MATCH(B384,Medidores!$A:$A,0)),"")</f>
        <v>L22</v>
      </c>
      <c r="J384" s="22" t="s">
        <v>135</v>
      </c>
    </row>
    <row r="385" customFormat="false" ht="15" hidden="false" customHeight="false" outlineLevel="0" collapsed="false">
      <c r="A385" s="21" t="n">
        <v>46304</v>
      </c>
      <c r="B385" s="22" t="s">
        <v>41</v>
      </c>
      <c r="C385" s="23" t="n">
        <v>0.416666666666667</v>
      </c>
      <c r="D385" s="24" t="n">
        <v>23439.352</v>
      </c>
      <c r="E385" s="24" t="n">
        <v>5936.066</v>
      </c>
      <c r="F385" s="24" t="n">
        <v>24387.248</v>
      </c>
      <c r="G385" s="22" t="n">
        <f aca="false">HOUR(C385)*60+MINUTE(C385)</f>
        <v>600</v>
      </c>
      <c r="H385" s="25" t="n">
        <f aca="false">IF(AND(B385=B384,A385=A384,D385&gt;0,N(D384)&gt;0,G385&gt;N(G384)),(D385-D384)/((G385-G384)/60),"")</f>
        <v>6.39199999999255</v>
      </c>
      <c r="I385" s="22" t="str">
        <f aca="false">IFERROR(INDEX(Medidores!$B:$B,MATCH(B385,Medidores!$A:$A,0)),"")</f>
        <v>L22</v>
      </c>
      <c r="J385" s="22" t="s">
        <v>136</v>
      </c>
    </row>
    <row r="386" customFormat="false" ht="15" hidden="false" customHeight="false" outlineLevel="0" collapsed="false">
      <c r="A386" s="21" t="n">
        <v>46304</v>
      </c>
      <c r="B386" s="22" t="s">
        <v>41</v>
      </c>
      <c r="C386" s="23" t="n">
        <v>0.427083333333333</v>
      </c>
      <c r="D386" s="24" t="n">
        <v>23440.943</v>
      </c>
      <c r="E386" s="24" t="n">
        <v>5936.549</v>
      </c>
      <c r="F386" s="24" t="n">
        <v>24388.926</v>
      </c>
      <c r="G386" s="22" t="n">
        <f aca="false">HOUR(C386)*60+MINUTE(C386)</f>
        <v>615</v>
      </c>
      <c r="H386" s="25" t="n">
        <f aca="false">IF(AND(B386=B385,A386=A385,D386&gt;0,N(D385)&gt;0,G386&gt;N(G385)),(D386-D385)/((G386-G385)/60),"")</f>
        <v>6.3640000000014</v>
      </c>
      <c r="I386" s="22" t="str">
        <f aca="false">IFERROR(INDEX(Medidores!$B:$B,MATCH(B386,Medidores!$A:$A,0)),"")</f>
        <v>L22</v>
      </c>
      <c r="J386" s="22" t="s">
        <v>137</v>
      </c>
    </row>
    <row r="387" customFormat="false" ht="15" hidden="false" customHeight="false" outlineLevel="0" collapsed="false">
      <c r="A387" s="21" t="n">
        <v>46304</v>
      </c>
      <c r="B387" s="22" t="s">
        <v>41</v>
      </c>
      <c r="C387" s="23" t="n">
        <v>0.4375</v>
      </c>
      <c r="D387" s="24" t="n">
        <v>23442.531</v>
      </c>
      <c r="E387" s="24" t="n">
        <v>5937.019</v>
      </c>
      <c r="F387" s="24" t="n">
        <v>24390.596</v>
      </c>
      <c r="G387" s="22" t="n">
        <f aca="false">HOUR(C387)*60+MINUTE(C387)</f>
        <v>630</v>
      </c>
      <c r="H387" s="25" t="n">
        <f aca="false">IF(AND(B387=B386,A387=A386,D387&gt;0,N(D386)&gt;0,G387&gt;N(G386)),(D387-D386)/((G387-G386)/60),"")</f>
        <v>6.35199999999895</v>
      </c>
      <c r="I387" s="22" t="str">
        <f aca="false">IFERROR(INDEX(Medidores!$B:$B,MATCH(B387,Medidores!$A:$A,0)),"")</f>
        <v>L22</v>
      </c>
      <c r="J387" s="22" t="s">
        <v>138</v>
      </c>
    </row>
    <row r="388" customFormat="false" ht="15" hidden="false" customHeight="false" outlineLevel="0" collapsed="false">
      <c r="A388" s="21" t="n">
        <v>46304</v>
      </c>
      <c r="B388" s="22" t="s">
        <v>41</v>
      </c>
      <c r="C388" s="23" t="n">
        <v>0.447916666666667</v>
      </c>
      <c r="D388" s="24" t="n">
        <v>23443.748</v>
      </c>
      <c r="E388" s="24" t="n">
        <v>5937.36</v>
      </c>
      <c r="F388" s="24" t="n">
        <v>24391.871</v>
      </c>
      <c r="G388" s="22" t="n">
        <f aca="false">HOUR(C388)*60+MINUTE(C388)</f>
        <v>645</v>
      </c>
      <c r="H388" s="25" t="n">
        <f aca="false">IF(AND(B388=B387,A388=A387,D388&gt;0,N(D387)&gt;0,G388&gt;N(G387)),(D388-D387)/((G388-G387)/60),"")</f>
        <v>4.86800000000221</v>
      </c>
      <c r="I388" s="22" t="str">
        <f aca="false">IFERROR(INDEX(Medidores!$B:$B,MATCH(B388,Medidores!$A:$A,0)),"")</f>
        <v>L22</v>
      </c>
      <c r="J388" s="22" t="s">
        <v>139</v>
      </c>
    </row>
    <row r="389" customFormat="false" ht="15" hidden="false" customHeight="false" outlineLevel="0" collapsed="false">
      <c r="A389" s="21" t="n">
        <v>46304</v>
      </c>
      <c r="B389" s="22" t="s">
        <v>41</v>
      </c>
      <c r="C389" s="23" t="n">
        <v>0.458333333333333</v>
      </c>
      <c r="D389" s="24" t="n">
        <v>23444.504</v>
      </c>
      <c r="E389" s="24" t="n">
        <v>5937.48</v>
      </c>
      <c r="F389" s="24" t="n">
        <v>24392.639</v>
      </c>
      <c r="G389" s="22" t="n">
        <f aca="false">HOUR(C389)*60+MINUTE(C389)</f>
        <v>660</v>
      </c>
      <c r="H389" s="25" t="n">
        <f aca="false">IF(AND(B389=B388,A389=A388,D389&gt;0,N(D388)&gt;0,G389&gt;N(G388)),(D389-D388)/((G389-G388)/60),"")</f>
        <v>3.02400000000489</v>
      </c>
      <c r="I389" s="22" t="str">
        <f aca="false">IFERROR(INDEX(Medidores!$B:$B,MATCH(B389,Medidores!$A:$A,0)),"")</f>
        <v>L22</v>
      </c>
      <c r="J389" s="22" t="s">
        <v>140</v>
      </c>
    </row>
    <row r="390" customFormat="false" ht="15" hidden="false" customHeight="false" outlineLevel="0" collapsed="false">
      <c r="A390" s="21" t="n">
        <v>46304</v>
      </c>
      <c r="B390" s="22" t="s">
        <v>41</v>
      </c>
      <c r="C390" s="23" t="n">
        <v>0.46875</v>
      </c>
      <c r="D390" s="24" t="n">
        <v>23445.773</v>
      </c>
      <c r="E390" s="24" t="n">
        <v>5937.837</v>
      </c>
      <c r="F390" s="24" t="n">
        <v>24393.989</v>
      </c>
      <c r="G390" s="22" t="n">
        <f aca="false">HOUR(C390)*60+MINUTE(C390)</f>
        <v>675</v>
      </c>
      <c r="H390" s="25" t="n">
        <f aca="false">IF(AND(B390=B389,A390=A389,D390&gt;0,N(D389)&gt;0,G390&gt;N(G389)),(D390-D389)/((G390-G389)/60),"")</f>
        <v>5.07600000000093</v>
      </c>
      <c r="I390" s="22" t="str">
        <f aca="false">IFERROR(INDEX(Medidores!$B:$B,MATCH(B390,Medidores!$A:$A,0)),"")</f>
        <v>L22</v>
      </c>
      <c r="J390" s="22" t="s">
        <v>141</v>
      </c>
    </row>
    <row r="391" customFormat="false" ht="15" hidden="false" customHeight="false" outlineLevel="0" collapsed="false">
      <c r="A391" s="21" t="n">
        <v>46304</v>
      </c>
      <c r="B391" s="22" t="s">
        <v>41</v>
      </c>
      <c r="C391" s="23" t="n">
        <v>0.479166666666667</v>
      </c>
      <c r="D391" s="24" t="n">
        <v>23447.324</v>
      </c>
      <c r="E391" s="24" t="n">
        <v>5938.306</v>
      </c>
      <c r="F391" s="24" t="n">
        <v>24395.604</v>
      </c>
      <c r="G391" s="22" t="n">
        <f aca="false">HOUR(C391)*60+MINUTE(C391)</f>
        <v>690</v>
      </c>
      <c r="H391" s="25" t="n">
        <f aca="false">IF(AND(B391=B390,A391=A390,D391&gt;0,N(D390)&gt;0,G391&gt;N(G390)),(D391-D390)/((G391-G390)/60),"")</f>
        <v>6.2039999999979</v>
      </c>
      <c r="I391" s="22" t="str">
        <f aca="false">IFERROR(INDEX(Medidores!$B:$B,MATCH(B391,Medidores!$A:$A,0)),"")</f>
        <v>L22</v>
      </c>
      <c r="J391" s="22" t="s">
        <v>142</v>
      </c>
    </row>
    <row r="392" customFormat="false" ht="15" hidden="false" customHeight="false" outlineLevel="0" collapsed="false">
      <c r="A392" s="21" t="n">
        <v>46304</v>
      </c>
      <c r="B392" s="22" t="s">
        <v>41</v>
      </c>
      <c r="C392" s="23" t="n">
        <v>0.489583333333333</v>
      </c>
      <c r="D392" s="24" t="n">
        <v>23448.832</v>
      </c>
      <c r="E392" s="24" t="n">
        <v>5938.744</v>
      </c>
      <c r="F392" s="24" t="n">
        <v>24397.188</v>
      </c>
      <c r="G392" s="22" t="n">
        <f aca="false">HOUR(C392)*60+MINUTE(C392)</f>
        <v>705</v>
      </c>
      <c r="H392" s="25" t="n">
        <f aca="false">IF(AND(B392=B391,A392=A391,D392&gt;0,N(D391)&gt;0,G392&gt;N(G391)),(D392-D391)/((G392-G391)/60),"")</f>
        <v>6.03199999999197</v>
      </c>
      <c r="I392" s="22" t="str">
        <f aca="false">IFERROR(INDEX(Medidores!$B:$B,MATCH(B392,Medidores!$A:$A,0)),"")</f>
        <v>L22</v>
      </c>
      <c r="J392" s="22" t="s">
        <v>143</v>
      </c>
    </row>
    <row r="393" customFormat="false" ht="15" hidden="false" customHeight="false" outlineLevel="0" collapsed="false">
      <c r="A393" s="21" t="n">
        <v>46304</v>
      </c>
      <c r="B393" s="22" t="s">
        <v>41</v>
      </c>
      <c r="C393" s="23" t="n">
        <v>0.5</v>
      </c>
      <c r="D393" s="24" t="n">
        <v>23450.42</v>
      </c>
      <c r="E393" s="24" t="n">
        <v>5939.2</v>
      </c>
      <c r="F393" s="24" t="n">
        <v>24398.852</v>
      </c>
      <c r="G393" s="22" t="n">
        <f aca="false">HOUR(C393)*60+MINUTE(C393)</f>
        <v>720</v>
      </c>
      <c r="H393" s="25" t="n">
        <f aca="false">IF(AND(B393=B392,A393=A392,D393&gt;0,N(D392)&gt;0,G393&gt;N(G392)),(D393-D392)/((G393-G392)/60),"")</f>
        <v>6.35199999999895</v>
      </c>
      <c r="I393" s="22" t="str">
        <f aca="false">IFERROR(INDEX(Medidores!$B:$B,MATCH(B393,Medidores!$A:$A,0)),"")</f>
        <v>L22</v>
      </c>
      <c r="J393" s="22" t="s">
        <v>144</v>
      </c>
    </row>
    <row r="394" customFormat="false" ht="15" hidden="false" customHeight="false" outlineLevel="0" collapsed="false">
      <c r="A394" s="21" t="n">
        <v>46304</v>
      </c>
      <c r="B394" s="22" t="s">
        <v>41</v>
      </c>
      <c r="C394" s="23" t="n">
        <v>0.510416666666667</v>
      </c>
      <c r="D394" s="24" t="n">
        <v>23451.69</v>
      </c>
      <c r="E394" s="24" t="n">
        <v>5939.544</v>
      </c>
      <c r="F394" s="24" t="n">
        <v>24400.182</v>
      </c>
      <c r="G394" s="22" t="n">
        <f aca="false">HOUR(C394)*60+MINUTE(C394)</f>
        <v>735</v>
      </c>
      <c r="H394" s="25" t="n">
        <f aca="false">IF(AND(B394=B393,A394=A393,D394&gt;0,N(D393)&gt;0,G394&gt;N(G393)),(D394-D393)/((G394-G393)/60),"")</f>
        <v>5.08000000000175</v>
      </c>
      <c r="I394" s="22" t="str">
        <f aca="false">IFERROR(INDEX(Medidores!$B:$B,MATCH(B394,Medidores!$A:$A,0)),"")</f>
        <v>L22</v>
      </c>
      <c r="J394" s="22" t="s">
        <v>145</v>
      </c>
    </row>
    <row r="395" customFormat="false" ht="15" hidden="false" customHeight="false" outlineLevel="0" collapsed="false">
      <c r="A395" s="21" t="n">
        <v>46304</v>
      </c>
      <c r="B395" s="22" t="s">
        <v>41</v>
      </c>
      <c r="C395" s="23" t="n">
        <v>0.520833333333333</v>
      </c>
      <c r="D395" s="24" t="n">
        <v>23452.754</v>
      </c>
      <c r="E395" s="24" t="n">
        <v>5939.766</v>
      </c>
      <c r="F395" s="24" t="n">
        <v>24401.275</v>
      </c>
      <c r="G395" s="22" t="n">
        <f aca="false">HOUR(C395)*60+MINUTE(C395)</f>
        <v>750</v>
      </c>
      <c r="H395" s="25" t="n">
        <f aca="false">IF(AND(B395=B394,A395=A394,D395&gt;0,N(D394)&gt;0,G395&gt;N(G394)),(D395-D394)/((G395-G394)/60),"")</f>
        <v>4.2560000000085</v>
      </c>
      <c r="I395" s="22" t="str">
        <f aca="false">IFERROR(INDEX(Medidores!$B:$B,MATCH(B395,Medidores!$A:$A,0)),"")</f>
        <v>L22</v>
      </c>
      <c r="J395" s="22" t="s">
        <v>146</v>
      </c>
    </row>
    <row r="396" customFormat="false" ht="15" hidden="false" customHeight="false" outlineLevel="0" collapsed="false">
      <c r="A396" s="21" t="n">
        <v>46304</v>
      </c>
      <c r="B396" s="22" t="s">
        <v>41</v>
      </c>
      <c r="C396" s="23" t="n">
        <v>0.53125</v>
      </c>
      <c r="D396" s="24" t="n">
        <v>23454.43</v>
      </c>
      <c r="E396" s="24" t="n">
        <v>5940.268</v>
      </c>
      <c r="F396" s="24" t="n">
        <v>24403.039</v>
      </c>
      <c r="G396" s="22" t="n">
        <f aca="false">HOUR(C396)*60+MINUTE(C396)</f>
        <v>765</v>
      </c>
      <c r="H396" s="25" t="n">
        <f aca="false">IF(AND(B396=B395,A396=A395,D396&gt;0,N(D395)&gt;0,G396&gt;N(G395)),(D396-D395)/((G396-G395)/60),"")</f>
        <v>6.7039999999979</v>
      </c>
      <c r="I396" s="22" t="str">
        <f aca="false">IFERROR(INDEX(Medidores!$B:$B,MATCH(B396,Medidores!$A:$A,0)),"")</f>
        <v>L22</v>
      </c>
      <c r="J396" s="22" t="s">
        <v>147</v>
      </c>
    </row>
    <row r="397" customFormat="false" ht="15" hidden="false" customHeight="false" outlineLevel="0" collapsed="false">
      <c r="A397" s="21" t="n">
        <v>46304</v>
      </c>
      <c r="B397" s="22" t="s">
        <v>41</v>
      </c>
      <c r="C397" s="23" t="n">
        <v>0.541666666666667</v>
      </c>
      <c r="D397" s="24" t="n">
        <v>23455.846</v>
      </c>
      <c r="E397" s="24" t="n">
        <v>5940.658</v>
      </c>
      <c r="F397" s="24" t="n">
        <v>24404.521</v>
      </c>
      <c r="G397" s="22" t="n">
        <f aca="false">HOUR(C397)*60+MINUTE(C397)</f>
        <v>780</v>
      </c>
      <c r="H397" s="25" t="n">
        <f aca="false">IF(AND(B397=B396,A397=A396,D397&gt;0,N(D396)&gt;0,G397&gt;N(G396)),(D397-D396)/((G397-G396)/60),"")</f>
        <v>5.66400000000431</v>
      </c>
      <c r="I397" s="22" t="str">
        <f aca="false">IFERROR(INDEX(Medidores!$B:$B,MATCH(B397,Medidores!$A:$A,0)),"")</f>
        <v>L22</v>
      </c>
      <c r="J397" s="22" t="s">
        <v>148</v>
      </c>
    </row>
    <row r="398" customFormat="false" ht="15" hidden="false" customHeight="false" outlineLevel="0" collapsed="false">
      <c r="A398" s="21" t="n">
        <v>46304</v>
      </c>
      <c r="B398" s="22" t="s">
        <v>41</v>
      </c>
      <c r="C398" s="23" t="n">
        <v>0.552083333333333</v>
      </c>
      <c r="D398" s="24" t="n">
        <v>23457.393</v>
      </c>
      <c r="E398" s="24" t="n">
        <v>5941.118</v>
      </c>
      <c r="F398" s="24" t="n">
        <v>24406.148</v>
      </c>
      <c r="G398" s="22" t="n">
        <f aca="false">HOUR(C398)*60+MINUTE(C398)</f>
        <v>795</v>
      </c>
      <c r="H398" s="25" t="n">
        <f aca="false">IF(AND(B398=B397,A398=A397,D398&gt;0,N(D397)&gt;0,G398&gt;N(G397)),(D398-D397)/((G398-G397)/60),"")</f>
        <v>6.18799999999465</v>
      </c>
      <c r="I398" s="22" t="str">
        <f aca="false">IFERROR(INDEX(Medidores!$B:$B,MATCH(B398,Medidores!$A:$A,0)),"")</f>
        <v>L22</v>
      </c>
      <c r="J398" s="22" t="s">
        <v>149</v>
      </c>
    </row>
    <row r="399" customFormat="false" ht="15" hidden="false" customHeight="false" outlineLevel="0" collapsed="false">
      <c r="A399" s="21" t="n">
        <v>46304</v>
      </c>
      <c r="B399" s="22" t="s">
        <v>41</v>
      </c>
      <c r="C399" s="23" t="n">
        <v>0.5625</v>
      </c>
      <c r="D399" s="24" t="n">
        <v>23459.08</v>
      </c>
      <c r="E399" s="24" t="n">
        <v>5941.617</v>
      </c>
      <c r="F399" s="24" t="n">
        <v>24407.922</v>
      </c>
      <c r="G399" s="22" t="n">
        <f aca="false">HOUR(C399)*60+MINUTE(C399)</f>
        <v>810</v>
      </c>
      <c r="H399" s="25" t="n">
        <f aca="false">IF(AND(B399=B398,A399=A398,D399&gt;0,N(D398)&gt;0,G399&gt;N(G398)),(D399-D398)/((G399-G398)/60),"")</f>
        <v>6.74800000000687</v>
      </c>
      <c r="I399" s="22" t="str">
        <f aca="false">IFERROR(INDEX(Medidores!$B:$B,MATCH(B399,Medidores!$A:$A,0)),"")</f>
        <v>L22</v>
      </c>
      <c r="J399" s="22" t="s">
        <v>150</v>
      </c>
    </row>
    <row r="400" customFormat="false" ht="15" hidden="false" customHeight="false" outlineLevel="0" collapsed="false">
      <c r="A400" s="21" t="n">
        <v>46304</v>
      </c>
      <c r="B400" s="22" t="s">
        <v>41</v>
      </c>
      <c r="C400" s="23" t="n">
        <v>0.572916666666667</v>
      </c>
      <c r="D400" s="24" t="n">
        <v>23460.771</v>
      </c>
      <c r="E400" s="24" t="n">
        <v>5942.112</v>
      </c>
      <c r="F400" s="24" t="n">
        <v>24409.699</v>
      </c>
      <c r="G400" s="22" t="n">
        <f aca="false">HOUR(C400)*60+MINUTE(C400)</f>
        <v>825</v>
      </c>
      <c r="H400" s="25" t="n">
        <f aca="false">IF(AND(B400=B399,A400=A399,D400&gt;0,N(D399)&gt;0,G400&gt;N(G399)),(D400-D399)/((G400-G399)/60),"")</f>
        <v>6.76399999999558</v>
      </c>
      <c r="I400" s="22" t="str">
        <f aca="false">IFERROR(INDEX(Medidores!$B:$B,MATCH(B400,Medidores!$A:$A,0)),"")</f>
        <v>L22</v>
      </c>
      <c r="J400" s="22" t="s">
        <v>151</v>
      </c>
    </row>
    <row r="401" customFormat="false" ht="15" hidden="false" customHeight="false" outlineLevel="0" collapsed="false">
      <c r="A401" s="21" t="n">
        <v>46304</v>
      </c>
      <c r="B401" s="22" t="s">
        <v>41</v>
      </c>
      <c r="C401" s="23" t="n">
        <v>0.583333333333333</v>
      </c>
      <c r="D401" s="24" t="n">
        <v>23462.465</v>
      </c>
      <c r="E401" s="24" t="n">
        <v>5942.667</v>
      </c>
      <c r="F401" s="24" t="n">
        <v>24411.496</v>
      </c>
      <c r="G401" s="22" t="n">
        <f aca="false">HOUR(C401)*60+MINUTE(C401)</f>
        <v>840</v>
      </c>
      <c r="H401" s="25" t="n">
        <f aca="false">IF(AND(B401=B400,A401=A400,D401&gt;0,N(D400)&gt;0,G401&gt;N(G400)),(D401-D400)/((G401-G400)/60),"")</f>
        <v>6.77599999999802</v>
      </c>
      <c r="I401" s="22" t="str">
        <f aca="false">IFERROR(INDEX(Medidores!$B:$B,MATCH(B401,Medidores!$A:$A,0)),"")</f>
        <v>L22</v>
      </c>
      <c r="J401" s="22" t="s">
        <v>152</v>
      </c>
    </row>
    <row r="402" customFormat="false" ht="15" hidden="false" customHeight="false" outlineLevel="0" collapsed="false">
      <c r="A402" s="21" t="n">
        <v>46304</v>
      </c>
      <c r="B402" s="22" t="s">
        <v>62</v>
      </c>
      <c r="C402" s="23" t="n">
        <v>0.375</v>
      </c>
      <c r="D402" s="24" t="n">
        <v>8763.879</v>
      </c>
      <c r="E402" s="24" t="n">
        <v>5330.691</v>
      </c>
      <c r="F402" s="24" t="n">
        <v>11623.026</v>
      </c>
      <c r="G402" s="22" t="n">
        <f aca="false">HOUR(C402)*60+MINUTE(C402)</f>
        <v>540</v>
      </c>
      <c r="H402" s="25" t="str">
        <f aca="false">IF(AND(B402=B401,A402=A401,D402&gt;0,N(D401)&gt;0,G402&gt;N(G401)),(D402-D401)/((G402-G401)/60),"")</f>
        <v/>
      </c>
      <c r="I402" s="22" t="str">
        <f aca="false">IFERROR(INDEX(Medidores!$B:$B,MATCH(B402,Medidores!$A:$A,0)),"")</f>
        <v>L50</v>
      </c>
      <c r="J402" s="22" t="s">
        <v>153</v>
      </c>
    </row>
    <row r="403" customFormat="false" ht="15" hidden="false" customHeight="false" outlineLevel="0" collapsed="false">
      <c r="A403" s="21" t="n">
        <v>46304</v>
      </c>
      <c r="B403" s="22" t="s">
        <v>62</v>
      </c>
      <c r="C403" s="23" t="n">
        <v>0.385416666666667</v>
      </c>
      <c r="D403" s="24" t="n">
        <v>8764.035</v>
      </c>
      <c r="E403" s="24" t="n">
        <v>5330.691</v>
      </c>
      <c r="F403" s="24" t="n">
        <v>11623.19</v>
      </c>
      <c r="G403" s="22" t="n">
        <f aca="false">HOUR(C403)*60+MINUTE(C403)</f>
        <v>555</v>
      </c>
      <c r="H403" s="25" t="n">
        <f aca="false">IF(AND(B403=B402,A403=A402,D403&gt;0,N(D402)&gt;0,G403&gt;N(G402)),(D403-D402)/((G403-G402)/60),"")</f>
        <v>0.623999999996158</v>
      </c>
      <c r="I403" s="22" t="str">
        <f aca="false">IFERROR(INDEX(Medidores!$B:$B,MATCH(B403,Medidores!$A:$A,0)),"")</f>
        <v>L50</v>
      </c>
      <c r="J403" s="22" t="s">
        <v>154</v>
      </c>
    </row>
    <row r="404" customFormat="false" ht="15" hidden="false" customHeight="false" outlineLevel="0" collapsed="false">
      <c r="A404" s="21" t="n">
        <v>46304</v>
      </c>
      <c r="B404" s="22" t="s">
        <v>62</v>
      </c>
      <c r="C404" s="23" t="n">
        <v>0.395833333333333</v>
      </c>
      <c r="D404" s="24" t="n">
        <v>8764.191</v>
      </c>
      <c r="E404" s="24" t="n">
        <v>5330.691</v>
      </c>
      <c r="F404" s="24" t="n">
        <v>11623.351</v>
      </c>
      <c r="G404" s="22" t="n">
        <f aca="false">HOUR(C404)*60+MINUTE(C404)</f>
        <v>570</v>
      </c>
      <c r="H404" s="25" t="n">
        <f aca="false">IF(AND(B404=B403,A404=A403,D404&gt;0,N(D403)&gt;0,G404&gt;N(G403)),(D404-D403)/((G404-G403)/60),"")</f>
        <v>0.624000000003434</v>
      </c>
      <c r="I404" s="22" t="str">
        <f aca="false">IFERROR(INDEX(Medidores!$B:$B,MATCH(B404,Medidores!$A:$A,0)),"")</f>
        <v>L50</v>
      </c>
      <c r="J404" s="22" t="s">
        <v>155</v>
      </c>
    </row>
    <row r="405" customFormat="false" ht="15" hidden="false" customHeight="false" outlineLevel="0" collapsed="false">
      <c r="A405" s="21" t="n">
        <v>46304</v>
      </c>
      <c r="B405" s="22" t="s">
        <v>62</v>
      </c>
      <c r="C405" s="23" t="n">
        <v>0.40625</v>
      </c>
      <c r="D405" s="24" t="n">
        <v>8764.347</v>
      </c>
      <c r="E405" s="24" t="n">
        <v>5330.691</v>
      </c>
      <c r="F405" s="24" t="n">
        <v>11623.514</v>
      </c>
      <c r="G405" s="22" t="n">
        <f aca="false">HOUR(C405)*60+MINUTE(C405)</f>
        <v>585</v>
      </c>
      <c r="H405" s="25" t="n">
        <f aca="false">IF(AND(B405=B404,A405=A404,D405&gt;0,N(D404)&gt;0,G405&gt;N(G404)),(D405-D404)/((G405-G404)/60),"")</f>
        <v>0.623999999996158</v>
      </c>
      <c r="I405" s="22" t="str">
        <f aca="false">IFERROR(INDEX(Medidores!$B:$B,MATCH(B405,Medidores!$A:$A,0)),"")</f>
        <v>L50</v>
      </c>
      <c r="J405" s="22" t="s">
        <v>156</v>
      </c>
    </row>
    <row r="406" customFormat="false" ht="15" hidden="false" customHeight="false" outlineLevel="0" collapsed="false">
      <c r="A406" s="21" t="n">
        <v>46304</v>
      </c>
      <c r="B406" s="22" t="s">
        <v>62</v>
      </c>
      <c r="C406" s="23" t="n">
        <v>0.416666666666667</v>
      </c>
      <c r="D406" s="24" t="n">
        <v>8764.503</v>
      </c>
      <c r="E406" s="24" t="n">
        <v>5330.691</v>
      </c>
      <c r="F406" s="24" t="n">
        <v>11623.676</v>
      </c>
      <c r="G406" s="22" t="n">
        <f aca="false">HOUR(C406)*60+MINUTE(C406)</f>
        <v>600</v>
      </c>
      <c r="H406" s="25" t="n">
        <f aca="false">IF(AND(B406=B405,A406=A405,D406&gt;0,N(D405)&gt;0,G406&gt;N(G405)),(D406-D405)/((G406-G405)/60),"")</f>
        <v>0.624000000003434</v>
      </c>
      <c r="I406" s="22" t="str">
        <f aca="false">IFERROR(INDEX(Medidores!$B:$B,MATCH(B406,Medidores!$A:$A,0)),"")</f>
        <v>L50</v>
      </c>
      <c r="J406" s="22" t="s">
        <v>157</v>
      </c>
    </row>
    <row r="407" customFormat="false" ht="15" hidden="false" customHeight="false" outlineLevel="0" collapsed="false">
      <c r="A407" s="21" t="n">
        <v>46304</v>
      </c>
      <c r="B407" s="22" t="s">
        <v>62</v>
      </c>
      <c r="C407" s="23" t="n">
        <v>0.427083333333333</v>
      </c>
      <c r="D407" s="24" t="n">
        <v>8764.659</v>
      </c>
      <c r="E407" s="24" t="n">
        <v>5330.691</v>
      </c>
      <c r="F407" s="24" t="n">
        <v>11623.838</v>
      </c>
      <c r="G407" s="22" t="n">
        <f aca="false">HOUR(C407)*60+MINUTE(C407)</f>
        <v>615</v>
      </c>
      <c r="H407" s="25" t="n">
        <f aca="false">IF(AND(B407=B406,A407=A406,D407&gt;0,N(D406)&gt;0,G407&gt;N(G406)),(D407-D406)/((G407-G406)/60),"")</f>
        <v>0.623999999996158</v>
      </c>
      <c r="I407" s="22" t="str">
        <f aca="false">IFERROR(INDEX(Medidores!$B:$B,MATCH(B407,Medidores!$A:$A,0)),"")</f>
        <v>L50</v>
      </c>
      <c r="J407" s="22" t="s">
        <v>158</v>
      </c>
    </row>
    <row r="408" customFormat="false" ht="15" hidden="false" customHeight="false" outlineLevel="0" collapsed="false">
      <c r="A408" s="21" t="n">
        <v>46304</v>
      </c>
      <c r="B408" s="22" t="s">
        <v>62</v>
      </c>
      <c r="C408" s="23" t="n">
        <v>0.4375</v>
      </c>
      <c r="D408" s="24" t="n">
        <v>8764.815</v>
      </c>
      <c r="E408" s="24" t="n">
        <v>5330.691</v>
      </c>
      <c r="F408" s="24" t="n">
        <v>11624</v>
      </c>
      <c r="G408" s="22" t="n">
        <f aca="false">HOUR(C408)*60+MINUTE(C408)</f>
        <v>630</v>
      </c>
      <c r="H408" s="25" t="n">
        <f aca="false">IF(AND(B408=B407,A408=A407,D408&gt;0,N(D407)&gt;0,G408&gt;N(G407)),(D408-D407)/((G408-G407)/60),"")</f>
        <v>0.624000000003434</v>
      </c>
      <c r="I408" s="22" t="str">
        <f aca="false">IFERROR(INDEX(Medidores!$B:$B,MATCH(B408,Medidores!$A:$A,0)),"")</f>
        <v>L50</v>
      </c>
      <c r="J408" s="22" t="s">
        <v>159</v>
      </c>
    </row>
    <row r="409" customFormat="false" ht="15" hidden="false" customHeight="false" outlineLevel="0" collapsed="false">
      <c r="A409" s="21" t="n">
        <v>46304</v>
      </c>
      <c r="B409" s="22" t="s">
        <v>62</v>
      </c>
      <c r="C409" s="23" t="n">
        <v>0.447916666666667</v>
      </c>
      <c r="D409" s="24" t="n">
        <v>8764.972</v>
      </c>
      <c r="E409" s="24" t="n">
        <v>5330.691</v>
      </c>
      <c r="F409" s="24" t="n">
        <v>11624.162</v>
      </c>
      <c r="G409" s="22" t="n">
        <f aca="false">HOUR(C409)*60+MINUTE(C409)</f>
        <v>645</v>
      </c>
      <c r="H409" s="25" t="n">
        <f aca="false">IF(AND(B409=B408,A409=A408,D409&gt;0,N(D408)&gt;0,G409&gt;N(G408)),(D409-D408)/((G409-G408)/60),"")</f>
        <v>0.627999999996973</v>
      </c>
      <c r="I409" s="22" t="str">
        <f aca="false">IFERROR(INDEX(Medidores!$B:$B,MATCH(B409,Medidores!$A:$A,0)),"")</f>
        <v>L50</v>
      </c>
      <c r="J409" s="22" t="s">
        <v>160</v>
      </c>
    </row>
    <row r="410" customFormat="false" ht="15" hidden="false" customHeight="false" outlineLevel="0" collapsed="false">
      <c r="A410" s="21" t="n">
        <v>46304</v>
      </c>
      <c r="B410" s="22" t="s">
        <v>62</v>
      </c>
      <c r="C410" s="23" t="n">
        <v>0.458333333333333</v>
      </c>
      <c r="D410" s="24" t="n">
        <v>8765.128</v>
      </c>
      <c r="E410" s="24" t="n">
        <v>5330.691</v>
      </c>
      <c r="F410" s="24" t="n">
        <v>11624.324</v>
      </c>
      <c r="G410" s="22" t="n">
        <f aca="false">HOUR(C410)*60+MINUTE(C410)</f>
        <v>660</v>
      </c>
      <c r="H410" s="25" t="n">
        <f aca="false">IF(AND(B410=B409,A410=A409,D410&gt;0,N(D409)&gt;0,G410&gt;N(G409)),(D410-D409)/((G410-G409)/60),"")</f>
        <v>0.624000000003434</v>
      </c>
      <c r="I410" s="22" t="str">
        <f aca="false">IFERROR(INDEX(Medidores!$B:$B,MATCH(B410,Medidores!$A:$A,0)),"")</f>
        <v>L50</v>
      </c>
      <c r="J410" s="22" t="s">
        <v>161</v>
      </c>
    </row>
    <row r="411" customFormat="false" ht="15" hidden="false" customHeight="false" outlineLevel="0" collapsed="false">
      <c r="A411" s="21" t="n">
        <v>46304</v>
      </c>
      <c r="B411" s="22" t="s">
        <v>62</v>
      </c>
      <c r="C411" s="23" t="n">
        <v>0.46875</v>
      </c>
      <c r="D411" s="24" t="n">
        <v>8765.284</v>
      </c>
      <c r="E411" s="24" t="n">
        <v>5330.691</v>
      </c>
      <c r="F411" s="24" t="n">
        <v>11624.487</v>
      </c>
      <c r="G411" s="22" t="n">
        <f aca="false">HOUR(C411)*60+MINUTE(C411)</f>
        <v>675</v>
      </c>
      <c r="H411" s="25" t="n">
        <f aca="false">IF(AND(B411=B410,A411=A410,D411&gt;0,N(D410)&gt;0,G411&gt;N(G410)),(D411-D410)/((G411-G410)/60),"")</f>
        <v>0.623999999996158</v>
      </c>
      <c r="I411" s="22" t="str">
        <f aca="false">IFERROR(INDEX(Medidores!$B:$B,MATCH(B411,Medidores!$A:$A,0)),"")</f>
        <v>L50</v>
      </c>
      <c r="J411" s="22" t="s">
        <v>162</v>
      </c>
    </row>
    <row r="412" customFormat="false" ht="15" hidden="false" customHeight="false" outlineLevel="0" collapsed="false">
      <c r="A412" s="21" t="n">
        <v>46304</v>
      </c>
      <c r="B412" s="22" t="s">
        <v>62</v>
      </c>
      <c r="C412" s="23" t="n">
        <v>0.479166666666667</v>
      </c>
      <c r="D412" s="24" t="n">
        <v>8765.44</v>
      </c>
      <c r="E412" s="24" t="n">
        <v>5330.691</v>
      </c>
      <c r="F412" s="24" t="n">
        <v>11624.649</v>
      </c>
      <c r="G412" s="22" t="n">
        <f aca="false">HOUR(C412)*60+MINUTE(C412)</f>
        <v>690</v>
      </c>
      <c r="H412" s="25" t="n">
        <f aca="false">IF(AND(B412=B411,A412=A411,D412&gt;0,N(D411)&gt;0,G412&gt;N(G411)),(D412-D411)/((G412-G411)/60),"")</f>
        <v>0.624000000003434</v>
      </c>
      <c r="I412" s="22" t="str">
        <f aca="false">IFERROR(INDEX(Medidores!$B:$B,MATCH(B412,Medidores!$A:$A,0)),"")</f>
        <v>L50</v>
      </c>
      <c r="J412" s="22" t="s">
        <v>163</v>
      </c>
    </row>
    <row r="413" customFormat="false" ht="15" hidden="false" customHeight="false" outlineLevel="0" collapsed="false">
      <c r="A413" s="21" t="n">
        <v>46304</v>
      </c>
      <c r="B413" s="22" t="s">
        <v>62</v>
      </c>
      <c r="C413" s="23" t="n">
        <v>0.489583333333333</v>
      </c>
      <c r="D413" s="24" t="n">
        <v>8765.596</v>
      </c>
      <c r="E413" s="24" t="n">
        <v>5330.691</v>
      </c>
      <c r="F413" s="24" t="n">
        <v>11624.81</v>
      </c>
      <c r="G413" s="22" t="n">
        <f aca="false">HOUR(C413)*60+MINUTE(C413)</f>
        <v>705</v>
      </c>
      <c r="H413" s="25" t="n">
        <f aca="false">IF(AND(B413=B412,A413=A412,D413&gt;0,N(D412)&gt;0,G413&gt;N(G412)),(D413-D412)/((G413-G412)/60),"")</f>
        <v>0.623999999996158</v>
      </c>
      <c r="I413" s="22" t="str">
        <f aca="false">IFERROR(INDEX(Medidores!$B:$B,MATCH(B413,Medidores!$A:$A,0)),"")</f>
        <v>L50</v>
      </c>
      <c r="J413" s="22" t="s">
        <v>164</v>
      </c>
    </row>
    <row r="414" customFormat="false" ht="15" hidden="false" customHeight="false" outlineLevel="0" collapsed="false">
      <c r="A414" s="21" t="n">
        <v>46304</v>
      </c>
      <c r="B414" s="22" t="s">
        <v>62</v>
      </c>
      <c r="C414" s="23" t="n">
        <v>0.5</v>
      </c>
      <c r="D414" s="24" t="n">
        <v>8765.752</v>
      </c>
      <c r="E414" s="24" t="n">
        <v>5330.691</v>
      </c>
      <c r="F414" s="24" t="n">
        <v>11624.973</v>
      </c>
      <c r="G414" s="22" t="n">
        <f aca="false">HOUR(C414)*60+MINUTE(C414)</f>
        <v>720</v>
      </c>
      <c r="H414" s="25" t="n">
        <f aca="false">IF(AND(B414=B413,A414=A413,D414&gt;0,N(D413)&gt;0,G414&gt;N(G413)),(D414-D413)/((G414-G413)/60),"")</f>
        <v>0.624000000003434</v>
      </c>
      <c r="I414" s="22" t="str">
        <f aca="false">IFERROR(INDEX(Medidores!$B:$B,MATCH(B414,Medidores!$A:$A,0)),"")</f>
        <v>L50</v>
      </c>
      <c r="J414" s="22" t="s">
        <v>165</v>
      </c>
    </row>
    <row r="415" customFormat="false" ht="15" hidden="false" customHeight="false" outlineLevel="0" collapsed="false">
      <c r="A415" s="21" t="n">
        <v>46304</v>
      </c>
      <c r="B415" s="22" t="s">
        <v>62</v>
      </c>
      <c r="C415" s="23" t="n">
        <v>0.510416666666667</v>
      </c>
      <c r="D415" s="24" t="n">
        <v>8765.908</v>
      </c>
      <c r="E415" s="24" t="n">
        <v>5330.691</v>
      </c>
      <c r="F415" s="24" t="n">
        <v>11625.136</v>
      </c>
      <c r="G415" s="22" t="n">
        <f aca="false">HOUR(C415)*60+MINUTE(C415)</f>
        <v>735</v>
      </c>
      <c r="H415" s="25" t="n">
        <f aca="false">IF(AND(B415=B414,A415=A414,D415&gt;0,N(D414)&gt;0,G415&gt;N(G414)),(D415-D414)/((G415-G414)/60),"")</f>
        <v>0.623999999996158</v>
      </c>
      <c r="I415" s="22" t="str">
        <f aca="false">IFERROR(INDEX(Medidores!$B:$B,MATCH(B415,Medidores!$A:$A,0)),"")</f>
        <v>L50</v>
      </c>
      <c r="J415" s="22" t="s">
        <v>166</v>
      </c>
    </row>
    <row r="416" customFormat="false" ht="15" hidden="false" customHeight="false" outlineLevel="0" collapsed="false">
      <c r="A416" s="21" t="n">
        <v>46304</v>
      </c>
      <c r="B416" s="22" t="s">
        <v>62</v>
      </c>
      <c r="C416" s="23" t="n">
        <v>0.520833333333333</v>
      </c>
      <c r="D416" s="24" t="n">
        <v>8766.064</v>
      </c>
      <c r="E416" s="24" t="n">
        <v>5330.691</v>
      </c>
      <c r="F416" s="24" t="n">
        <v>11625.298</v>
      </c>
      <c r="G416" s="22" t="n">
        <f aca="false">HOUR(C416)*60+MINUTE(C416)</f>
        <v>750</v>
      </c>
      <c r="H416" s="25" t="n">
        <f aca="false">IF(AND(B416=B415,A416=A415,D416&gt;0,N(D415)&gt;0,G416&gt;N(G415)),(D416-D415)/((G416-G415)/60),"")</f>
        <v>0.624000000003434</v>
      </c>
      <c r="I416" s="22" t="str">
        <f aca="false">IFERROR(INDEX(Medidores!$B:$B,MATCH(B416,Medidores!$A:$A,0)),"")</f>
        <v>L50</v>
      </c>
      <c r="J416" s="22" t="s">
        <v>167</v>
      </c>
    </row>
    <row r="417" customFormat="false" ht="15" hidden="false" customHeight="false" outlineLevel="0" collapsed="false">
      <c r="A417" s="21" t="n">
        <v>46304</v>
      </c>
      <c r="B417" s="22" t="s">
        <v>62</v>
      </c>
      <c r="C417" s="23" t="n">
        <v>0.53125</v>
      </c>
      <c r="D417" s="24" t="n">
        <v>8766.22</v>
      </c>
      <c r="E417" s="24" t="n">
        <v>5330.691</v>
      </c>
      <c r="F417" s="24" t="n">
        <v>11625.46</v>
      </c>
      <c r="G417" s="22" t="n">
        <f aca="false">HOUR(C417)*60+MINUTE(C417)</f>
        <v>765</v>
      </c>
      <c r="H417" s="25" t="n">
        <f aca="false">IF(AND(B417=B416,A417=A416,D417&gt;0,N(D416)&gt;0,G417&gt;N(G416)),(D417-D416)/((G417-G416)/60),"")</f>
        <v>0.623999999996158</v>
      </c>
      <c r="I417" s="22" t="str">
        <f aca="false">IFERROR(INDEX(Medidores!$B:$B,MATCH(B417,Medidores!$A:$A,0)),"")</f>
        <v>L50</v>
      </c>
      <c r="J417" s="22" t="s">
        <v>168</v>
      </c>
    </row>
    <row r="418" customFormat="false" ht="15" hidden="false" customHeight="false" outlineLevel="0" collapsed="false">
      <c r="A418" s="21" t="n">
        <v>46304</v>
      </c>
      <c r="B418" s="22" t="s">
        <v>62</v>
      </c>
      <c r="C418" s="23" t="n">
        <v>0.541666666666667</v>
      </c>
      <c r="D418" s="24" t="n">
        <v>8766.376</v>
      </c>
      <c r="E418" s="24" t="n">
        <v>5330.691</v>
      </c>
      <c r="F418" s="24" t="n">
        <v>11625.622</v>
      </c>
      <c r="G418" s="22" t="n">
        <f aca="false">HOUR(C418)*60+MINUTE(C418)</f>
        <v>780</v>
      </c>
      <c r="H418" s="25" t="n">
        <f aca="false">IF(AND(B418=B417,A418=A417,D418&gt;0,N(D417)&gt;0,G418&gt;N(G417)),(D418-D417)/((G418-G417)/60),"")</f>
        <v>0.624000000003434</v>
      </c>
      <c r="I418" s="22" t="str">
        <f aca="false">IFERROR(INDEX(Medidores!$B:$B,MATCH(B418,Medidores!$A:$A,0)),"")</f>
        <v>L50</v>
      </c>
      <c r="J418" s="22" t="s">
        <v>169</v>
      </c>
    </row>
    <row r="419" customFormat="false" ht="15" hidden="false" customHeight="false" outlineLevel="0" collapsed="false">
      <c r="A419" s="21" t="n">
        <v>46304</v>
      </c>
      <c r="B419" s="22" t="s">
        <v>62</v>
      </c>
      <c r="C419" s="23" t="n">
        <v>0.552083333333333</v>
      </c>
      <c r="D419" s="24" t="n">
        <v>8766.532</v>
      </c>
      <c r="E419" s="24" t="n">
        <v>5330.691</v>
      </c>
      <c r="F419" s="24" t="n">
        <v>11625.784</v>
      </c>
      <c r="G419" s="22" t="n">
        <f aca="false">HOUR(C419)*60+MINUTE(C419)</f>
        <v>795</v>
      </c>
      <c r="H419" s="25" t="n">
        <f aca="false">IF(AND(B419=B418,A419=A418,D419&gt;0,N(D418)&gt;0,G419&gt;N(G418)),(D419-D418)/((G419-G418)/60),"")</f>
        <v>0.623999999996158</v>
      </c>
      <c r="I419" s="22" t="str">
        <f aca="false">IFERROR(INDEX(Medidores!$B:$B,MATCH(B419,Medidores!$A:$A,0)),"")</f>
        <v>L50</v>
      </c>
      <c r="J419" s="22" t="s">
        <v>170</v>
      </c>
    </row>
    <row r="420" customFormat="false" ht="15" hidden="false" customHeight="false" outlineLevel="0" collapsed="false">
      <c r="A420" s="21" t="n">
        <v>46304</v>
      </c>
      <c r="B420" s="22" t="s">
        <v>62</v>
      </c>
      <c r="C420" s="23" t="n">
        <v>0.5625</v>
      </c>
      <c r="D420" s="24" t="n">
        <v>8766.688</v>
      </c>
      <c r="E420" s="24" t="n">
        <v>5330.691</v>
      </c>
      <c r="F420" s="24" t="n">
        <v>11625.946</v>
      </c>
      <c r="G420" s="22" t="n">
        <f aca="false">HOUR(C420)*60+MINUTE(C420)</f>
        <v>810</v>
      </c>
      <c r="H420" s="25" t="n">
        <f aca="false">IF(AND(B420=B419,A420=A419,D420&gt;0,N(D419)&gt;0,G420&gt;N(G419)),(D420-D419)/((G420-G419)/60),"")</f>
        <v>0.624000000003434</v>
      </c>
      <c r="I420" s="22" t="str">
        <f aca="false">IFERROR(INDEX(Medidores!$B:$B,MATCH(B420,Medidores!$A:$A,0)),"")</f>
        <v>L50</v>
      </c>
      <c r="J420" s="22" t="s">
        <v>171</v>
      </c>
    </row>
    <row r="421" customFormat="false" ht="15" hidden="false" customHeight="false" outlineLevel="0" collapsed="false">
      <c r="A421" s="21" t="n">
        <v>46304</v>
      </c>
      <c r="B421" s="22" t="s">
        <v>62</v>
      </c>
      <c r="C421" s="23" t="n">
        <v>0.572916666666667</v>
      </c>
      <c r="D421" s="24" t="n">
        <v>8766.844</v>
      </c>
      <c r="E421" s="24" t="n">
        <v>5330.691</v>
      </c>
      <c r="F421" s="24" t="n">
        <v>11626.108</v>
      </c>
      <c r="G421" s="22" t="n">
        <f aca="false">HOUR(C421)*60+MINUTE(C421)</f>
        <v>825</v>
      </c>
      <c r="H421" s="25" t="n">
        <f aca="false">IF(AND(B421=B420,A421=A420,D421&gt;0,N(D420)&gt;0,G421&gt;N(G420)),(D421-D420)/((G421-G420)/60),"")</f>
        <v>0.623999999996158</v>
      </c>
      <c r="I421" s="22" t="str">
        <f aca="false">IFERROR(INDEX(Medidores!$B:$B,MATCH(B421,Medidores!$A:$A,0)),"")</f>
        <v>L50</v>
      </c>
      <c r="J421" s="22" t="s">
        <v>172</v>
      </c>
    </row>
    <row r="422" customFormat="false" ht="15" hidden="false" customHeight="false" outlineLevel="0" collapsed="false">
      <c r="A422" s="21" t="n">
        <v>46304</v>
      </c>
      <c r="B422" s="22" t="s">
        <v>82</v>
      </c>
      <c r="C422" s="23" t="n">
        <v>0.385416666666667</v>
      </c>
      <c r="D422" s="24" t="n">
        <v>9958.298</v>
      </c>
      <c r="E422" s="24" t="n">
        <v>3659.368</v>
      </c>
      <c r="F422" s="24" t="n">
        <v>11042.612</v>
      </c>
      <c r="G422" s="22" t="n">
        <f aca="false">HOUR(C422)*60+MINUTE(C422)</f>
        <v>555</v>
      </c>
      <c r="H422" s="25" t="str">
        <f aca="false">IF(AND(B422=B421,A422=A421,D422&gt;0,N(D421)&gt;0,G422&gt;N(G421)),(D422-D421)/((G422-G421)/60),"")</f>
        <v/>
      </c>
      <c r="I422" s="22" t="str">
        <f aca="false">IFERROR(INDEX(Medidores!$B:$B,MATCH(B422,Medidores!$A:$A,0)),"")</f>
        <v>L21</v>
      </c>
      <c r="J422" s="22" t="s">
        <v>133</v>
      </c>
    </row>
    <row r="423" customFormat="false" ht="15" hidden="false" customHeight="false" outlineLevel="0" collapsed="false">
      <c r="A423" s="21" t="n">
        <v>46304</v>
      </c>
      <c r="B423" s="22" t="s">
        <v>82</v>
      </c>
      <c r="C423" s="23" t="n">
        <v>0.395833333333333</v>
      </c>
      <c r="D423" s="24" t="n">
        <v>9958.453</v>
      </c>
      <c r="E423" s="24" t="n">
        <v>3659.368</v>
      </c>
      <c r="F423" s="24" t="n">
        <v>11042.769</v>
      </c>
      <c r="G423" s="22" t="n">
        <f aca="false">HOUR(C423)*60+MINUTE(C423)</f>
        <v>570</v>
      </c>
      <c r="H423" s="25" t="n">
        <f aca="false">IF(AND(B423=B422,A423=A422,D423&gt;0,N(D422)&gt;0,G423&gt;N(G422)),(D423-D422)/((G423-G422)/60),"")</f>
        <v>0.619999999995343</v>
      </c>
      <c r="I423" s="22" t="str">
        <f aca="false">IFERROR(INDEX(Medidores!$B:$B,MATCH(B423,Medidores!$A:$A,0)),"")</f>
        <v>L21</v>
      </c>
      <c r="J423" s="22" t="s">
        <v>134</v>
      </c>
    </row>
    <row r="424" customFormat="false" ht="15" hidden="false" customHeight="false" outlineLevel="0" collapsed="false">
      <c r="A424" s="21" t="n">
        <v>46304</v>
      </c>
      <c r="B424" s="22" t="s">
        <v>82</v>
      </c>
      <c r="C424" s="23" t="n">
        <v>0.40625</v>
      </c>
      <c r="D424" s="24" t="n">
        <v>9958.607</v>
      </c>
      <c r="E424" s="24" t="n">
        <v>3659.368</v>
      </c>
      <c r="F424" s="24" t="n">
        <v>11042.925</v>
      </c>
      <c r="G424" s="22" t="n">
        <f aca="false">HOUR(C424)*60+MINUTE(C424)</f>
        <v>585</v>
      </c>
      <c r="H424" s="25" t="n">
        <f aca="false">IF(AND(B424=B423,A424=A423,D424&gt;0,N(D423)&gt;0,G424&gt;N(G423)),(D424-D423)/((G424-G423)/60),"")</f>
        <v>0.616000000001804</v>
      </c>
      <c r="I424" s="22" t="str">
        <f aca="false">IFERROR(INDEX(Medidores!$B:$B,MATCH(B424,Medidores!$A:$A,0)),"")</f>
        <v>L21</v>
      </c>
      <c r="J424" s="22" t="s">
        <v>135</v>
      </c>
    </row>
    <row r="425" customFormat="false" ht="15" hidden="false" customHeight="false" outlineLevel="0" collapsed="false">
      <c r="A425" s="21" t="n">
        <v>46304</v>
      </c>
      <c r="B425" s="22" t="s">
        <v>82</v>
      </c>
      <c r="C425" s="23" t="n">
        <v>0.416666666666667</v>
      </c>
      <c r="D425" s="24" t="n">
        <v>9958.762</v>
      </c>
      <c r="E425" s="24" t="n">
        <v>3659.368</v>
      </c>
      <c r="F425" s="24" t="n">
        <v>11043.082</v>
      </c>
      <c r="G425" s="22" t="n">
        <f aca="false">HOUR(C425)*60+MINUTE(C425)</f>
        <v>600</v>
      </c>
      <c r="H425" s="25" t="n">
        <f aca="false">IF(AND(B425=B424,A425=A424,D425&gt;0,N(D424)&gt;0,G425&gt;N(G424)),(D425-D424)/((G425-G424)/60),"")</f>
        <v>0.620000000002619</v>
      </c>
      <c r="I425" s="22" t="str">
        <f aca="false">IFERROR(INDEX(Medidores!$B:$B,MATCH(B425,Medidores!$A:$A,0)),"")</f>
        <v>L21</v>
      </c>
      <c r="J425" s="22" t="s">
        <v>136</v>
      </c>
    </row>
    <row r="426" customFormat="false" ht="15" hidden="false" customHeight="false" outlineLevel="0" collapsed="false">
      <c r="A426" s="21" t="n">
        <v>46304</v>
      </c>
      <c r="B426" s="22" t="s">
        <v>82</v>
      </c>
      <c r="C426" s="23" t="n">
        <v>0.427083333333333</v>
      </c>
      <c r="D426" s="24" t="n">
        <v>9958.916</v>
      </c>
      <c r="E426" s="24" t="n">
        <v>3659.368</v>
      </c>
      <c r="F426" s="24" t="n">
        <v>11043.239</v>
      </c>
      <c r="G426" s="22" t="n">
        <f aca="false">HOUR(C426)*60+MINUTE(C426)</f>
        <v>615</v>
      </c>
      <c r="H426" s="25" t="n">
        <f aca="false">IF(AND(B426=B425,A426=A425,D426&gt;0,N(D425)&gt;0,G426&gt;N(G425)),(D426-D425)/((G426-G425)/60),"")</f>
        <v>0.615999999994529</v>
      </c>
      <c r="I426" s="22" t="str">
        <f aca="false">IFERROR(INDEX(Medidores!$B:$B,MATCH(B426,Medidores!$A:$A,0)),"")</f>
        <v>L21</v>
      </c>
      <c r="J426" s="22" t="s">
        <v>137</v>
      </c>
    </row>
    <row r="427" customFormat="false" ht="15" hidden="false" customHeight="false" outlineLevel="0" collapsed="false">
      <c r="A427" s="21" t="n">
        <v>46304</v>
      </c>
      <c r="B427" s="22" t="s">
        <v>82</v>
      </c>
      <c r="C427" s="23" t="n">
        <v>0.4375</v>
      </c>
      <c r="D427" s="24" t="n">
        <v>9959.07</v>
      </c>
      <c r="E427" s="24" t="n">
        <v>3659.368</v>
      </c>
      <c r="F427" s="24" t="n">
        <v>11043.395</v>
      </c>
      <c r="G427" s="22" t="n">
        <f aca="false">HOUR(C427)*60+MINUTE(C427)</f>
        <v>630</v>
      </c>
      <c r="H427" s="25" t="n">
        <f aca="false">IF(AND(B427=B426,A427=A426,D427&gt;0,N(D426)&gt;0,G427&gt;N(G426)),(D427-D426)/((G427-G426)/60),"")</f>
        <v>0.616000000001804</v>
      </c>
      <c r="I427" s="22" t="str">
        <f aca="false">IFERROR(INDEX(Medidores!$B:$B,MATCH(B427,Medidores!$A:$A,0)),"")</f>
        <v>L21</v>
      </c>
      <c r="J427" s="22" t="s">
        <v>138</v>
      </c>
    </row>
    <row r="428" customFormat="false" ht="15" hidden="false" customHeight="false" outlineLevel="0" collapsed="false">
      <c r="A428" s="21" t="n">
        <v>46304</v>
      </c>
      <c r="B428" s="22" t="s">
        <v>82</v>
      </c>
      <c r="C428" s="23" t="n">
        <v>0.447916666666667</v>
      </c>
      <c r="D428" s="24" t="n">
        <v>9959.225</v>
      </c>
      <c r="E428" s="24" t="n">
        <v>3659.368</v>
      </c>
      <c r="F428" s="24" t="n">
        <v>11043.552</v>
      </c>
      <c r="G428" s="22" t="n">
        <f aca="false">HOUR(C428)*60+MINUTE(C428)</f>
        <v>645</v>
      </c>
      <c r="H428" s="25" t="n">
        <f aca="false">IF(AND(B428=B427,A428=A427,D428&gt;0,N(D427)&gt;0,G428&gt;N(G427)),(D428-D427)/((G428-G427)/60),"")</f>
        <v>0.620000000002619</v>
      </c>
      <c r="I428" s="22" t="str">
        <f aca="false">IFERROR(INDEX(Medidores!$B:$B,MATCH(B428,Medidores!$A:$A,0)),"")</f>
        <v>L21</v>
      </c>
      <c r="J428" s="22" t="s">
        <v>139</v>
      </c>
    </row>
    <row r="429" customFormat="false" ht="15" hidden="false" customHeight="false" outlineLevel="0" collapsed="false">
      <c r="A429" s="21" t="n">
        <v>46304</v>
      </c>
      <c r="B429" s="22" t="s">
        <v>82</v>
      </c>
      <c r="C429" s="23" t="n">
        <v>0.458333333333333</v>
      </c>
      <c r="D429" s="24" t="n">
        <v>9959.379</v>
      </c>
      <c r="E429" s="24" t="n">
        <v>3659.368</v>
      </c>
      <c r="F429" s="24" t="n">
        <v>11043.709</v>
      </c>
      <c r="G429" s="22" t="n">
        <f aca="false">HOUR(C429)*60+MINUTE(C429)</f>
        <v>660</v>
      </c>
      <c r="H429" s="25" t="n">
        <f aca="false">IF(AND(B429=B428,A429=A428,D429&gt;0,N(D428)&gt;0,G429&gt;N(G428)),(D429-D428)/((G429-G428)/60),"")</f>
        <v>0.616000000001804</v>
      </c>
      <c r="I429" s="22" t="str">
        <f aca="false">IFERROR(INDEX(Medidores!$B:$B,MATCH(B429,Medidores!$A:$A,0)),"")</f>
        <v>L21</v>
      </c>
      <c r="J429" s="22" t="s">
        <v>140</v>
      </c>
    </row>
    <row r="430" customFormat="false" ht="15" hidden="false" customHeight="false" outlineLevel="0" collapsed="false">
      <c r="A430" s="21" t="n">
        <v>46304</v>
      </c>
      <c r="B430" s="22" t="s">
        <v>82</v>
      </c>
      <c r="C430" s="23" t="n">
        <v>0.46875</v>
      </c>
      <c r="D430" s="24" t="n">
        <v>9959.534</v>
      </c>
      <c r="E430" s="24" t="n">
        <v>3659.368</v>
      </c>
      <c r="F430" s="24" t="n">
        <v>11043.866</v>
      </c>
      <c r="G430" s="22" t="n">
        <f aca="false">HOUR(C430)*60+MINUTE(C430)</f>
        <v>675</v>
      </c>
      <c r="H430" s="25" t="n">
        <f aca="false">IF(AND(B430=B429,A430=A429,D430&gt;0,N(D429)&gt;0,G430&gt;N(G429)),(D430-D429)/((G430-G429)/60),"")</f>
        <v>0.619999999995343</v>
      </c>
      <c r="I430" s="22" t="str">
        <f aca="false">IFERROR(INDEX(Medidores!$B:$B,MATCH(B430,Medidores!$A:$A,0)),"")</f>
        <v>L21</v>
      </c>
      <c r="J430" s="22" t="s">
        <v>141</v>
      </c>
    </row>
    <row r="431" customFormat="false" ht="15" hidden="false" customHeight="false" outlineLevel="0" collapsed="false">
      <c r="A431" s="21" t="n">
        <v>46304</v>
      </c>
      <c r="B431" s="22" t="s">
        <v>82</v>
      </c>
      <c r="C431" s="23" t="n">
        <v>0.479166666666667</v>
      </c>
      <c r="D431" s="24" t="n">
        <v>9959.688</v>
      </c>
      <c r="E431" s="24" t="n">
        <v>3659.368</v>
      </c>
      <c r="F431" s="24" t="n">
        <v>11044.023</v>
      </c>
      <c r="G431" s="22" t="n">
        <f aca="false">HOUR(C431)*60+MINUTE(C431)</f>
        <v>690</v>
      </c>
      <c r="H431" s="25" t="n">
        <f aca="false">IF(AND(B431=B430,A431=A430,D431&gt;0,N(D430)&gt;0,G431&gt;N(G430)),(D431-D430)/((G431-G430)/60),"")</f>
        <v>0.616000000001804</v>
      </c>
      <c r="I431" s="22" t="str">
        <f aca="false">IFERROR(INDEX(Medidores!$B:$B,MATCH(B431,Medidores!$A:$A,0)),"")</f>
        <v>L21</v>
      </c>
      <c r="J431" s="22" t="s">
        <v>142</v>
      </c>
    </row>
    <row r="432" customFormat="false" ht="15" hidden="false" customHeight="false" outlineLevel="0" collapsed="false">
      <c r="A432" s="21" t="n">
        <v>46304</v>
      </c>
      <c r="B432" s="22" t="s">
        <v>82</v>
      </c>
      <c r="C432" s="23" t="n">
        <v>0.489583333333333</v>
      </c>
      <c r="D432" s="24" t="n">
        <v>9959.843</v>
      </c>
      <c r="E432" s="24" t="n">
        <v>3659.368</v>
      </c>
      <c r="F432" s="24" t="n">
        <v>11044.181</v>
      </c>
      <c r="G432" s="22" t="n">
        <f aca="false">HOUR(C432)*60+MINUTE(C432)</f>
        <v>705</v>
      </c>
      <c r="H432" s="25" t="n">
        <f aca="false">IF(AND(B432=B431,A432=A431,D432&gt;0,N(D431)&gt;0,G432&gt;N(G431)),(D432-D431)/((G432-G431)/60),"")</f>
        <v>0.620000000002619</v>
      </c>
      <c r="I432" s="22" t="str">
        <f aca="false">IFERROR(INDEX(Medidores!$B:$B,MATCH(B432,Medidores!$A:$A,0)),"")</f>
        <v>L21</v>
      </c>
      <c r="J432" s="22" t="s">
        <v>143</v>
      </c>
    </row>
    <row r="433" customFormat="false" ht="15" hidden="false" customHeight="false" outlineLevel="0" collapsed="false">
      <c r="A433" s="21" t="n">
        <v>46304</v>
      </c>
      <c r="B433" s="22" t="s">
        <v>82</v>
      </c>
      <c r="C433" s="23" t="n">
        <v>0.5</v>
      </c>
      <c r="D433" s="24" t="n">
        <v>9959.997</v>
      </c>
      <c r="E433" s="24" t="n">
        <v>3659.368</v>
      </c>
      <c r="F433" s="24" t="n">
        <v>11044.338</v>
      </c>
      <c r="G433" s="22" t="n">
        <f aca="false">HOUR(C433)*60+MINUTE(C433)</f>
        <v>720</v>
      </c>
      <c r="H433" s="25" t="n">
        <f aca="false">IF(AND(B433=B432,A433=A432,D433&gt;0,N(D432)&gt;0,G433&gt;N(G432)),(D433-D432)/((G433-G432)/60),"")</f>
        <v>0.615999999994529</v>
      </c>
      <c r="I433" s="22" t="str">
        <f aca="false">IFERROR(INDEX(Medidores!$B:$B,MATCH(B433,Medidores!$A:$A,0)),"")</f>
        <v>L21</v>
      </c>
      <c r="J433" s="22" t="s">
        <v>144</v>
      </c>
    </row>
    <row r="434" customFormat="false" ht="15" hidden="false" customHeight="false" outlineLevel="0" collapsed="false">
      <c r="A434" s="21" t="n">
        <v>46304</v>
      </c>
      <c r="B434" s="22" t="s">
        <v>82</v>
      </c>
      <c r="C434" s="23" t="n">
        <v>0.510416666666667</v>
      </c>
      <c r="D434" s="24" t="n">
        <v>9960.152</v>
      </c>
      <c r="E434" s="24" t="n">
        <v>3659.368</v>
      </c>
      <c r="F434" s="24" t="n">
        <v>11044.495</v>
      </c>
      <c r="G434" s="22" t="n">
        <f aca="false">HOUR(C434)*60+MINUTE(C434)</f>
        <v>735</v>
      </c>
      <c r="H434" s="25" t="n">
        <f aca="false">IF(AND(B434=B433,A434=A433,D434&gt;0,N(D433)&gt;0,G434&gt;N(G433)),(D434-D433)/((G434-G433)/60),"")</f>
        <v>0.620000000002619</v>
      </c>
      <c r="I434" s="22" t="str">
        <f aca="false">IFERROR(INDEX(Medidores!$B:$B,MATCH(B434,Medidores!$A:$A,0)),"")</f>
        <v>L21</v>
      </c>
      <c r="J434" s="22" t="s">
        <v>145</v>
      </c>
    </row>
    <row r="435" customFormat="false" ht="15" hidden="false" customHeight="false" outlineLevel="0" collapsed="false">
      <c r="A435" s="21" t="n">
        <v>46304</v>
      </c>
      <c r="B435" s="22" t="s">
        <v>82</v>
      </c>
      <c r="C435" s="23" t="n">
        <v>0.520833333333333</v>
      </c>
      <c r="D435" s="24" t="n">
        <v>9960.309</v>
      </c>
      <c r="E435" s="24" t="n">
        <v>3659.368</v>
      </c>
      <c r="F435" s="24" t="n">
        <v>11044.654</v>
      </c>
      <c r="G435" s="22" t="n">
        <f aca="false">HOUR(C435)*60+MINUTE(C435)</f>
        <v>750</v>
      </c>
      <c r="H435" s="25" t="n">
        <f aca="false">IF(AND(B435=B434,A435=A434,D435&gt;0,N(D434)&gt;0,G435&gt;N(G434)),(D435-D434)/((G435-G434)/60),"")</f>
        <v>0.627999999996973</v>
      </c>
      <c r="I435" s="22" t="str">
        <f aca="false">IFERROR(INDEX(Medidores!$B:$B,MATCH(B435,Medidores!$A:$A,0)),"")</f>
        <v>L21</v>
      </c>
      <c r="J435" s="22" t="s">
        <v>146</v>
      </c>
    </row>
    <row r="436" customFormat="false" ht="15" hidden="false" customHeight="false" outlineLevel="0" collapsed="false">
      <c r="A436" s="21" t="n">
        <v>46304</v>
      </c>
      <c r="B436" s="22" t="s">
        <v>82</v>
      </c>
      <c r="C436" s="23" t="n">
        <v>0.53125</v>
      </c>
      <c r="D436" s="24" t="n">
        <v>9960.464</v>
      </c>
      <c r="E436" s="24" t="n">
        <v>3659.368</v>
      </c>
      <c r="F436" s="24" t="n">
        <v>11044.811</v>
      </c>
      <c r="G436" s="22" t="n">
        <f aca="false">HOUR(C436)*60+MINUTE(C436)</f>
        <v>765</v>
      </c>
      <c r="H436" s="25" t="n">
        <f aca="false">IF(AND(B436=B435,A436=A435,D436&gt;0,N(D435)&gt;0,G436&gt;N(G435)),(D436-D435)/((G436-G435)/60),"")</f>
        <v>0.620000000002619</v>
      </c>
      <c r="I436" s="22" t="str">
        <f aca="false">IFERROR(INDEX(Medidores!$B:$B,MATCH(B436,Medidores!$A:$A,0)),"")</f>
        <v>L21</v>
      </c>
      <c r="J436" s="22" t="s">
        <v>147</v>
      </c>
    </row>
    <row r="437" customFormat="false" ht="15" hidden="false" customHeight="false" outlineLevel="0" collapsed="false">
      <c r="A437" s="21" t="n">
        <v>46304</v>
      </c>
      <c r="B437" s="22" t="s">
        <v>82</v>
      </c>
      <c r="C437" s="23" t="n">
        <v>0.541666666666667</v>
      </c>
      <c r="D437" s="24" t="n">
        <v>9960.619</v>
      </c>
      <c r="E437" s="24" t="n">
        <v>3659.368</v>
      </c>
      <c r="F437" s="24" t="n">
        <v>11044.969</v>
      </c>
      <c r="G437" s="22" t="n">
        <f aca="false">HOUR(C437)*60+MINUTE(C437)</f>
        <v>780</v>
      </c>
      <c r="H437" s="25" t="n">
        <f aca="false">IF(AND(B437=B436,A437=A436,D437&gt;0,N(D436)&gt;0,G437&gt;N(G436)),(D437-D436)/((G437-G436)/60),"")</f>
        <v>0.620000000002619</v>
      </c>
      <c r="I437" s="22" t="str">
        <f aca="false">IFERROR(INDEX(Medidores!$B:$B,MATCH(B437,Medidores!$A:$A,0)),"")</f>
        <v>L21</v>
      </c>
      <c r="J437" s="22" t="s">
        <v>148</v>
      </c>
    </row>
    <row r="438" customFormat="false" ht="15" hidden="false" customHeight="false" outlineLevel="0" collapsed="false">
      <c r="A438" s="21" t="n">
        <v>46304</v>
      </c>
      <c r="B438" s="22" t="s">
        <v>82</v>
      </c>
      <c r="C438" s="23" t="n">
        <v>0.552083333333333</v>
      </c>
      <c r="D438" s="24" t="n">
        <v>9960.775</v>
      </c>
      <c r="E438" s="24" t="n">
        <v>3659.368</v>
      </c>
      <c r="F438" s="24" t="n">
        <v>11045.126</v>
      </c>
      <c r="G438" s="22" t="n">
        <f aca="false">HOUR(C438)*60+MINUTE(C438)</f>
        <v>795</v>
      </c>
      <c r="H438" s="25" t="n">
        <f aca="false">IF(AND(B438=B437,A438=A437,D438&gt;0,N(D437)&gt;0,G438&gt;N(G437)),(D438-D437)/((G438-G437)/60),"")</f>
        <v>0.623999999996158</v>
      </c>
      <c r="I438" s="22" t="str">
        <f aca="false">IFERROR(INDEX(Medidores!$B:$B,MATCH(B438,Medidores!$A:$A,0)),"")</f>
        <v>L21</v>
      </c>
      <c r="J438" s="22" t="s">
        <v>149</v>
      </c>
    </row>
    <row r="439" customFormat="false" ht="15" hidden="false" customHeight="false" outlineLevel="0" collapsed="false">
      <c r="A439" s="21" t="n">
        <v>46304</v>
      </c>
      <c r="B439" s="22" t="s">
        <v>82</v>
      </c>
      <c r="C439" s="23" t="n">
        <v>0.5625</v>
      </c>
      <c r="D439" s="24" t="n">
        <v>9960.929</v>
      </c>
      <c r="E439" s="24" t="n">
        <v>3659.368</v>
      </c>
      <c r="F439" s="24" t="n">
        <v>11045.283</v>
      </c>
      <c r="G439" s="22" t="n">
        <f aca="false">HOUR(C439)*60+MINUTE(C439)</f>
        <v>810</v>
      </c>
      <c r="H439" s="25" t="n">
        <f aca="false">IF(AND(B439=B438,A439=A438,D439&gt;0,N(D438)&gt;0,G439&gt;N(G438)),(D439-D438)/((G439-G438)/60),"")</f>
        <v>0.616000000001804</v>
      </c>
      <c r="I439" s="22" t="str">
        <f aca="false">IFERROR(INDEX(Medidores!$B:$B,MATCH(B439,Medidores!$A:$A,0)),"")</f>
        <v>L21</v>
      </c>
      <c r="J439" s="22" t="s">
        <v>150</v>
      </c>
    </row>
    <row r="440" customFormat="false" ht="15" hidden="false" customHeight="false" outlineLevel="0" collapsed="false">
      <c r="A440" s="21" t="n">
        <v>46304</v>
      </c>
      <c r="B440" s="22" t="s">
        <v>82</v>
      </c>
      <c r="C440" s="23" t="n">
        <v>0.572916666666667</v>
      </c>
      <c r="D440" s="24" t="n">
        <v>9961.086</v>
      </c>
      <c r="E440" s="24" t="n">
        <v>3659.368</v>
      </c>
      <c r="F440" s="24" t="n">
        <v>11045.442</v>
      </c>
      <c r="G440" s="22" t="n">
        <f aca="false">HOUR(C440)*60+MINUTE(C440)</f>
        <v>825</v>
      </c>
      <c r="H440" s="25" t="n">
        <f aca="false">IF(AND(B440=B439,A440=A439,D440&gt;0,N(D439)&gt;0,G440&gt;N(G439)),(D440-D439)/((G440-G439)/60),"")</f>
        <v>0.627999999996973</v>
      </c>
      <c r="I440" s="22" t="str">
        <f aca="false">IFERROR(INDEX(Medidores!$B:$B,MATCH(B440,Medidores!$A:$A,0)),"")</f>
        <v>L21</v>
      </c>
      <c r="J440" s="22" t="s">
        <v>151</v>
      </c>
    </row>
    <row r="441" customFormat="false" ht="15" hidden="false" customHeight="false" outlineLevel="0" collapsed="false">
      <c r="A441" s="21" t="n">
        <v>46304</v>
      </c>
      <c r="B441" s="22" t="s">
        <v>82</v>
      </c>
      <c r="C441" s="23" t="n">
        <v>0.583333333333333</v>
      </c>
      <c r="D441" s="24" t="n">
        <v>9961.256</v>
      </c>
      <c r="E441" s="24" t="n">
        <v>3659.368</v>
      </c>
      <c r="F441" s="24" t="n">
        <v>11045.615</v>
      </c>
      <c r="G441" s="22" t="n">
        <f aca="false">HOUR(C441)*60+MINUTE(C441)</f>
        <v>840</v>
      </c>
      <c r="H441" s="25" t="n">
        <f aca="false">IF(AND(B441=B440,A441=A440,D441&gt;0,N(D440)&gt;0,G441&gt;N(G440)),(D441-D440)/((G441-G440)/60),"")</f>
        <v>0.680000000000291</v>
      </c>
      <c r="I441" s="22" t="str">
        <f aca="false">IFERROR(INDEX(Medidores!$B:$B,MATCH(B441,Medidores!$A:$A,0)),"")</f>
        <v>L21</v>
      </c>
      <c r="J441" s="22" t="s">
        <v>152</v>
      </c>
    </row>
    <row r="442" customFormat="false" ht="15" hidden="false" customHeight="false" outlineLevel="0" collapsed="false">
      <c r="A442" s="21" t="n">
        <v>46304</v>
      </c>
      <c r="B442" s="22" t="s">
        <v>84</v>
      </c>
      <c r="C442" s="23" t="n">
        <v>0.385416666666667</v>
      </c>
      <c r="D442" s="24" t="n">
        <v>10562.558</v>
      </c>
      <c r="E442" s="24" t="n">
        <v>4940.965</v>
      </c>
      <c r="F442" s="24" t="n">
        <v>11841.483</v>
      </c>
      <c r="G442" s="22" t="n">
        <f aca="false">HOUR(C442)*60+MINUTE(C442)</f>
        <v>555</v>
      </c>
      <c r="H442" s="25" t="str">
        <f aca="false">IF(AND(B442=B441,A442=A441,D442&gt;0,N(D441)&gt;0,G442&gt;N(G441)),(D442-D441)/((G442-G441)/60),"")</f>
        <v/>
      </c>
      <c r="I442" s="22" t="str">
        <f aca="false">IFERROR(INDEX(Medidores!$B:$B,MATCH(B442,Medidores!$A:$A,0)),"")</f>
        <v>L14</v>
      </c>
      <c r="J442" s="22" t="s">
        <v>154</v>
      </c>
    </row>
    <row r="443" customFormat="false" ht="15" hidden="false" customHeight="false" outlineLevel="0" collapsed="false">
      <c r="A443" s="21" t="n">
        <v>46304</v>
      </c>
      <c r="B443" s="22" t="s">
        <v>84</v>
      </c>
      <c r="C443" s="23" t="n">
        <v>0.395833333333333</v>
      </c>
      <c r="D443" s="24" t="n">
        <v>10563.103</v>
      </c>
      <c r="E443" s="24" t="n">
        <v>4941.328</v>
      </c>
      <c r="F443" s="24" t="n">
        <v>11842.14</v>
      </c>
      <c r="G443" s="22" t="n">
        <f aca="false">HOUR(C443)*60+MINUTE(C443)</f>
        <v>570</v>
      </c>
      <c r="H443" s="25" t="n">
        <f aca="false">IF(AND(B443=B442,A443=A442,D443&gt;0,N(D442)&gt;0,G443&gt;N(G442)),(D443-D442)/((G443-G442)/60),"")</f>
        <v>2.17999999999302</v>
      </c>
      <c r="I443" s="22" t="str">
        <f aca="false">IFERROR(INDEX(Medidores!$B:$B,MATCH(B443,Medidores!$A:$A,0)),"")</f>
        <v>L14</v>
      </c>
      <c r="J443" s="22" t="s">
        <v>155</v>
      </c>
    </row>
    <row r="444" customFormat="false" ht="15" hidden="false" customHeight="false" outlineLevel="0" collapsed="false">
      <c r="A444" s="21" t="n">
        <v>46304</v>
      </c>
      <c r="B444" s="22" t="s">
        <v>84</v>
      </c>
      <c r="C444" s="23" t="n">
        <v>0.40625</v>
      </c>
      <c r="D444" s="24" t="n">
        <v>10563.648</v>
      </c>
      <c r="E444" s="24" t="n">
        <v>4941.684</v>
      </c>
      <c r="F444" s="24" t="n">
        <v>11842.791</v>
      </c>
      <c r="G444" s="22" t="n">
        <f aca="false">HOUR(C444)*60+MINUTE(C444)</f>
        <v>585</v>
      </c>
      <c r="H444" s="25" t="n">
        <f aca="false">IF(AND(B444=B443,A444=A443,D444&gt;0,N(D443)&gt;0,G444&gt;N(G443)),(D444-D443)/((G444-G443)/60),"")</f>
        <v>2.18000000000029</v>
      </c>
      <c r="I444" s="22" t="str">
        <f aca="false">IFERROR(INDEX(Medidores!$B:$B,MATCH(B444,Medidores!$A:$A,0)),"")</f>
        <v>L14</v>
      </c>
      <c r="J444" s="22" t="s">
        <v>156</v>
      </c>
    </row>
    <row r="445" customFormat="false" ht="15" hidden="false" customHeight="false" outlineLevel="0" collapsed="false">
      <c r="A445" s="21" t="n">
        <v>46304</v>
      </c>
      <c r="B445" s="22" t="s">
        <v>84</v>
      </c>
      <c r="C445" s="23" t="n">
        <v>0.416666666666667</v>
      </c>
      <c r="D445" s="24" t="n">
        <v>10564.419</v>
      </c>
      <c r="E445" s="24" t="n">
        <v>4942.114</v>
      </c>
      <c r="F445" s="24" t="n">
        <v>11843.677</v>
      </c>
      <c r="G445" s="22" t="n">
        <f aca="false">HOUR(C445)*60+MINUTE(C445)</f>
        <v>600</v>
      </c>
      <c r="H445" s="25" t="n">
        <f aca="false">IF(AND(B445=B444,A445=A444,D445&gt;0,N(D444)&gt;0,G445&gt;N(G444)),(D445-D444)/((G445-G444)/60),"")</f>
        <v>3.08400000000256</v>
      </c>
      <c r="I445" s="22" t="str">
        <f aca="false">IFERROR(INDEX(Medidores!$B:$B,MATCH(B445,Medidores!$A:$A,0)),"")</f>
        <v>L14</v>
      </c>
      <c r="J445" s="22" t="s">
        <v>157</v>
      </c>
    </row>
    <row r="446" customFormat="false" ht="15" hidden="false" customHeight="false" outlineLevel="0" collapsed="false">
      <c r="A446" s="21" t="n">
        <v>46304</v>
      </c>
      <c r="B446" s="22" t="s">
        <v>84</v>
      </c>
      <c r="C446" s="23" t="n">
        <v>0.427083333333333</v>
      </c>
      <c r="D446" s="24" t="n">
        <v>10565.473</v>
      </c>
      <c r="E446" s="24" t="n">
        <v>4942.636</v>
      </c>
      <c r="F446" s="24" t="n">
        <v>11844.853</v>
      </c>
      <c r="G446" s="22" t="n">
        <f aca="false">HOUR(C446)*60+MINUTE(C446)</f>
        <v>615</v>
      </c>
      <c r="H446" s="25" t="n">
        <f aca="false">IF(AND(B446=B445,A446=A445,D446&gt;0,N(D445)&gt;0,G446&gt;N(G445)),(D446-D445)/((G446-G445)/60),"")</f>
        <v>4.21600000000035</v>
      </c>
      <c r="I446" s="22" t="str">
        <f aca="false">IFERROR(INDEX(Medidores!$B:$B,MATCH(B446,Medidores!$A:$A,0)),"")</f>
        <v>L14</v>
      </c>
      <c r="J446" s="22" t="s">
        <v>158</v>
      </c>
    </row>
    <row r="447" customFormat="false" ht="15" hidden="false" customHeight="false" outlineLevel="0" collapsed="false">
      <c r="A447" s="21" t="n">
        <v>46304</v>
      </c>
      <c r="B447" s="22" t="s">
        <v>84</v>
      </c>
      <c r="C447" s="23" t="n">
        <v>0.4375</v>
      </c>
      <c r="D447" s="24" t="n">
        <v>10566.52</v>
      </c>
      <c r="E447" s="24" t="n">
        <v>4943.164</v>
      </c>
      <c r="F447" s="24" t="n">
        <v>11846.027</v>
      </c>
      <c r="G447" s="22" t="n">
        <f aca="false">HOUR(C447)*60+MINUTE(C447)</f>
        <v>630</v>
      </c>
      <c r="H447" s="25" t="n">
        <f aca="false">IF(AND(B447=B446,A447=A446,D447&gt;0,N(D446)&gt;0,G447&gt;N(G446)),(D447-D446)/((G447-G446)/60),"")</f>
        <v>4.18800000000192</v>
      </c>
      <c r="I447" s="22" t="str">
        <f aca="false">IFERROR(INDEX(Medidores!$B:$B,MATCH(B447,Medidores!$A:$A,0)),"")</f>
        <v>L14</v>
      </c>
      <c r="J447" s="22" t="s">
        <v>159</v>
      </c>
    </row>
    <row r="448" customFormat="false" ht="15" hidden="false" customHeight="false" outlineLevel="0" collapsed="false">
      <c r="A448" s="21" t="n">
        <v>46304</v>
      </c>
      <c r="B448" s="22" t="s">
        <v>84</v>
      </c>
      <c r="C448" s="23" t="n">
        <v>0.447916666666667</v>
      </c>
      <c r="D448" s="24" t="n">
        <v>10567.384</v>
      </c>
      <c r="E448" s="24" t="n">
        <v>4943.626</v>
      </c>
      <c r="F448" s="24" t="n">
        <v>11847.008</v>
      </c>
      <c r="G448" s="22" t="n">
        <f aca="false">HOUR(C448)*60+MINUTE(C448)</f>
        <v>645</v>
      </c>
      <c r="H448" s="25" t="n">
        <f aca="false">IF(AND(B448=B447,A448=A447,D448&gt;0,N(D447)&gt;0,G448&gt;N(G447)),(D448-D447)/((G448-G447)/60),"")</f>
        <v>3.45599999999831</v>
      </c>
      <c r="I448" s="22" t="str">
        <f aca="false">IFERROR(INDEX(Medidores!$B:$B,MATCH(B448,Medidores!$A:$A,0)),"")</f>
        <v>L14</v>
      </c>
      <c r="J448" s="22" t="s">
        <v>160</v>
      </c>
    </row>
    <row r="449" customFormat="false" ht="15" hidden="false" customHeight="false" outlineLevel="0" collapsed="false">
      <c r="A449" s="21" t="n">
        <v>46304</v>
      </c>
      <c r="B449" s="22" t="s">
        <v>84</v>
      </c>
      <c r="C449" s="23" t="n">
        <v>0.458333333333333</v>
      </c>
      <c r="D449" s="24" t="n">
        <v>10567.838</v>
      </c>
      <c r="E449" s="24" t="n">
        <v>4943.728</v>
      </c>
      <c r="F449" s="24" t="n">
        <v>11847.48</v>
      </c>
      <c r="G449" s="22" t="n">
        <f aca="false">HOUR(C449)*60+MINUTE(C449)</f>
        <v>660</v>
      </c>
      <c r="H449" s="25" t="n">
        <f aca="false">IF(AND(B449=B448,A449=A448,D449&gt;0,N(D448)&gt;0,G449&gt;N(G448)),(D449-D448)/((G449-G448)/60),"")</f>
        <v>1.81599999999889</v>
      </c>
      <c r="I449" s="22" t="str">
        <f aca="false">IFERROR(INDEX(Medidores!$B:$B,MATCH(B449,Medidores!$A:$A,0)),"")</f>
        <v>L14</v>
      </c>
      <c r="J449" s="22" t="s">
        <v>161</v>
      </c>
    </row>
    <row r="450" customFormat="false" ht="15" hidden="false" customHeight="false" outlineLevel="0" collapsed="false">
      <c r="A450" s="21" t="n">
        <v>46304</v>
      </c>
      <c r="B450" s="22" t="s">
        <v>84</v>
      </c>
      <c r="C450" s="23" t="n">
        <v>0.46875</v>
      </c>
      <c r="D450" s="24" t="n">
        <v>10568.467</v>
      </c>
      <c r="E450" s="24" t="n">
        <v>4943.999</v>
      </c>
      <c r="F450" s="24" t="n">
        <v>11848.175</v>
      </c>
      <c r="G450" s="22" t="n">
        <f aca="false">HOUR(C450)*60+MINUTE(C450)</f>
        <v>675</v>
      </c>
      <c r="H450" s="25" t="n">
        <f aca="false">IF(AND(B450=B449,A450=A449,D450&gt;0,N(D449)&gt;0,G450&gt;N(G449)),(D450-D449)/((G450-G449)/60),"")</f>
        <v>2.51600000000326</v>
      </c>
      <c r="I450" s="22" t="str">
        <f aca="false">IFERROR(INDEX(Medidores!$B:$B,MATCH(B450,Medidores!$A:$A,0)),"")</f>
        <v>L14</v>
      </c>
      <c r="J450" s="22" t="s">
        <v>162</v>
      </c>
    </row>
    <row r="451" customFormat="false" ht="15" hidden="false" customHeight="false" outlineLevel="0" collapsed="false">
      <c r="A451" s="21" t="n">
        <v>46304</v>
      </c>
      <c r="B451" s="22" t="s">
        <v>84</v>
      </c>
      <c r="C451" s="23" t="n">
        <v>0.479166666666667</v>
      </c>
      <c r="D451" s="24" t="n">
        <v>10569.528</v>
      </c>
      <c r="E451" s="24" t="n">
        <v>4944.531</v>
      </c>
      <c r="F451" s="24" t="n">
        <v>11849.363</v>
      </c>
      <c r="G451" s="22" t="n">
        <f aca="false">HOUR(C451)*60+MINUTE(C451)</f>
        <v>690</v>
      </c>
      <c r="H451" s="25" t="n">
        <f aca="false">IF(AND(B451=B450,A451=A450,D451&gt;0,N(D450)&gt;0,G451&gt;N(G450)),(D451-D450)/((G451-G450)/60),"")</f>
        <v>4.24399999999878</v>
      </c>
      <c r="I451" s="22" t="str">
        <f aca="false">IFERROR(INDEX(Medidores!$B:$B,MATCH(B451,Medidores!$A:$A,0)),"")</f>
        <v>L14</v>
      </c>
      <c r="J451" s="22" t="s">
        <v>163</v>
      </c>
    </row>
    <row r="452" customFormat="false" ht="15" hidden="false" customHeight="false" outlineLevel="0" collapsed="false">
      <c r="A452" s="21" t="n">
        <v>46304</v>
      </c>
      <c r="B452" s="22" t="s">
        <v>84</v>
      </c>
      <c r="C452" s="23" t="n">
        <v>0.489583333333333</v>
      </c>
      <c r="D452" s="24" t="n">
        <v>10570.557</v>
      </c>
      <c r="E452" s="24" t="n">
        <v>4945.079</v>
      </c>
      <c r="F452" s="24" t="n">
        <v>11850.539</v>
      </c>
      <c r="G452" s="22" t="n">
        <f aca="false">HOUR(C452)*60+MINUTE(C452)</f>
        <v>705</v>
      </c>
      <c r="H452" s="25" t="n">
        <f aca="false">IF(AND(B452=B451,A452=A451,D452&gt;0,N(D451)&gt;0,G452&gt;N(G451)),(D452-D451)/((G452-G451)/60),"")</f>
        <v>4.1160000000018</v>
      </c>
      <c r="I452" s="22" t="str">
        <f aca="false">IFERROR(INDEX(Medidores!$B:$B,MATCH(B452,Medidores!$A:$A,0)),"")</f>
        <v>L14</v>
      </c>
      <c r="J452" s="22" t="s">
        <v>164</v>
      </c>
    </row>
    <row r="453" customFormat="false" ht="15" hidden="false" customHeight="false" outlineLevel="0" collapsed="false">
      <c r="A453" s="21" t="n">
        <v>46304</v>
      </c>
      <c r="B453" s="22" t="s">
        <v>84</v>
      </c>
      <c r="C453" s="23" t="n">
        <v>0.5</v>
      </c>
      <c r="D453" s="24" t="n">
        <v>10571.608</v>
      </c>
      <c r="E453" s="24" t="n">
        <v>4945.614</v>
      </c>
      <c r="F453" s="24" t="n">
        <v>11851.712</v>
      </c>
      <c r="G453" s="22" t="n">
        <f aca="false">HOUR(C453)*60+MINUTE(C453)</f>
        <v>720</v>
      </c>
      <c r="H453" s="25" t="n">
        <f aca="false">IF(AND(B453=B452,A453=A452,D453&gt;0,N(D452)&gt;0,G453&gt;N(G452)),(D453-D452)/((G453-G452)/60),"")</f>
        <v>4.2039999999979</v>
      </c>
      <c r="I453" s="22" t="str">
        <f aca="false">IFERROR(INDEX(Medidores!$B:$B,MATCH(B453,Medidores!$A:$A,0)),"")</f>
        <v>L14</v>
      </c>
      <c r="J453" s="22" t="s">
        <v>165</v>
      </c>
    </row>
    <row r="454" customFormat="false" ht="15" hidden="false" customHeight="false" outlineLevel="0" collapsed="false">
      <c r="A454" s="21" t="n">
        <v>46304</v>
      </c>
      <c r="B454" s="22" t="s">
        <v>84</v>
      </c>
      <c r="C454" s="23" t="n">
        <v>0.510416666666667</v>
      </c>
      <c r="D454" s="24" t="n">
        <v>10572.654</v>
      </c>
      <c r="E454" s="24" t="n">
        <v>4946.174</v>
      </c>
      <c r="F454" s="24" t="n">
        <v>11852.899</v>
      </c>
      <c r="G454" s="22" t="n">
        <f aca="false">HOUR(C454)*60+MINUTE(C454)</f>
        <v>735</v>
      </c>
      <c r="H454" s="25" t="n">
        <f aca="false">IF(AND(B454=B453,A454=A453,D454&gt;0,N(D453)&gt;0,G454&gt;N(G453)),(D454-D453)/((G454-G453)/60),"")</f>
        <v>4.18400000000111</v>
      </c>
      <c r="I454" s="22" t="str">
        <f aca="false">IFERROR(INDEX(Medidores!$B:$B,MATCH(B454,Medidores!$A:$A,0)),"")</f>
        <v>L14</v>
      </c>
      <c r="J454" s="22" t="s">
        <v>166</v>
      </c>
    </row>
    <row r="455" customFormat="false" ht="15" hidden="false" customHeight="false" outlineLevel="0" collapsed="false">
      <c r="A455" s="21" t="n">
        <v>46304</v>
      </c>
      <c r="B455" s="22" t="s">
        <v>84</v>
      </c>
      <c r="C455" s="23" t="n">
        <v>0.520833333333333</v>
      </c>
      <c r="D455" s="24" t="n">
        <v>10573.699</v>
      </c>
      <c r="E455" s="24" t="n">
        <v>4946.712</v>
      </c>
      <c r="F455" s="24" t="n">
        <v>11854.078</v>
      </c>
      <c r="G455" s="22" t="n">
        <f aca="false">HOUR(C455)*60+MINUTE(C455)</f>
        <v>750</v>
      </c>
      <c r="H455" s="25" t="n">
        <f aca="false">IF(AND(B455=B454,A455=A454,D455&gt;0,N(D454)&gt;0,G455&gt;N(G454)),(D455-D454)/((G455-G454)/60),"")</f>
        <v>4.18000000000029</v>
      </c>
      <c r="I455" s="22" t="str">
        <f aca="false">IFERROR(INDEX(Medidores!$B:$B,MATCH(B455,Medidores!$A:$A,0)),"")</f>
        <v>L14</v>
      </c>
      <c r="J455" s="22" t="s">
        <v>167</v>
      </c>
    </row>
    <row r="456" customFormat="false" ht="15" hidden="false" customHeight="false" outlineLevel="0" collapsed="false">
      <c r="A456" s="21" t="n">
        <v>46304</v>
      </c>
      <c r="B456" s="22" t="s">
        <v>84</v>
      </c>
      <c r="C456" s="23" t="n">
        <v>0.53125</v>
      </c>
      <c r="D456" s="24" t="n">
        <v>10574.742</v>
      </c>
      <c r="E456" s="24" t="n">
        <v>4947.265</v>
      </c>
      <c r="F456" s="24" t="n">
        <v>11855.258</v>
      </c>
      <c r="G456" s="22" t="n">
        <f aca="false">HOUR(C456)*60+MINUTE(C456)</f>
        <v>765</v>
      </c>
      <c r="H456" s="25" t="n">
        <f aca="false">IF(AND(B456=B455,A456=A455,D456&gt;0,N(D455)&gt;0,G456&gt;N(G455)),(D456-D455)/((G456-G455)/60),"")</f>
        <v>4.17199999999866</v>
      </c>
      <c r="I456" s="22" t="str">
        <f aca="false">IFERROR(INDEX(Medidores!$B:$B,MATCH(B456,Medidores!$A:$A,0)),"")</f>
        <v>L14</v>
      </c>
      <c r="J456" s="22" t="s">
        <v>168</v>
      </c>
    </row>
    <row r="457" customFormat="false" ht="15" hidden="false" customHeight="false" outlineLevel="0" collapsed="false">
      <c r="A457" s="21" t="n">
        <v>46304</v>
      </c>
      <c r="B457" s="22" t="s">
        <v>84</v>
      </c>
      <c r="C457" s="23" t="n">
        <v>0.541666666666667</v>
      </c>
      <c r="D457" s="24" t="n">
        <v>10575.789</v>
      </c>
      <c r="E457" s="24" t="n">
        <v>4947.809</v>
      </c>
      <c r="F457" s="24" t="n">
        <v>11856.441</v>
      </c>
      <c r="G457" s="22" t="n">
        <f aca="false">HOUR(C457)*60+MINUTE(C457)</f>
        <v>780</v>
      </c>
      <c r="H457" s="25" t="n">
        <f aca="false">IF(AND(B457=B456,A457=A456,D457&gt;0,N(D456)&gt;0,G457&gt;N(G456)),(D457-D456)/((G457-G456)/60),"")</f>
        <v>4.18800000000192</v>
      </c>
      <c r="I457" s="22" t="str">
        <f aca="false">IFERROR(INDEX(Medidores!$B:$B,MATCH(B457,Medidores!$A:$A,0)),"")</f>
        <v>L14</v>
      </c>
      <c r="J457" s="22" t="s">
        <v>169</v>
      </c>
    </row>
    <row r="458" customFormat="false" ht="15" hidden="false" customHeight="false" outlineLevel="0" collapsed="false">
      <c r="A458" s="21" t="n">
        <v>46304</v>
      </c>
      <c r="B458" s="22" t="s">
        <v>84</v>
      </c>
      <c r="C458" s="23" t="n">
        <v>0.552083333333333</v>
      </c>
      <c r="D458" s="24" t="n">
        <v>10576.833</v>
      </c>
      <c r="E458" s="24" t="n">
        <v>4948.361</v>
      </c>
      <c r="F458" s="24" t="n">
        <v>11857.623</v>
      </c>
      <c r="G458" s="22" t="n">
        <f aca="false">HOUR(C458)*60+MINUTE(C458)</f>
        <v>795</v>
      </c>
      <c r="H458" s="25" t="n">
        <f aca="false">IF(AND(B458=B457,A458=A457,D458&gt;0,N(D457)&gt;0,G458&gt;N(G457)),(D458-D457)/((G458-G457)/60),"")</f>
        <v>4.17599999999948</v>
      </c>
      <c r="I458" s="22" t="str">
        <f aca="false">IFERROR(INDEX(Medidores!$B:$B,MATCH(B458,Medidores!$A:$A,0)),"")</f>
        <v>L14</v>
      </c>
      <c r="J458" s="22" t="s">
        <v>170</v>
      </c>
    </row>
    <row r="459" customFormat="false" ht="15" hidden="false" customHeight="false" outlineLevel="0" collapsed="false">
      <c r="A459" s="21" t="n">
        <v>46304</v>
      </c>
      <c r="B459" s="22" t="s">
        <v>84</v>
      </c>
      <c r="C459" s="23" t="n">
        <v>0.5625</v>
      </c>
      <c r="D459" s="24" t="n">
        <v>10577.879</v>
      </c>
      <c r="E459" s="24" t="n">
        <v>4948.892</v>
      </c>
      <c r="F459" s="24" t="n">
        <v>11858.798</v>
      </c>
      <c r="G459" s="22" t="n">
        <f aca="false">HOUR(C459)*60+MINUTE(C459)</f>
        <v>810</v>
      </c>
      <c r="H459" s="25" t="n">
        <f aca="false">IF(AND(B459=B458,A459=A458,D459&gt;0,N(D458)&gt;0,G459&gt;N(G458)),(D459-D458)/((G459-G458)/60),"")</f>
        <v>4.18400000000111</v>
      </c>
      <c r="I459" s="22" t="str">
        <f aca="false">IFERROR(INDEX(Medidores!$B:$B,MATCH(B459,Medidores!$A:$A,0)),"")</f>
        <v>L14</v>
      </c>
      <c r="J459" s="22" t="s">
        <v>171</v>
      </c>
    </row>
    <row r="460" customFormat="false" ht="15" hidden="false" customHeight="false" outlineLevel="0" collapsed="false">
      <c r="A460" s="21" t="n">
        <v>46304</v>
      </c>
      <c r="B460" s="22" t="s">
        <v>84</v>
      </c>
      <c r="C460" s="23" t="n">
        <v>0.572916666666667</v>
      </c>
      <c r="D460" s="24" t="n">
        <v>10578.929</v>
      </c>
      <c r="E460" s="24" t="n">
        <v>4949.439</v>
      </c>
      <c r="F460" s="24" t="n">
        <v>11859.985</v>
      </c>
      <c r="G460" s="22" t="n">
        <f aca="false">HOUR(C460)*60+MINUTE(C460)</f>
        <v>825</v>
      </c>
      <c r="H460" s="25" t="n">
        <f aca="false">IF(AND(B460=B459,A460=A459,D460&gt;0,N(D459)&gt;0,G460&gt;N(G459)),(D460-D459)/((G460-G459)/60),"")</f>
        <v>4.19999999999709</v>
      </c>
      <c r="I460" s="22" t="str">
        <f aca="false">IFERROR(INDEX(Medidores!$B:$B,MATCH(B460,Medidores!$A:$A,0)),"")</f>
        <v>L14</v>
      </c>
      <c r="J460" s="22" t="s">
        <v>172</v>
      </c>
    </row>
    <row r="461" customFormat="false" ht="15" hidden="false" customHeight="false" outlineLevel="0" collapsed="false">
      <c r="A461" s="21" t="n">
        <v>46304</v>
      </c>
      <c r="B461" s="22" t="s">
        <v>84</v>
      </c>
      <c r="C461" s="23" t="n">
        <v>0.583333333333333</v>
      </c>
      <c r="D461" s="24" t="n">
        <v>10579.974</v>
      </c>
      <c r="E461" s="24" t="n">
        <v>4949.979</v>
      </c>
      <c r="F461" s="24" t="n">
        <v>11861.162</v>
      </c>
      <c r="G461" s="22" t="n">
        <f aca="false">HOUR(C461)*60+MINUTE(C461)</f>
        <v>840</v>
      </c>
      <c r="H461" s="25" t="n">
        <f aca="false">IF(AND(B461=B460,A461=A460,D461&gt;0,N(D460)&gt;0,G461&gt;N(G460)),(D461-D460)/((G461-G460)/60),"")</f>
        <v>4.18000000000029</v>
      </c>
      <c r="I461" s="22" t="str">
        <f aca="false">IFERROR(INDEX(Medidores!$B:$B,MATCH(B461,Medidores!$A:$A,0)),"")</f>
        <v>L14</v>
      </c>
      <c r="J461" s="22" t="s">
        <v>173</v>
      </c>
    </row>
    <row r="462" customFormat="false" ht="15" hidden="false" customHeight="false" outlineLevel="0" collapsed="false">
      <c r="A462" s="21" t="n">
        <v>46304</v>
      </c>
      <c r="B462" s="22" t="s">
        <v>86</v>
      </c>
      <c r="C462" s="23" t="n">
        <v>0.375</v>
      </c>
      <c r="D462" s="24" t="n">
        <v>13636.002</v>
      </c>
      <c r="E462" s="24" t="n">
        <v>11000.733</v>
      </c>
      <c r="F462" s="24" t="n">
        <v>17769.705</v>
      </c>
      <c r="G462" s="22" t="n">
        <f aca="false">HOUR(C462)*60+MINUTE(C462)</f>
        <v>540</v>
      </c>
      <c r="H462" s="25" t="str">
        <f aca="false">IF(AND(B462=B461,A462=A461,D462&gt;0,N(D461)&gt;0,G462&gt;N(G461)),(D462-D461)/((G462-G461)/60),"")</f>
        <v/>
      </c>
      <c r="I462" s="22" t="str">
        <f aca="false">IFERROR(INDEX(Medidores!$B:$B,MATCH(B462,Medidores!$A:$A,0)),"")</f>
        <v>L20</v>
      </c>
      <c r="J462" s="22" t="s">
        <v>173</v>
      </c>
    </row>
    <row r="463" customFormat="false" ht="15" hidden="false" customHeight="false" outlineLevel="0" collapsed="false">
      <c r="A463" s="21" t="n">
        <v>46304</v>
      </c>
      <c r="B463" s="22" t="s">
        <v>86</v>
      </c>
      <c r="C463" s="23" t="n">
        <v>0.385416666666667</v>
      </c>
      <c r="D463" s="24" t="n">
        <v>13636.899</v>
      </c>
      <c r="E463" s="24" t="n">
        <v>11001.426</v>
      </c>
      <c r="F463" s="24" t="n">
        <v>17770.844</v>
      </c>
      <c r="G463" s="22" t="n">
        <f aca="false">HOUR(C463)*60+MINUTE(C463)</f>
        <v>555</v>
      </c>
      <c r="H463" s="25" t="n">
        <f aca="false">IF(AND(B463=B462,A463=A462,D463&gt;0,N(D462)&gt;0,G463&gt;N(G462)),(D463-D462)/((G463-G462)/60),"")</f>
        <v>3.5879999999961</v>
      </c>
      <c r="I463" s="22" t="str">
        <f aca="false">IFERROR(INDEX(Medidores!$B:$B,MATCH(B463,Medidores!$A:$A,0)),"")</f>
        <v>L20</v>
      </c>
      <c r="J463" s="22" t="s">
        <v>133</v>
      </c>
    </row>
    <row r="464" customFormat="false" ht="15" hidden="false" customHeight="false" outlineLevel="0" collapsed="false">
      <c r="A464" s="21" t="n">
        <v>46304</v>
      </c>
      <c r="B464" s="22" t="s">
        <v>86</v>
      </c>
      <c r="C464" s="23" t="n">
        <v>0.395833333333333</v>
      </c>
      <c r="D464" s="24" t="n">
        <v>13637.685</v>
      </c>
      <c r="E464" s="24" t="n">
        <v>11002.037</v>
      </c>
      <c r="F464" s="24" t="n">
        <v>17771.846</v>
      </c>
      <c r="G464" s="22" t="n">
        <f aca="false">HOUR(C464)*60+MINUTE(C464)</f>
        <v>570</v>
      </c>
      <c r="H464" s="25" t="n">
        <f aca="false">IF(AND(B464=B463,A464=A463,D464&gt;0,N(D463)&gt;0,G464&gt;N(G463)),(D464-D463)/((G464-G463)/60),"")</f>
        <v>3.14400000000023</v>
      </c>
      <c r="I464" s="22" t="str">
        <f aca="false">IFERROR(INDEX(Medidores!$B:$B,MATCH(B464,Medidores!$A:$A,0)),"")</f>
        <v>L20</v>
      </c>
      <c r="J464" s="22" t="s">
        <v>134</v>
      </c>
    </row>
    <row r="465" customFormat="false" ht="15" hidden="false" customHeight="false" outlineLevel="0" collapsed="false">
      <c r="A465" s="21" t="n">
        <v>46304</v>
      </c>
      <c r="B465" s="22" t="s">
        <v>86</v>
      </c>
      <c r="C465" s="23" t="n">
        <v>0.40625</v>
      </c>
      <c r="D465" s="24" t="n">
        <v>13638.69</v>
      </c>
      <c r="E465" s="24" t="n">
        <v>11002.762</v>
      </c>
      <c r="F465" s="24" t="n">
        <v>17773.084</v>
      </c>
      <c r="G465" s="22" t="n">
        <f aca="false">HOUR(C465)*60+MINUTE(C465)</f>
        <v>585</v>
      </c>
      <c r="H465" s="25" t="n">
        <f aca="false">IF(AND(B465=B464,A465=A464,D465&gt;0,N(D464)&gt;0,G465&gt;N(G464)),(D465-D464)/((G465-G464)/60),"")</f>
        <v>4.02000000000407</v>
      </c>
      <c r="I465" s="22" t="str">
        <f aca="false">IFERROR(INDEX(Medidores!$B:$B,MATCH(B465,Medidores!$A:$A,0)),"")</f>
        <v>L20</v>
      </c>
      <c r="J465" s="22" t="s">
        <v>135</v>
      </c>
    </row>
    <row r="466" customFormat="false" ht="15" hidden="false" customHeight="false" outlineLevel="0" collapsed="false">
      <c r="A466" s="21" t="n">
        <v>46304</v>
      </c>
      <c r="B466" s="22" t="s">
        <v>86</v>
      </c>
      <c r="C466" s="23" t="n">
        <v>0.416666666666667</v>
      </c>
      <c r="D466" s="24" t="n">
        <v>13639.679</v>
      </c>
      <c r="E466" s="24" t="n">
        <v>11003.482</v>
      </c>
      <c r="F466" s="24" t="n">
        <v>17774.313</v>
      </c>
      <c r="G466" s="22" t="n">
        <f aca="false">HOUR(C466)*60+MINUTE(C466)</f>
        <v>600</v>
      </c>
      <c r="H466" s="25" t="n">
        <f aca="false">IF(AND(B466=B465,A466=A465,D466&gt;0,N(D465)&gt;0,G466&gt;N(G465)),(D466-D465)/((G466-G465)/60),"")</f>
        <v>3.95599999999831</v>
      </c>
      <c r="I466" s="22" t="str">
        <f aca="false">IFERROR(INDEX(Medidores!$B:$B,MATCH(B466,Medidores!$A:$A,0)),"")</f>
        <v>L20</v>
      </c>
      <c r="J466" s="22" t="s">
        <v>136</v>
      </c>
    </row>
    <row r="467" customFormat="false" ht="15" hidden="false" customHeight="false" outlineLevel="0" collapsed="false">
      <c r="A467" s="21" t="n">
        <v>46304</v>
      </c>
      <c r="B467" s="22" t="s">
        <v>86</v>
      </c>
      <c r="C467" s="23" t="n">
        <v>0.427083333333333</v>
      </c>
      <c r="D467" s="24" t="n">
        <v>13640.677</v>
      </c>
      <c r="E467" s="24" t="n">
        <v>11004.22</v>
      </c>
      <c r="F467" s="24" t="n">
        <v>17775.559</v>
      </c>
      <c r="G467" s="22" t="n">
        <f aca="false">HOUR(C467)*60+MINUTE(C467)</f>
        <v>615</v>
      </c>
      <c r="H467" s="25" t="n">
        <f aca="false">IF(AND(B467=B466,A467=A466,D467&gt;0,N(D466)&gt;0,G467&gt;N(G466)),(D467-D466)/((G467-G466)/60),"")</f>
        <v>3.99199999999837</v>
      </c>
      <c r="I467" s="22" t="str">
        <f aca="false">IFERROR(INDEX(Medidores!$B:$B,MATCH(B467,Medidores!$A:$A,0)),"")</f>
        <v>L20</v>
      </c>
      <c r="J467" s="22" t="s">
        <v>137</v>
      </c>
    </row>
    <row r="468" customFormat="false" ht="15" hidden="false" customHeight="false" outlineLevel="0" collapsed="false">
      <c r="A468" s="21" t="n">
        <v>46304</v>
      </c>
      <c r="B468" s="22" t="s">
        <v>86</v>
      </c>
      <c r="C468" s="23" t="n">
        <v>0.4375</v>
      </c>
      <c r="D468" s="24" t="n">
        <v>13641.442</v>
      </c>
      <c r="E468" s="24" t="n">
        <v>11004.794</v>
      </c>
      <c r="F468" s="24" t="n">
        <v>17776.519</v>
      </c>
      <c r="G468" s="22" t="n">
        <f aca="false">HOUR(C468)*60+MINUTE(C468)</f>
        <v>630</v>
      </c>
      <c r="H468" s="25" t="n">
        <f aca="false">IF(AND(B468=B467,A468=A467,D468&gt;0,N(D467)&gt;0,G468&gt;N(G467)),(D468-D467)/((G468-G467)/60),"")</f>
        <v>3.05999999999767</v>
      </c>
      <c r="I468" s="22" t="str">
        <f aca="false">IFERROR(INDEX(Medidores!$B:$B,MATCH(B468,Medidores!$A:$A,0)),"")</f>
        <v>L20</v>
      </c>
      <c r="J468" s="22" t="s">
        <v>138</v>
      </c>
    </row>
    <row r="469" customFormat="false" ht="15" hidden="false" customHeight="false" outlineLevel="0" collapsed="false">
      <c r="A469" s="21" t="n">
        <v>46304</v>
      </c>
      <c r="B469" s="22" t="s">
        <v>86</v>
      </c>
      <c r="C469" s="23" t="n">
        <v>0.447916666666667</v>
      </c>
      <c r="D469" s="24" t="n">
        <v>13641.829</v>
      </c>
      <c r="E469" s="24" t="n">
        <v>11005.072</v>
      </c>
      <c r="F469" s="24" t="n">
        <v>17776.998</v>
      </c>
      <c r="G469" s="22" t="n">
        <f aca="false">HOUR(C469)*60+MINUTE(C469)</f>
        <v>645</v>
      </c>
      <c r="H469" s="25" t="n">
        <f aca="false">IF(AND(B469=B468,A469=A468,D469&gt;0,N(D468)&gt;0,G469&gt;N(G468)),(D469-D468)/((G469-G468)/60),"")</f>
        <v>1.5480000000025</v>
      </c>
      <c r="I469" s="22" t="str">
        <f aca="false">IFERROR(INDEX(Medidores!$B:$B,MATCH(B469,Medidores!$A:$A,0)),"")</f>
        <v>L20</v>
      </c>
      <c r="J469" s="22" t="s">
        <v>139</v>
      </c>
    </row>
    <row r="470" customFormat="false" ht="15" hidden="false" customHeight="false" outlineLevel="0" collapsed="false">
      <c r="A470" s="21" t="n">
        <v>46304</v>
      </c>
      <c r="B470" s="22" t="s">
        <v>86</v>
      </c>
      <c r="C470" s="23" t="n">
        <v>0.458333333333333</v>
      </c>
      <c r="D470" s="24" t="n">
        <v>13642.371</v>
      </c>
      <c r="E470" s="24" t="n">
        <v>11005.468</v>
      </c>
      <c r="F470" s="24" t="n">
        <v>17777.672</v>
      </c>
      <c r="G470" s="22" t="n">
        <f aca="false">HOUR(C470)*60+MINUTE(C470)</f>
        <v>660</v>
      </c>
      <c r="H470" s="25" t="n">
        <f aca="false">IF(AND(B470=B469,A470=A469,D470&gt;0,N(D469)&gt;0,G470&gt;N(G469)),(D470-D469)/((G470-G469)/60),"")</f>
        <v>2.16799999999785</v>
      </c>
      <c r="I470" s="22" t="str">
        <f aca="false">IFERROR(INDEX(Medidores!$B:$B,MATCH(B470,Medidores!$A:$A,0)),"")</f>
        <v>L20</v>
      </c>
      <c r="J470" s="22" t="s">
        <v>140</v>
      </c>
    </row>
    <row r="471" customFormat="false" ht="15" hidden="false" customHeight="false" outlineLevel="0" collapsed="false">
      <c r="A471" s="21" t="n">
        <v>46304</v>
      </c>
      <c r="B471" s="22" t="s">
        <v>86</v>
      </c>
      <c r="C471" s="23" t="n">
        <v>0.46875</v>
      </c>
      <c r="D471" s="24" t="n">
        <v>13643.391</v>
      </c>
      <c r="E471" s="24" t="n">
        <v>11006.196</v>
      </c>
      <c r="F471" s="24" t="n">
        <v>17778.926</v>
      </c>
      <c r="G471" s="22" t="n">
        <f aca="false">HOUR(C471)*60+MINUTE(C471)</f>
        <v>675</v>
      </c>
      <c r="H471" s="25" t="n">
        <f aca="false">IF(AND(B471=B470,A471=A470,D471&gt;0,N(D470)&gt;0,G471&gt;N(G470)),(D471-D470)/((G471-G470)/60),"")</f>
        <v>4.08000000000175</v>
      </c>
      <c r="I471" s="22" t="str">
        <f aca="false">IFERROR(INDEX(Medidores!$B:$B,MATCH(B471,Medidores!$A:$A,0)),"")</f>
        <v>L20</v>
      </c>
      <c r="J471" s="22" t="s">
        <v>141</v>
      </c>
    </row>
    <row r="472" customFormat="false" ht="15" hidden="false" customHeight="false" outlineLevel="0" collapsed="false">
      <c r="A472" s="21" t="n">
        <v>46304</v>
      </c>
      <c r="B472" s="22" t="s">
        <v>86</v>
      </c>
      <c r="C472" s="23" t="n">
        <v>0.479166666666667</v>
      </c>
      <c r="D472" s="24" t="n">
        <v>13644.394</v>
      </c>
      <c r="E472" s="24" t="n">
        <v>11006.935</v>
      </c>
      <c r="F472" s="24" t="n">
        <v>17780.174</v>
      </c>
      <c r="G472" s="22" t="n">
        <f aca="false">HOUR(C472)*60+MINUTE(C472)</f>
        <v>690</v>
      </c>
      <c r="H472" s="25" t="n">
        <f aca="false">IF(AND(B472=B471,A472=A471,D472&gt;0,N(D471)&gt;0,G472&gt;N(G471)),(D472-D471)/((G472-G471)/60),"")</f>
        <v>4.01200000000245</v>
      </c>
      <c r="I472" s="22" t="str">
        <f aca="false">IFERROR(INDEX(Medidores!$B:$B,MATCH(B472,Medidores!$A:$A,0)),"")</f>
        <v>L20</v>
      </c>
      <c r="J472" s="22" t="s">
        <v>142</v>
      </c>
    </row>
    <row r="473" customFormat="false" ht="15" hidden="false" customHeight="false" outlineLevel="0" collapsed="false">
      <c r="A473" s="21" t="n">
        <v>46304</v>
      </c>
      <c r="B473" s="22" t="s">
        <v>86</v>
      </c>
      <c r="C473" s="23" t="n">
        <v>0.489583333333333</v>
      </c>
      <c r="D473" s="24" t="n">
        <v>13645.415</v>
      </c>
      <c r="E473" s="24" t="n">
        <v>11007.663</v>
      </c>
      <c r="F473" s="24" t="n">
        <v>17781.432</v>
      </c>
      <c r="G473" s="22" t="n">
        <f aca="false">HOUR(C473)*60+MINUTE(C473)</f>
        <v>705</v>
      </c>
      <c r="H473" s="25" t="n">
        <f aca="false">IF(AND(B473=B472,A473=A472,D473&gt;0,N(D472)&gt;0,G473&gt;N(G472)),(D473-D472)/((G473-G472)/60),"")</f>
        <v>4.08400000000256</v>
      </c>
      <c r="I473" s="22" t="str">
        <f aca="false">IFERROR(INDEX(Medidores!$B:$B,MATCH(B473,Medidores!$A:$A,0)),"")</f>
        <v>L20</v>
      </c>
      <c r="J473" s="22" t="s">
        <v>143</v>
      </c>
    </row>
    <row r="474" customFormat="false" ht="15" hidden="false" customHeight="false" outlineLevel="0" collapsed="false">
      <c r="A474" s="21" t="n">
        <v>46304</v>
      </c>
      <c r="B474" s="22" t="s">
        <v>86</v>
      </c>
      <c r="C474" s="23" t="n">
        <v>0.5</v>
      </c>
      <c r="D474" s="24" t="n">
        <v>13646.405</v>
      </c>
      <c r="E474" s="24" t="n">
        <v>11008.384</v>
      </c>
      <c r="F474" s="24" t="n">
        <v>17782.66</v>
      </c>
      <c r="G474" s="22" t="n">
        <f aca="false">HOUR(C474)*60+MINUTE(C474)</f>
        <v>720</v>
      </c>
      <c r="H474" s="25" t="n">
        <f aca="false">IF(AND(B474=B473,A474=A473,D474&gt;0,N(D473)&gt;0,G474&gt;N(G473)),(D474-D473)/((G474-G473)/60),"")</f>
        <v>3.95999999999913</v>
      </c>
      <c r="I474" s="22" t="str">
        <f aca="false">IFERROR(INDEX(Medidores!$B:$B,MATCH(B474,Medidores!$A:$A,0)),"")</f>
        <v>L20</v>
      </c>
      <c r="J474" s="22" t="s">
        <v>144</v>
      </c>
    </row>
    <row r="475" customFormat="false" ht="15" hidden="false" customHeight="false" outlineLevel="0" collapsed="false">
      <c r="A475" s="21" t="n">
        <v>46304</v>
      </c>
      <c r="B475" s="22" t="s">
        <v>86</v>
      </c>
      <c r="C475" s="23" t="n">
        <v>0.510416666666667</v>
      </c>
      <c r="D475" s="24" t="n">
        <v>13647.272</v>
      </c>
      <c r="E475" s="24" t="n">
        <v>11009.068</v>
      </c>
      <c r="F475" s="24" t="n">
        <v>17783.766</v>
      </c>
      <c r="G475" s="22" t="n">
        <f aca="false">HOUR(C475)*60+MINUTE(C475)</f>
        <v>735</v>
      </c>
      <c r="H475" s="25" t="n">
        <f aca="false">IF(AND(B475=B474,A475=A474,D475&gt;0,N(D474)&gt;0,G475&gt;N(G474)),(D475-D474)/((G475-G474)/60),"")</f>
        <v>3.46800000000076</v>
      </c>
      <c r="I475" s="22" t="str">
        <f aca="false">IFERROR(INDEX(Medidores!$B:$B,MATCH(B475,Medidores!$A:$A,0)),"")</f>
        <v>L20</v>
      </c>
      <c r="J475" s="22" t="s">
        <v>145</v>
      </c>
    </row>
    <row r="476" customFormat="false" ht="15" hidden="false" customHeight="false" outlineLevel="0" collapsed="false">
      <c r="A476" s="21" t="n">
        <v>46304</v>
      </c>
      <c r="B476" s="22" t="s">
        <v>86</v>
      </c>
      <c r="C476" s="23" t="n">
        <v>0.520833333333333</v>
      </c>
      <c r="D476" s="24" t="n">
        <v>13648.018</v>
      </c>
      <c r="E476" s="24" t="n">
        <v>11009.682</v>
      </c>
      <c r="F476" s="24" t="n">
        <v>17784.736</v>
      </c>
      <c r="G476" s="22" t="n">
        <f aca="false">HOUR(C476)*60+MINUTE(C476)</f>
        <v>750</v>
      </c>
      <c r="H476" s="25" t="n">
        <f aca="false">IF(AND(B476=B475,A476=A475,D476&gt;0,N(D475)&gt;0,G476&gt;N(G475)),(D476-D475)/((G476-G475)/60),"")</f>
        <v>2.98399999999674</v>
      </c>
      <c r="I476" s="22" t="str">
        <f aca="false">IFERROR(INDEX(Medidores!$B:$B,MATCH(B476,Medidores!$A:$A,0)),"")</f>
        <v>L20</v>
      </c>
      <c r="J476" s="22" t="s">
        <v>146</v>
      </c>
    </row>
    <row r="477" customFormat="false" ht="15" hidden="false" customHeight="false" outlineLevel="0" collapsed="false">
      <c r="A477" s="21" t="n">
        <v>46304</v>
      </c>
      <c r="B477" s="22" t="s">
        <v>86</v>
      </c>
      <c r="C477" s="23" t="n">
        <v>0.53125</v>
      </c>
      <c r="D477" s="24" t="n">
        <v>13648.871</v>
      </c>
      <c r="E477" s="24" t="n">
        <v>11010.346</v>
      </c>
      <c r="F477" s="24" t="n">
        <v>17785.82</v>
      </c>
      <c r="G477" s="22" t="n">
        <f aca="false">HOUR(C477)*60+MINUTE(C477)</f>
        <v>765</v>
      </c>
      <c r="H477" s="25" t="n">
        <f aca="false">IF(AND(B477=B476,A477=A476,D477&gt;0,N(D476)&gt;0,G477&gt;N(G476)),(D477-D476)/((G477-G476)/60),"")</f>
        <v>3.41199999999662</v>
      </c>
      <c r="I477" s="22" t="str">
        <f aca="false">IFERROR(INDEX(Medidores!$B:$B,MATCH(B477,Medidores!$A:$A,0)),"")</f>
        <v>L20</v>
      </c>
      <c r="J477" s="22" t="s">
        <v>147</v>
      </c>
    </row>
    <row r="478" customFormat="false" ht="15" hidden="false" customHeight="false" outlineLevel="0" collapsed="false">
      <c r="A478" s="21" t="n">
        <v>46304</v>
      </c>
      <c r="B478" s="22" t="s">
        <v>86</v>
      </c>
      <c r="C478" s="23" t="n">
        <v>0.541666666666667</v>
      </c>
      <c r="D478" s="24" t="n">
        <v>13649.755</v>
      </c>
      <c r="E478" s="24" t="n">
        <v>11011.027</v>
      </c>
      <c r="F478" s="24" t="n">
        <v>17786.94</v>
      </c>
      <c r="G478" s="22" t="n">
        <f aca="false">HOUR(C478)*60+MINUTE(C478)</f>
        <v>780</v>
      </c>
      <c r="H478" s="25" t="n">
        <f aca="false">IF(AND(B478=B477,A478=A477,D478&gt;0,N(D477)&gt;0,G478&gt;N(G477)),(D478-D477)/((G478-G477)/60),"")</f>
        <v>3.53600000000006</v>
      </c>
      <c r="I478" s="22" t="str">
        <f aca="false">IFERROR(INDEX(Medidores!$B:$B,MATCH(B478,Medidores!$A:$A,0)),"")</f>
        <v>L20</v>
      </c>
      <c r="J478" s="22" t="s">
        <v>148</v>
      </c>
    </row>
    <row r="479" customFormat="false" ht="15" hidden="false" customHeight="false" outlineLevel="0" collapsed="false">
      <c r="A479" s="21" t="n">
        <v>46304</v>
      </c>
      <c r="B479" s="22" t="s">
        <v>86</v>
      </c>
      <c r="C479" s="23" t="n">
        <v>0.552083333333333</v>
      </c>
      <c r="D479" s="24" t="n">
        <v>13650.44</v>
      </c>
      <c r="E479" s="24" t="n">
        <v>11011.614</v>
      </c>
      <c r="F479" s="24" t="n">
        <v>17787.844</v>
      </c>
      <c r="G479" s="22" t="n">
        <f aca="false">HOUR(C479)*60+MINUTE(C479)</f>
        <v>795</v>
      </c>
      <c r="H479" s="25" t="n">
        <f aca="false">IF(AND(B479=B478,A479=A478,D479&gt;0,N(D478)&gt;0,G479&gt;N(G478)),(D479-D478)/((G479-G478)/60),"")</f>
        <v>2.74000000000524</v>
      </c>
      <c r="I479" s="22" t="str">
        <f aca="false">IFERROR(INDEX(Medidores!$B:$B,MATCH(B479,Medidores!$A:$A,0)),"")</f>
        <v>L20</v>
      </c>
      <c r="J479" s="22" t="s">
        <v>149</v>
      </c>
    </row>
    <row r="480" customFormat="false" ht="15" hidden="false" customHeight="false" outlineLevel="0" collapsed="false">
      <c r="A480" s="21" t="n">
        <v>46304</v>
      </c>
      <c r="B480" s="22" t="s">
        <v>86</v>
      </c>
      <c r="C480" s="23" t="n">
        <v>0.5625</v>
      </c>
      <c r="D480" s="24" t="n">
        <v>13651.203</v>
      </c>
      <c r="E480" s="24" t="n">
        <v>11012.245</v>
      </c>
      <c r="F480" s="24" t="n">
        <v>17788.84</v>
      </c>
      <c r="G480" s="22" t="n">
        <f aca="false">HOUR(C480)*60+MINUTE(C480)</f>
        <v>810</v>
      </c>
      <c r="H480" s="25" t="n">
        <f aca="false">IF(AND(B480=B479,A480=A479,D480&gt;0,N(D479)&gt;0,G480&gt;N(G479)),(D480-D479)/((G480-G479)/60),"")</f>
        <v>3.05199999999604</v>
      </c>
      <c r="I480" s="22" t="str">
        <f aca="false">IFERROR(INDEX(Medidores!$B:$B,MATCH(B480,Medidores!$A:$A,0)),"")</f>
        <v>L20</v>
      </c>
      <c r="J480" s="22" t="s">
        <v>150</v>
      </c>
    </row>
    <row r="481" customFormat="false" ht="15" hidden="false" customHeight="false" outlineLevel="0" collapsed="false">
      <c r="A481" s="21" t="n">
        <v>46304</v>
      </c>
      <c r="B481" s="22" t="s">
        <v>86</v>
      </c>
      <c r="C481" s="23" t="n">
        <v>0.572916666666667</v>
      </c>
      <c r="D481" s="24" t="n">
        <v>13652.201</v>
      </c>
      <c r="E481" s="24" t="n">
        <v>11012.983</v>
      </c>
      <c r="F481" s="24" t="n">
        <v>17790.088</v>
      </c>
      <c r="G481" s="22" t="n">
        <f aca="false">HOUR(C481)*60+MINUTE(C481)</f>
        <v>825</v>
      </c>
      <c r="H481" s="25" t="n">
        <f aca="false">IF(AND(B481=B480,A481=A480,D481&gt;0,N(D480)&gt;0,G481&gt;N(G480)),(D481-D480)/((G481-G480)/60),"")</f>
        <v>3.99199999999837</v>
      </c>
      <c r="I481" s="22" t="str">
        <f aca="false">IFERROR(INDEX(Medidores!$B:$B,MATCH(B481,Medidores!$A:$A,0)),"")</f>
        <v>L20</v>
      </c>
      <c r="J481" s="22" t="s">
        <v>151</v>
      </c>
    </row>
    <row r="482" customFormat="false" ht="15" hidden="false" customHeight="false" outlineLevel="0" collapsed="false">
      <c r="A482" s="21" t="n">
        <v>46304</v>
      </c>
      <c r="B482" s="22" t="s">
        <v>87</v>
      </c>
      <c r="C482" s="23" t="n">
        <v>0.385416666666667</v>
      </c>
      <c r="D482" s="24" t="n">
        <v>6628.23</v>
      </c>
      <c r="E482" s="24" t="n">
        <v>1761.235</v>
      </c>
      <c r="F482" s="24" t="n">
        <v>8234.571</v>
      </c>
      <c r="G482" s="22" t="n">
        <f aca="false">HOUR(C482)*60+MINUTE(C482)</f>
        <v>555</v>
      </c>
      <c r="H482" s="25" t="str">
        <f aca="false">IF(AND(B482=B481,A482=A481,D482&gt;0,N(D481)&gt;0,G482&gt;N(G481)),(D482-D481)/((G482-G481)/60),"")</f>
        <v/>
      </c>
      <c r="I482" s="22" t="str">
        <f aca="false">IFERROR(INDEX(Medidores!$B:$B,MATCH(B482,Medidores!$A:$A,0)),"")</f>
        <v>L16</v>
      </c>
      <c r="J482" s="22" t="s">
        <v>133</v>
      </c>
    </row>
    <row r="483" customFormat="false" ht="15" hidden="false" customHeight="false" outlineLevel="0" collapsed="false">
      <c r="A483" s="21" t="n">
        <v>46304</v>
      </c>
      <c r="B483" s="22" t="s">
        <v>87</v>
      </c>
      <c r="C483" s="23" t="n">
        <v>0.395833333333333</v>
      </c>
      <c r="D483" s="24" t="n">
        <v>6628.27</v>
      </c>
      <c r="E483" s="24" t="n">
        <v>1761.235</v>
      </c>
      <c r="F483" s="24" t="n">
        <v>8234.677</v>
      </c>
      <c r="G483" s="22" t="n">
        <f aca="false">HOUR(C483)*60+MINUTE(C483)</f>
        <v>570</v>
      </c>
      <c r="H483" s="25" t="n">
        <f aca="false">IF(AND(B483=B482,A483=A482,D483&gt;0,N(D482)&gt;0,G483&gt;N(G482)),(D483-D482)/((G483-G482)/60),"")</f>
        <v>0.160000000003492</v>
      </c>
      <c r="I483" s="22" t="str">
        <f aca="false">IFERROR(INDEX(Medidores!$B:$B,MATCH(B483,Medidores!$A:$A,0)),"")</f>
        <v>L16</v>
      </c>
      <c r="J483" s="22" t="s">
        <v>134</v>
      </c>
    </row>
    <row r="484" customFormat="false" ht="15" hidden="false" customHeight="false" outlineLevel="0" collapsed="false">
      <c r="A484" s="21" t="n">
        <v>46304</v>
      </c>
      <c r="B484" s="22" t="s">
        <v>87</v>
      </c>
      <c r="C484" s="23" t="n">
        <v>0.40625</v>
      </c>
      <c r="D484" s="24" t="n">
        <v>6628.309</v>
      </c>
      <c r="E484" s="24" t="n">
        <v>1761.235</v>
      </c>
      <c r="F484" s="24" t="n">
        <v>8234.783</v>
      </c>
      <c r="G484" s="22" t="n">
        <f aca="false">HOUR(C484)*60+MINUTE(C484)</f>
        <v>585</v>
      </c>
      <c r="H484" s="25" t="n">
        <f aca="false">IF(AND(B484=B483,A484=A483,D484&gt;0,N(D483)&gt;0,G484&gt;N(G483)),(D484-D483)/((G484-G483)/60),"")</f>
        <v>0.15599999999904</v>
      </c>
      <c r="I484" s="22" t="str">
        <f aca="false">IFERROR(INDEX(Medidores!$B:$B,MATCH(B484,Medidores!$A:$A,0)),"")</f>
        <v>L16</v>
      </c>
      <c r="J484" s="22" t="s">
        <v>135</v>
      </c>
    </row>
    <row r="485" customFormat="false" ht="15" hidden="false" customHeight="false" outlineLevel="0" collapsed="false">
      <c r="A485" s="21" t="n">
        <v>46304</v>
      </c>
      <c r="B485" s="22" t="s">
        <v>87</v>
      </c>
      <c r="C485" s="23" t="n">
        <v>0.416666666666667</v>
      </c>
      <c r="D485" s="24" t="n">
        <v>6628.348</v>
      </c>
      <c r="E485" s="24" t="n">
        <v>1761.235</v>
      </c>
      <c r="F485" s="24" t="n">
        <v>8234.888</v>
      </c>
      <c r="G485" s="22" t="n">
        <f aca="false">HOUR(C485)*60+MINUTE(C485)</f>
        <v>600</v>
      </c>
      <c r="H485" s="25" t="n">
        <f aca="false">IF(AND(B485=B484,A485=A484,D485&gt;0,N(D484)&gt;0,G485&gt;N(G484)),(D485-D484)/((G485-G484)/60),"")</f>
        <v>0.15599999999904</v>
      </c>
      <c r="I485" s="22" t="str">
        <f aca="false">IFERROR(INDEX(Medidores!$B:$B,MATCH(B485,Medidores!$A:$A,0)),"")</f>
        <v>L16</v>
      </c>
      <c r="J485" s="22" t="s">
        <v>136</v>
      </c>
    </row>
    <row r="486" customFormat="false" ht="15" hidden="false" customHeight="false" outlineLevel="0" collapsed="false">
      <c r="A486" s="21" t="n">
        <v>46304</v>
      </c>
      <c r="B486" s="22" t="s">
        <v>87</v>
      </c>
      <c r="C486" s="23" t="n">
        <v>0.427083333333333</v>
      </c>
      <c r="D486" s="24" t="n">
        <v>6628.387</v>
      </c>
      <c r="E486" s="24" t="n">
        <v>1761.235</v>
      </c>
      <c r="F486" s="24" t="n">
        <v>8234.994</v>
      </c>
      <c r="G486" s="22" t="n">
        <f aca="false">HOUR(C486)*60+MINUTE(C486)</f>
        <v>615</v>
      </c>
      <c r="H486" s="25" t="n">
        <f aca="false">IF(AND(B486=B485,A486=A485,D486&gt;0,N(D485)&gt;0,G486&gt;N(G485)),(D486-D485)/((G486-G485)/60),"")</f>
        <v>0.15599999999904</v>
      </c>
      <c r="I486" s="22" t="str">
        <f aca="false">IFERROR(INDEX(Medidores!$B:$B,MATCH(B486,Medidores!$A:$A,0)),"")</f>
        <v>L16</v>
      </c>
      <c r="J486" s="22" t="s">
        <v>137</v>
      </c>
    </row>
    <row r="487" customFormat="false" ht="15" hidden="false" customHeight="false" outlineLevel="0" collapsed="false">
      <c r="A487" s="21" t="n">
        <v>46304</v>
      </c>
      <c r="B487" s="22" t="s">
        <v>87</v>
      </c>
      <c r="C487" s="23" t="n">
        <v>0.4375</v>
      </c>
      <c r="D487" s="24" t="n">
        <v>6628.427</v>
      </c>
      <c r="E487" s="24" t="n">
        <v>1761.235</v>
      </c>
      <c r="F487" s="24" t="n">
        <v>8235.099</v>
      </c>
      <c r="G487" s="22" t="n">
        <f aca="false">HOUR(C487)*60+MINUTE(C487)</f>
        <v>630</v>
      </c>
      <c r="H487" s="25" t="n">
        <f aca="false">IF(AND(B487=B486,A487=A486,D487&gt;0,N(D486)&gt;0,G487&gt;N(G486)),(D487-D486)/((G487-G486)/60),"")</f>
        <v>0.159999999999854</v>
      </c>
      <c r="I487" s="22" t="str">
        <f aca="false">IFERROR(INDEX(Medidores!$B:$B,MATCH(B487,Medidores!$A:$A,0)),"")</f>
        <v>L16</v>
      </c>
      <c r="J487" s="22" t="s">
        <v>138</v>
      </c>
    </row>
    <row r="488" customFormat="false" ht="15" hidden="false" customHeight="false" outlineLevel="0" collapsed="false">
      <c r="A488" s="21" t="n">
        <v>46304</v>
      </c>
      <c r="B488" s="22" t="s">
        <v>87</v>
      </c>
      <c r="C488" s="23" t="n">
        <v>0.447916666666667</v>
      </c>
      <c r="D488" s="24" t="n">
        <v>6628.466</v>
      </c>
      <c r="E488" s="24" t="n">
        <v>1761.235</v>
      </c>
      <c r="F488" s="24" t="n">
        <v>8235.205</v>
      </c>
      <c r="G488" s="22" t="n">
        <f aca="false">HOUR(C488)*60+MINUTE(C488)</f>
        <v>645</v>
      </c>
      <c r="H488" s="25" t="n">
        <f aca="false">IF(AND(B488=B487,A488=A487,D488&gt;0,N(D487)&gt;0,G488&gt;N(G487)),(D488-D487)/((G488-G487)/60),"")</f>
        <v>0.156000000002678</v>
      </c>
      <c r="I488" s="22" t="str">
        <f aca="false">IFERROR(INDEX(Medidores!$B:$B,MATCH(B488,Medidores!$A:$A,0)),"")</f>
        <v>L16</v>
      </c>
      <c r="J488" s="22" t="s">
        <v>139</v>
      </c>
    </row>
    <row r="489" customFormat="false" ht="15" hidden="false" customHeight="false" outlineLevel="0" collapsed="false">
      <c r="A489" s="21" t="n">
        <v>46304</v>
      </c>
      <c r="B489" s="22" t="s">
        <v>87</v>
      </c>
      <c r="C489" s="23" t="n">
        <v>0.458333333333333</v>
      </c>
      <c r="D489" s="24" t="n">
        <v>6628.505</v>
      </c>
      <c r="E489" s="24" t="n">
        <v>1761.235</v>
      </c>
      <c r="F489" s="24" t="n">
        <v>8235.311</v>
      </c>
      <c r="G489" s="22" t="n">
        <f aca="false">HOUR(C489)*60+MINUTE(C489)</f>
        <v>660</v>
      </c>
      <c r="H489" s="25" t="n">
        <f aca="false">IF(AND(B489=B488,A489=A488,D489&gt;0,N(D488)&gt;0,G489&gt;N(G488)),(D489-D488)/((G489-G488)/60),"")</f>
        <v>0.15599999999904</v>
      </c>
      <c r="I489" s="22" t="str">
        <f aca="false">IFERROR(INDEX(Medidores!$B:$B,MATCH(B489,Medidores!$A:$A,0)),"")</f>
        <v>L16</v>
      </c>
      <c r="J489" s="22" t="s">
        <v>140</v>
      </c>
    </row>
    <row r="490" customFormat="false" ht="15" hidden="false" customHeight="false" outlineLevel="0" collapsed="false">
      <c r="A490" s="21" t="n">
        <v>46304</v>
      </c>
      <c r="B490" s="22" t="s">
        <v>87</v>
      </c>
      <c r="C490" s="23" t="n">
        <v>0.46875</v>
      </c>
      <c r="D490" s="24" t="n">
        <v>6628.545</v>
      </c>
      <c r="E490" s="24" t="n">
        <v>1761.235</v>
      </c>
      <c r="F490" s="24" t="n">
        <v>8235.418</v>
      </c>
      <c r="G490" s="22" t="n">
        <f aca="false">HOUR(C490)*60+MINUTE(C490)</f>
        <v>675</v>
      </c>
      <c r="H490" s="25" t="n">
        <f aca="false">IF(AND(B490=B489,A490=A489,D490&gt;0,N(D489)&gt;0,G490&gt;N(G489)),(D490-D489)/((G490-G489)/60),"")</f>
        <v>0.159999999999854</v>
      </c>
      <c r="I490" s="22" t="str">
        <f aca="false">IFERROR(INDEX(Medidores!$B:$B,MATCH(B490,Medidores!$A:$A,0)),"")</f>
        <v>L16</v>
      </c>
      <c r="J490" s="22" t="s">
        <v>141</v>
      </c>
    </row>
    <row r="491" customFormat="false" ht="15" hidden="false" customHeight="false" outlineLevel="0" collapsed="false">
      <c r="A491" s="21" t="n">
        <v>46304</v>
      </c>
      <c r="B491" s="22" t="s">
        <v>87</v>
      </c>
      <c r="C491" s="23" t="n">
        <v>0.479166666666667</v>
      </c>
      <c r="D491" s="24" t="n">
        <v>6628.584</v>
      </c>
      <c r="E491" s="24" t="n">
        <v>1761.235</v>
      </c>
      <c r="F491" s="24" t="n">
        <v>8235.525</v>
      </c>
      <c r="G491" s="22" t="n">
        <f aca="false">HOUR(C491)*60+MINUTE(C491)</f>
        <v>690</v>
      </c>
      <c r="H491" s="25" t="n">
        <f aca="false">IF(AND(B491=B490,A491=A490,D491&gt;0,N(D490)&gt;0,G491&gt;N(G490)),(D491-D490)/((G491-G490)/60),"")</f>
        <v>0.15599999999904</v>
      </c>
      <c r="I491" s="22" t="str">
        <f aca="false">IFERROR(INDEX(Medidores!$B:$B,MATCH(B491,Medidores!$A:$A,0)),"")</f>
        <v>L16</v>
      </c>
      <c r="J491" s="22" t="s">
        <v>142</v>
      </c>
    </row>
    <row r="492" customFormat="false" ht="15" hidden="false" customHeight="false" outlineLevel="0" collapsed="false">
      <c r="A492" s="21" t="n">
        <v>46304</v>
      </c>
      <c r="B492" s="22" t="s">
        <v>87</v>
      </c>
      <c r="C492" s="23" t="n">
        <v>0.489583333333333</v>
      </c>
      <c r="D492" s="24" t="n">
        <v>6628.623</v>
      </c>
      <c r="E492" s="24" t="n">
        <v>1761.235</v>
      </c>
      <c r="F492" s="24" t="n">
        <v>8235.632</v>
      </c>
      <c r="G492" s="22" t="n">
        <f aca="false">HOUR(C492)*60+MINUTE(C492)</f>
        <v>705</v>
      </c>
      <c r="H492" s="25" t="n">
        <f aca="false">IF(AND(B492=B491,A492=A491,D492&gt;0,N(D491)&gt;0,G492&gt;N(G491)),(D492-D491)/((G492-G491)/60),"")</f>
        <v>0.15599999999904</v>
      </c>
      <c r="I492" s="22" t="str">
        <f aca="false">IFERROR(INDEX(Medidores!$B:$B,MATCH(B492,Medidores!$A:$A,0)),"")</f>
        <v>L16</v>
      </c>
      <c r="J492" s="22" t="s">
        <v>143</v>
      </c>
    </row>
    <row r="493" customFormat="false" ht="15" hidden="false" customHeight="false" outlineLevel="0" collapsed="false">
      <c r="A493" s="21" t="n">
        <v>46304</v>
      </c>
      <c r="B493" s="22" t="s">
        <v>87</v>
      </c>
      <c r="C493" s="23" t="n">
        <v>0.5</v>
      </c>
      <c r="D493" s="24" t="n">
        <v>6628.662</v>
      </c>
      <c r="E493" s="24" t="n">
        <v>1761.235</v>
      </c>
      <c r="F493" s="24" t="n">
        <v>8235.739</v>
      </c>
      <c r="G493" s="22" t="n">
        <f aca="false">HOUR(C493)*60+MINUTE(C493)</f>
        <v>720</v>
      </c>
      <c r="H493" s="25" t="n">
        <f aca="false">IF(AND(B493=B492,A493=A492,D493&gt;0,N(D492)&gt;0,G493&gt;N(G492)),(D493-D492)/((G493-G492)/60),"")</f>
        <v>0.156000000002678</v>
      </c>
      <c r="I493" s="22" t="str">
        <f aca="false">IFERROR(INDEX(Medidores!$B:$B,MATCH(B493,Medidores!$A:$A,0)),"")</f>
        <v>L16</v>
      </c>
      <c r="J493" s="22" t="s">
        <v>144</v>
      </c>
    </row>
    <row r="494" customFormat="false" ht="15" hidden="false" customHeight="false" outlineLevel="0" collapsed="false">
      <c r="A494" s="21" t="n">
        <v>46304</v>
      </c>
      <c r="B494" s="22" t="s">
        <v>87</v>
      </c>
      <c r="C494" s="23" t="n">
        <v>0.510416666666667</v>
      </c>
      <c r="D494" s="24" t="n">
        <v>6628.702</v>
      </c>
      <c r="E494" s="24" t="n">
        <v>1761.235</v>
      </c>
      <c r="F494" s="24" t="n">
        <v>8235.844</v>
      </c>
      <c r="G494" s="22" t="n">
        <f aca="false">HOUR(C494)*60+MINUTE(C494)</f>
        <v>735</v>
      </c>
      <c r="H494" s="25" t="n">
        <f aca="false">IF(AND(B494=B493,A494=A493,D494&gt;0,N(D493)&gt;0,G494&gt;N(G493)),(D494-D493)/((G494-G493)/60),"")</f>
        <v>0.159999999999854</v>
      </c>
      <c r="I494" s="22" t="str">
        <f aca="false">IFERROR(INDEX(Medidores!$B:$B,MATCH(B494,Medidores!$A:$A,0)),"")</f>
        <v>L16</v>
      </c>
      <c r="J494" s="22" t="s">
        <v>145</v>
      </c>
    </row>
    <row r="495" customFormat="false" ht="15" hidden="false" customHeight="false" outlineLevel="0" collapsed="false">
      <c r="A495" s="21" t="n">
        <v>46304</v>
      </c>
      <c r="B495" s="22" t="s">
        <v>87</v>
      </c>
      <c r="C495" s="23" t="n">
        <v>0.520833333333333</v>
      </c>
      <c r="D495" s="24" t="n">
        <v>6628.741</v>
      </c>
      <c r="E495" s="24" t="n">
        <v>1761.235</v>
      </c>
      <c r="F495" s="24" t="n">
        <v>8235.951</v>
      </c>
      <c r="G495" s="22" t="n">
        <f aca="false">HOUR(C495)*60+MINUTE(C495)</f>
        <v>750</v>
      </c>
      <c r="H495" s="25" t="n">
        <f aca="false">IF(AND(B495=B494,A495=A494,D495&gt;0,N(D494)&gt;0,G495&gt;N(G494)),(D495-D494)/((G495-G494)/60),"")</f>
        <v>0.15599999999904</v>
      </c>
      <c r="I495" s="22" t="str">
        <f aca="false">IFERROR(INDEX(Medidores!$B:$B,MATCH(B495,Medidores!$A:$A,0)),"")</f>
        <v>L16</v>
      </c>
      <c r="J495" s="22" t="s">
        <v>146</v>
      </c>
    </row>
    <row r="496" customFormat="false" ht="15" hidden="false" customHeight="false" outlineLevel="0" collapsed="false">
      <c r="A496" s="21" t="n">
        <v>46304</v>
      </c>
      <c r="B496" s="22" t="s">
        <v>87</v>
      </c>
      <c r="C496" s="23" t="n">
        <v>0.53125</v>
      </c>
      <c r="D496" s="24" t="n">
        <v>6628.78</v>
      </c>
      <c r="E496" s="24" t="n">
        <v>1761.235</v>
      </c>
      <c r="F496" s="24" t="n">
        <v>8236.056</v>
      </c>
      <c r="G496" s="22" t="n">
        <f aca="false">HOUR(C496)*60+MINUTE(C496)</f>
        <v>765</v>
      </c>
      <c r="H496" s="25" t="n">
        <f aca="false">IF(AND(B496=B495,A496=A495,D496&gt;0,N(D495)&gt;0,G496&gt;N(G495)),(D496-D495)/((G496-G495)/60),"")</f>
        <v>0.15599999999904</v>
      </c>
      <c r="I496" s="22" t="str">
        <f aca="false">IFERROR(INDEX(Medidores!$B:$B,MATCH(B496,Medidores!$A:$A,0)),"")</f>
        <v>L16</v>
      </c>
      <c r="J496" s="22" t="s">
        <v>147</v>
      </c>
    </row>
    <row r="497" customFormat="false" ht="15" hidden="false" customHeight="false" outlineLevel="0" collapsed="false">
      <c r="A497" s="21" t="n">
        <v>46304</v>
      </c>
      <c r="B497" s="22" t="s">
        <v>87</v>
      </c>
      <c r="C497" s="23" t="n">
        <v>0.541666666666667</v>
      </c>
      <c r="D497" s="24" t="n">
        <v>6628.819</v>
      </c>
      <c r="E497" s="24" t="n">
        <v>1761.235</v>
      </c>
      <c r="F497" s="24" t="n">
        <v>8236.163</v>
      </c>
      <c r="G497" s="22" t="n">
        <f aca="false">HOUR(C497)*60+MINUTE(C497)</f>
        <v>780</v>
      </c>
      <c r="H497" s="25" t="n">
        <f aca="false">IF(AND(B497=B496,A497=A496,D497&gt;0,N(D496)&gt;0,G497&gt;N(G496)),(D497-D496)/((G497-G496)/60),"")</f>
        <v>0.156000000002678</v>
      </c>
      <c r="I497" s="22" t="str">
        <f aca="false">IFERROR(INDEX(Medidores!$B:$B,MATCH(B497,Medidores!$A:$A,0)),"")</f>
        <v>L16</v>
      </c>
      <c r="J497" s="22" t="s">
        <v>148</v>
      </c>
    </row>
    <row r="498" customFormat="false" ht="15" hidden="false" customHeight="false" outlineLevel="0" collapsed="false">
      <c r="A498" s="21" t="n">
        <v>46304</v>
      </c>
      <c r="B498" s="22" t="s">
        <v>87</v>
      </c>
      <c r="C498" s="23" t="n">
        <v>0.552083333333333</v>
      </c>
      <c r="D498" s="24" t="n">
        <v>6628.858</v>
      </c>
      <c r="E498" s="24" t="n">
        <v>1761.235</v>
      </c>
      <c r="F498" s="24" t="n">
        <v>8236.269</v>
      </c>
      <c r="G498" s="22" t="n">
        <f aca="false">HOUR(C498)*60+MINUTE(C498)</f>
        <v>795</v>
      </c>
      <c r="H498" s="25" t="n">
        <f aca="false">IF(AND(B498=B497,A498=A497,D498&gt;0,N(D497)&gt;0,G498&gt;N(G497)),(D498-D497)/((G498-G497)/60),"")</f>
        <v>0.15599999999904</v>
      </c>
      <c r="I498" s="22" t="str">
        <f aca="false">IFERROR(INDEX(Medidores!$B:$B,MATCH(B498,Medidores!$A:$A,0)),"")</f>
        <v>L16</v>
      </c>
      <c r="J498" s="22" t="s">
        <v>149</v>
      </c>
    </row>
    <row r="499" customFormat="false" ht="15" hidden="false" customHeight="false" outlineLevel="0" collapsed="false">
      <c r="A499" s="21" t="n">
        <v>46304</v>
      </c>
      <c r="B499" s="22" t="s">
        <v>87</v>
      </c>
      <c r="C499" s="23" t="n">
        <v>0.5625</v>
      </c>
      <c r="D499" s="24" t="n">
        <v>6628.897</v>
      </c>
      <c r="E499" s="24" t="n">
        <v>1761.235</v>
      </c>
      <c r="F499" s="24" t="n">
        <v>8236.376</v>
      </c>
      <c r="G499" s="22" t="n">
        <f aca="false">HOUR(C499)*60+MINUTE(C499)</f>
        <v>810</v>
      </c>
      <c r="H499" s="25" t="n">
        <f aca="false">IF(AND(B499=B498,A499=A498,D499&gt;0,N(D498)&gt;0,G499&gt;N(G498)),(D499-D498)/((G499-G498)/60),"")</f>
        <v>0.15599999999904</v>
      </c>
      <c r="I499" s="22" t="str">
        <f aca="false">IFERROR(INDEX(Medidores!$B:$B,MATCH(B499,Medidores!$A:$A,0)),"")</f>
        <v>L16</v>
      </c>
      <c r="J499" s="22" t="s">
        <v>150</v>
      </c>
    </row>
    <row r="500" customFormat="false" ht="15" hidden="false" customHeight="false" outlineLevel="0" collapsed="false">
      <c r="A500" s="21" t="n">
        <v>46304</v>
      </c>
      <c r="B500" s="22" t="s">
        <v>87</v>
      </c>
      <c r="C500" s="23" t="n">
        <v>0.572916666666667</v>
      </c>
      <c r="D500" s="24" t="n">
        <v>6628.936</v>
      </c>
      <c r="E500" s="24" t="n">
        <v>1761.235</v>
      </c>
      <c r="F500" s="24" t="n">
        <v>8236.482</v>
      </c>
      <c r="G500" s="22" t="n">
        <f aca="false">HOUR(C500)*60+MINUTE(C500)</f>
        <v>825</v>
      </c>
      <c r="H500" s="25" t="n">
        <f aca="false">IF(AND(B500=B499,A500=A499,D500&gt;0,N(D499)&gt;0,G500&gt;N(G499)),(D500-D499)/((G500-G499)/60),"")</f>
        <v>0.15599999999904</v>
      </c>
      <c r="I500" s="22" t="str">
        <f aca="false">IFERROR(INDEX(Medidores!$B:$B,MATCH(B500,Medidores!$A:$A,0)),"")</f>
        <v>L16</v>
      </c>
      <c r="J500" s="22" t="s">
        <v>151</v>
      </c>
    </row>
    <row r="501" customFormat="false" ht="15" hidden="false" customHeight="false" outlineLevel="0" collapsed="false">
      <c r="A501" s="21" t="n">
        <v>46304</v>
      </c>
      <c r="B501" s="22" t="s">
        <v>87</v>
      </c>
      <c r="C501" s="23" t="n">
        <v>0.583333333333333</v>
      </c>
      <c r="D501" s="24" t="n">
        <v>6628.975</v>
      </c>
      <c r="E501" s="24" t="n">
        <v>1761.235</v>
      </c>
      <c r="F501" s="24" t="n">
        <v>8236.588</v>
      </c>
      <c r="G501" s="22" t="n">
        <f aca="false">HOUR(C501)*60+MINUTE(C501)</f>
        <v>840</v>
      </c>
      <c r="H501" s="25" t="n">
        <f aca="false">IF(AND(B501=B500,A501=A500,D501&gt;0,N(D500)&gt;0,G501&gt;N(G500)),(D501-D500)/((G501-G500)/60),"")</f>
        <v>0.156000000002678</v>
      </c>
      <c r="I501" s="22" t="str">
        <f aca="false">IFERROR(INDEX(Medidores!$B:$B,MATCH(B501,Medidores!$A:$A,0)),"")</f>
        <v>L16</v>
      </c>
      <c r="J501" s="22" t="s">
        <v>152</v>
      </c>
    </row>
    <row r="502" customFormat="false" ht="15" hidden="false" customHeight="false" outlineLevel="0" collapsed="false">
      <c r="A502" s="21" t="n">
        <v>46304</v>
      </c>
      <c r="B502" s="22" t="s">
        <v>88</v>
      </c>
      <c r="C502" s="23" t="n">
        <v>0.385416666666667</v>
      </c>
      <c r="D502" s="24" t="n">
        <v>107785.156</v>
      </c>
      <c r="E502" s="24" t="n">
        <v>22843.979</v>
      </c>
      <c r="F502" s="24" t="n">
        <v>110745.102</v>
      </c>
      <c r="G502" s="22" t="n">
        <f aca="false">HOUR(C502)*60+MINUTE(C502)</f>
        <v>555</v>
      </c>
      <c r="H502" s="25" t="str">
        <f aca="false">IF(AND(B502=B501,A502=A501,D502&gt;0,N(D501)&gt;0,G502&gt;N(G501)),(D502-D501)/((G502-G501)/60),"")</f>
        <v/>
      </c>
      <c r="I502" s="22" t="str">
        <f aca="false">IFERROR(INDEX(Medidores!$B:$B,MATCH(B502,Medidores!$A:$A,0)),"")</f>
        <v>Estación planta</v>
      </c>
      <c r="J502" s="22" t="s">
        <v>133</v>
      </c>
    </row>
    <row r="503" customFormat="false" ht="15" hidden="false" customHeight="false" outlineLevel="0" collapsed="false">
      <c r="A503" s="21" t="n">
        <v>46304</v>
      </c>
      <c r="B503" s="22" t="s">
        <v>88</v>
      </c>
      <c r="C503" s="23" t="n">
        <v>0.395833333333333</v>
      </c>
      <c r="D503" s="24" t="n">
        <v>107792.063</v>
      </c>
      <c r="E503" s="24" t="n">
        <v>22844.356</v>
      </c>
      <c r="F503" s="24" t="n">
        <v>110752.016</v>
      </c>
      <c r="G503" s="22" t="n">
        <f aca="false">HOUR(C503)*60+MINUTE(C503)</f>
        <v>570</v>
      </c>
      <c r="H503" s="25" t="n">
        <f aca="false">IF(AND(B503=B502,A503=A502,D503&gt;0,N(D502)&gt;0,G503&gt;N(G502)),(D503-D502)/((G503-G502)/60),"")</f>
        <v>27.6279999999679</v>
      </c>
      <c r="I503" s="22" t="str">
        <f aca="false">IFERROR(INDEX(Medidores!$B:$B,MATCH(B503,Medidores!$A:$A,0)),"")</f>
        <v>Estación planta</v>
      </c>
      <c r="J503" s="22" t="s">
        <v>134</v>
      </c>
    </row>
    <row r="504" customFormat="false" ht="15" hidden="false" customHeight="false" outlineLevel="0" collapsed="false">
      <c r="A504" s="21" t="n">
        <v>46304</v>
      </c>
      <c r="B504" s="22" t="s">
        <v>88</v>
      </c>
      <c r="C504" s="23" t="n">
        <v>0.40625</v>
      </c>
      <c r="D504" s="24" t="n">
        <v>107798.906</v>
      </c>
      <c r="E504" s="24" t="n">
        <v>22844.66</v>
      </c>
      <c r="F504" s="24" t="n">
        <v>110758.867</v>
      </c>
      <c r="G504" s="22" t="n">
        <f aca="false">HOUR(C504)*60+MINUTE(C504)</f>
        <v>585</v>
      </c>
      <c r="H504" s="25" t="n">
        <f aca="false">IF(AND(B504=B503,A504=A503,D504&gt;0,N(D503)&gt;0,G504&gt;N(G503)),(D504-D503)/((G504-G503)/60),"")</f>
        <v>27.3720000000321</v>
      </c>
      <c r="I504" s="22" t="str">
        <f aca="false">IFERROR(INDEX(Medidores!$B:$B,MATCH(B504,Medidores!$A:$A,0)),"")</f>
        <v>Estación planta</v>
      </c>
      <c r="J504" s="22" t="s">
        <v>135</v>
      </c>
    </row>
    <row r="505" customFormat="false" ht="15" hidden="false" customHeight="false" outlineLevel="0" collapsed="false">
      <c r="A505" s="21" t="n">
        <v>46304</v>
      </c>
      <c r="B505" s="22" t="s">
        <v>88</v>
      </c>
      <c r="C505" s="23" t="n">
        <v>0.416666666666667</v>
      </c>
      <c r="D505" s="24" t="n">
        <v>107806.023</v>
      </c>
      <c r="E505" s="24" t="n">
        <v>22845.049</v>
      </c>
      <c r="F505" s="24" t="n">
        <v>110765.992</v>
      </c>
      <c r="G505" s="22" t="n">
        <f aca="false">HOUR(C505)*60+MINUTE(C505)</f>
        <v>600</v>
      </c>
      <c r="H505" s="25" t="n">
        <f aca="false">IF(AND(B505=B504,A505=A504,D505&gt;0,N(D504)&gt;0,G505&gt;N(G504)),(D505-D504)/((G505-G504)/60),"")</f>
        <v>28.4679999999935</v>
      </c>
      <c r="I505" s="22" t="str">
        <f aca="false">IFERROR(INDEX(Medidores!$B:$B,MATCH(B505,Medidores!$A:$A,0)),"")</f>
        <v>Estación planta</v>
      </c>
      <c r="J505" s="22" t="s">
        <v>136</v>
      </c>
    </row>
    <row r="506" customFormat="false" ht="15" hidden="false" customHeight="false" outlineLevel="0" collapsed="false">
      <c r="A506" s="21" t="n">
        <v>46304</v>
      </c>
      <c r="B506" s="22" t="s">
        <v>88</v>
      </c>
      <c r="C506" s="23" t="n">
        <v>0.427083333333333</v>
      </c>
      <c r="D506" s="24" t="n">
        <v>107813.492</v>
      </c>
      <c r="E506" s="24" t="n">
        <v>22845.565</v>
      </c>
      <c r="F506" s="24" t="n">
        <v>110773.484</v>
      </c>
      <c r="G506" s="22" t="n">
        <f aca="false">HOUR(C506)*60+MINUTE(C506)</f>
        <v>615</v>
      </c>
      <c r="H506" s="25" t="n">
        <f aca="false">IF(AND(B506=B505,A506=A505,D506&gt;0,N(D505)&gt;0,G506&gt;N(G505)),(D506-D505)/((G506-G505)/60),"")</f>
        <v>29.8759999999893</v>
      </c>
      <c r="I506" s="22" t="str">
        <f aca="false">IFERROR(INDEX(Medidores!$B:$B,MATCH(B506,Medidores!$A:$A,0)),"")</f>
        <v>Estación planta</v>
      </c>
      <c r="J506" s="22" t="s">
        <v>137</v>
      </c>
    </row>
    <row r="507" customFormat="false" ht="15" hidden="false" customHeight="false" outlineLevel="0" collapsed="false">
      <c r="A507" s="21" t="n">
        <v>46304</v>
      </c>
      <c r="B507" s="22" t="s">
        <v>88</v>
      </c>
      <c r="C507" s="23" t="n">
        <v>0.4375</v>
      </c>
      <c r="D507" s="24" t="n">
        <v>107820.906</v>
      </c>
      <c r="E507" s="24" t="n">
        <v>22846.088</v>
      </c>
      <c r="F507" s="24" t="n">
        <v>110780.914</v>
      </c>
      <c r="G507" s="22" t="n">
        <f aca="false">HOUR(C507)*60+MINUTE(C507)</f>
        <v>630</v>
      </c>
      <c r="H507" s="25" t="n">
        <f aca="false">IF(AND(B507=B506,A507=A506,D507&gt;0,N(D506)&gt;0,G507&gt;N(G506)),(D507-D506)/((G507-G506)/60),"")</f>
        <v>29.6560000000172</v>
      </c>
      <c r="I507" s="22" t="str">
        <f aca="false">IFERROR(INDEX(Medidores!$B:$B,MATCH(B507,Medidores!$A:$A,0)),"")</f>
        <v>Estación planta</v>
      </c>
      <c r="J507" s="22" t="s">
        <v>138</v>
      </c>
    </row>
    <row r="508" customFormat="false" ht="15" hidden="false" customHeight="false" outlineLevel="0" collapsed="false">
      <c r="A508" s="21" t="n">
        <v>46304</v>
      </c>
      <c r="B508" s="22" t="s">
        <v>88</v>
      </c>
      <c r="C508" s="23" t="n">
        <v>0.447916666666667</v>
      </c>
      <c r="D508" s="24" t="n">
        <v>107828.234</v>
      </c>
      <c r="E508" s="24" t="n">
        <v>22846.516</v>
      </c>
      <c r="F508" s="24" t="n">
        <v>110788.258</v>
      </c>
      <c r="G508" s="22" t="n">
        <f aca="false">HOUR(C508)*60+MINUTE(C508)</f>
        <v>645</v>
      </c>
      <c r="H508" s="25" t="n">
        <f aca="false">IF(AND(B508=B507,A508=A507,D508&gt;0,N(D507)&gt;0,G508&gt;N(G507)),(D508-D507)/((G508-G507)/60),"")</f>
        <v>29.3119999999763</v>
      </c>
      <c r="I508" s="22" t="str">
        <f aca="false">IFERROR(INDEX(Medidores!$B:$B,MATCH(B508,Medidores!$A:$A,0)),"")</f>
        <v>Estación planta</v>
      </c>
      <c r="J508" s="22" t="s">
        <v>139</v>
      </c>
    </row>
    <row r="509" customFormat="false" ht="15" hidden="false" customHeight="false" outlineLevel="0" collapsed="false">
      <c r="A509" s="21" t="n">
        <v>46304</v>
      </c>
      <c r="B509" s="22" t="s">
        <v>88</v>
      </c>
      <c r="C509" s="23" t="n">
        <v>0.458333333333333</v>
      </c>
      <c r="D509" s="24" t="n">
        <v>107835.258</v>
      </c>
      <c r="E509" s="24" t="n">
        <v>22846.856</v>
      </c>
      <c r="F509" s="24" t="n">
        <v>110795.289</v>
      </c>
      <c r="G509" s="22" t="n">
        <f aca="false">HOUR(C509)*60+MINUTE(C509)</f>
        <v>660</v>
      </c>
      <c r="H509" s="25" t="n">
        <f aca="false">IF(AND(B509=B508,A509=A508,D509&gt;0,N(D508)&gt;0,G509&gt;N(G508)),(D509-D508)/((G509-G508)/60),"")</f>
        <v>28.0960000000196</v>
      </c>
      <c r="I509" s="22" t="str">
        <f aca="false">IFERROR(INDEX(Medidores!$B:$B,MATCH(B509,Medidores!$A:$A,0)),"")</f>
        <v>Estación planta</v>
      </c>
      <c r="J509" s="22" t="s">
        <v>140</v>
      </c>
    </row>
    <row r="510" customFormat="false" ht="15" hidden="false" customHeight="false" outlineLevel="0" collapsed="false">
      <c r="A510" s="21" t="n">
        <v>46304</v>
      </c>
      <c r="B510" s="22" t="s">
        <v>88</v>
      </c>
      <c r="C510" s="23" t="n">
        <v>0.46875</v>
      </c>
      <c r="D510" s="24" t="n">
        <v>107842.273</v>
      </c>
      <c r="E510" s="24" t="n">
        <v>22847.131</v>
      </c>
      <c r="F510" s="24" t="n">
        <v>110802.313</v>
      </c>
      <c r="G510" s="22" t="n">
        <f aca="false">HOUR(C510)*60+MINUTE(C510)</f>
        <v>675</v>
      </c>
      <c r="H510" s="25" t="n">
        <f aca="false">IF(AND(B510=B509,A510=A509,D510&gt;0,N(D509)&gt;0,G510&gt;N(G509)),(D510-D509)/((G510-G509)/60),"")</f>
        <v>28.0599999999977</v>
      </c>
      <c r="I510" s="22" t="str">
        <f aca="false">IFERROR(INDEX(Medidores!$B:$B,MATCH(B510,Medidores!$A:$A,0)),"")</f>
        <v>Estación planta</v>
      </c>
      <c r="J510" s="22" t="s">
        <v>141</v>
      </c>
    </row>
    <row r="511" customFormat="false" ht="15" hidden="false" customHeight="false" outlineLevel="0" collapsed="false">
      <c r="A511" s="21" t="n">
        <v>46304</v>
      </c>
      <c r="B511" s="22" t="s">
        <v>88</v>
      </c>
      <c r="C511" s="23" t="n">
        <v>0.479166666666667</v>
      </c>
      <c r="D511" s="24" t="n">
        <v>107849.227</v>
      </c>
      <c r="E511" s="24" t="n">
        <v>22847.44</v>
      </c>
      <c r="F511" s="24" t="n">
        <v>110809.266</v>
      </c>
      <c r="G511" s="22" t="n">
        <f aca="false">HOUR(C511)*60+MINUTE(C511)</f>
        <v>690</v>
      </c>
      <c r="H511" s="25" t="n">
        <f aca="false">IF(AND(B511=B510,A511=A510,D511&gt;0,N(D510)&gt;0,G511&gt;N(G510)),(D511-D510)/((G511-G510)/60),"")</f>
        <v>27.8159999999916</v>
      </c>
      <c r="I511" s="22" t="str">
        <f aca="false">IFERROR(INDEX(Medidores!$B:$B,MATCH(B511,Medidores!$A:$A,0)),"")</f>
        <v>Estación planta</v>
      </c>
      <c r="J511" s="22" t="s">
        <v>142</v>
      </c>
    </row>
    <row r="512" customFormat="false" ht="15" hidden="false" customHeight="false" outlineLevel="0" collapsed="false">
      <c r="A512" s="21" t="n">
        <v>46304</v>
      </c>
      <c r="B512" s="22" t="s">
        <v>88</v>
      </c>
      <c r="C512" s="23" t="n">
        <v>0.489583333333333</v>
      </c>
      <c r="D512" s="24" t="n">
        <v>107856.266</v>
      </c>
      <c r="E512" s="24" t="n">
        <v>22847.783</v>
      </c>
      <c r="F512" s="24" t="n">
        <v>110816.32</v>
      </c>
      <c r="G512" s="22" t="n">
        <f aca="false">HOUR(C512)*60+MINUTE(C512)</f>
        <v>705</v>
      </c>
      <c r="H512" s="25" t="n">
        <f aca="false">IF(AND(B512=B511,A512=A511,D512&gt;0,N(D511)&gt;0,G512&gt;N(G511)),(D512-D511)/((G512-G511)/60),"")</f>
        <v>28.1560000000172</v>
      </c>
      <c r="I512" s="22" t="str">
        <f aca="false">IFERROR(INDEX(Medidores!$B:$B,MATCH(B512,Medidores!$A:$A,0)),"")</f>
        <v>Estación planta</v>
      </c>
      <c r="J512" s="22" t="s">
        <v>143</v>
      </c>
    </row>
    <row r="513" customFormat="false" ht="15" hidden="false" customHeight="false" outlineLevel="0" collapsed="false">
      <c r="A513" s="21" t="n">
        <v>46304</v>
      </c>
      <c r="B513" s="22" t="s">
        <v>88</v>
      </c>
      <c r="C513" s="23" t="n">
        <v>0.5</v>
      </c>
      <c r="D513" s="24" t="n">
        <v>107863.25</v>
      </c>
      <c r="E513" s="24" t="n">
        <v>22848.1</v>
      </c>
      <c r="F513" s="24" t="n">
        <v>110823.313</v>
      </c>
      <c r="G513" s="22" t="n">
        <f aca="false">HOUR(C513)*60+MINUTE(C513)</f>
        <v>720</v>
      </c>
      <c r="H513" s="25" t="n">
        <f aca="false">IF(AND(B513=B512,A513=A512,D513&gt;0,N(D512)&gt;0,G513&gt;N(G512)),(D513-D512)/((G513-G512)/60),"")</f>
        <v>27.935999999987</v>
      </c>
      <c r="I513" s="22" t="str">
        <f aca="false">IFERROR(INDEX(Medidores!$B:$B,MATCH(B513,Medidores!$A:$A,0)),"")</f>
        <v>Estación planta</v>
      </c>
      <c r="J513" s="22" t="s">
        <v>144</v>
      </c>
    </row>
    <row r="514" customFormat="false" ht="15" hidden="false" customHeight="false" outlineLevel="0" collapsed="false">
      <c r="A514" s="21" t="n">
        <v>46304</v>
      </c>
      <c r="B514" s="22" t="s">
        <v>88</v>
      </c>
      <c r="C514" s="23" t="n">
        <v>0.510416666666667</v>
      </c>
      <c r="D514" s="24" t="n">
        <v>107870.195</v>
      </c>
      <c r="E514" s="24" t="n">
        <v>22848.441</v>
      </c>
      <c r="F514" s="24" t="n">
        <v>110830.266</v>
      </c>
      <c r="G514" s="22" t="n">
        <f aca="false">HOUR(C514)*60+MINUTE(C514)</f>
        <v>735</v>
      </c>
      <c r="H514" s="25" t="n">
        <f aca="false">IF(AND(B514=B513,A514=A513,D514&gt;0,N(D513)&gt;0,G514&gt;N(G513)),(D514-D513)/((G514-G513)/60),"")</f>
        <v>27.7800000000279</v>
      </c>
      <c r="I514" s="22" t="str">
        <f aca="false">IFERROR(INDEX(Medidores!$B:$B,MATCH(B514,Medidores!$A:$A,0)),"")</f>
        <v>Estación planta</v>
      </c>
      <c r="J514" s="22" t="s">
        <v>145</v>
      </c>
    </row>
    <row r="515" customFormat="false" ht="15" hidden="false" customHeight="false" outlineLevel="0" collapsed="false">
      <c r="A515" s="21" t="n">
        <v>46304</v>
      </c>
      <c r="B515" s="22" t="s">
        <v>88</v>
      </c>
      <c r="C515" s="23" t="n">
        <v>0.520833333333333</v>
      </c>
      <c r="D515" s="24" t="n">
        <v>107876.734</v>
      </c>
      <c r="E515" s="24" t="n">
        <v>22848.742</v>
      </c>
      <c r="F515" s="24" t="n">
        <v>110836.813</v>
      </c>
      <c r="G515" s="22" t="n">
        <f aca="false">HOUR(C515)*60+MINUTE(C515)</f>
        <v>750</v>
      </c>
      <c r="H515" s="25" t="n">
        <f aca="false">IF(AND(B515=B514,A515=A514,D515&gt;0,N(D514)&gt;0,G515&gt;N(G514)),(D515-D514)/((G515-G514)/60),"")</f>
        <v>26.155999999959</v>
      </c>
      <c r="I515" s="22" t="str">
        <f aca="false">IFERROR(INDEX(Medidores!$B:$B,MATCH(B515,Medidores!$A:$A,0)),"")</f>
        <v>Estación planta</v>
      </c>
      <c r="J515" s="22" t="s">
        <v>146</v>
      </c>
    </row>
    <row r="516" customFormat="false" ht="15" hidden="false" customHeight="false" outlineLevel="0" collapsed="false">
      <c r="A516" s="21" t="n">
        <v>46304</v>
      </c>
      <c r="B516" s="22" t="s">
        <v>88</v>
      </c>
      <c r="C516" s="23" t="n">
        <v>0.53125</v>
      </c>
      <c r="D516" s="24" t="n">
        <v>107883.297</v>
      </c>
      <c r="E516" s="24" t="n">
        <v>22849.019</v>
      </c>
      <c r="F516" s="24" t="n">
        <v>110843.383</v>
      </c>
      <c r="G516" s="22" t="n">
        <f aca="false">HOUR(C516)*60+MINUTE(C516)</f>
        <v>765</v>
      </c>
      <c r="H516" s="25" t="n">
        <f aca="false">IF(AND(B516=B515,A516=A515,D516&gt;0,N(D515)&gt;0,G516&gt;N(G515)),(D516-D515)/((G516-G515)/60),"")</f>
        <v>26.2520000000368</v>
      </c>
      <c r="I516" s="22" t="str">
        <f aca="false">IFERROR(INDEX(Medidores!$B:$B,MATCH(B516,Medidores!$A:$A,0)),"")</f>
        <v>Estación planta</v>
      </c>
      <c r="J516" s="22" t="s">
        <v>147</v>
      </c>
    </row>
    <row r="517" customFormat="false" ht="15" hidden="false" customHeight="false" outlineLevel="0" collapsed="false">
      <c r="A517" s="21" t="n">
        <v>46304</v>
      </c>
      <c r="B517" s="22" t="s">
        <v>88</v>
      </c>
      <c r="C517" s="23" t="n">
        <v>0.541666666666667</v>
      </c>
      <c r="D517" s="24" t="n">
        <v>107889.57</v>
      </c>
      <c r="E517" s="24" t="n">
        <v>22849.373</v>
      </c>
      <c r="F517" s="24" t="n">
        <v>110849.664</v>
      </c>
      <c r="G517" s="22" t="n">
        <f aca="false">HOUR(C517)*60+MINUTE(C517)</f>
        <v>780</v>
      </c>
      <c r="H517" s="25" t="n">
        <f aca="false">IF(AND(B517=B516,A517=A516,D517&gt;0,N(D516)&gt;0,G517&gt;N(G516)),(D517-D516)/((G517-G516)/60),"")</f>
        <v>25.0920000000042</v>
      </c>
      <c r="I517" s="22" t="str">
        <f aca="false">IFERROR(INDEX(Medidores!$B:$B,MATCH(B517,Medidores!$A:$A,0)),"")</f>
        <v>Estación planta</v>
      </c>
      <c r="J517" s="22" t="s">
        <v>148</v>
      </c>
    </row>
    <row r="518" customFormat="false" ht="15" hidden="false" customHeight="false" outlineLevel="0" collapsed="false">
      <c r="A518" s="21" t="n">
        <v>46304</v>
      </c>
      <c r="B518" s="22" t="s">
        <v>88</v>
      </c>
      <c r="C518" s="23" t="n">
        <v>0.552083333333333</v>
      </c>
      <c r="D518" s="24" t="n">
        <v>107895.172</v>
      </c>
      <c r="E518" s="24" t="n">
        <v>22849.688</v>
      </c>
      <c r="F518" s="24" t="n">
        <v>110855.281</v>
      </c>
      <c r="G518" s="22" t="n">
        <f aca="false">HOUR(C518)*60+MINUTE(C518)</f>
        <v>795</v>
      </c>
      <c r="H518" s="25" t="n">
        <f aca="false">IF(AND(B518=B517,A518=A517,D518&gt;0,N(D517)&gt;0,G518&gt;N(G517)),(D518-D517)/((G518-G517)/60),"")</f>
        <v>22.4079999999958</v>
      </c>
      <c r="I518" s="22" t="str">
        <f aca="false">IFERROR(INDEX(Medidores!$B:$B,MATCH(B518,Medidores!$A:$A,0)),"")</f>
        <v>Estación planta</v>
      </c>
      <c r="J518" s="22" t="s">
        <v>149</v>
      </c>
    </row>
    <row r="519" customFormat="false" ht="15" hidden="false" customHeight="false" outlineLevel="0" collapsed="false">
      <c r="A519" s="21" t="n">
        <v>46304</v>
      </c>
      <c r="B519" s="22" t="s">
        <v>88</v>
      </c>
      <c r="C519" s="23" t="n">
        <v>0.5625</v>
      </c>
      <c r="D519" s="24" t="n">
        <v>107900.922</v>
      </c>
      <c r="E519" s="24" t="n">
        <v>22850.156</v>
      </c>
      <c r="F519" s="24" t="n">
        <v>110861.055</v>
      </c>
      <c r="G519" s="22" t="n">
        <f aca="false">HOUR(C519)*60+MINUTE(C519)</f>
        <v>810</v>
      </c>
      <c r="H519" s="25" t="n">
        <f aca="false">IF(AND(B519=B518,A519=A518,D519&gt;0,N(D518)&gt;0,G519&gt;N(G518)),(D519-D518)/((G519-G518)/60),"")</f>
        <v>23</v>
      </c>
      <c r="I519" s="22" t="str">
        <f aca="false">IFERROR(INDEX(Medidores!$B:$B,MATCH(B519,Medidores!$A:$A,0)),"")</f>
        <v>Estación planta</v>
      </c>
      <c r="J519" s="22" t="s">
        <v>150</v>
      </c>
    </row>
    <row r="520" customFormat="false" ht="15" hidden="false" customHeight="false" outlineLevel="0" collapsed="false">
      <c r="A520" s="21" t="n">
        <v>46304</v>
      </c>
      <c r="B520" s="22" t="s">
        <v>88</v>
      </c>
      <c r="C520" s="23" t="n">
        <v>0.572916666666667</v>
      </c>
      <c r="D520" s="24" t="n">
        <v>107906.852</v>
      </c>
      <c r="E520" s="24" t="n">
        <v>22850.379</v>
      </c>
      <c r="F520" s="24" t="n">
        <v>110866.992</v>
      </c>
      <c r="G520" s="22" t="n">
        <f aca="false">HOUR(C520)*60+MINUTE(C520)</f>
        <v>825</v>
      </c>
      <c r="H520" s="25" t="n">
        <f aca="false">IF(AND(B520=B519,A520=A519,D520&gt;0,N(D519)&gt;0,G520&gt;N(G519)),(D520-D519)/((G520-G519)/60),"")</f>
        <v>23.7199999999721</v>
      </c>
      <c r="I520" s="22" t="str">
        <f aca="false">IFERROR(INDEX(Medidores!$B:$B,MATCH(B520,Medidores!$A:$A,0)),"")</f>
        <v>Estación planta</v>
      </c>
      <c r="J520" s="22" t="s">
        <v>151</v>
      </c>
    </row>
    <row r="521" customFormat="false" ht="15" hidden="false" customHeight="false" outlineLevel="0" collapsed="false">
      <c r="A521" s="21" t="n">
        <v>46304</v>
      </c>
      <c r="B521" s="22" t="s">
        <v>88</v>
      </c>
      <c r="C521" s="23" t="n">
        <v>0.583333333333333</v>
      </c>
      <c r="D521" s="24" t="n">
        <v>107913.102</v>
      </c>
      <c r="E521" s="24" t="n">
        <v>22850.629</v>
      </c>
      <c r="F521" s="24" t="n">
        <v>110873.25</v>
      </c>
      <c r="G521" s="22" t="n">
        <f aca="false">HOUR(C521)*60+MINUTE(C521)</f>
        <v>840</v>
      </c>
      <c r="H521" s="25" t="n">
        <f aca="false">IF(AND(B521=B520,A521=A520,D521&gt;0,N(D520)&gt;0,G521&gt;N(G520)),(D521-D520)/((G521-G520)/60),"")</f>
        <v>25</v>
      </c>
      <c r="I521" s="22" t="str">
        <f aca="false">IFERROR(INDEX(Medidores!$B:$B,MATCH(B521,Medidores!$A:$A,0)),"")</f>
        <v>Estación planta</v>
      </c>
      <c r="J521" s="22" t="s">
        <v>152</v>
      </c>
    </row>
    <row r="522" customFormat="false" ht="15" hidden="false" customHeight="false" outlineLevel="0" collapsed="false">
      <c r="A522" s="21" t="n">
        <v>46304</v>
      </c>
      <c r="B522" s="22" t="s">
        <v>89</v>
      </c>
      <c r="C522" s="23" t="n">
        <v>0.385416666666667</v>
      </c>
      <c r="D522" s="24" t="n">
        <v>267571.281</v>
      </c>
      <c r="E522" s="24" t="n">
        <v>110188.578</v>
      </c>
      <c r="F522" s="24" t="n">
        <v>291013.563</v>
      </c>
      <c r="G522" s="22" t="n">
        <f aca="false">HOUR(C522)*60+MINUTE(C522)</f>
        <v>555</v>
      </c>
      <c r="H522" s="25" t="str">
        <f aca="false">IF(AND(B522=B521,A522=A521,D522&gt;0,N(D521)&gt;0,G522&gt;N(G521)),(D522-D521)/((G522-G521)/60),"")</f>
        <v/>
      </c>
      <c r="I522" s="22" t="str">
        <f aca="false">IFERROR(INDEX(Medidores!$B:$B,MATCH(B522,Medidores!$A:$A,0)),"")</f>
        <v>Estación celda 3</v>
      </c>
      <c r="J522" s="22" t="s">
        <v>133</v>
      </c>
    </row>
    <row r="523" customFormat="false" ht="15" hidden="false" customHeight="false" outlineLevel="0" collapsed="false">
      <c r="A523" s="21" t="n">
        <v>46304</v>
      </c>
      <c r="B523" s="22" t="s">
        <v>89</v>
      </c>
      <c r="C523" s="23" t="n">
        <v>0.395833333333333</v>
      </c>
      <c r="D523" s="24" t="n">
        <v>267586.188</v>
      </c>
      <c r="E523" s="24" t="n">
        <v>110193.93</v>
      </c>
      <c r="F523" s="24" t="n">
        <v>291029.375</v>
      </c>
      <c r="G523" s="22" t="n">
        <f aca="false">HOUR(C523)*60+MINUTE(C523)</f>
        <v>570</v>
      </c>
      <c r="H523" s="25" t="n">
        <f aca="false">IF(AND(B523=B522,A523=A522,D523&gt;0,N(D522)&gt;0,G523&gt;N(G522)),(D523-D522)/((G523-G522)/60),"")</f>
        <v>59.6280000000261</v>
      </c>
      <c r="I523" s="22" t="str">
        <f aca="false">IFERROR(INDEX(Medidores!$B:$B,MATCH(B523,Medidores!$A:$A,0)),"")</f>
        <v>Estación celda 3</v>
      </c>
      <c r="J523" s="22" t="s">
        <v>134</v>
      </c>
    </row>
    <row r="524" customFormat="false" ht="15" hidden="false" customHeight="false" outlineLevel="0" collapsed="false">
      <c r="A524" s="21" t="n">
        <v>46304</v>
      </c>
      <c r="B524" s="22" t="s">
        <v>89</v>
      </c>
      <c r="C524" s="23" t="n">
        <v>0.40625</v>
      </c>
      <c r="D524" s="24" t="n">
        <v>267601.188</v>
      </c>
      <c r="E524" s="24" t="n">
        <v>110199.773</v>
      </c>
      <c r="F524" s="24" t="n">
        <v>291045.5</v>
      </c>
      <c r="G524" s="22" t="n">
        <f aca="false">HOUR(C524)*60+MINUTE(C524)</f>
        <v>585</v>
      </c>
      <c r="H524" s="25" t="n">
        <f aca="false">IF(AND(B524=B523,A524=A523,D524&gt;0,N(D523)&gt;0,G524&gt;N(G523)),(D524-D523)/((G524-G523)/60),"")</f>
        <v>60</v>
      </c>
      <c r="I524" s="22" t="str">
        <f aca="false">IFERROR(INDEX(Medidores!$B:$B,MATCH(B524,Medidores!$A:$A,0)),"")</f>
        <v>Estación celda 3</v>
      </c>
      <c r="J524" s="22" t="s">
        <v>135</v>
      </c>
    </row>
    <row r="525" customFormat="false" ht="15" hidden="false" customHeight="false" outlineLevel="0" collapsed="false">
      <c r="A525" s="21" t="n">
        <v>46304</v>
      </c>
      <c r="B525" s="22" t="s">
        <v>89</v>
      </c>
      <c r="C525" s="23" t="n">
        <v>0.416666666666667</v>
      </c>
      <c r="D525" s="24" t="n">
        <v>267618.406</v>
      </c>
      <c r="E525" s="24" t="n">
        <v>110207.453</v>
      </c>
      <c r="F525" s="24" t="n">
        <v>291064.344</v>
      </c>
      <c r="G525" s="22" t="n">
        <f aca="false">HOUR(C525)*60+MINUTE(C525)</f>
        <v>600</v>
      </c>
      <c r="H525" s="25" t="n">
        <f aca="false">IF(AND(B525=B524,A525=A524,D525&gt;0,N(D524)&gt;0,G525&gt;N(G524)),(D525-D524)/((G525-G524)/60),"")</f>
        <v>68.8719999999739</v>
      </c>
      <c r="I525" s="22" t="str">
        <f aca="false">IFERROR(INDEX(Medidores!$B:$B,MATCH(B525,Medidores!$A:$A,0)),"")</f>
        <v>Estación celda 3</v>
      </c>
      <c r="J525" s="22" t="s">
        <v>136</v>
      </c>
    </row>
    <row r="526" customFormat="false" ht="15" hidden="false" customHeight="false" outlineLevel="0" collapsed="false">
      <c r="A526" s="21" t="n">
        <v>46304</v>
      </c>
      <c r="B526" s="22" t="s">
        <v>89</v>
      </c>
      <c r="C526" s="23" t="n">
        <v>0.427083333333333</v>
      </c>
      <c r="D526" s="24" t="n">
        <v>267634.781</v>
      </c>
      <c r="E526" s="24" t="n">
        <v>110213.758</v>
      </c>
      <c r="F526" s="24" t="n">
        <v>291081.906</v>
      </c>
      <c r="G526" s="22" t="n">
        <f aca="false">HOUR(C526)*60+MINUTE(C526)</f>
        <v>615</v>
      </c>
      <c r="H526" s="25" t="n">
        <f aca="false">IF(AND(B526=B525,A526=A525,D526&gt;0,N(D525)&gt;0,G526&gt;N(G525)),(D526-D525)/((G526-G525)/60),"")</f>
        <v>65.5</v>
      </c>
      <c r="I526" s="22" t="str">
        <f aca="false">IFERROR(INDEX(Medidores!$B:$B,MATCH(B526,Medidores!$A:$A,0)),"")</f>
        <v>Estación celda 3</v>
      </c>
      <c r="J526" s="22" t="s">
        <v>137</v>
      </c>
    </row>
    <row r="527" customFormat="false" ht="15" hidden="false" customHeight="false" outlineLevel="0" collapsed="false">
      <c r="A527" s="21" t="n">
        <v>46304</v>
      </c>
      <c r="B527" s="22" t="s">
        <v>89</v>
      </c>
      <c r="C527" s="23" t="n">
        <v>0.4375</v>
      </c>
      <c r="D527" s="24" t="n">
        <v>267654.219</v>
      </c>
      <c r="E527" s="24" t="n">
        <v>110221.953</v>
      </c>
      <c r="F527" s="24" t="n">
        <v>291103.031</v>
      </c>
      <c r="G527" s="22" t="n">
        <f aca="false">HOUR(C527)*60+MINUTE(C527)</f>
        <v>630</v>
      </c>
      <c r="H527" s="25" t="n">
        <f aca="false">IF(AND(B527=B526,A527=A526,D527&gt;0,N(D526)&gt;0,G527&gt;N(G526)),(D527-D526)/((G527-G526)/60),"")</f>
        <v>77.7519999998622</v>
      </c>
      <c r="I527" s="22" t="str">
        <f aca="false">IFERROR(INDEX(Medidores!$B:$B,MATCH(B527,Medidores!$A:$A,0)),"")</f>
        <v>Estación celda 3</v>
      </c>
      <c r="J527" s="22" t="s">
        <v>138</v>
      </c>
    </row>
    <row r="528" customFormat="false" ht="15" hidden="false" customHeight="false" outlineLevel="0" collapsed="false">
      <c r="A528" s="21" t="n">
        <v>46304</v>
      </c>
      <c r="B528" s="22" t="s">
        <v>89</v>
      </c>
      <c r="C528" s="23" t="n">
        <v>0.447916666666667</v>
      </c>
      <c r="D528" s="24" t="n">
        <v>267670.438</v>
      </c>
      <c r="E528" s="24" t="n">
        <v>110228.211</v>
      </c>
      <c r="F528" s="24" t="n">
        <v>291120.406</v>
      </c>
      <c r="G528" s="22" t="n">
        <f aca="false">HOUR(C528)*60+MINUTE(C528)</f>
        <v>645</v>
      </c>
      <c r="H528" s="25" t="n">
        <f aca="false">IF(AND(B528=B527,A528=A527,D528&gt;0,N(D527)&gt;0,G528&gt;N(G527)),(D528-D527)/((G528-G527)/60),"")</f>
        <v>64.8760000001639</v>
      </c>
      <c r="I528" s="22" t="str">
        <f aca="false">IFERROR(INDEX(Medidores!$B:$B,MATCH(B528,Medidores!$A:$A,0)),"")</f>
        <v>Estación celda 3</v>
      </c>
      <c r="J528" s="22" t="s">
        <v>139</v>
      </c>
    </row>
    <row r="529" customFormat="false" ht="15" hidden="false" customHeight="false" outlineLevel="0" collapsed="false">
      <c r="A529" s="21" t="n">
        <v>46304</v>
      </c>
      <c r="B529" s="22" t="s">
        <v>89</v>
      </c>
      <c r="C529" s="23" t="n">
        <v>0.458333333333333</v>
      </c>
      <c r="D529" s="24" t="n">
        <v>267686.719</v>
      </c>
      <c r="E529" s="24" t="n">
        <v>110234.18</v>
      </c>
      <c r="F529" s="24" t="n">
        <v>291137.75</v>
      </c>
      <c r="G529" s="22" t="n">
        <f aca="false">HOUR(C529)*60+MINUTE(C529)</f>
        <v>660</v>
      </c>
      <c r="H529" s="25" t="n">
        <f aca="false">IF(AND(B529=B528,A529=A528,D529&gt;0,N(D528)&gt;0,G529&gt;N(G528)),(D529-D528)/((G529-G528)/60),"")</f>
        <v>65.1239999998361</v>
      </c>
      <c r="I529" s="22" t="str">
        <f aca="false">IFERROR(INDEX(Medidores!$B:$B,MATCH(B529,Medidores!$A:$A,0)),"")</f>
        <v>Estación celda 3</v>
      </c>
      <c r="J529" s="22" t="s">
        <v>140</v>
      </c>
    </row>
    <row r="530" customFormat="false" ht="15" hidden="false" customHeight="false" outlineLevel="0" collapsed="false">
      <c r="A530" s="21" t="n">
        <v>46304</v>
      </c>
      <c r="B530" s="22" t="s">
        <v>89</v>
      </c>
      <c r="C530" s="23" t="n">
        <v>0.46875</v>
      </c>
      <c r="D530" s="24" t="n">
        <v>267704.531</v>
      </c>
      <c r="E530" s="24" t="n">
        <v>110241.977</v>
      </c>
      <c r="F530" s="24" t="n">
        <v>291157.219</v>
      </c>
      <c r="G530" s="22" t="n">
        <f aca="false">HOUR(C530)*60+MINUTE(C530)</f>
        <v>675</v>
      </c>
      <c r="H530" s="25" t="n">
        <f aca="false">IF(AND(B530=B529,A530=A529,D530&gt;0,N(D529)&gt;0,G530&gt;N(G529)),(D530-D529)/((G530-G529)/60),"")</f>
        <v>71.2480000001378</v>
      </c>
      <c r="I530" s="22" t="str">
        <f aca="false">IFERROR(INDEX(Medidores!$B:$B,MATCH(B530,Medidores!$A:$A,0)),"")</f>
        <v>Estación celda 3</v>
      </c>
      <c r="J530" s="22" t="s">
        <v>141</v>
      </c>
    </row>
    <row r="531" customFormat="false" ht="15" hidden="false" customHeight="false" outlineLevel="0" collapsed="false">
      <c r="A531" s="21" t="n">
        <v>46304</v>
      </c>
      <c r="B531" s="22" t="s">
        <v>89</v>
      </c>
      <c r="C531" s="23" t="n">
        <v>0.479166666666667</v>
      </c>
      <c r="D531" s="24" t="n">
        <v>267722.281</v>
      </c>
      <c r="E531" s="24" t="n">
        <v>110248.477</v>
      </c>
      <c r="F531" s="24" t="n">
        <v>291176.094</v>
      </c>
      <c r="G531" s="22" t="n">
        <f aca="false">HOUR(C531)*60+MINUTE(C531)</f>
        <v>690</v>
      </c>
      <c r="H531" s="25" t="n">
        <f aca="false">IF(AND(B531=B530,A531=A530,D531&gt;0,N(D530)&gt;0,G531&gt;N(G530)),(D531-D530)/((G531-G530)/60),"")</f>
        <v>71</v>
      </c>
      <c r="I531" s="22" t="str">
        <f aca="false">IFERROR(INDEX(Medidores!$B:$B,MATCH(B531,Medidores!$A:$A,0)),"")</f>
        <v>Estación celda 3</v>
      </c>
      <c r="J531" s="22" t="s">
        <v>142</v>
      </c>
    </row>
    <row r="532" customFormat="false" ht="15" hidden="false" customHeight="false" outlineLevel="0" collapsed="false">
      <c r="A532" s="21" t="n">
        <v>46304</v>
      </c>
      <c r="B532" s="22" t="s">
        <v>89</v>
      </c>
      <c r="C532" s="23" t="n">
        <v>0.489583333333333</v>
      </c>
      <c r="D532" s="24" t="n">
        <v>267741.75</v>
      </c>
      <c r="E532" s="24" t="n">
        <v>110256.586</v>
      </c>
      <c r="F532" s="24" t="n">
        <v>291197.219</v>
      </c>
      <c r="G532" s="22" t="n">
        <f aca="false">HOUR(C532)*60+MINUTE(C532)</f>
        <v>705</v>
      </c>
      <c r="H532" s="25" t="n">
        <f aca="false">IF(AND(B532=B531,A532=A531,D532&gt;0,N(D531)&gt;0,G532&gt;N(G531)),(D532-D531)/((G532-G531)/60),"")</f>
        <v>77.8759999999311</v>
      </c>
      <c r="I532" s="22" t="str">
        <f aca="false">IFERROR(INDEX(Medidores!$B:$B,MATCH(B532,Medidores!$A:$A,0)),"")</f>
        <v>Estación celda 3</v>
      </c>
      <c r="J532" s="22" t="s">
        <v>143</v>
      </c>
    </row>
    <row r="533" customFormat="false" ht="15" hidden="false" customHeight="false" outlineLevel="0" collapsed="false">
      <c r="A533" s="21" t="n">
        <v>46304</v>
      </c>
      <c r="B533" s="22" t="s">
        <v>89</v>
      </c>
      <c r="C533" s="23" t="n">
        <v>0.5</v>
      </c>
      <c r="D533" s="24" t="n">
        <v>267759.313</v>
      </c>
      <c r="E533" s="24" t="n">
        <v>110263.828</v>
      </c>
      <c r="F533" s="24" t="n">
        <v>291216.219</v>
      </c>
      <c r="G533" s="22" t="n">
        <f aca="false">HOUR(C533)*60+MINUTE(C533)</f>
        <v>720</v>
      </c>
      <c r="H533" s="25" t="n">
        <f aca="false">IF(AND(B533=B532,A533=A532,D533&gt;0,N(D532)&gt;0,G533&gt;N(G532)),(D533-D532)/((G533-G532)/60),"")</f>
        <v>70.252000000095</v>
      </c>
      <c r="I533" s="22" t="str">
        <f aca="false">IFERROR(INDEX(Medidores!$B:$B,MATCH(B533,Medidores!$A:$A,0)),"")</f>
        <v>Estación celda 3</v>
      </c>
      <c r="J533" s="22" t="s">
        <v>144</v>
      </c>
    </row>
    <row r="534" customFormat="false" ht="15" hidden="false" customHeight="false" outlineLevel="0" collapsed="false">
      <c r="A534" s="21" t="n">
        <v>46304</v>
      </c>
      <c r="B534" s="22" t="s">
        <v>89</v>
      </c>
      <c r="C534" s="23" t="n">
        <v>0.510416666666667</v>
      </c>
      <c r="D534" s="24" t="n">
        <v>267776.313</v>
      </c>
      <c r="E534" s="24" t="n">
        <v>110270.68</v>
      </c>
      <c r="F534" s="24" t="n">
        <v>291234.563</v>
      </c>
      <c r="G534" s="22" t="n">
        <f aca="false">HOUR(C534)*60+MINUTE(C534)</f>
        <v>735</v>
      </c>
      <c r="H534" s="25" t="n">
        <f aca="false">IF(AND(B534=B533,A534=A533,D534&gt;0,N(D533)&gt;0,G534&gt;N(G533)),(D534-D533)/((G534-G533)/60),"")</f>
        <v>68</v>
      </c>
      <c r="I534" s="22" t="str">
        <f aca="false">IFERROR(INDEX(Medidores!$B:$B,MATCH(B534,Medidores!$A:$A,0)),"")</f>
        <v>Estación celda 3</v>
      </c>
      <c r="J534" s="22" t="s">
        <v>145</v>
      </c>
    </row>
    <row r="535" customFormat="false" ht="15" hidden="false" customHeight="false" outlineLevel="0" collapsed="false">
      <c r="A535" s="21" t="n">
        <v>46304</v>
      </c>
      <c r="B535" s="22" t="s">
        <v>89</v>
      </c>
      <c r="C535" s="23" t="n">
        <v>0.520833333333333</v>
      </c>
      <c r="D535" s="24" t="n">
        <v>267795.813</v>
      </c>
      <c r="E535" s="24" t="n">
        <v>110279.922</v>
      </c>
      <c r="F535" s="24" t="n">
        <v>291256.125</v>
      </c>
      <c r="G535" s="22" t="n">
        <f aca="false">HOUR(C535)*60+MINUTE(C535)</f>
        <v>750</v>
      </c>
      <c r="H535" s="25" t="n">
        <f aca="false">IF(AND(B535=B534,A535=A534,D535&gt;0,N(D534)&gt;0,G535&gt;N(G534)),(D535-D534)/((G535-G534)/60),"")</f>
        <v>78</v>
      </c>
      <c r="I535" s="22" t="str">
        <f aca="false">IFERROR(INDEX(Medidores!$B:$B,MATCH(B535,Medidores!$A:$A,0)),"")</f>
        <v>Estación celda 3</v>
      </c>
      <c r="J535" s="22" t="s">
        <v>146</v>
      </c>
    </row>
    <row r="536" customFormat="false" ht="15" hidden="false" customHeight="false" outlineLevel="0" collapsed="false">
      <c r="A536" s="21" t="n">
        <v>46304</v>
      </c>
      <c r="B536" s="22" t="s">
        <v>89</v>
      </c>
      <c r="C536" s="23" t="n">
        <v>0.53125</v>
      </c>
      <c r="D536" s="24" t="n">
        <v>267812.063</v>
      </c>
      <c r="E536" s="24" t="n">
        <v>110286.586</v>
      </c>
      <c r="F536" s="24" t="n">
        <v>291273.719</v>
      </c>
      <c r="G536" s="22" t="n">
        <f aca="false">HOUR(C536)*60+MINUTE(C536)</f>
        <v>765</v>
      </c>
      <c r="H536" s="25" t="n">
        <f aca="false">IF(AND(B536=B535,A536=A535,D536&gt;0,N(D535)&gt;0,G536&gt;N(G535)),(D536-D535)/((G536-G535)/60),"")</f>
        <v>65</v>
      </c>
      <c r="I536" s="22" t="str">
        <f aca="false">IFERROR(INDEX(Medidores!$B:$B,MATCH(B536,Medidores!$A:$A,0)),"")</f>
        <v>Estación celda 3</v>
      </c>
      <c r="J536" s="22" t="s">
        <v>147</v>
      </c>
    </row>
    <row r="537" customFormat="false" ht="15" hidden="false" customHeight="false" outlineLevel="0" collapsed="false">
      <c r="A537" s="21" t="n">
        <v>46304</v>
      </c>
      <c r="B537" s="22" t="s">
        <v>89</v>
      </c>
      <c r="C537" s="23" t="n">
        <v>0.541666666666667</v>
      </c>
      <c r="D537" s="24" t="n">
        <v>267833.406</v>
      </c>
      <c r="E537" s="24" t="n">
        <v>110295.883</v>
      </c>
      <c r="F537" s="24" t="n">
        <v>291297.031</v>
      </c>
      <c r="G537" s="22" t="n">
        <f aca="false">HOUR(C537)*60+MINUTE(C537)</f>
        <v>780</v>
      </c>
      <c r="H537" s="25" t="n">
        <f aca="false">IF(AND(B537=B536,A537=A536,D537&gt;0,N(D536)&gt;0,G537&gt;N(G536)),(D537-D536)/((G537-G536)/60),"")</f>
        <v>85.3719999999739</v>
      </c>
      <c r="I537" s="22" t="str">
        <f aca="false">IFERROR(INDEX(Medidores!$B:$B,MATCH(B537,Medidores!$A:$A,0)),"")</f>
        <v>Estación celda 3</v>
      </c>
      <c r="J537" s="22" t="s">
        <v>148</v>
      </c>
    </row>
    <row r="538" customFormat="false" ht="15" hidden="false" customHeight="false" outlineLevel="0" collapsed="false">
      <c r="A538" s="21" t="n">
        <v>46304</v>
      </c>
      <c r="B538" s="22" t="s">
        <v>89</v>
      </c>
      <c r="C538" s="23" t="n">
        <v>0.552083333333333</v>
      </c>
      <c r="D538" s="24" t="n">
        <v>267851.625</v>
      </c>
      <c r="E538" s="24" t="n">
        <v>110302.805</v>
      </c>
      <c r="F538" s="24" t="n">
        <v>291316.5</v>
      </c>
      <c r="G538" s="22" t="n">
        <f aca="false">HOUR(C538)*60+MINUTE(C538)</f>
        <v>795</v>
      </c>
      <c r="H538" s="25" t="n">
        <f aca="false">IF(AND(B538=B537,A538=A537,D538&gt;0,N(D537)&gt;0,G538&gt;N(G537)),(D538-D537)/((G538-G537)/60),"")</f>
        <v>72.8759999999311</v>
      </c>
      <c r="I538" s="22" t="str">
        <f aca="false">IFERROR(INDEX(Medidores!$B:$B,MATCH(B538,Medidores!$A:$A,0)),"")</f>
        <v>Estación celda 3</v>
      </c>
      <c r="J538" s="22" t="s">
        <v>149</v>
      </c>
    </row>
    <row r="539" customFormat="false" ht="15" hidden="false" customHeight="false" outlineLevel="0" collapsed="false">
      <c r="A539" s="21" t="n">
        <v>46304</v>
      </c>
      <c r="B539" s="22" t="s">
        <v>89</v>
      </c>
      <c r="C539" s="23" t="n">
        <v>0.5625</v>
      </c>
      <c r="D539" s="24" t="n">
        <v>267871.531</v>
      </c>
      <c r="E539" s="24" t="n">
        <v>110310.297</v>
      </c>
      <c r="F539" s="24" t="n">
        <v>291337.75</v>
      </c>
      <c r="G539" s="22" t="n">
        <f aca="false">HOUR(C539)*60+MINUTE(C539)</f>
        <v>810</v>
      </c>
      <c r="H539" s="25" t="n">
        <f aca="false">IF(AND(B539=B538,A539=A538,D539&gt;0,N(D538)&gt;0,G539&gt;N(G538)),(D539-D538)/((G539-G538)/60),"")</f>
        <v>79.6240000000689</v>
      </c>
      <c r="I539" s="22" t="str">
        <f aca="false">IFERROR(INDEX(Medidores!$B:$B,MATCH(B539,Medidores!$A:$A,0)),"")</f>
        <v>Estación celda 3</v>
      </c>
      <c r="J539" s="22" t="s">
        <v>150</v>
      </c>
    </row>
    <row r="540" customFormat="false" ht="15" hidden="false" customHeight="false" outlineLevel="0" collapsed="false">
      <c r="A540" s="21" t="n">
        <v>46304</v>
      </c>
      <c r="B540" s="22" t="s">
        <v>89</v>
      </c>
      <c r="C540" s="23" t="n">
        <v>0.572916666666667</v>
      </c>
      <c r="D540" s="24" t="n">
        <v>267893.219</v>
      </c>
      <c r="E540" s="24" t="n">
        <v>110319.273</v>
      </c>
      <c r="F540" s="24" t="n">
        <v>291361.281</v>
      </c>
      <c r="G540" s="22" t="n">
        <f aca="false">HOUR(C540)*60+MINUTE(C540)</f>
        <v>825</v>
      </c>
      <c r="H540" s="25" t="n">
        <f aca="false">IF(AND(B540=B539,A540=A539,D540&gt;0,N(D539)&gt;0,G540&gt;N(G539)),(D540-D539)/((G540-G539)/60),"")</f>
        <v>86.7519999998622</v>
      </c>
      <c r="I540" s="22" t="str">
        <f aca="false">IFERROR(INDEX(Medidores!$B:$B,MATCH(B540,Medidores!$A:$A,0)),"")</f>
        <v>Estación celda 3</v>
      </c>
      <c r="J540" s="22" t="s">
        <v>151</v>
      </c>
    </row>
    <row r="541" customFormat="false" ht="15" hidden="false" customHeight="false" outlineLevel="0" collapsed="false">
      <c r="A541" s="21" t="n">
        <v>46304</v>
      </c>
      <c r="B541" s="22" t="s">
        <v>89</v>
      </c>
      <c r="C541" s="23" t="n">
        <v>0.583333333333333</v>
      </c>
      <c r="D541" s="24" t="n">
        <v>267912.5</v>
      </c>
      <c r="E541" s="24" t="n">
        <v>110326.352</v>
      </c>
      <c r="F541" s="24" t="n">
        <v>291381.813</v>
      </c>
      <c r="G541" s="22" t="n">
        <f aca="false">HOUR(C541)*60+MINUTE(C541)</f>
        <v>840</v>
      </c>
      <c r="H541" s="25" t="n">
        <f aca="false">IF(AND(B541=B540,A541=A540,D541&gt;0,N(D540)&gt;0,G541&gt;N(G540)),(D541-D540)/((G541-G540)/60),"")</f>
        <v>77.1240000000689</v>
      </c>
      <c r="I541" s="22" t="str">
        <f aca="false">IFERROR(INDEX(Medidores!$B:$B,MATCH(B541,Medidores!$A:$A,0)),"")</f>
        <v>Estación celda 3</v>
      </c>
      <c r="J541" s="22" t="s">
        <v>152</v>
      </c>
    </row>
    <row r="542" customFormat="false" ht="15" hidden="false" customHeight="false" outlineLevel="0" collapsed="false">
      <c r="A542" s="21" t="n">
        <v>46304</v>
      </c>
      <c r="B542" s="22" t="s">
        <v>90</v>
      </c>
      <c r="C542" s="23" t="n">
        <v>0.385416666666667</v>
      </c>
      <c r="D542" s="24" t="n">
        <v>436016.188</v>
      </c>
      <c r="E542" s="24" t="n">
        <v>174021.859</v>
      </c>
      <c r="F542" s="24" t="n">
        <v>471401.313</v>
      </c>
      <c r="G542" s="22" t="n">
        <f aca="false">HOUR(C542)*60+MINUTE(C542)</f>
        <v>555</v>
      </c>
      <c r="H542" s="25" t="str">
        <f aca="false">IF(AND(B542=B541,A542=A541,D542&gt;0,N(D541)&gt;0,G542&gt;N(G541)),(D542-D541)/((G542-G541)/60),"")</f>
        <v/>
      </c>
      <c r="I542" s="22" t="str">
        <f aca="false">IFERROR(INDEX(Medidores!$B:$B,MATCH(B542,Medidores!$A:$A,0)),"")</f>
        <v>Estación celda 2</v>
      </c>
      <c r="J542" s="22" t="s">
        <v>133</v>
      </c>
    </row>
    <row r="543" customFormat="false" ht="15" hidden="false" customHeight="false" outlineLevel="0" collapsed="false">
      <c r="A543" s="21" t="n">
        <v>46304</v>
      </c>
      <c r="B543" s="22" t="s">
        <v>90</v>
      </c>
      <c r="C543" s="23" t="n">
        <v>0.395833333333333</v>
      </c>
      <c r="D543" s="24" t="n">
        <v>436036.406</v>
      </c>
      <c r="E543" s="24" t="n">
        <v>174031.125</v>
      </c>
      <c r="F543" s="24" t="n">
        <v>471423.594</v>
      </c>
      <c r="G543" s="22" t="n">
        <f aca="false">HOUR(C543)*60+MINUTE(C543)</f>
        <v>570</v>
      </c>
      <c r="H543" s="25" t="n">
        <f aca="false">IF(AND(B543=B542,A543=A542,D543&gt;0,N(D542)&gt;0,G543&gt;N(G542)),(D543-D542)/((G543-G542)/60),"")</f>
        <v>80.8719999999739</v>
      </c>
      <c r="I543" s="22" t="str">
        <f aca="false">IFERROR(INDEX(Medidores!$B:$B,MATCH(B543,Medidores!$A:$A,0)),"")</f>
        <v>Estación celda 2</v>
      </c>
      <c r="J543" s="22" t="s">
        <v>134</v>
      </c>
    </row>
    <row r="544" customFormat="false" ht="15" hidden="false" customHeight="false" outlineLevel="0" collapsed="false">
      <c r="A544" s="21" t="n">
        <v>46304</v>
      </c>
      <c r="B544" s="22" t="s">
        <v>90</v>
      </c>
      <c r="C544" s="23" t="n">
        <v>0.40625</v>
      </c>
      <c r="D544" s="24" t="n">
        <v>436056.031</v>
      </c>
      <c r="E544" s="24" t="n">
        <v>174040.438</v>
      </c>
      <c r="F544" s="24" t="n">
        <v>471445.281</v>
      </c>
      <c r="G544" s="22" t="n">
        <f aca="false">HOUR(C544)*60+MINUTE(C544)</f>
        <v>585</v>
      </c>
      <c r="H544" s="25" t="n">
        <f aca="false">IF(AND(B544=B543,A544=A543,D544&gt;0,N(D543)&gt;0,G544&gt;N(G543)),(D544-D543)/((G544-G543)/60),"")</f>
        <v>78.5</v>
      </c>
      <c r="I544" s="22" t="str">
        <f aca="false">IFERROR(INDEX(Medidores!$B:$B,MATCH(B544,Medidores!$A:$A,0)),"")</f>
        <v>Estación celda 2</v>
      </c>
      <c r="J544" s="22" t="s">
        <v>135</v>
      </c>
    </row>
    <row r="545" customFormat="false" ht="15" hidden="false" customHeight="false" outlineLevel="0" collapsed="false">
      <c r="A545" s="21" t="n">
        <v>46304</v>
      </c>
      <c r="B545" s="22" t="s">
        <v>90</v>
      </c>
      <c r="C545" s="23" t="n">
        <v>0.416666666666667</v>
      </c>
      <c r="D545" s="24" t="n">
        <v>436077</v>
      </c>
      <c r="E545" s="24" t="n">
        <v>174049.703</v>
      </c>
      <c r="F545" s="24" t="n">
        <v>471468.188</v>
      </c>
      <c r="G545" s="22" t="n">
        <f aca="false">HOUR(C545)*60+MINUTE(C545)</f>
        <v>600</v>
      </c>
      <c r="H545" s="25" t="n">
        <f aca="false">IF(AND(B545=B544,A545=A544,D545&gt;0,N(D544)&gt;0,G545&gt;N(G544)),(D545-D544)/((G545-G544)/60),"")</f>
        <v>83.8759999999311</v>
      </c>
      <c r="I545" s="22" t="str">
        <f aca="false">IFERROR(INDEX(Medidores!$B:$B,MATCH(B545,Medidores!$A:$A,0)),"")</f>
        <v>Estación celda 2</v>
      </c>
      <c r="J545" s="22" t="s">
        <v>136</v>
      </c>
    </row>
    <row r="546" customFormat="false" ht="15" hidden="false" customHeight="false" outlineLevel="0" collapsed="false">
      <c r="A546" s="21" t="n">
        <v>46304</v>
      </c>
      <c r="B546" s="22" t="s">
        <v>90</v>
      </c>
      <c r="C546" s="23" t="n">
        <v>0.427083333333333</v>
      </c>
      <c r="D546" s="24" t="n">
        <v>436100.625</v>
      </c>
      <c r="E546" s="24" t="n">
        <v>174059.266</v>
      </c>
      <c r="F546" s="24" t="n">
        <v>471493.688</v>
      </c>
      <c r="G546" s="22" t="n">
        <f aca="false">HOUR(C546)*60+MINUTE(C546)</f>
        <v>615</v>
      </c>
      <c r="H546" s="25" t="n">
        <f aca="false">IF(AND(B546=B545,A546=A545,D546&gt;0,N(D545)&gt;0,G546&gt;N(G545)),(D546-D545)/((G546-G545)/60),"")</f>
        <v>94.5</v>
      </c>
      <c r="I546" s="22" t="str">
        <f aca="false">IFERROR(INDEX(Medidores!$B:$B,MATCH(B546,Medidores!$A:$A,0)),"")</f>
        <v>Estación celda 2</v>
      </c>
      <c r="J546" s="22" t="s">
        <v>137</v>
      </c>
    </row>
    <row r="547" customFormat="false" ht="15" hidden="false" customHeight="false" outlineLevel="0" collapsed="false">
      <c r="A547" s="21" t="n">
        <v>46304</v>
      </c>
      <c r="B547" s="22" t="s">
        <v>90</v>
      </c>
      <c r="C547" s="23" t="n">
        <v>0.4375</v>
      </c>
      <c r="D547" s="24" t="n">
        <v>436125.031</v>
      </c>
      <c r="E547" s="24" t="n">
        <v>174069.297</v>
      </c>
      <c r="F547" s="24" t="n">
        <v>471520.063</v>
      </c>
      <c r="G547" s="22" t="n">
        <f aca="false">HOUR(C547)*60+MINUTE(C547)</f>
        <v>630</v>
      </c>
      <c r="H547" s="25" t="n">
        <f aca="false">IF(AND(B547=B546,A547=A546,D547&gt;0,N(D546)&gt;0,G547&gt;N(G546)),(D547-D546)/((G547-G546)/60),"")</f>
        <v>97.6240000000689</v>
      </c>
      <c r="I547" s="22" t="str">
        <f aca="false">IFERROR(INDEX(Medidores!$B:$B,MATCH(B547,Medidores!$A:$A,0)),"")</f>
        <v>Estación celda 2</v>
      </c>
      <c r="J547" s="22" t="s">
        <v>138</v>
      </c>
    </row>
    <row r="548" customFormat="false" ht="15" hidden="false" customHeight="false" outlineLevel="0" collapsed="false">
      <c r="A548" s="21" t="n">
        <v>46304</v>
      </c>
      <c r="B548" s="22" t="s">
        <v>90</v>
      </c>
      <c r="C548" s="23" t="n">
        <v>0.447916666666667</v>
      </c>
      <c r="D548" s="24" t="n">
        <v>436147.625</v>
      </c>
      <c r="E548" s="24" t="n">
        <v>174079.141</v>
      </c>
      <c r="F548" s="24" t="n">
        <v>471544.719</v>
      </c>
      <c r="G548" s="22" t="n">
        <f aca="false">HOUR(C548)*60+MINUTE(C548)</f>
        <v>645</v>
      </c>
      <c r="H548" s="25" t="n">
        <f aca="false">IF(AND(B548=B547,A548=A547,D548&gt;0,N(D547)&gt;0,G548&gt;N(G547)),(D548-D547)/((G548-G547)/60),"")</f>
        <v>90.3759999999311</v>
      </c>
      <c r="I548" s="22" t="str">
        <f aca="false">IFERROR(INDEX(Medidores!$B:$B,MATCH(B548,Medidores!$A:$A,0)),"")</f>
        <v>Estación celda 2</v>
      </c>
      <c r="J548" s="22" t="s">
        <v>139</v>
      </c>
    </row>
    <row r="549" customFormat="false" ht="15" hidden="false" customHeight="false" outlineLevel="0" collapsed="false">
      <c r="A549" s="21" t="n">
        <v>46304</v>
      </c>
      <c r="B549" s="22" t="s">
        <v>90</v>
      </c>
      <c r="C549" s="23" t="n">
        <v>0.458333333333333</v>
      </c>
      <c r="D549" s="24" t="n">
        <v>436169.313</v>
      </c>
      <c r="E549" s="24" t="n">
        <v>174088.766</v>
      </c>
      <c r="F549" s="24" t="n">
        <v>471568.438</v>
      </c>
      <c r="G549" s="22" t="n">
        <f aca="false">HOUR(C549)*60+MINUTE(C549)</f>
        <v>660</v>
      </c>
      <c r="H549" s="25" t="n">
        <f aca="false">IF(AND(B549=B548,A549=A548,D549&gt;0,N(D548)&gt;0,G549&gt;N(G548)),(D549-D548)/((G549-G548)/60),"")</f>
        <v>86.752000000095</v>
      </c>
      <c r="I549" s="22" t="str">
        <f aca="false">IFERROR(INDEX(Medidores!$B:$B,MATCH(B549,Medidores!$A:$A,0)),"")</f>
        <v>Estación celda 2</v>
      </c>
      <c r="J549" s="22" t="s">
        <v>140</v>
      </c>
    </row>
    <row r="550" customFormat="false" ht="15" hidden="false" customHeight="false" outlineLevel="0" collapsed="false">
      <c r="A550" s="21" t="n">
        <v>46304</v>
      </c>
      <c r="B550" s="22" t="s">
        <v>90</v>
      </c>
      <c r="C550" s="23" t="n">
        <v>0.46875</v>
      </c>
      <c r="D550" s="24" t="n">
        <v>436189.844</v>
      </c>
      <c r="E550" s="24" t="n">
        <v>174098.438</v>
      </c>
      <c r="F550" s="24" t="n">
        <v>471591.156</v>
      </c>
      <c r="G550" s="22" t="n">
        <f aca="false">HOUR(C550)*60+MINUTE(C550)</f>
        <v>675</v>
      </c>
      <c r="H550" s="25" t="n">
        <f aca="false">IF(AND(B550=B549,A550=A549,D550&gt;0,N(D549)&gt;0,G550&gt;N(G549)),(D550-D549)/((G550-G549)/60),"")</f>
        <v>82.1239999998361</v>
      </c>
      <c r="I550" s="22" t="str">
        <f aca="false">IFERROR(INDEX(Medidores!$B:$B,MATCH(B550,Medidores!$A:$A,0)),"")</f>
        <v>Estación celda 2</v>
      </c>
      <c r="J550" s="22" t="s">
        <v>141</v>
      </c>
    </row>
    <row r="551" customFormat="false" ht="15" hidden="false" customHeight="false" outlineLevel="0" collapsed="false">
      <c r="A551" s="21" t="n">
        <v>46304</v>
      </c>
      <c r="B551" s="22" t="s">
        <v>90</v>
      </c>
      <c r="C551" s="23" t="n">
        <v>0.479166666666667</v>
      </c>
      <c r="D551" s="24" t="n">
        <v>436210.688</v>
      </c>
      <c r="E551" s="24" t="n">
        <v>174108.141</v>
      </c>
      <c r="F551" s="24" t="n">
        <v>471614.156</v>
      </c>
      <c r="G551" s="22" t="n">
        <f aca="false">HOUR(C551)*60+MINUTE(C551)</f>
        <v>690</v>
      </c>
      <c r="H551" s="25" t="n">
        <f aca="false">IF(AND(B551=B550,A551=A550,D551&gt;0,N(D550)&gt;0,G551&gt;N(G550)),(D551-D550)/((G551-G550)/60),"")</f>
        <v>83.3760000001639</v>
      </c>
      <c r="I551" s="22" t="str">
        <f aca="false">IFERROR(INDEX(Medidores!$B:$B,MATCH(B551,Medidores!$A:$A,0)),"")</f>
        <v>Estación celda 2</v>
      </c>
      <c r="J551" s="22" t="s">
        <v>142</v>
      </c>
    </row>
    <row r="552" customFormat="false" ht="15" hidden="false" customHeight="false" outlineLevel="0" collapsed="false">
      <c r="A552" s="21" t="n">
        <v>46304</v>
      </c>
      <c r="B552" s="22" t="s">
        <v>90</v>
      </c>
      <c r="C552" s="23" t="n">
        <v>0.489583333333333</v>
      </c>
      <c r="D552" s="24" t="n">
        <v>436234.969</v>
      </c>
      <c r="E552" s="24" t="n">
        <v>174118.375</v>
      </c>
      <c r="F552" s="24" t="n">
        <v>471640.5</v>
      </c>
      <c r="G552" s="22" t="n">
        <f aca="false">HOUR(C552)*60+MINUTE(C552)</f>
        <v>705</v>
      </c>
      <c r="H552" s="25" t="n">
        <f aca="false">IF(AND(B552=B551,A552=A551,D552&gt;0,N(D551)&gt;0,G552&gt;N(G551)),(D552-D551)/((G552-G551)/60),"")</f>
        <v>97.1239999998361</v>
      </c>
      <c r="I552" s="22" t="str">
        <f aca="false">IFERROR(INDEX(Medidores!$B:$B,MATCH(B552,Medidores!$A:$A,0)),"")</f>
        <v>Estación celda 2</v>
      </c>
      <c r="J552" s="22" t="s">
        <v>143</v>
      </c>
    </row>
    <row r="553" customFormat="false" ht="15" hidden="false" customHeight="false" outlineLevel="0" collapsed="false">
      <c r="A553" s="21" t="n">
        <v>46304</v>
      </c>
      <c r="B553" s="22" t="s">
        <v>90</v>
      </c>
      <c r="C553" s="23" t="n">
        <v>0.5</v>
      </c>
      <c r="D553" s="24" t="n">
        <v>436258.531</v>
      </c>
      <c r="E553" s="24" t="n">
        <v>174128.5</v>
      </c>
      <c r="F553" s="24" t="n">
        <v>471666.156</v>
      </c>
      <c r="G553" s="22" t="n">
        <f aca="false">HOUR(C553)*60+MINUTE(C553)</f>
        <v>720</v>
      </c>
      <c r="H553" s="25" t="n">
        <f aca="false">IF(AND(B553=B552,A553=A552,D553&gt;0,N(D552)&gt;0,G553&gt;N(G552)),(D553-D552)/((G553-G552)/60),"")</f>
        <v>94.2480000001378</v>
      </c>
      <c r="I553" s="22" t="str">
        <f aca="false">IFERROR(INDEX(Medidores!$B:$B,MATCH(B553,Medidores!$A:$A,0)),"")</f>
        <v>Estación celda 2</v>
      </c>
      <c r="J553" s="22" t="s">
        <v>144</v>
      </c>
    </row>
    <row r="554" customFormat="false" ht="15" hidden="false" customHeight="false" outlineLevel="0" collapsed="false">
      <c r="A554" s="21" t="n">
        <v>46304</v>
      </c>
      <c r="B554" s="22" t="s">
        <v>90</v>
      </c>
      <c r="C554" s="23" t="n">
        <v>0.510416666666667</v>
      </c>
      <c r="D554" s="24" t="n">
        <v>436282.656</v>
      </c>
      <c r="E554" s="24" t="n">
        <v>174138.234</v>
      </c>
      <c r="F554" s="24" t="n">
        <v>471692.156</v>
      </c>
      <c r="G554" s="22" t="n">
        <f aca="false">HOUR(C554)*60+MINUTE(C554)</f>
        <v>735</v>
      </c>
      <c r="H554" s="25" t="n">
        <f aca="false">IF(AND(B554=B553,A554=A553,D554&gt;0,N(D553)&gt;0,G554&gt;N(G553)),(D554-D553)/((G554-G553)/60),"")</f>
        <v>96.5</v>
      </c>
      <c r="I554" s="22" t="str">
        <f aca="false">IFERROR(INDEX(Medidores!$B:$B,MATCH(B554,Medidores!$A:$A,0)),"")</f>
        <v>Estación celda 2</v>
      </c>
      <c r="J554" s="22" t="s">
        <v>145</v>
      </c>
    </row>
    <row r="555" customFormat="false" ht="15" hidden="false" customHeight="false" outlineLevel="0" collapsed="false">
      <c r="A555" s="21" t="n">
        <v>46304</v>
      </c>
      <c r="B555" s="22" t="s">
        <v>90</v>
      </c>
      <c r="C555" s="23" t="n">
        <v>0.520833333333333</v>
      </c>
      <c r="D555" s="24" t="n">
        <v>436306.25</v>
      </c>
      <c r="E555" s="24" t="n">
        <v>174147.797</v>
      </c>
      <c r="F555" s="24" t="n">
        <v>471717.625</v>
      </c>
      <c r="G555" s="22" t="n">
        <f aca="false">HOUR(C555)*60+MINUTE(C555)</f>
        <v>750</v>
      </c>
      <c r="H555" s="25" t="n">
        <f aca="false">IF(AND(B555=B554,A555=A554,D555&gt;0,N(D554)&gt;0,G555&gt;N(G554)),(D555-D554)/((G555-G554)/60),"")</f>
        <v>94.3759999999311</v>
      </c>
      <c r="I555" s="22" t="str">
        <f aca="false">IFERROR(INDEX(Medidores!$B:$B,MATCH(B555,Medidores!$A:$A,0)),"")</f>
        <v>Estación celda 2</v>
      </c>
      <c r="J555" s="22" t="s">
        <v>146</v>
      </c>
    </row>
    <row r="556" customFormat="false" ht="15" hidden="false" customHeight="false" outlineLevel="0" collapsed="false">
      <c r="A556" s="21" t="n">
        <v>46304</v>
      </c>
      <c r="B556" s="22" t="s">
        <v>90</v>
      </c>
      <c r="C556" s="23" t="n">
        <v>0.53125</v>
      </c>
      <c r="D556" s="24" t="n">
        <v>436327.063</v>
      </c>
      <c r="E556" s="24" t="n">
        <v>174157.297</v>
      </c>
      <c r="F556" s="24" t="n">
        <v>471740.5</v>
      </c>
      <c r="G556" s="22" t="n">
        <f aca="false">HOUR(C556)*60+MINUTE(C556)</f>
        <v>765</v>
      </c>
      <c r="H556" s="25" t="n">
        <f aca="false">IF(AND(B556=B555,A556=A555,D556&gt;0,N(D555)&gt;0,G556&gt;N(G555)),(D556-D555)/((G556-G555)/60),"")</f>
        <v>83.252000000095</v>
      </c>
      <c r="I556" s="22" t="str">
        <f aca="false">IFERROR(INDEX(Medidores!$B:$B,MATCH(B556,Medidores!$A:$A,0)),"")</f>
        <v>Estación celda 2</v>
      </c>
      <c r="J556" s="22" t="s">
        <v>147</v>
      </c>
    </row>
    <row r="557" customFormat="false" ht="15" hidden="false" customHeight="false" outlineLevel="0" collapsed="false">
      <c r="A557" s="21" t="n">
        <v>46304</v>
      </c>
      <c r="B557" s="22" t="s">
        <v>90</v>
      </c>
      <c r="C557" s="23" t="n">
        <v>0.541666666666667</v>
      </c>
      <c r="D557" s="24" t="n">
        <v>436348.844</v>
      </c>
      <c r="E557" s="24" t="n">
        <v>174166.672</v>
      </c>
      <c r="F557" s="24" t="n">
        <v>471764.188</v>
      </c>
      <c r="G557" s="22" t="n">
        <f aca="false">HOUR(C557)*60+MINUTE(C557)</f>
        <v>780</v>
      </c>
      <c r="H557" s="25" t="n">
        <f aca="false">IF(AND(B557=B556,A557=A556,D557&gt;0,N(D556)&gt;0,G557&gt;N(G556)),(D557-D556)/((G557-G556)/60),"")</f>
        <v>87.1239999998361</v>
      </c>
      <c r="I557" s="22" t="str">
        <f aca="false">IFERROR(INDEX(Medidores!$B:$B,MATCH(B557,Medidores!$A:$A,0)),"")</f>
        <v>Estación celda 2</v>
      </c>
      <c r="J557" s="22" t="s">
        <v>148</v>
      </c>
    </row>
    <row r="558" customFormat="false" ht="15" hidden="false" customHeight="false" outlineLevel="0" collapsed="false">
      <c r="A558" s="21" t="n">
        <v>46304</v>
      </c>
      <c r="B558" s="22" t="s">
        <v>90</v>
      </c>
      <c r="C558" s="23" t="n">
        <v>0.552083333333333</v>
      </c>
      <c r="D558" s="24" t="n">
        <v>436369.531</v>
      </c>
      <c r="E558" s="24" t="n">
        <v>174176.031</v>
      </c>
      <c r="F558" s="24" t="n">
        <v>471786.938</v>
      </c>
      <c r="G558" s="22" t="n">
        <f aca="false">HOUR(C558)*60+MINUTE(C558)</f>
        <v>795</v>
      </c>
      <c r="H558" s="25" t="n">
        <f aca="false">IF(AND(B558=B557,A558=A557,D558&gt;0,N(D557)&gt;0,G558&gt;N(G557)),(D558-D557)/((G558-G557)/60),"")</f>
        <v>82.7480000001378</v>
      </c>
      <c r="I558" s="22" t="str">
        <f aca="false">IFERROR(INDEX(Medidores!$B:$B,MATCH(B558,Medidores!$A:$A,0)),"")</f>
        <v>Estación celda 2</v>
      </c>
      <c r="J558" s="22" t="s">
        <v>149</v>
      </c>
    </row>
    <row r="559" customFormat="false" ht="15" hidden="false" customHeight="false" outlineLevel="0" collapsed="false">
      <c r="A559" s="21" t="n">
        <v>46304</v>
      </c>
      <c r="B559" s="22" t="s">
        <v>90</v>
      </c>
      <c r="C559" s="23" t="n">
        <v>0.5625</v>
      </c>
      <c r="D559" s="24" t="n">
        <v>436393.906</v>
      </c>
      <c r="E559" s="24" t="n">
        <v>174185.922</v>
      </c>
      <c r="F559" s="24" t="n">
        <v>471813.25</v>
      </c>
      <c r="G559" s="22" t="n">
        <f aca="false">HOUR(C559)*60+MINUTE(C559)</f>
        <v>810</v>
      </c>
      <c r="H559" s="25" t="n">
        <f aca="false">IF(AND(B559=B558,A559=A558,D559&gt;0,N(D558)&gt;0,G559&gt;N(G558)),(D559-D558)/((G559-G558)/60),"")</f>
        <v>97.5</v>
      </c>
      <c r="I559" s="22" t="str">
        <f aca="false">IFERROR(INDEX(Medidores!$B:$B,MATCH(B559,Medidores!$A:$A,0)),"")</f>
        <v>Estación celda 2</v>
      </c>
      <c r="J559" s="22" t="s">
        <v>150</v>
      </c>
    </row>
    <row r="560" customFormat="false" ht="15" hidden="false" customHeight="false" outlineLevel="0" collapsed="false">
      <c r="A560" s="21" t="n">
        <v>46304</v>
      </c>
      <c r="B560" s="22" t="s">
        <v>90</v>
      </c>
      <c r="C560" s="23" t="n">
        <v>0.572916666666667</v>
      </c>
      <c r="D560" s="24" t="n">
        <v>436418.969</v>
      </c>
      <c r="E560" s="24" t="n">
        <v>174196.172</v>
      </c>
      <c r="F560" s="24" t="n">
        <v>471840.344</v>
      </c>
      <c r="G560" s="22" t="n">
        <f aca="false">HOUR(C560)*60+MINUTE(C560)</f>
        <v>825</v>
      </c>
      <c r="H560" s="25" t="n">
        <f aca="false">IF(AND(B560=B559,A560=A559,D560&gt;0,N(D559)&gt;0,G560&gt;N(G559)),(D560-D559)/((G560-G559)/60),"")</f>
        <v>100.251999999862</v>
      </c>
      <c r="I560" s="22" t="str">
        <f aca="false">IFERROR(INDEX(Medidores!$B:$B,MATCH(B560,Medidores!$A:$A,0)),"")</f>
        <v>Estación celda 2</v>
      </c>
      <c r="J560" s="22" t="s">
        <v>151</v>
      </c>
    </row>
    <row r="561" customFormat="false" ht="15" hidden="false" customHeight="false" outlineLevel="0" collapsed="false">
      <c r="A561" s="21" t="n">
        <v>46304</v>
      </c>
      <c r="B561" s="22" t="s">
        <v>90</v>
      </c>
      <c r="C561" s="23" t="n">
        <v>0.583333333333333</v>
      </c>
      <c r="D561" s="24" t="n">
        <v>436443.531</v>
      </c>
      <c r="E561" s="24" t="n">
        <v>174206.781</v>
      </c>
      <c r="F561" s="24" t="n">
        <v>471867.031</v>
      </c>
      <c r="G561" s="22" t="n">
        <f aca="false">HOUR(C561)*60+MINUTE(C561)</f>
        <v>840</v>
      </c>
      <c r="H561" s="25" t="n">
        <f aca="false">IF(AND(B561=B560,A561=A560,D561&gt;0,N(D560)&gt;0,G561&gt;N(G560)),(D561-D560)/((G561-G560)/60),"")</f>
        <v>98.2480000001378</v>
      </c>
      <c r="I561" s="22" t="str">
        <f aca="false">IFERROR(INDEX(Medidores!$B:$B,MATCH(B561,Medidores!$A:$A,0)),"")</f>
        <v>Estación celda 2</v>
      </c>
      <c r="J561" s="22" t="s">
        <v>152</v>
      </c>
    </row>
    <row r="562" customFormat="false" ht="15" hidden="false" customHeight="false" outlineLevel="0" collapsed="false">
      <c r="A562" s="21" t="n">
        <v>46304</v>
      </c>
      <c r="B562" s="22" t="s">
        <v>91</v>
      </c>
      <c r="C562" s="23" t="n">
        <v>0.385416666666667</v>
      </c>
      <c r="D562" s="24" t="n">
        <v>331342.844</v>
      </c>
      <c r="E562" s="24" t="n">
        <v>173164.734</v>
      </c>
      <c r="F562" s="24" t="n">
        <v>375269.969</v>
      </c>
      <c r="G562" s="22" t="n">
        <f aca="false">HOUR(C562)*60+MINUTE(C562)</f>
        <v>555</v>
      </c>
      <c r="H562" s="25" t="str">
        <f aca="false">IF(AND(B562=B561,A562=A561,D562&gt;0,N(D561)&gt;0,G562&gt;N(G561)),(D562-D561)/((G562-G561)/60),"")</f>
        <v/>
      </c>
      <c r="I562" s="22" t="str">
        <f aca="false">IFERROR(INDEX(Medidores!$B:$B,MATCH(B562,Medidores!$A:$A,0)),"")</f>
        <v>Estación celda 1</v>
      </c>
      <c r="J562" s="22" t="s">
        <v>133</v>
      </c>
    </row>
    <row r="563" customFormat="false" ht="15" hidden="false" customHeight="false" outlineLevel="0" collapsed="false">
      <c r="A563" s="21" t="n">
        <v>46304</v>
      </c>
      <c r="B563" s="22" t="s">
        <v>91</v>
      </c>
      <c r="C563" s="23" t="n">
        <v>0.395833333333333</v>
      </c>
      <c r="D563" s="24" t="n">
        <v>331370.563</v>
      </c>
      <c r="E563" s="24" t="n">
        <v>173183.375</v>
      </c>
      <c r="F563" s="24" t="n">
        <v>375303.438</v>
      </c>
      <c r="G563" s="22" t="n">
        <f aca="false">HOUR(C563)*60+MINUTE(C563)</f>
        <v>570</v>
      </c>
      <c r="H563" s="25" t="n">
        <f aca="false">IF(AND(B563=B562,A563=A562,D563&gt;0,N(D562)&gt;0,G563&gt;N(G562)),(D563-D562)/((G563-G562)/60),"")</f>
        <v>110.876000000164</v>
      </c>
      <c r="I563" s="22" t="str">
        <f aca="false">IFERROR(INDEX(Medidores!$B:$B,MATCH(B563,Medidores!$A:$A,0)),"")</f>
        <v>Estación celda 1</v>
      </c>
      <c r="J563" s="22" t="s">
        <v>134</v>
      </c>
    </row>
    <row r="564" customFormat="false" ht="15" hidden="false" customHeight="false" outlineLevel="0" collapsed="false">
      <c r="A564" s="21" t="n">
        <v>46304</v>
      </c>
      <c r="B564" s="22" t="s">
        <v>91</v>
      </c>
      <c r="C564" s="23" t="n">
        <v>0.40625</v>
      </c>
      <c r="D564" s="24" t="n">
        <v>331403.125</v>
      </c>
      <c r="E564" s="24" t="n">
        <v>173203.734</v>
      </c>
      <c r="F564" s="24" t="n">
        <v>375341.844</v>
      </c>
      <c r="G564" s="22" t="n">
        <f aca="false">HOUR(C564)*60+MINUTE(C564)</f>
        <v>585</v>
      </c>
      <c r="H564" s="25" t="n">
        <f aca="false">IF(AND(B564=B563,A564=A563,D564&gt;0,N(D563)&gt;0,G564&gt;N(G563)),(D564-D563)/((G564-G563)/60),"")</f>
        <v>130.247999999905</v>
      </c>
      <c r="I564" s="22" t="str">
        <f aca="false">IFERROR(INDEX(Medidores!$B:$B,MATCH(B564,Medidores!$A:$A,0)),"")</f>
        <v>Estación celda 1</v>
      </c>
      <c r="J564" s="22" t="s">
        <v>135</v>
      </c>
    </row>
    <row r="565" customFormat="false" ht="15" hidden="false" customHeight="false" outlineLevel="0" collapsed="false">
      <c r="A565" s="21" t="n">
        <v>46304</v>
      </c>
      <c r="B565" s="22" t="s">
        <v>91</v>
      </c>
      <c r="C565" s="23" t="n">
        <v>0.416666666666667</v>
      </c>
      <c r="D565" s="24" t="n">
        <v>331427.844</v>
      </c>
      <c r="E565" s="24" t="n">
        <v>173217.625</v>
      </c>
      <c r="F565" s="24" t="n">
        <v>375370.219</v>
      </c>
      <c r="G565" s="22" t="n">
        <f aca="false">HOUR(C565)*60+MINUTE(C565)</f>
        <v>600</v>
      </c>
      <c r="H565" s="25" t="n">
        <f aca="false">IF(AND(B565=B564,A565=A564,D565&gt;0,N(D564)&gt;0,G565&gt;N(G564)),(D565-D564)/((G565-G564)/60),"")</f>
        <v>98.8759999999311</v>
      </c>
      <c r="I565" s="22" t="str">
        <f aca="false">IFERROR(INDEX(Medidores!$B:$B,MATCH(B565,Medidores!$A:$A,0)),"")</f>
        <v>Estación celda 1</v>
      </c>
      <c r="J565" s="22" t="s">
        <v>136</v>
      </c>
    </row>
    <row r="566" customFormat="false" ht="15" hidden="false" customHeight="false" outlineLevel="0" collapsed="false">
      <c r="A566" s="21" t="n">
        <v>46304</v>
      </c>
      <c r="B566" s="22" t="s">
        <v>91</v>
      </c>
      <c r="C566" s="23" t="n">
        <v>0.427083333333333</v>
      </c>
      <c r="D566" s="24" t="n">
        <v>331452.063</v>
      </c>
      <c r="E566" s="24" t="n">
        <v>173231.484</v>
      </c>
      <c r="F566" s="24" t="n">
        <v>375398.125</v>
      </c>
      <c r="G566" s="22" t="n">
        <f aca="false">HOUR(C566)*60+MINUTE(C566)</f>
        <v>615</v>
      </c>
      <c r="H566" s="25" t="n">
        <f aca="false">IF(AND(B566=B565,A566=A565,D566&gt;0,N(D565)&gt;0,G566&gt;N(G565)),(D566-D565)/((G566-G565)/60),"")</f>
        <v>96.8760000001639</v>
      </c>
      <c r="I566" s="22" t="str">
        <f aca="false">IFERROR(INDEX(Medidores!$B:$B,MATCH(B566,Medidores!$A:$A,0)),"")</f>
        <v>Estación celda 1</v>
      </c>
      <c r="J566" s="22" t="s">
        <v>137</v>
      </c>
    </row>
    <row r="567" customFormat="false" ht="15" hidden="false" customHeight="false" outlineLevel="0" collapsed="false">
      <c r="A567" s="21" t="n">
        <v>46304</v>
      </c>
      <c r="B567" s="22" t="s">
        <v>91</v>
      </c>
      <c r="C567" s="23" t="n">
        <v>0.4375</v>
      </c>
      <c r="D567" s="24" t="n">
        <v>331477.469</v>
      </c>
      <c r="E567" s="24" t="n">
        <v>173245.703</v>
      </c>
      <c r="F567" s="24" t="n">
        <v>375427.25</v>
      </c>
      <c r="G567" s="22" t="n">
        <f aca="false">HOUR(C567)*60+MINUTE(C567)</f>
        <v>630</v>
      </c>
      <c r="H567" s="25" t="n">
        <f aca="false">IF(AND(B567=B566,A567=A566,D567&gt;0,N(D566)&gt;0,G567&gt;N(G566)),(D567-D566)/((G567-G566)/60),"")</f>
        <v>101.623999999836</v>
      </c>
      <c r="I567" s="22" t="str">
        <f aca="false">IFERROR(INDEX(Medidores!$B:$B,MATCH(B567,Medidores!$A:$A,0)),"")</f>
        <v>Estación celda 1</v>
      </c>
      <c r="J567" s="22" t="s">
        <v>138</v>
      </c>
    </row>
    <row r="568" customFormat="false" ht="15" hidden="false" customHeight="false" outlineLevel="0" collapsed="false">
      <c r="A568" s="21" t="n">
        <v>46304</v>
      </c>
      <c r="B568" s="22" t="s">
        <v>91</v>
      </c>
      <c r="C568" s="23" t="n">
        <v>0.447916666666667</v>
      </c>
      <c r="D568" s="24" t="n">
        <v>331499.688</v>
      </c>
      <c r="E568" s="24" t="n">
        <v>173258.125</v>
      </c>
      <c r="F568" s="24" t="n">
        <v>375452.719</v>
      </c>
      <c r="G568" s="22" t="n">
        <f aca="false">HOUR(C568)*60+MINUTE(C568)</f>
        <v>645</v>
      </c>
      <c r="H568" s="25" t="n">
        <f aca="false">IF(AND(B568=B567,A568=A567,D568&gt;0,N(D567)&gt;0,G568&gt;N(G567)),(D568-D567)/((G568-G567)/60),"")</f>
        <v>88.8760000001639</v>
      </c>
      <c r="I568" s="22" t="str">
        <f aca="false">IFERROR(INDEX(Medidores!$B:$B,MATCH(B568,Medidores!$A:$A,0)),"")</f>
        <v>Estación celda 1</v>
      </c>
      <c r="J568" s="22" t="s">
        <v>139</v>
      </c>
    </row>
    <row r="569" customFormat="false" ht="15" hidden="false" customHeight="false" outlineLevel="0" collapsed="false">
      <c r="A569" s="21" t="n">
        <v>46304</v>
      </c>
      <c r="B569" s="22" t="s">
        <v>91</v>
      </c>
      <c r="C569" s="23" t="n">
        <v>0.458333333333333</v>
      </c>
      <c r="D569" s="24" t="n">
        <v>331516.375</v>
      </c>
      <c r="E569" s="24" t="n">
        <v>173269.141</v>
      </c>
      <c r="F569" s="24" t="n">
        <v>375472.75</v>
      </c>
      <c r="G569" s="22" t="n">
        <f aca="false">HOUR(C569)*60+MINUTE(C569)</f>
        <v>660</v>
      </c>
      <c r="H569" s="25" t="n">
        <f aca="false">IF(AND(B569=B568,A569=A568,D569&gt;0,N(D568)&gt;0,G569&gt;N(G568)),(D569-D568)/((G569-G568)/60),"")</f>
        <v>66.747999999905</v>
      </c>
      <c r="I569" s="22" t="str">
        <f aca="false">IFERROR(INDEX(Medidores!$B:$B,MATCH(B569,Medidores!$A:$A,0)),"")</f>
        <v>Estación celda 1</v>
      </c>
      <c r="J569" s="22" t="s">
        <v>140</v>
      </c>
    </row>
    <row r="570" customFormat="false" ht="15" hidden="false" customHeight="false" outlineLevel="0" collapsed="false">
      <c r="A570" s="21" t="n">
        <v>46304</v>
      </c>
      <c r="B570" s="22" t="s">
        <v>91</v>
      </c>
      <c r="C570" s="23" t="n">
        <v>0.46875</v>
      </c>
      <c r="D570" s="24" t="n">
        <v>331530.531</v>
      </c>
      <c r="E570" s="24" t="n">
        <v>173276.297</v>
      </c>
      <c r="F570" s="24" t="n">
        <v>375488.594</v>
      </c>
      <c r="G570" s="22" t="n">
        <f aca="false">HOUR(C570)*60+MINUTE(C570)</f>
        <v>675</v>
      </c>
      <c r="H570" s="25" t="n">
        <f aca="false">IF(AND(B570=B569,A570=A569,D570&gt;0,N(D569)&gt;0,G570&gt;N(G569)),(D570-D569)/((G570-G569)/60),"")</f>
        <v>56.6240000000689</v>
      </c>
      <c r="I570" s="22" t="str">
        <f aca="false">IFERROR(INDEX(Medidores!$B:$B,MATCH(B570,Medidores!$A:$A,0)),"")</f>
        <v>Estación celda 1</v>
      </c>
      <c r="J570" s="22" t="s">
        <v>141</v>
      </c>
    </row>
    <row r="571" customFormat="false" ht="15" hidden="false" customHeight="false" outlineLevel="0" collapsed="false">
      <c r="A571" s="21" t="n">
        <v>46304</v>
      </c>
      <c r="B571" s="22" t="s">
        <v>91</v>
      </c>
      <c r="C571" s="23" t="n">
        <v>0.479166666666667</v>
      </c>
      <c r="D571" s="24" t="n">
        <v>331550.406</v>
      </c>
      <c r="E571" s="24" t="n">
        <v>173285.141</v>
      </c>
      <c r="F571" s="24" t="n">
        <v>375510.375</v>
      </c>
      <c r="G571" s="22" t="n">
        <f aca="false">HOUR(C571)*60+MINUTE(C571)</f>
        <v>690</v>
      </c>
      <c r="H571" s="25" t="n">
        <f aca="false">IF(AND(B571=B570,A571=A570,D571&gt;0,N(D570)&gt;0,G571&gt;N(G570)),(D571-D570)/((G571-G570)/60),"")</f>
        <v>79.5</v>
      </c>
      <c r="I571" s="22" t="str">
        <f aca="false">IFERROR(INDEX(Medidores!$B:$B,MATCH(B571,Medidores!$A:$A,0)),"")</f>
        <v>Estación celda 1</v>
      </c>
      <c r="J571" s="22" t="s">
        <v>142</v>
      </c>
    </row>
    <row r="572" customFormat="false" ht="15" hidden="false" customHeight="false" outlineLevel="0" collapsed="false">
      <c r="A572" s="21" t="n">
        <v>46304</v>
      </c>
      <c r="B572" s="22" t="s">
        <v>91</v>
      </c>
      <c r="C572" s="23" t="n">
        <v>0.489583333333333</v>
      </c>
      <c r="D572" s="24" t="n">
        <v>331571.188</v>
      </c>
      <c r="E572" s="24" t="n">
        <v>173294.25</v>
      </c>
      <c r="F572" s="24" t="n">
        <v>375533.094</v>
      </c>
      <c r="G572" s="22" t="n">
        <f aca="false">HOUR(C572)*60+MINUTE(C572)</f>
        <v>705</v>
      </c>
      <c r="H572" s="25" t="n">
        <f aca="false">IF(AND(B572=B571,A572=A571,D572&gt;0,N(D571)&gt;0,G572&gt;N(G571)),(D572-D571)/((G572-G571)/60),"")</f>
        <v>83.1280000000261</v>
      </c>
      <c r="I572" s="22" t="str">
        <f aca="false">IFERROR(INDEX(Medidores!$B:$B,MATCH(B572,Medidores!$A:$A,0)),"")</f>
        <v>Estación celda 1</v>
      </c>
      <c r="J572" s="22" t="s">
        <v>143</v>
      </c>
    </row>
    <row r="573" customFormat="false" ht="15" hidden="false" customHeight="false" outlineLevel="0" collapsed="false">
      <c r="A573" s="21" t="n">
        <v>46304</v>
      </c>
      <c r="B573" s="22" t="s">
        <v>91</v>
      </c>
      <c r="C573" s="23" t="n">
        <v>0.5</v>
      </c>
      <c r="D573" s="24" t="n">
        <v>331591.469</v>
      </c>
      <c r="E573" s="24" t="n">
        <v>173303.188</v>
      </c>
      <c r="F573" s="24" t="n">
        <v>375555.219</v>
      </c>
      <c r="G573" s="22" t="n">
        <f aca="false">HOUR(C573)*60+MINUTE(C573)</f>
        <v>720</v>
      </c>
      <c r="H573" s="25" t="n">
        <f aca="false">IF(AND(B573=B572,A573=A572,D573&gt;0,N(D572)&gt;0,G573&gt;N(G572)),(D573-D572)/((G573-G572)/60),"")</f>
        <v>81.1239999998361</v>
      </c>
      <c r="I573" s="22" t="str">
        <f aca="false">IFERROR(INDEX(Medidores!$B:$B,MATCH(B573,Medidores!$A:$A,0)),"")</f>
        <v>Estación celda 1</v>
      </c>
      <c r="J573" s="22" t="s">
        <v>144</v>
      </c>
    </row>
    <row r="574" customFormat="false" ht="15" hidden="false" customHeight="false" outlineLevel="0" collapsed="false">
      <c r="A574" s="21" t="n">
        <v>46304</v>
      </c>
      <c r="B574" s="22" t="s">
        <v>91</v>
      </c>
      <c r="C574" s="23" t="n">
        <v>0.510416666666667</v>
      </c>
      <c r="D574" s="24" t="n">
        <v>331613.5</v>
      </c>
      <c r="E574" s="24" t="n">
        <v>173315.469</v>
      </c>
      <c r="F574" s="24" t="n">
        <v>375580.5</v>
      </c>
      <c r="G574" s="22" t="n">
        <f aca="false">HOUR(C574)*60+MINUTE(C574)</f>
        <v>735</v>
      </c>
      <c r="H574" s="25" t="n">
        <f aca="false">IF(AND(B574=B573,A574=A573,D574&gt;0,N(D573)&gt;0,G574&gt;N(G573)),(D574-D573)/((G574-G573)/60),"")</f>
        <v>88.1240000000689</v>
      </c>
      <c r="I574" s="22" t="str">
        <f aca="false">IFERROR(INDEX(Medidores!$B:$B,MATCH(B574,Medidores!$A:$A,0)),"")</f>
        <v>Estación celda 1</v>
      </c>
      <c r="J574" s="22" t="s">
        <v>145</v>
      </c>
    </row>
    <row r="575" customFormat="false" ht="15" hidden="false" customHeight="false" outlineLevel="0" collapsed="false">
      <c r="A575" s="21" t="n">
        <v>46304</v>
      </c>
      <c r="B575" s="22" t="s">
        <v>91</v>
      </c>
      <c r="C575" s="23" t="n">
        <v>0.520833333333333</v>
      </c>
      <c r="D575" s="24" t="n">
        <v>331635.219</v>
      </c>
      <c r="E575" s="24" t="n">
        <v>173328.281</v>
      </c>
      <c r="F575" s="24" t="n">
        <v>375605.781</v>
      </c>
      <c r="G575" s="22" t="n">
        <f aca="false">HOUR(C575)*60+MINUTE(C575)</f>
        <v>750</v>
      </c>
      <c r="H575" s="25" t="n">
        <f aca="false">IF(AND(B575=B574,A575=A574,D575&gt;0,N(D574)&gt;0,G575&gt;N(G574)),(D575-D574)/((G575-G574)/60),"")</f>
        <v>86.8759999999311</v>
      </c>
      <c r="I575" s="22" t="str">
        <f aca="false">IFERROR(INDEX(Medidores!$B:$B,MATCH(B575,Medidores!$A:$A,0)),"")</f>
        <v>Estación celda 1</v>
      </c>
      <c r="J575" s="22" t="s">
        <v>146</v>
      </c>
    </row>
    <row r="576" customFormat="false" ht="15" hidden="false" customHeight="false" outlineLevel="0" collapsed="false">
      <c r="A576" s="21" t="n">
        <v>46304</v>
      </c>
      <c r="B576" s="22" t="s">
        <v>91</v>
      </c>
      <c r="C576" s="23" t="n">
        <v>0.53125</v>
      </c>
      <c r="D576" s="24" t="n">
        <v>331658.063</v>
      </c>
      <c r="E576" s="24" t="n">
        <v>173341.609</v>
      </c>
      <c r="F576" s="24" t="n">
        <v>375632.188</v>
      </c>
      <c r="G576" s="22" t="n">
        <f aca="false">HOUR(C576)*60+MINUTE(C576)</f>
        <v>765</v>
      </c>
      <c r="H576" s="25" t="n">
        <f aca="false">IF(AND(B576=B575,A576=A575,D576&gt;0,N(D575)&gt;0,G576&gt;N(G575)),(D576-D575)/((G576-G575)/60),"")</f>
        <v>91.3760000001639</v>
      </c>
      <c r="I576" s="22" t="str">
        <f aca="false">IFERROR(INDEX(Medidores!$B:$B,MATCH(B576,Medidores!$A:$A,0)),"")</f>
        <v>Estación celda 1</v>
      </c>
      <c r="J576" s="22" t="s">
        <v>147</v>
      </c>
    </row>
    <row r="577" customFormat="false" ht="15" hidden="false" customHeight="false" outlineLevel="0" collapsed="false">
      <c r="A577" s="21" t="n">
        <v>46304</v>
      </c>
      <c r="B577" s="22" t="s">
        <v>91</v>
      </c>
      <c r="C577" s="23" t="n">
        <v>0.541666666666667</v>
      </c>
      <c r="D577" s="24" t="n">
        <v>331682.281</v>
      </c>
      <c r="E577" s="24" t="n">
        <v>173355.297</v>
      </c>
      <c r="F577" s="24" t="n">
        <v>375660.031</v>
      </c>
      <c r="G577" s="22" t="n">
        <f aca="false">HOUR(C577)*60+MINUTE(C577)</f>
        <v>780</v>
      </c>
      <c r="H577" s="25" t="n">
        <f aca="false">IF(AND(B577=B576,A577=A576,D577&gt;0,N(D576)&gt;0,G577&gt;N(G576)),(D577-D576)/((G577-G576)/60),"")</f>
        <v>96.8719999999739</v>
      </c>
      <c r="I577" s="22" t="str">
        <f aca="false">IFERROR(INDEX(Medidores!$B:$B,MATCH(B577,Medidores!$A:$A,0)),"")</f>
        <v>Estación celda 1</v>
      </c>
      <c r="J577" s="22" t="s">
        <v>148</v>
      </c>
    </row>
    <row r="578" customFormat="false" ht="15" hidden="false" customHeight="false" outlineLevel="0" collapsed="false">
      <c r="A578" s="21" t="n">
        <v>46304</v>
      </c>
      <c r="B578" s="22" t="s">
        <v>91</v>
      </c>
      <c r="C578" s="23" t="n">
        <v>0.552083333333333</v>
      </c>
      <c r="D578" s="24" t="n">
        <v>331704.188</v>
      </c>
      <c r="E578" s="24" t="n">
        <v>173367.938</v>
      </c>
      <c r="F578" s="24" t="n">
        <v>375685.375</v>
      </c>
      <c r="G578" s="22" t="n">
        <f aca="false">HOUR(C578)*60+MINUTE(C578)</f>
        <v>795</v>
      </c>
      <c r="H578" s="25" t="n">
        <f aca="false">IF(AND(B578=B577,A578=A577,D578&gt;0,N(D577)&gt;0,G578&gt;N(G577)),(D578-D577)/((G578-G577)/60),"")</f>
        <v>87.6280000000261</v>
      </c>
      <c r="I578" s="22" t="str">
        <f aca="false">IFERROR(INDEX(Medidores!$B:$B,MATCH(B578,Medidores!$A:$A,0)),"")</f>
        <v>Estación celda 1</v>
      </c>
      <c r="J578" s="22" t="s">
        <v>149</v>
      </c>
    </row>
    <row r="579" customFormat="false" ht="15" hidden="false" customHeight="false" outlineLevel="0" collapsed="false">
      <c r="A579" s="21" t="n">
        <v>46304</v>
      </c>
      <c r="B579" s="22" t="s">
        <v>91</v>
      </c>
      <c r="C579" s="23" t="n">
        <v>0.5625</v>
      </c>
      <c r="D579" s="24" t="n">
        <v>331725.969</v>
      </c>
      <c r="E579" s="24" t="n">
        <v>173380.578</v>
      </c>
      <c r="F579" s="24" t="n">
        <v>375710.563</v>
      </c>
      <c r="G579" s="22" t="n">
        <f aca="false">HOUR(C579)*60+MINUTE(C579)</f>
        <v>810</v>
      </c>
      <c r="H579" s="25" t="n">
        <f aca="false">IF(AND(B579=B578,A579=A578,D579&gt;0,N(D578)&gt;0,G579&gt;N(G578)),(D579-D578)/((G579-G578)/60),"")</f>
        <v>87.1239999998361</v>
      </c>
      <c r="I579" s="22" t="str">
        <f aca="false">IFERROR(INDEX(Medidores!$B:$B,MATCH(B579,Medidores!$A:$A,0)),"")</f>
        <v>Estación celda 1</v>
      </c>
      <c r="J579" s="22" t="s">
        <v>150</v>
      </c>
    </row>
    <row r="580" customFormat="false" ht="15" hidden="false" customHeight="false" outlineLevel="0" collapsed="false">
      <c r="A580" s="21" t="n">
        <v>46304</v>
      </c>
      <c r="B580" s="22" t="s">
        <v>91</v>
      </c>
      <c r="C580" s="23" t="n">
        <v>0.572916666666667</v>
      </c>
      <c r="D580" s="24" t="n">
        <v>331749.5</v>
      </c>
      <c r="E580" s="24" t="n">
        <v>173394.281</v>
      </c>
      <c r="F580" s="24" t="n">
        <v>375737.781</v>
      </c>
      <c r="G580" s="22" t="n">
        <f aca="false">HOUR(C580)*60+MINUTE(C580)</f>
        <v>825</v>
      </c>
      <c r="H580" s="25" t="n">
        <f aca="false">IF(AND(B580=B579,A580=A579,D580&gt;0,N(D579)&gt;0,G580&gt;N(G579)),(D580-D579)/((G580-G579)/60),"")</f>
        <v>94.1240000000689</v>
      </c>
      <c r="I580" s="22" t="str">
        <f aca="false">IFERROR(INDEX(Medidores!$B:$B,MATCH(B580,Medidores!$A:$A,0)),"")</f>
        <v>Estación celda 1</v>
      </c>
      <c r="J580" s="22" t="s">
        <v>151</v>
      </c>
    </row>
    <row r="581" customFormat="false" ht="15" hidden="false" customHeight="false" outlineLevel="0" collapsed="false">
      <c r="A581" s="21" t="n">
        <v>46304</v>
      </c>
      <c r="B581" s="22" t="s">
        <v>91</v>
      </c>
      <c r="C581" s="23" t="n">
        <v>0.583333333333333</v>
      </c>
      <c r="D581" s="24" t="n">
        <v>331773.063</v>
      </c>
      <c r="E581" s="24"/>
      <c r="F581" s="24" t="n">
        <v>375765.031</v>
      </c>
      <c r="G581" s="22" t="n">
        <f aca="false">HOUR(C581)*60+MINUTE(C581)</f>
        <v>840</v>
      </c>
      <c r="H581" s="25" t="n">
        <f aca="false">IF(AND(B581=B580,A581=A580,D581&gt;0,N(D580)&gt;0,G581&gt;N(G580)),(D581-D580)/((G581-G580)/60),"")</f>
        <v>94.252000000095</v>
      </c>
      <c r="I581" s="22" t="str">
        <f aca="false">IFERROR(INDEX(Medidores!$B:$B,MATCH(B581,Medidores!$A:$A,0)),"")</f>
        <v>Estación celda 1</v>
      </c>
      <c r="J581" s="22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</cols>
  <sheetData>
    <row r="1" customFormat="false" ht="15" hidden="false" customHeight="false" outlineLevel="0" collapsed="false">
      <c r="A1" s="10" t="s">
        <v>12</v>
      </c>
      <c r="B1" s="10" t="s">
        <v>174</v>
      </c>
      <c r="D1" s="2" t="s">
        <v>175</v>
      </c>
    </row>
    <row r="2" customFormat="false" ht="15" hidden="false" customHeight="false" outlineLevel="0" collapsed="false">
      <c r="A2" s="11" t="s">
        <v>62</v>
      </c>
      <c r="B2" s="26" t="s">
        <v>176</v>
      </c>
    </row>
    <row r="3" customFormat="false" ht="15" hidden="false" customHeight="false" outlineLevel="0" collapsed="false">
      <c r="A3" s="11" t="s">
        <v>82</v>
      </c>
      <c r="B3" s="26" t="s">
        <v>177</v>
      </c>
    </row>
    <row r="4" customFormat="false" ht="15" hidden="false" customHeight="false" outlineLevel="0" collapsed="false">
      <c r="A4" s="11" t="s">
        <v>84</v>
      </c>
      <c r="B4" s="26" t="s">
        <v>178</v>
      </c>
    </row>
    <row r="5" customFormat="false" ht="15" hidden="false" customHeight="false" outlineLevel="0" collapsed="false">
      <c r="A5" s="11" t="s">
        <v>86</v>
      </c>
      <c r="B5" s="26" t="s">
        <v>179</v>
      </c>
    </row>
    <row r="6" customFormat="false" ht="15" hidden="false" customHeight="false" outlineLevel="0" collapsed="false">
      <c r="A6" s="11" t="s">
        <v>87</v>
      </c>
      <c r="B6" s="26" t="s">
        <v>180</v>
      </c>
    </row>
    <row r="7" customFormat="false" ht="15" hidden="false" customHeight="false" outlineLevel="0" collapsed="false">
      <c r="A7" s="11" t="s">
        <v>41</v>
      </c>
      <c r="B7" s="26" t="s">
        <v>181</v>
      </c>
    </row>
    <row r="8" customFormat="false" ht="15" hidden="false" customHeight="false" outlineLevel="0" collapsed="false">
      <c r="A8" s="11" t="s">
        <v>88</v>
      </c>
      <c r="B8" s="26" t="s">
        <v>182</v>
      </c>
    </row>
    <row r="9" customFormat="false" ht="15" hidden="false" customHeight="false" outlineLevel="0" collapsed="false">
      <c r="A9" s="11" t="s">
        <v>89</v>
      </c>
      <c r="B9" s="26" t="s">
        <v>183</v>
      </c>
    </row>
    <row r="10" customFormat="false" ht="15" hidden="false" customHeight="false" outlineLevel="0" collapsed="false">
      <c r="A10" s="11" t="s">
        <v>90</v>
      </c>
      <c r="B10" s="26" t="s">
        <v>184</v>
      </c>
    </row>
    <row r="11" customFormat="false" ht="15" hidden="false" customHeight="false" outlineLevel="0" collapsed="false">
      <c r="A11" s="11" t="s">
        <v>91</v>
      </c>
      <c r="B11" s="26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3.85" hidden="false" customHeight="false" outlineLevel="0" collapsed="false">
      <c r="A1" s="10" t="s">
        <v>185</v>
      </c>
      <c r="B1" s="10" t="s">
        <v>186</v>
      </c>
      <c r="C1" s="10" t="s">
        <v>187</v>
      </c>
      <c r="E1" s="2" t="s">
        <v>188</v>
      </c>
    </row>
    <row r="2" customFormat="false" ht="15" hidden="false" customHeight="false" outlineLevel="0" collapsed="false">
      <c r="A2" s="22" t="n">
        <v>15</v>
      </c>
      <c r="B2" s="22" t="s">
        <v>189</v>
      </c>
      <c r="C2" s="25" t="str">
        <f aca="false">IF(COUNTIFS(Datos!$B:$B,Tablero!$I$5,Datos!$A:$A,Tablero!$B$5,Datos!$G:$G,$A2,Datos!$H:$H,"&gt;=0")=0,"",SUMIFS(Datos!$H:$H,Datos!$B:$B,Tablero!$I$5,Datos!$A:$A,Tablero!$B$5,Datos!$G:$G,$A2))</f>
        <v/>
      </c>
    </row>
    <row r="3" customFormat="false" ht="15" hidden="false" customHeight="false" outlineLevel="0" collapsed="false">
      <c r="A3" s="22" t="n">
        <v>30</v>
      </c>
      <c r="B3" s="22" t="s">
        <v>190</v>
      </c>
      <c r="C3" s="25" t="str">
        <f aca="false">IF(COUNTIFS(Datos!$B:$B,Tablero!$I$5,Datos!$A:$A,Tablero!$B$5,Datos!$G:$G,$A3,Datos!$H:$H,"&gt;=0")=0,"",SUMIFS(Datos!$H:$H,Datos!$B:$B,Tablero!$I$5,Datos!$A:$A,Tablero!$B$5,Datos!$G:$G,$A3))</f>
        <v/>
      </c>
    </row>
    <row r="4" customFormat="false" ht="15" hidden="false" customHeight="false" outlineLevel="0" collapsed="false">
      <c r="A4" s="22" t="n">
        <v>45</v>
      </c>
      <c r="B4" s="22" t="s">
        <v>191</v>
      </c>
      <c r="C4" s="25" t="str">
        <f aca="false">IF(COUNTIFS(Datos!$B:$B,Tablero!$I$5,Datos!$A:$A,Tablero!$B$5,Datos!$G:$G,$A4,Datos!$H:$H,"&gt;=0")=0,"",SUMIFS(Datos!$H:$H,Datos!$B:$B,Tablero!$I$5,Datos!$A:$A,Tablero!$B$5,Datos!$G:$G,$A4))</f>
        <v/>
      </c>
    </row>
    <row r="5" customFormat="false" ht="15" hidden="false" customHeight="false" outlineLevel="0" collapsed="false">
      <c r="A5" s="22" t="n">
        <v>60</v>
      </c>
      <c r="B5" s="22" t="s">
        <v>192</v>
      </c>
      <c r="C5" s="25" t="str">
        <f aca="false">IF(COUNTIFS(Datos!$B:$B,Tablero!$I$5,Datos!$A:$A,Tablero!$B$5,Datos!$G:$G,$A5,Datos!$H:$H,"&gt;=0")=0,"",SUMIFS(Datos!$H:$H,Datos!$B:$B,Tablero!$I$5,Datos!$A:$A,Tablero!$B$5,Datos!$G:$G,$A5))</f>
        <v/>
      </c>
    </row>
    <row r="6" customFormat="false" ht="15" hidden="false" customHeight="false" outlineLevel="0" collapsed="false">
      <c r="A6" s="22" t="n">
        <v>75</v>
      </c>
      <c r="B6" s="22" t="s">
        <v>193</v>
      </c>
      <c r="C6" s="25" t="str">
        <f aca="false">IF(COUNTIFS(Datos!$B:$B,Tablero!$I$5,Datos!$A:$A,Tablero!$B$5,Datos!$G:$G,$A6,Datos!$H:$H,"&gt;=0")=0,"",SUMIFS(Datos!$H:$H,Datos!$B:$B,Tablero!$I$5,Datos!$A:$A,Tablero!$B$5,Datos!$G:$G,$A6))</f>
        <v/>
      </c>
    </row>
    <row r="7" customFormat="false" ht="15" hidden="false" customHeight="false" outlineLevel="0" collapsed="false">
      <c r="A7" s="22" t="n">
        <v>90</v>
      </c>
      <c r="B7" s="22" t="s">
        <v>194</v>
      </c>
      <c r="C7" s="25" t="str">
        <f aca="false">IF(COUNTIFS(Datos!$B:$B,Tablero!$I$5,Datos!$A:$A,Tablero!$B$5,Datos!$G:$G,$A7,Datos!$H:$H,"&gt;=0")=0,"",SUMIFS(Datos!$H:$H,Datos!$B:$B,Tablero!$I$5,Datos!$A:$A,Tablero!$B$5,Datos!$G:$G,$A7))</f>
        <v/>
      </c>
    </row>
    <row r="8" customFormat="false" ht="15" hidden="false" customHeight="false" outlineLevel="0" collapsed="false">
      <c r="A8" s="22" t="n">
        <v>105</v>
      </c>
      <c r="B8" s="22" t="s">
        <v>195</v>
      </c>
      <c r="C8" s="25" t="str">
        <f aca="false">IF(COUNTIFS(Datos!$B:$B,Tablero!$I$5,Datos!$A:$A,Tablero!$B$5,Datos!$G:$G,$A8,Datos!$H:$H,"&gt;=0")=0,"",SUMIFS(Datos!$H:$H,Datos!$B:$B,Tablero!$I$5,Datos!$A:$A,Tablero!$B$5,Datos!$G:$G,$A8))</f>
        <v/>
      </c>
    </row>
    <row r="9" customFormat="false" ht="15" hidden="false" customHeight="false" outlineLevel="0" collapsed="false">
      <c r="A9" s="22" t="n">
        <v>120</v>
      </c>
      <c r="B9" s="22" t="s">
        <v>196</v>
      </c>
      <c r="C9" s="25" t="str">
        <f aca="false">IF(COUNTIFS(Datos!$B:$B,Tablero!$I$5,Datos!$A:$A,Tablero!$B$5,Datos!$G:$G,$A9,Datos!$H:$H,"&gt;=0")=0,"",SUMIFS(Datos!$H:$H,Datos!$B:$B,Tablero!$I$5,Datos!$A:$A,Tablero!$B$5,Datos!$G:$G,$A9))</f>
        <v/>
      </c>
    </row>
    <row r="10" customFormat="false" ht="15" hidden="false" customHeight="false" outlineLevel="0" collapsed="false">
      <c r="A10" s="22" t="n">
        <v>135</v>
      </c>
      <c r="B10" s="22" t="s">
        <v>197</v>
      </c>
      <c r="C10" s="25" t="str">
        <f aca="false">IF(COUNTIFS(Datos!$B:$B,Tablero!$I$5,Datos!$A:$A,Tablero!$B$5,Datos!$G:$G,$A10,Datos!$H:$H,"&gt;=0")=0,"",SUMIFS(Datos!$H:$H,Datos!$B:$B,Tablero!$I$5,Datos!$A:$A,Tablero!$B$5,Datos!$G:$G,$A10))</f>
        <v/>
      </c>
    </row>
    <row r="11" customFormat="false" ht="15" hidden="false" customHeight="false" outlineLevel="0" collapsed="false">
      <c r="A11" s="22" t="n">
        <v>150</v>
      </c>
      <c r="B11" s="22" t="s">
        <v>198</v>
      </c>
      <c r="C11" s="25" t="str">
        <f aca="false">IF(COUNTIFS(Datos!$B:$B,Tablero!$I$5,Datos!$A:$A,Tablero!$B$5,Datos!$G:$G,$A11,Datos!$H:$H,"&gt;=0")=0,"",SUMIFS(Datos!$H:$H,Datos!$B:$B,Tablero!$I$5,Datos!$A:$A,Tablero!$B$5,Datos!$G:$G,$A11))</f>
        <v/>
      </c>
    </row>
    <row r="12" customFormat="false" ht="15" hidden="false" customHeight="false" outlineLevel="0" collapsed="false">
      <c r="A12" s="22" t="n">
        <v>165</v>
      </c>
      <c r="B12" s="22" t="s">
        <v>199</v>
      </c>
      <c r="C12" s="25" t="str">
        <f aca="false">IF(COUNTIFS(Datos!$B:$B,Tablero!$I$5,Datos!$A:$A,Tablero!$B$5,Datos!$G:$G,$A12,Datos!$H:$H,"&gt;=0")=0,"",SUMIFS(Datos!$H:$H,Datos!$B:$B,Tablero!$I$5,Datos!$A:$A,Tablero!$B$5,Datos!$G:$G,$A12))</f>
        <v/>
      </c>
    </row>
    <row r="13" customFormat="false" ht="15" hidden="false" customHeight="false" outlineLevel="0" collapsed="false">
      <c r="A13" s="22" t="n">
        <v>180</v>
      </c>
      <c r="B13" s="22" t="s">
        <v>200</v>
      </c>
      <c r="C13" s="25" t="str">
        <f aca="false">IF(COUNTIFS(Datos!$B:$B,Tablero!$I$5,Datos!$A:$A,Tablero!$B$5,Datos!$G:$G,$A13,Datos!$H:$H,"&gt;=0")=0,"",SUMIFS(Datos!$H:$H,Datos!$B:$B,Tablero!$I$5,Datos!$A:$A,Tablero!$B$5,Datos!$G:$G,$A13))</f>
        <v/>
      </c>
    </row>
    <row r="14" customFormat="false" ht="15" hidden="false" customHeight="false" outlineLevel="0" collapsed="false">
      <c r="A14" s="22" t="n">
        <v>195</v>
      </c>
      <c r="B14" s="22" t="s">
        <v>201</v>
      </c>
      <c r="C14" s="25" t="str">
        <f aca="false">IF(COUNTIFS(Datos!$B:$B,Tablero!$I$5,Datos!$A:$A,Tablero!$B$5,Datos!$G:$G,$A14,Datos!$H:$H,"&gt;=0")=0,"",SUMIFS(Datos!$H:$H,Datos!$B:$B,Tablero!$I$5,Datos!$A:$A,Tablero!$B$5,Datos!$G:$G,$A14))</f>
        <v/>
      </c>
    </row>
    <row r="15" customFormat="false" ht="15" hidden="false" customHeight="false" outlineLevel="0" collapsed="false">
      <c r="A15" s="22" t="n">
        <v>210</v>
      </c>
      <c r="B15" s="22" t="s">
        <v>202</v>
      </c>
      <c r="C15" s="25" t="str">
        <f aca="false">IF(COUNTIFS(Datos!$B:$B,Tablero!$I$5,Datos!$A:$A,Tablero!$B$5,Datos!$G:$G,$A15,Datos!$H:$H,"&gt;=0")=0,"",SUMIFS(Datos!$H:$H,Datos!$B:$B,Tablero!$I$5,Datos!$A:$A,Tablero!$B$5,Datos!$G:$G,$A15))</f>
        <v/>
      </c>
    </row>
    <row r="16" customFormat="false" ht="15" hidden="false" customHeight="false" outlineLevel="0" collapsed="false">
      <c r="A16" s="22" t="n">
        <v>225</v>
      </c>
      <c r="B16" s="22" t="s">
        <v>203</v>
      </c>
      <c r="C16" s="25" t="str">
        <f aca="false">IF(COUNTIFS(Datos!$B:$B,Tablero!$I$5,Datos!$A:$A,Tablero!$B$5,Datos!$G:$G,$A16,Datos!$H:$H,"&gt;=0")=0,"",SUMIFS(Datos!$H:$H,Datos!$B:$B,Tablero!$I$5,Datos!$A:$A,Tablero!$B$5,Datos!$G:$G,$A16))</f>
        <v/>
      </c>
    </row>
    <row r="17" customFormat="false" ht="15" hidden="false" customHeight="false" outlineLevel="0" collapsed="false">
      <c r="A17" s="22" t="n">
        <v>240</v>
      </c>
      <c r="B17" s="22" t="s">
        <v>204</v>
      </c>
      <c r="C17" s="25" t="str">
        <f aca="false">IF(COUNTIFS(Datos!$B:$B,Tablero!$I$5,Datos!$A:$A,Tablero!$B$5,Datos!$G:$G,$A17,Datos!$H:$H,"&gt;=0")=0,"",SUMIFS(Datos!$H:$H,Datos!$B:$B,Tablero!$I$5,Datos!$A:$A,Tablero!$B$5,Datos!$G:$G,$A17))</f>
        <v/>
      </c>
    </row>
    <row r="18" customFormat="false" ht="15" hidden="false" customHeight="false" outlineLevel="0" collapsed="false">
      <c r="A18" s="22" t="n">
        <v>255</v>
      </c>
      <c r="B18" s="22" t="s">
        <v>205</v>
      </c>
      <c r="C18" s="25" t="str">
        <f aca="false">IF(COUNTIFS(Datos!$B:$B,Tablero!$I$5,Datos!$A:$A,Tablero!$B$5,Datos!$G:$G,$A18,Datos!$H:$H,"&gt;=0")=0,"",SUMIFS(Datos!$H:$H,Datos!$B:$B,Tablero!$I$5,Datos!$A:$A,Tablero!$B$5,Datos!$G:$G,$A18))</f>
        <v/>
      </c>
    </row>
    <row r="19" customFormat="false" ht="15" hidden="false" customHeight="false" outlineLevel="0" collapsed="false">
      <c r="A19" s="22" t="n">
        <v>270</v>
      </c>
      <c r="B19" s="22" t="s">
        <v>206</v>
      </c>
      <c r="C19" s="25" t="str">
        <f aca="false">IF(COUNTIFS(Datos!$B:$B,Tablero!$I$5,Datos!$A:$A,Tablero!$B$5,Datos!$G:$G,$A19,Datos!$H:$H,"&gt;=0")=0,"",SUMIFS(Datos!$H:$H,Datos!$B:$B,Tablero!$I$5,Datos!$A:$A,Tablero!$B$5,Datos!$G:$G,$A19))</f>
        <v/>
      </c>
    </row>
    <row r="20" customFormat="false" ht="15" hidden="false" customHeight="false" outlineLevel="0" collapsed="false">
      <c r="A20" s="22" t="n">
        <v>285</v>
      </c>
      <c r="B20" s="22" t="s">
        <v>207</v>
      </c>
      <c r="C20" s="25" t="str">
        <f aca="false">IF(COUNTIFS(Datos!$B:$B,Tablero!$I$5,Datos!$A:$A,Tablero!$B$5,Datos!$G:$G,$A20,Datos!$H:$H,"&gt;=0")=0,"",SUMIFS(Datos!$H:$H,Datos!$B:$B,Tablero!$I$5,Datos!$A:$A,Tablero!$B$5,Datos!$G:$G,$A20))</f>
        <v/>
      </c>
    </row>
    <row r="21" customFormat="false" ht="15" hidden="false" customHeight="false" outlineLevel="0" collapsed="false">
      <c r="A21" s="22" t="n">
        <v>300</v>
      </c>
      <c r="B21" s="22" t="s">
        <v>208</v>
      </c>
      <c r="C21" s="25" t="str">
        <f aca="false">IF(COUNTIFS(Datos!$B:$B,Tablero!$I$5,Datos!$A:$A,Tablero!$B$5,Datos!$G:$G,$A21,Datos!$H:$H,"&gt;=0")=0,"",SUMIFS(Datos!$H:$H,Datos!$B:$B,Tablero!$I$5,Datos!$A:$A,Tablero!$B$5,Datos!$G:$G,$A21))</f>
        <v/>
      </c>
    </row>
    <row r="22" customFormat="false" ht="15" hidden="false" customHeight="false" outlineLevel="0" collapsed="false">
      <c r="A22" s="22" t="n">
        <v>315</v>
      </c>
      <c r="B22" s="22" t="s">
        <v>209</v>
      </c>
      <c r="C22" s="25" t="str">
        <f aca="false">IF(COUNTIFS(Datos!$B:$B,Tablero!$I$5,Datos!$A:$A,Tablero!$B$5,Datos!$G:$G,$A22,Datos!$H:$H,"&gt;=0")=0,"",SUMIFS(Datos!$H:$H,Datos!$B:$B,Tablero!$I$5,Datos!$A:$A,Tablero!$B$5,Datos!$G:$G,$A22))</f>
        <v/>
      </c>
    </row>
    <row r="23" customFormat="false" ht="15" hidden="false" customHeight="false" outlineLevel="0" collapsed="false">
      <c r="A23" s="22" t="n">
        <v>330</v>
      </c>
      <c r="B23" s="22" t="s">
        <v>210</v>
      </c>
      <c r="C23" s="25" t="str">
        <f aca="false">IF(COUNTIFS(Datos!$B:$B,Tablero!$I$5,Datos!$A:$A,Tablero!$B$5,Datos!$G:$G,$A23,Datos!$H:$H,"&gt;=0")=0,"",SUMIFS(Datos!$H:$H,Datos!$B:$B,Tablero!$I$5,Datos!$A:$A,Tablero!$B$5,Datos!$G:$G,$A23))</f>
        <v/>
      </c>
    </row>
    <row r="24" customFormat="false" ht="15" hidden="false" customHeight="false" outlineLevel="0" collapsed="false">
      <c r="A24" s="22" t="n">
        <v>345</v>
      </c>
      <c r="B24" s="22" t="s">
        <v>211</v>
      </c>
      <c r="C24" s="25" t="str">
        <f aca="false">IF(COUNTIFS(Datos!$B:$B,Tablero!$I$5,Datos!$A:$A,Tablero!$B$5,Datos!$G:$G,$A24,Datos!$H:$H,"&gt;=0")=0,"",SUMIFS(Datos!$H:$H,Datos!$B:$B,Tablero!$I$5,Datos!$A:$A,Tablero!$B$5,Datos!$G:$G,$A24))</f>
        <v/>
      </c>
    </row>
    <row r="25" customFormat="false" ht="15" hidden="false" customHeight="false" outlineLevel="0" collapsed="false">
      <c r="A25" s="22" t="n">
        <v>360</v>
      </c>
      <c r="B25" s="22" t="s">
        <v>212</v>
      </c>
      <c r="C25" s="25" t="str">
        <f aca="false">IF(COUNTIFS(Datos!$B:$B,Tablero!$I$5,Datos!$A:$A,Tablero!$B$5,Datos!$G:$G,$A25,Datos!$H:$H,"&gt;=0")=0,"",SUMIFS(Datos!$H:$H,Datos!$B:$B,Tablero!$I$5,Datos!$A:$A,Tablero!$B$5,Datos!$G:$G,$A25))</f>
        <v/>
      </c>
    </row>
    <row r="26" customFormat="false" ht="15" hidden="false" customHeight="false" outlineLevel="0" collapsed="false">
      <c r="A26" s="22" t="n">
        <v>375</v>
      </c>
      <c r="B26" s="22" t="s">
        <v>213</v>
      </c>
      <c r="C26" s="25" t="str">
        <f aca="false">IF(COUNTIFS(Datos!$B:$B,Tablero!$I$5,Datos!$A:$A,Tablero!$B$5,Datos!$G:$G,$A26,Datos!$H:$H,"&gt;=0")=0,"",SUMIFS(Datos!$H:$H,Datos!$B:$B,Tablero!$I$5,Datos!$A:$A,Tablero!$B$5,Datos!$G:$G,$A26))</f>
        <v/>
      </c>
    </row>
    <row r="27" customFormat="false" ht="15" hidden="false" customHeight="false" outlineLevel="0" collapsed="false">
      <c r="A27" s="22" t="n">
        <v>390</v>
      </c>
      <c r="B27" s="22" t="s">
        <v>214</v>
      </c>
      <c r="C27" s="25" t="str">
        <f aca="false">IF(COUNTIFS(Datos!$B:$B,Tablero!$I$5,Datos!$A:$A,Tablero!$B$5,Datos!$G:$G,$A27,Datos!$H:$H,"&gt;=0")=0,"",SUMIFS(Datos!$H:$H,Datos!$B:$B,Tablero!$I$5,Datos!$A:$A,Tablero!$B$5,Datos!$G:$G,$A27))</f>
        <v/>
      </c>
    </row>
    <row r="28" customFormat="false" ht="15" hidden="false" customHeight="false" outlineLevel="0" collapsed="false">
      <c r="A28" s="22" t="n">
        <v>405</v>
      </c>
      <c r="B28" s="22" t="s">
        <v>215</v>
      </c>
      <c r="C28" s="25" t="str">
        <f aca="false">IF(COUNTIFS(Datos!$B:$B,Tablero!$I$5,Datos!$A:$A,Tablero!$B$5,Datos!$G:$G,$A28,Datos!$H:$H,"&gt;=0")=0,"",SUMIFS(Datos!$H:$H,Datos!$B:$B,Tablero!$I$5,Datos!$A:$A,Tablero!$B$5,Datos!$G:$G,$A28))</f>
        <v/>
      </c>
    </row>
    <row r="29" customFormat="false" ht="15" hidden="false" customHeight="false" outlineLevel="0" collapsed="false">
      <c r="A29" s="22" t="n">
        <v>420</v>
      </c>
      <c r="B29" s="22" t="s">
        <v>216</v>
      </c>
      <c r="C29" s="25" t="str">
        <f aca="false">IF(COUNTIFS(Datos!$B:$B,Tablero!$I$5,Datos!$A:$A,Tablero!$B$5,Datos!$G:$G,$A29,Datos!$H:$H,"&gt;=0")=0,"",SUMIFS(Datos!$H:$H,Datos!$B:$B,Tablero!$I$5,Datos!$A:$A,Tablero!$B$5,Datos!$G:$G,$A29))</f>
        <v/>
      </c>
    </row>
    <row r="30" customFormat="false" ht="15" hidden="false" customHeight="false" outlineLevel="0" collapsed="false">
      <c r="A30" s="22" t="n">
        <v>435</v>
      </c>
      <c r="B30" s="22" t="s">
        <v>217</v>
      </c>
      <c r="C30" s="25" t="str">
        <f aca="false">IF(COUNTIFS(Datos!$B:$B,Tablero!$I$5,Datos!$A:$A,Tablero!$B$5,Datos!$G:$G,$A30,Datos!$H:$H,"&gt;=0")=0,"",SUMIFS(Datos!$H:$H,Datos!$B:$B,Tablero!$I$5,Datos!$A:$A,Tablero!$B$5,Datos!$G:$G,$A30))</f>
        <v/>
      </c>
    </row>
    <row r="31" customFormat="false" ht="15" hidden="false" customHeight="false" outlineLevel="0" collapsed="false">
      <c r="A31" s="22" t="n">
        <v>450</v>
      </c>
      <c r="B31" s="22" t="s">
        <v>218</v>
      </c>
      <c r="C31" s="25" t="str">
        <f aca="false">IF(COUNTIFS(Datos!$B:$B,Tablero!$I$5,Datos!$A:$A,Tablero!$B$5,Datos!$G:$G,$A31,Datos!$H:$H,"&gt;=0")=0,"",SUMIFS(Datos!$H:$H,Datos!$B:$B,Tablero!$I$5,Datos!$A:$A,Tablero!$B$5,Datos!$G:$G,$A31))</f>
        <v/>
      </c>
    </row>
    <row r="32" customFormat="false" ht="15" hidden="false" customHeight="false" outlineLevel="0" collapsed="false">
      <c r="A32" s="22" t="n">
        <v>465</v>
      </c>
      <c r="B32" s="22" t="s">
        <v>219</v>
      </c>
      <c r="C32" s="25" t="str">
        <f aca="false">IF(COUNTIFS(Datos!$B:$B,Tablero!$I$5,Datos!$A:$A,Tablero!$B$5,Datos!$G:$G,$A32,Datos!$H:$H,"&gt;=0")=0,"",SUMIFS(Datos!$H:$H,Datos!$B:$B,Tablero!$I$5,Datos!$A:$A,Tablero!$B$5,Datos!$G:$G,$A32))</f>
        <v/>
      </c>
    </row>
    <row r="33" customFormat="false" ht="15" hidden="false" customHeight="false" outlineLevel="0" collapsed="false">
      <c r="A33" s="22" t="n">
        <v>480</v>
      </c>
      <c r="B33" s="22" t="s">
        <v>220</v>
      </c>
      <c r="C33" s="25" t="str">
        <f aca="false">IF(COUNTIFS(Datos!$B:$B,Tablero!$I$5,Datos!$A:$A,Tablero!$B$5,Datos!$G:$G,$A33,Datos!$H:$H,"&gt;=0")=0,"",SUMIFS(Datos!$H:$H,Datos!$B:$B,Tablero!$I$5,Datos!$A:$A,Tablero!$B$5,Datos!$G:$G,$A33))</f>
        <v/>
      </c>
    </row>
    <row r="34" customFormat="false" ht="15" hidden="false" customHeight="false" outlineLevel="0" collapsed="false">
      <c r="A34" s="22" t="n">
        <v>495</v>
      </c>
      <c r="B34" s="22" t="s">
        <v>221</v>
      </c>
      <c r="C34" s="25" t="str">
        <f aca="false">IF(COUNTIFS(Datos!$B:$B,Tablero!$I$5,Datos!$A:$A,Tablero!$B$5,Datos!$G:$G,$A34,Datos!$H:$H,"&gt;=0")=0,"",SUMIFS(Datos!$H:$H,Datos!$B:$B,Tablero!$I$5,Datos!$A:$A,Tablero!$B$5,Datos!$G:$G,$A34))</f>
        <v/>
      </c>
    </row>
    <row r="35" customFormat="false" ht="15" hidden="false" customHeight="false" outlineLevel="0" collapsed="false">
      <c r="A35" s="22" t="n">
        <v>510</v>
      </c>
      <c r="B35" s="22" t="s">
        <v>222</v>
      </c>
      <c r="C35" s="25" t="str">
        <f aca="false">IF(COUNTIFS(Datos!$B:$B,Tablero!$I$5,Datos!$A:$A,Tablero!$B$5,Datos!$G:$G,$A35,Datos!$H:$H,"&gt;=0")=0,"",SUMIFS(Datos!$H:$H,Datos!$B:$B,Tablero!$I$5,Datos!$A:$A,Tablero!$B$5,Datos!$G:$G,$A35))</f>
        <v/>
      </c>
    </row>
    <row r="36" customFormat="false" ht="15" hidden="false" customHeight="false" outlineLevel="0" collapsed="false">
      <c r="A36" s="22" t="n">
        <v>525</v>
      </c>
      <c r="B36" s="22" t="s">
        <v>223</v>
      </c>
      <c r="C36" s="25" t="str">
        <f aca="false">IF(COUNTIFS(Datos!$B:$B,Tablero!$I$5,Datos!$A:$A,Tablero!$B$5,Datos!$G:$G,$A36,Datos!$H:$H,"&gt;=0")=0,"",SUMIFS(Datos!$H:$H,Datos!$B:$B,Tablero!$I$5,Datos!$A:$A,Tablero!$B$5,Datos!$G:$G,$A36))</f>
        <v/>
      </c>
    </row>
    <row r="37" customFormat="false" ht="15" hidden="false" customHeight="false" outlineLevel="0" collapsed="false">
      <c r="A37" s="22" t="n">
        <v>540</v>
      </c>
      <c r="B37" s="22" t="s">
        <v>224</v>
      </c>
      <c r="C37" s="25" t="str">
        <f aca="false">IF(COUNTIFS(Datos!$B:$B,Tablero!$I$5,Datos!$A:$A,Tablero!$B$5,Datos!$G:$G,$A37,Datos!$H:$H,"&gt;=0")=0,"",SUMIFS(Datos!$H:$H,Datos!$B:$B,Tablero!$I$5,Datos!$A:$A,Tablero!$B$5,Datos!$G:$G,$A37))</f>
        <v/>
      </c>
    </row>
    <row r="38" customFormat="false" ht="15" hidden="false" customHeight="false" outlineLevel="0" collapsed="false">
      <c r="A38" s="22" t="n">
        <v>555</v>
      </c>
      <c r="B38" s="22" t="s">
        <v>225</v>
      </c>
      <c r="C38" s="25" t="str">
        <f aca="false">IF(COUNTIFS(Datos!$B:$B,Tablero!$I$5,Datos!$A:$A,Tablero!$B$5,Datos!$G:$G,$A38,Datos!$H:$H,"&gt;=0")=0,"",SUMIFS(Datos!$H:$H,Datos!$B:$B,Tablero!$I$5,Datos!$A:$A,Tablero!$B$5,Datos!$G:$G,$A38))</f>
        <v/>
      </c>
    </row>
    <row r="39" customFormat="false" ht="15" hidden="false" customHeight="false" outlineLevel="0" collapsed="false">
      <c r="A39" s="22" t="n">
        <v>570</v>
      </c>
      <c r="B39" s="22" t="s">
        <v>226</v>
      </c>
      <c r="C39" s="25" t="n">
        <f aca="false">IF(COUNTIFS(Datos!$B:$B,Tablero!$I$5,Datos!$A:$A,Tablero!$B$5,Datos!$G:$G,$A39,Datos!$H:$H,"&gt;=0")=0,"",SUMIFS(Datos!$H:$H,Datos!$B:$B,Tablero!$I$5,Datos!$A:$A,Tablero!$B$5,Datos!$G:$G,$A39))</f>
        <v>110.876000000164</v>
      </c>
    </row>
    <row r="40" customFormat="false" ht="15" hidden="false" customHeight="false" outlineLevel="0" collapsed="false">
      <c r="A40" s="22" t="n">
        <v>585</v>
      </c>
      <c r="B40" s="22" t="s">
        <v>227</v>
      </c>
      <c r="C40" s="25" t="n">
        <f aca="false">IF(COUNTIFS(Datos!$B:$B,Tablero!$I$5,Datos!$A:$A,Tablero!$B$5,Datos!$G:$G,$A40,Datos!$H:$H,"&gt;=0")=0,"",SUMIFS(Datos!$H:$H,Datos!$B:$B,Tablero!$I$5,Datos!$A:$A,Tablero!$B$5,Datos!$G:$G,$A40))</f>
        <v>130.247999999905</v>
      </c>
    </row>
    <row r="41" customFormat="false" ht="15" hidden="false" customHeight="false" outlineLevel="0" collapsed="false">
      <c r="A41" s="22" t="n">
        <v>600</v>
      </c>
      <c r="B41" s="22" t="s">
        <v>228</v>
      </c>
      <c r="C41" s="25" t="n">
        <f aca="false">IF(COUNTIFS(Datos!$B:$B,Tablero!$I$5,Datos!$A:$A,Tablero!$B$5,Datos!$G:$G,$A41,Datos!$H:$H,"&gt;=0")=0,"",SUMIFS(Datos!$H:$H,Datos!$B:$B,Tablero!$I$5,Datos!$A:$A,Tablero!$B$5,Datos!$G:$G,$A41))</f>
        <v>98.8759999999311</v>
      </c>
    </row>
    <row r="42" customFormat="false" ht="15" hidden="false" customHeight="false" outlineLevel="0" collapsed="false">
      <c r="A42" s="22" t="n">
        <v>615</v>
      </c>
      <c r="B42" s="22" t="s">
        <v>229</v>
      </c>
      <c r="C42" s="25" t="n">
        <f aca="false">IF(COUNTIFS(Datos!$B:$B,Tablero!$I$5,Datos!$A:$A,Tablero!$B$5,Datos!$G:$G,$A42,Datos!$H:$H,"&gt;=0")=0,"",SUMIFS(Datos!$H:$H,Datos!$B:$B,Tablero!$I$5,Datos!$A:$A,Tablero!$B$5,Datos!$G:$G,$A42))</f>
        <v>96.8760000001639</v>
      </c>
    </row>
    <row r="43" customFormat="false" ht="15" hidden="false" customHeight="false" outlineLevel="0" collapsed="false">
      <c r="A43" s="22" t="n">
        <v>630</v>
      </c>
      <c r="B43" s="22" t="s">
        <v>230</v>
      </c>
      <c r="C43" s="25" t="n">
        <f aca="false">IF(COUNTIFS(Datos!$B:$B,Tablero!$I$5,Datos!$A:$A,Tablero!$B$5,Datos!$G:$G,$A43,Datos!$H:$H,"&gt;=0")=0,"",SUMIFS(Datos!$H:$H,Datos!$B:$B,Tablero!$I$5,Datos!$A:$A,Tablero!$B$5,Datos!$G:$G,$A43))</f>
        <v>101.623999999836</v>
      </c>
    </row>
    <row r="44" customFormat="false" ht="15" hidden="false" customHeight="false" outlineLevel="0" collapsed="false">
      <c r="A44" s="22" t="n">
        <v>645</v>
      </c>
      <c r="B44" s="22" t="s">
        <v>231</v>
      </c>
      <c r="C44" s="25" t="n">
        <f aca="false">IF(COUNTIFS(Datos!$B:$B,Tablero!$I$5,Datos!$A:$A,Tablero!$B$5,Datos!$G:$G,$A44,Datos!$H:$H,"&gt;=0")=0,"",SUMIFS(Datos!$H:$H,Datos!$B:$B,Tablero!$I$5,Datos!$A:$A,Tablero!$B$5,Datos!$G:$G,$A44))</f>
        <v>88.8760000001639</v>
      </c>
    </row>
    <row r="45" customFormat="false" ht="15" hidden="false" customHeight="false" outlineLevel="0" collapsed="false">
      <c r="A45" s="22" t="n">
        <v>660</v>
      </c>
      <c r="B45" s="22" t="s">
        <v>232</v>
      </c>
      <c r="C45" s="25" t="n">
        <f aca="false">IF(COUNTIFS(Datos!$B:$B,Tablero!$I$5,Datos!$A:$A,Tablero!$B$5,Datos!$G:$G,$A45,Datos!$H:$H,"&gt;=0")=0,"",SUMIFS(Datos!$H:$H,Datos!$B:$B,Tablero!$I$5,Datos!$A:$A,Tablero!$B$5,Datos!$G:$G,$A45))</f>
        <v>66.747999999905</v>
      </c>
    </row>
    <row r="46" customFormat="false" ht="15" hidden="false" customHeight="false" outlineLevel="0" collapsed="false">
      <c r="A46" s="22" t="n">
        <v>675</v>
      </c>
      <c r="B46" s="22" t="s">
        <v>233</v>
      </c>
      <c r="C46" s="25" t="n">
        <f aca="false">IF(COUNTIFS(Datos!$B:$B,Tablero!$I$5,Datos!$A:$A,Tablero!$B$5,Datos!$G:$G,$A46,Datos!$H:$H,"&gt;=0")=0,"",SUMIFS(Datos!$H:$H,Datos!$B:$B,Tablero!$I$5,Datos!$A:$A,Tablero!$B$5,Datos!$G:$G,$A46))</f>
        <v>56.6240000000689</v>
      </c>
    </row>
    <row r="47" customFormat="false" ht="15" hidden="false" customHeight="false" outlineLevel="0" collapsed="false">
      <c r="A47" s="22" t="n">
        <v>690</v>
      </c>
      <c r="B47" s="22" t="s">
        <v>234</v>
      </c>
      <c r="C47" s="25" t="n">
        <f aca="false">IF(COUNTIFS(Datos!$B:$B,Tablero!$I$5,Datos!$A:$A,Tablero!$B$5,Datos!$G:$G,$A47,Datos!$H:$H,"&gt;=0")=0,"",SUMIFS(Datos!$H:$H,Datos!$B:$B,Tablero!$I$5,Datos!$A:$A,Tablero!$B$5,Datos!$G:$G,$A47))</f>
        <v>79.5</v>
      </c>
    </row>
    <row r="48" customFormat="false" ht="15" hidden="false" customHeight="false" outlineLevel="0" collapsed="false">
      <c r="A48" s="22" t="n">
        <v>705</v>
      </c>
      <c r="B48" s="22" t="s">
        <v>235</v>
      </c>
      <c r="C48" s="25" t="n">
        <f aca="false">IF(COUNTIFS(Datos!$B:$B,Tablero!$I$5,Datos!$A:$A,Tablero!$B$5,Datos!$G:$G,$A48,Datos!$H:$H,"&gt;=0")=0,"",SUMIFS(Datos!$H:$H,Datos!$B:$B,Tablero!$I$5,Datos!$A:$A,Tablero!$B$5,Datos!$G:$G,$A48))</f>
        <v>83.1280000000261</v>
      </c>
    </row>
    <row r="49" customFormat="false" ht="15" hidden="false" customHeight="false" outlineLevel="0" collapsed="false">
      <c r="A49" s="22" t="n">
        <v>720</v>
      </c>
      <c r="B49" s="22" t="s">
        <v>236</v>
      </c>
      <c r="C49" s="25" t="n">
        <f aca="false">IF(COUNTIFS(Datos!$B:$B,Tablero!$I$5,Datos!$A:$A,Tablero!$B$5,Datos!$G:$G,$A49,Datos!$H:$H,"&gt;=0")=0,"",SUMIFS(Datos!$H:$H,Datos!$B:$B,Tablero!$I$5,Datos!$A:$A,Tablero!$B$5,Datos!$G:$G,$A49))</f>
        <v>81.1239999998361</v>
      </c>
    </row>
    <row r="50" customFormat="false" ht="15" hidden="false" customHeight="false" outlineLevel="0" collapsed="false">
      <c r="A50" s="22" t="n">
        <v>735</v>
      </c>
      <c r="B50" s="22" t="s">
        <v>237</v>
      </c>
      <c r="C50" s="25" t="n">
        <f aca="false">IF(COUNTIFS(Datos!$B:$B,Tablero!$I$5,Datos!$A:$A,Tablero!$B$5,Datos!$G:$G,$A50,Datos!$H:$H,"&gt;=0")=0,"",SUMIFS(Datos!$H:$H,Datos!$B:$B,Tablero!$I$5,Datos!$A:$A,Tablero!$B$5,Datos!$G:$G,$A50))</f>
        <v>88.1240000000689</v>
      </c>
    </row>
    <row r="51" customFormat="false" ht="15" hidden="false" customHeight="false" outlineLevel="0" collapsed="false">
      <c r="A51" s="22" t="n">
        <v>750</v>
      </c>
      <c r="B51" s="22" t="s">
        <v>238</v>
      </c>
      <c r="C51" s="25" t="n">
        <f aca="false">IF(COUNTIFS(Datos!$B:$B,Tablero!$I$5,Datos!$A:$A,Tablero!$B$5,Datos!$G:$G,$A51,Datos!$H:$H,"&gt;=0")=0,"",SUMIFS(Datos!$H:$H,Datos!$B:$B,Tablero!$I$5,Datos!$A:$A,Tablero!$B$5,Datos!$G:$G,$A51))</f>
        <v>86.8759999999311</v>
      </c>
    </row>
    <row r="52" customFormat="false" ht="15" hidden="false" customHeight="false" outlineLevel="0" collapsed="false">
      <c r="A52" s="22" t="n">
        <v>765</v>
      </c>
      <c r="B52" s="22" t="s">
        <v>239</v>
      </c>
      <c r="C52" s="25" t="n">
        <f aca="false">IF(COUNTIFS(Datos!$B:$B,Tablero!$I$5,Datos!$A:$A,Tablero!$B$5,Datos!$G:$G,$A52,Datos!$H:$H,"&gt;=0")=0,"",SUMIFS(Datos!$H:$H,Datos!$B:$B,Tablero!$I$5,Datos!$A:$A,Tablero!$B$5,Datos!$G:$G,$A52))</f>
        <v>91.3760000001639</v>
      </c>
    </row>
    <row r="53" customFormat="false" ht="15" hidden="false" customHeight="false" outlineLevel="0" collapsed="false">
      <c r="A53" s="22" t="n">
        <v>780</v>
      </c>
      <c r="B53" s="22" t="s">
        <v>240</v>
      </c>
      <c r="C53" s="25" t="n">
        <f aca="false">IF(COUNTIFS(Datos!$B:$B,Tablero!$I$5,Datos!$A:$A,Tablero!$B$5,Datos!$G:$G,$A53,Datos!$H:$H,"&gt;=0")=0,"",SUMIFS(Datos!$H:$H,Datos!$B:$B,Tablero!$I$5,Datos!$A:$A,Tablero!$B$5,Datos!$G:$G,$A53))</f>
        <v>96.8719999999739</v>
      </c>
    </row>
    <row r="54" customFormat="false" ht="15" hidden="false" customHeight="false" outlineLevel="0" collapsed="false">
      <c r="A54" s="22" t="n">
        <v>795</v>
      </c>
      <c r="B54" s="22" t="s">
        <v>241</v>
      </c>
      <c r="C54" s="25" t="n">
        <f aca="false">IF(COUNTIFS(Datos!$B:$B,Tablero!$I$5,Datos!$A:$A,Tablero!$B$5,Datos!$G:$G,$A54,Datos!$H:$H,"&gt;=0")=0,"",SUMIFS(Datos!$H:$H,Datos!$B:$B,Tablero!$I$5,Datos!$A:$A,Tablero!$B$5,Datos!$G:$G,$A54))</f>
        <v>87.6280000000261</v>
      </c>
    </row>
    <row r="55" customFormat="false" ht="15" hidden="false" customHeight="false" outlineLevel="0" collapsed="false">
      <c r="A55" s="22" t="n">
        <v>810</v>
      </c>
      <c r="B55" s="22" t="s">
        <v>242</v>
      </c>
      <c r="C55" s="25" t="n">
        <f aca="false">IF(COUNTIFS(Datos!$B:$B,Tablero!$I$5,Datos!$A:$A,Tablero!$B$5,Datos!$G:$G,$A55,Datos!$H:$H,"&gt;=0")=0,"",SUMIFS(Datos!$H:$H,Datos!$B:$B,Tablero!$I$5,Datos!$A:$A,Tablero!$B$5,Datos!$G:$G,$A55))</f>
        <v>87.1239999998361</v>
      </c>
    </row>
    <row r="56" customFormat="false" ht="15" hidden="false" customHeight="false" outlineLevel="0" collapsed="false">
      <c r="A56" s="22" t="n">
        <v>825</v>
      </c>
      <c r="B56" s="22" t="s">
        <v>243</v>
      </c>
      <c r="C56" s="25" t="n">
        <f aca="false">IF(COUNTIFS(Datos!$B:$B,Tablero!$I$5,Datos!$A:$A,Tablero!$B$5,Datos!$G:$G,$A56,Datos!$H:$H,"&gt;=0")=0,"",SUMIFS(Datos!$H:$H,Datos!$B:$B,Tablero!$I$5,Datos!$A:$A,Tablero!$B$5,Datos!$G:$G,$A56))</f>
        <v>94.1240000000689</v>
      </c>
    </row>
    <row r="57" customFormat="false" ht="15" hidden="false" customHeight="false" outlineLevel="0" collapsed="false">
      <c r="A57" s="22" t="n">
        <v>840</v>
      </c>
      <c r="B57" s="22" t="s">
        <v>244</v>
      </c>
      <c r="C57" s="25" t="n">
        <f aca="false">IF(COUNTIFS(Datos!$B:$B,Tablero!$I$5,Datos!$A:$A,Tablero!$B$5,Datos!$G:$G,$A57,Datos!$H:$H,"&gt;=0")=0,"",SUMIFS(Datos!$H:$H,Datos!$B:$B,Tablero!$I$5,Datos!$A:$A,Tablero!$B$5,Datos!$G:$G,$A57))</f>
        <v>94.252000000095</v>
      </c>
    </row>
    <row r="58" customFormat="false" ht="15" hidden="false" customHeight="false" outlineLevel="0" collapsed="false">
      <c r="A58" s="22" t="n">
        <v>855</v>
      </c>
      <c r="B58" s="22" t="s">
        <v>245</v>
      </c>
      <c r="C58" s="25" t="str">
        <f aca="false">IF(COUNTIFS(Datos!$B:$B,Tablero!$I$5,Datos!$A:$A,Tablero!$B$5,Datos!$G:$G,$A58,Datos!$H:$H,"&gt;=0")=0,"",SUMIFS(Datos!$H:$H,Datos!$B:$B,Tablero!$I$5,Datos!$A:$A,Tablero!$B$5,Datos!$G:$G,$A58))</f>
        <v/>
      </c>
    </row>
    <row r="59" customFormat="false" ht="15" hidden="false" customHeight="false" outlineLevel="0" collapsed="false">
      <c r="A59" s="22" t="n">
        <v>870</v>
      </c>
      <c r="B59" s="22" t="s">
        <v>246</v>
      </c>
      <c r="C59" s="25" t="str">
        <f aca="false">IF(COUNTIFS(Datos!$B:$B,Tablero!$I$5,Datos!$A:$A,Tablero!$B$5,Datos!$G:$G,$A59,Datos!$H:$H,"&gt;=0")=0,"",SUMIFS(Datos!$H:$H,Datos!$B:$B,Tablero!$I$5,Datos!$A:$A,Tablero!$B$5,Datos!$G:$G,$A59))</f>
        <v/>
      </c>
    </row>
    <row r="60" customFormat="false" ht="15" hidden="false" customHeight="false" outlineLevel="0" collapsed="false">
      <c r="A60" s="22" t="n">
        <v>885</v>
      </c>
      <c r="B60" s="22" t="s">
        <v>247</v>
      </c>
      <c r="C60" s="25" t="str">
        <f aca="false">IF(COUNTIFS(Datos!$B:$B,Tablero!$I$5,Datos!$A:$A,Tablero!$B$5,Datos!$G:$G,$A60,Datos!$H:$H,"&gt;=0")=0,"",SUMIFS(Datos!$H:$H,Datos!$B:$B,Tablero!$I$5,Datos!$A:$A,Tablero!$B$5,Datos!$G:$G,$A60))</f>
        <v/>
      </c>
    </row>
    <row r="61" customFormat="false" ht="15" hidden="false" customHeight="false" outlineLevel="0" collapsed="false">
      <c r="A61" s="22" t="n">
        <v>900</v>
      </c>
      <c r="B61" s="22" t="s">
        <v>248</v>
      </c>
      <c r="C61" s="25" t="str">
        <f aca="false">IF(COUNTIFS(Datos!$B:$B,Tablero!$I$5,Datos!$A:$A,Tablero!$B$5,Datos!$G:$G,$A61,Datos!$H:$H,"&gt;=0")=0,"",SUMIFS(Datos!$H:$H,Datos!$B:$B,Tablero!$I$5,Datos!$A:$A,Tablero!$B$5,Datos!$G:$G,$A61))</f>
        <v/>
      </c>
    </row>
    <row r="62" customFormat="false" ht="15" hidden="false" customHeight="false" outlineLevel="0" collapsed="false">
      <c r="A62" s="22" t="n">
        <v>915</v>
      </c>
      <c r="B62" s="22" t="s">
        <v>249</v>
      </c>
      <c r="C62" s="25" t="str">
        <f aca="false">IF(COUNTIFS(Datos!$B:$B,Tablero!$I$5,Datos!$A:$A,Tablero!$B$5,Datos!$G:$G,$A62,Datos!$H:$H,"&gt;=0")=0,"",SUMIFS(Datos!$H:$H,Datos!$B:$B,Tablero!$I$5,Datos!$A:$A,Tablero!$B$5,Datos!$G:$G,$A62))</f>
        <v/>
      </c>
    </row>
    <row r="63" customFormat="false" ht="15" hidden="false" customHeight="false" outlineLevel="0" collapsed="false">
      <c r="A63" s="22" t="n">
        <v>930</v>
      </c>
      <c r="B63" s="22" t="s">
        <v>250</v>
      </c>
      <c r="C63" s="25" t="str">
        <f aca="false">IF(COUNTIFS(Datos!$B:$B,Tablero!$I$5,Datos!$A:$A,Tablero!$B$5,Datos!$G:$G,$A63,Datos!$H:$H,"&gt;=0")=0,"",SUMIFS(Datos!$H:$H,Datos!$B:$B,Tablero!$I$5,Datos!$A:$A,Tablero!$B$5,Datos!$G:$G,$A63))</f>
        <v/>
      </c>
    </row>
    <row r="64" customFormat="false" ht="15" hidden="false" customHeight="false" outlineLevel="0" collapsed="false">
      <c r="A64" s="22" t="n">
        <v>945</v>
      </c>
      <c r="B64" s="22" t="s">
        <v>251</v>
      </c>
      <c r="C64" s="25" t="str">
        <f aca="false">IF(COUNTIFS(Datos!$B:$B,Tablero!$I$5,Datos!$A:$A,Tablero!$B$5,Datos!$G:$G,$A64,Datos!$H:$H,"&gt;=0")=0,"",SUMIFS(Datos!$H:$H,Datos!$B:$B,Tablero!$I$5,Datos!$A:$A,Tablero!$B$5,Datos!$G:$G,$A64))</f>
        <v/>
      </c>
    </row>
    <row r="65" customFormat="false" ht="15" hidden="false" customHeight="false" outlineLevel="0" collapsed="false">
      <c r="A65" s="22" t="n">
        <v>960</v>
      </c>
      <c r="B65" s="22" t="s">
        <v>252</v>
      </c>
      <c r="C65" s="25" t="str">
        <f aca="false">IF(COUNTIFS(Datos!$B:$B,Tablero!$I$5,Datos!$A:$A,Tablero!$B$5,Datos!$G:$G,$A65,Datos!$H:$H,"&gt;=0")=0,"",SUMIFS(Datos!$H:$H,Datos!$B:$B,Tablero!$I$5,Datos!$A:$A,Tablero!$B$5,Datos!$G:$G,$A65))</f>
        <v/>
      </c>
    </row>
    <row r="66" customFormat="false" ht="15" hidden="false" customHeight="false" outlineLevel="0" collapsed="false">
      <c r="A66" s="22" t="n">
        <v>975</v>
      </c>
      <c r="B66" s="22" t="s">
        <v>253</v>
      </c>
      <c r="C66" s="25" t="str">
        <f aca="false">IF(COUNTIFS(Datos!$B:$B,Tablero!$I$5,Datos!$A:$A,Tablero!$B$5,Datos!$G:$G,$A66,Datos!$H:$H,"&gt;=0")=0,"",SUMIFS(Datos!$H:$H,Datos!$B:$B,Tablero!$I$5,Datos!$A:$A,Tablero!$B$5,Datos!$G:$G,$A66))</f>
        <v/>
      </c>
    </row>
    <row r="67" customFormat="false" ht="15" hidden="false" customHeight="false" outlineLevel="0" collapsed="false">
      <c r="A67" s="22" t="n">
        <v>990</v>
      </c>
      <c r="B67" s="22" t="s">
        <v>254</v>
      </c>
      <c r="C67" s="25" t="str">
        <f aca="false">IF(COUNTIFS(Datos!$B:$B,Tablero!$I$5,Datos!$A:$A,Tablero!$B$5,Datos!$G:$G,$A67,Datos!$H:$H,"&gt;=0")=0,"",SUMIFS(Datos!$H:$H,Datos!$B:$B,Tablero!$I$5,Datos!$A:$A,Tablero!$B$5,Datos!$G:$G,$A67))</f>
        <v/>
      </c>
    </row>
    <row r="68" customFormat="false" ht="15" hidden="false" customHeight="false" outlineLevel="0" collapsed="false">
      <c r="A68" s="22" t="n">
        <v>1005</v>
      </c>
      <c r="B68" s="22" t="s">
        <v>255</v>
      </c>
      <c r="C68" s="25" t="str">
        <f aca="false">IF(COUNTIFS(Datos!$B:$B,Tablero!$I$5,Datos!$A:$A,Tablero!$B$5,Datos!$G:$G,$A68,Datos!$H:$H,"&gt;=0")=0,"",SUMIFS(Datos!$H:$H,Datos!$B:$B,Tablero!$I$5,Datos!$A:$A,Tablero!$B$5,Datos!$G:$G,$A68))</f>
        <v/>
      </c>
    </row>
    <row r="69" customFormat="false" ht="15" hidden="false" customHeight="false" outlineLevel="0" collapsed="false">
      <c r="A69" s="22" t="n">
        <v>1020</v>
      </c>
      <c r="B69" s="22" t="s">
        <v>256</v>
      </c>
      <c r="C69" s="25" t="str">
        <f aca="false">IF(COUNTIFS(Datos!$B:$B,Tablero!$I$5,Datos!$A:$A,Tablero!$B$5,Datos!$G:$G,$A69,Datos!$H:$H,"&gt;=0")=0,"",SUMIFS(Datos!$H:$H,Datos!$B:$B,Tablero!$I$5,Datos!$A:$A,Tablero!$B$5,Datos!$G:$G,$A69))</f>
        <v/>
      </c>
    </row>
    <row r="70" customFormat="false" ht="15" hidden="false" customHeight="false" outlineLevel="0" collapsed="false">
      <c r="A70" s="22" t="n">
        <v>1035</v>
      </c>
      <c r="B70" s="22" t="s">
        <v>257</v>
      </c>
      <c r="C70" s="25" t="str">
        <f aca="false">IF(COUNTIFS(Datos!$B:$B,Tablero!$I$5,Datos!$A:$A,Tablero!$B$5,Datos!$G:$G,$A70,Datos!$H:$H,"&gt;=0")=0,"",SUMIFS(Datos!$H:$H,Datos!$B:$B,Tablero!$I$5,Datos!$A:$A,Tablero!$B$5,Datos!$G:$G,$A70))</f>
        <v/>
      </c>
    </row>
    <row r="71" customFormat="false" ht="15" hidden="false" customHeight="false" outlineLevel="0" collapsed="false">
      <c r="A71" s="22" t="n">
        <v>1050</v>
      </c>
      <c r="B71" s="22" t="s">
        <v>258</v>
      </c>
      <c r="C71" s="25" t="str">
        <f aca="false">IF(COUNTIFS(Datos!$B:$B,Tablero!$I$5,Datos!$A:$A,Tablero!$B$5,Datos!$G:$G,$A71,Datos!$H:$H,"&gt;=0")=0,"",SUMIFS(Datos!$H:$H,Datos!$B:$B,Tablero!$I$5,Datos!$A:$A,Tablero!$B$5,Datos!$G:$G,$A71))</f>
        <v/>
      </c>
    </row>
    <row r="72" customFormat="false" ht="15" hidden="false" customHeight="false" outlineLevel="0" collapsed="false">
      <c r="A72" s="22" t="n">
        <v>1065</v>
      </c>
      <c r="B72" s="22" t="s">
        <v>259</v>
      </c>
      <c r="C72" s="25" t="str">
        <f aca="false">IF(COUNTIFS(Datos!$B:$B,Tablero!$I$5,Datos!$A:$A,Tablero!$B$5,Datos!$G:$G,$A72,Datos!$H:$H,"&gt;=0")=0,"",SUMIFS(Datos!$H:$H,Datos!$B:$B,Tablero!$I$5,Datos!$A:$A,Tablero!$B$5,Datos!$G:$G,$A72))</f>
        <v/>
      </c>
    </row>
    <row r="73" customFormat="false" ht="15" hidden="false" customHeight="false" outlineLevel="0" collapsed="false">
      <c r="A73" s="22" t="n">
        <v>1080</v>
      </c>
      <c r="B73" s="22" t="s">
        <v>260</v>
      </c>
      <c r="C73" s="25" t="str">
        <f aca="false">IF(COUNTIFS(Datos!$B:$B,Tablero!$I$5,Datos!$A:$A,Tablero!$B$5,Datos!$G:$G,$A73,Datos!$H:$H,"&gt;=0")=0,"",SUMIFS(Datos!$H:$H,Datos!$B:$B,Tablero!$I$5,Datos!$A:$A,Tablero!$B$5,Datos!$G:$G,$A73))</f>
        <v/>
      </c>
    </row>
    <row r="74" customFormat="false" ht="15" hidden="false" customHeight="false" outlineLevel="0" collapsed="false">
      <c r="A74" s="22" t="n">
        <v>1095</v>
      </c>
      <c r="B74" s="22" t="s">
        <v>261</v>
      </c>
      <c r="C74" s="25" t="str">
        <f aca="false">IF(COUNTIFS(Datos!$B:$B,Tablero!$I$5,Datos!$A:$A,Tablero!$B$5,Datos!$G:$G,$A74,Datos!$H:$H,"&gt;=0")=0,"",SUMIFS(Datos!$H:$H,Datos!$B:$B,Tablero!$I$5,Datos!$A:$A,Tablero!$B$5,Datos!$G:$G,$A74))</f>
        <v/>
      </c>
    </row>
    <row r="75" customFormat="false" ht="15" hidden="false" customHeight="false" outlineLevel="0" collapsed="false">
      <c r="A75" s="22" t="n">
        <v>1110</v>
      </c>
      <c r="B75" s="22" t="s">
        <v>262</v>
      </c>
      <c r="C75" s="25" t="str">
        <f aca="false">IF(COUNTIFS(Datos!$B:$B,Tablero!$I$5,Datos!$A:$A,Tablero!$B$5,Datos!$G:$G,$A75,Datos!$H:$H,"&gt;=0")=0,"",SUMIFS(Datos!$H:$H,Datos!$B:$B,Tablero!$I$5,Datos!$A:$A,Tablero!$B$5,Datos!$G:$G,$A75))</f>
        <v/>
      </c>
    </row>
    <row r="76" customFormat="false" ht="15" hidden="false" customHeight="false" outlineLevel="0" collapsed="false">
      <c r="A76" s="22" t="n">
        <v>1125</v>
      </c>
      <c r="B76" s="22" t="s">
        <v>263</v>
      </c>
      <c r="C76" s="25" t="str">
        <f aca="false">IF(COUNTIFS(Datos!$B:$B,Tablero!$I$5,Datos!$A:$A,Tablero!$B$5,Datos!$G:$G,$A76,Datos!$H:$H,"&gt;=0")=0,"",SUMIFS(Datos!$H:$H,Datos!$B:$B,Tablero!$I$5,Datos!$A:$A,Tablero!$B$5,Datos!$G:$G,$A76))</f>
        <v/>
      </c>
    </row>
    <row r="77" customFormat="false" ht="15" hidden="false" customHeight="false" outlineLevel="0" collapsed="false">
      <c r="A77" s="22" t="n">
        <v>1140</v>
      </c>
      <c r="B77" s="22" t="s">
        <v>264</v>
      </c>
      <c r="C77" s="25" t="str">
        <f aca="false">IF(COUNTIFS(Datos!$B:$B,Tablero!$I$5,Datos!$A:$A,Tablero!$B$5,Datos!$G:$G,$A77,Datos!$H:$H,"&gt;=0")=0,"",SUMIFS(Datos!$H:$H,Datos!$B:$B,Tablero!$I$5,Datos!$A:$A,Tablero!$B$5,Datos!$G:$G,$A77))</f>
        <v/>
      </c>
    </row>
    <row r="78" customFormat="false" ht="15" hidden="false" customHeight="false" outlineLevel="0" collapsed="false">
      <c r="A78" s="22" t="n">
        <v>1155</v>
      </c>
      <c r="B78" s="22" t="s">
        <v>265</v>
      </c>
      <c r="C78" s="25" t="str">
        <f aca="false">IF(COUNTIFS(Datos!$B:$B,Tablero!$I$5,Datos!$A:$A,Tablero!$B$5,Datos!$G:$G,$A78,Datos!$H:$H,"&gt;=0")=0,"",SUMIFS(Datos!$H:$H,Datos!$B:$B,Tablero!$I$5,Datos!$A:$A,Tablero!$B$5,Datos!$G:$G,$A78))</f>
        <v/>
      </c>
    </row>
    <row r="79" customFormat="false" ht="15" hidden="false" customHeight="false" outlineLevel="0" collapsed="false">
      <c r="A79" s="22" t="n">
        <v>1170</v>
      </c>
      <c r="B79" s="22" t="s">
        <v>266</v>
      </c>
      <c r="C79" s="25" t="str">
        <f aca="false">IF(COUNTIFS(Datos!$B:$B,Tablero!$I$5,Datos!$A:$A,Tablero!$B$5,Datos!$G:$G,$A79,Datos!$H:$H,"&gt;=0")=0,"",SUMIFS(Datos!$H:$H,Datos!$B:$B,Tablero!$I$5,Datos!$A:$A,Tablero!$B$5,Datos!$G:$G,$A79))</f>
        <v/>
      </c>
    </row>
    <row r="80" customFormat="false" ht="15" hidden="false" customHeight="false" outlineLevel="0" collapsed="false">
      <c r="A80" s="22" t="n">
        <v>1185</v>
      </c>
      <c r="B80" s="22" t="s">
        <v>267</v>
      </c>
      <c r="C80" s="25" t="str">
        <f aca="false">IF(COUNTIFS(Datos!$B:$B,Tablero!$I$5,Datos!$A:$A,Tablero!$B$5,Datos!$G:$G,$A80,Datos!$H:$H,"&gt;=0")=0,"",SUMIFS(Datos!$H:$H,Datos!$B:$B,Tablero!$I$5,Datos!$A:$A,Tablero!$B$5,Datos!$G:$G,$A80))</f>
        <v/>
      </c>
    </row>
    <row r="81" customFormat="false" ht="15" hidden="false" customHeight="false" outlineLevel="0" collapsed="false">
      <c r="A81" s="22" t="n">
        <v>1200</v>
      </c>
      <c r="B81" s="22" t="s">
        <v>268</v>
      </c>
      <c r="C81" s="25" t="str">
        <f aca="false">IF(COUNTIFS(Datos!$B:$B,Tablero!$I$5,Datos!$A:$A,Tablero!$B$5,Datos!$G:$G,$A81,Datos!$H:$H,"&gt;=0")=0,"",SUMIFS(Datos!$H:$H,Datos!$B:$B,Tablero!$I$5,Datos!$A:$A,Tablero!$B$5,Datos!$G:$G,$A81))</f>
        <v/>
      </c>
    </row>
    <row r="82" customFormat="false" ht="15" hidden="false" customHeight="false" outlineLevel="0" collapsed="false">
      <c r="A82" s="22" t="n">
        <v>1215</v>
      </c>
      <c r="B82" s="22" t="s">
        <v>269</v>
      </c>
      <c r="C82" s="25" t="str">
        <f aca="false">IF(COUNTIFS(Datos!$B:$B,Tablero!$I$5,Datos!$A:$A,Tablero!$B$5,Datos!$G:$G,$A82,Datos!$H:$H,"&gt;=0")=0,"",SUMIFS(Datos!$H:$H,Datos!$B:$B,Tablero!$I$5,Datos!$A:$A,Tablero!$B$5,Datos!$G:$G,$A82))</f>
        <v/>
      </c>
    </row>
    <row r="83" customFormat="false" ht="15" hidden="false" customHeight="false" outlineLevel="0" collapsed="false">
      <c r="A83" s="22" t="n">
        <v>1230</v>
      </c>
      <c r="B83" s="22" t="s">
        <v>270</v>
      </c>
      <c r="C83" s="25" t="str">
        <f aca="false">IF(COUNTIFS(Datos!$B:$B,Tablero!$I$5,Datos!$A:$A,Tablero!$B$5,Datos!$G:$G,$A83,Datos!$H:$H,"&gt;=0")=0,"",SUMIFS(Datos!$H:$H,Datos!$B:$B,Tablero!$I$5,Datos!$A:$A,Tablero!$B$5,Datos!$G:$G,$A83))</f>
        <v/>
      </c>
    </row>
    <row r="84" customFormat="false" ht="15" hidden="false" customHeight="false" outlineLevel="0" collapsed="false">
      <c r="A84" s="22" t="n">
        <v>1245</v>
      </c>
      <c r="B84" s="22" t="s">
        <v>271</v>
      </c>
      <c r="C84" s="25" t="str">
        <f aca="false">IF(COUNTIFS(Datos!$B:$B,Tablero!$I$5,Datos!$A:$A,Tablero!$B$5,Datos!$G:$G,$A84,Datos!$H:$H,"&gt;=0")=0,"",SUMIFS(Datos!$H:$H,Datos!$B:$B,Tablero!$I$5,Datos!$A:$A,Tablero!$B$5,Datos!$G:$G,$A84))</f>
        <v/>
      </c>
    </row>
    <row r="85" customFormat="false" ht="15" hidden="false" customHeight="false" outlineLevel="0" collapsed="false">
      <c r="A85" s="22" t="n">
        <v>1260</v>
      </c>
      <c r="B85" s="22" t="s">
        <v>272</v>
      </c>
      <c r="C85" s="25" t="str">
        <f aca="false">IF(COUNTIFS(Datos!$B:$B,Tablero!$I$5,Datos!$A:$A,Tablero!$B$5,Datos!$G:$G,$A85,Datos!$H:$H,"&gt;=0")=0,"",SUMIFS(Datos!$H:$H,Datos!$B:$B,Tablero!$I$5,Datos!$A:$A,Tablero!$B$5,Datos!$G:$G,$A85))</f>
        <v/>
      </c>
    </row>
    <row r="86" customFormat="false" ht="15" hidden="false" customHeight="false" outlineLevel="0" collapsed="false">
      <c r="A86" s="22" t="n">
        <v>1275</v>
      </c>
      <c r="B86" s="22" t="s">
        <v>273</v>
      </c>
      <c r="C86" s="25" t="str">
        <f aca="false">IF(COUNTIFS(Datos!$B:$B,Tablero!$I$5,Datos!$A:$A,Tablero!$B$5,Datos!$G:$G,$A86,Datos!$H:$H,"&gt;=0")=0,"",SUMIFS(Datos!$H:$H,Datos!$B:$B,Tablero!$I$5,Datos!$A:$A,Tablero!$B$5,Datos!$G:$G,$A86))</f>
        <v/>
      </c>
    </row>
    <row r="87" customFormat="false" ht="15" hidden="false" customHeight="false" outlineLevel="0" collapsed="false">
      <c r="A87" s="22" t="n">
        <v>1290</v>
      </c>
      <c r="B87" s="22" t="s">
        <v>274</v>
      </c>
      <c r="C87" s="25" t="str">
        <f aca="false">IF(COUNTIFS(Datos!$B:$B,Tablero!$I$5,Datos!$A:$A,Tablero!$B$5,Datos!$G:$G,$A87,Datos!$H:$H,"&gt;=0")=0,"",SUMIFS(Datos!$H:$H,Datos!$B:$B,Tablero!$I$5,Datos!$A:$A,Tablero!$B$5,Datos!$G:$G,$A87))</f>
        <v/>
      </c>
    </row>
    <row r="88" customFormat="false" ht="15" hidden="false" customHeight="false" outlineLevel="0" collapsed="false">
      <c r="A88" s="22" t="n">
        <v>1305</v>
      </c>
      <c r="B88" s="22" t="s">
        <v>275</v>
      </c>
      <c r="C88" s="25" t="str">
        <f aca="false">IF(COUNTIFS(Datos!$B:$B,Tablero!$I$5,Datos!$A:$A,Tablero!$B$5,Datos!$G:$G,$A88,Datos!$H:$H,"&gt;=0")=0,"",SUMIFS(Datos!$H:$H,Datos!$B:$B,Tablero!$I$5,Datos!$A:$A,Tablero!$B$5,Datos!$G:$G,$A88))</f>
        <v/>
      </c>
    </row>
    <row r="89" customFormat="false" ht="15" hidden="false" customHeight="false" outlineLevel="0" collapsed="false">
      <c r="A89" s="22" t="n">
        <v>1320</v>
      </c>
      <c r="B89" s="22" t="s">
        <v>276</v>
      </c>
      <c r="C89" s="25" t="str">
        <f aca="false">IF(COUNTIFS(Datos!$B:$B,Tablero!$I$5,Datos!$A:$A,Tablero!$B$5,Datos!$G:$G,$A89,Datos!$H:$H,"&gt;=0")=0,"",SUMIFS(Datos!$H:$H,Datos!$B:$B,Tablero!$I$5,Datos!$A:$A,Tablero!$B$5,Datos!$G:$G,$A89))</f>
        <v/>
      </c>
    </row>
    <row r="90" customFormat="false" ht="15" hidden="false" customHeight="false" outlineLevel="0" collapsed="false">
      <c r="A90" s="22" t="n">
        <v>1335</v>
      </c>
      <c r="B90" s="22" t="s">
        <v>277</v>
      </c>
      <c r="C90" s="25" t="str">
        <f aca="false">IF(COUNTIFS(Datos!$B:$B,Tablero!$I$5,Datos!$A:$A,Tablero!$B$5,Datos!$G:$G,$A90,Datos!$H:$H,"&gt;=0")=0,"",SUMIFS(Datos!$H:$H,Datos!$B:$B,Tablero!$I$5,Datos!$A:$A,Tablero!$B$5,Datos!$G:$G,$A90))</f>
        <v/>
      </c>
    </row>
    <row r="91" customFormat="false" ht="15" hidden="false" customHeight="false" outlineLevel="0" collapsed="false">
      <c r="A91" s="22" t="n">
        <v>1350</v>
      </c>
      <c r="B91" s="22" t="s">
        <v>278</v>
      </c>
      <c r="C91" s="25" t="str">
        <f aca="false">IF(COUNTIFS(Datos!$B:$B,Tablero!$I$5,Datos!$A:$A,Tablero!$B$5,Datos!$G:$G,$A91,Datos!$H:$H,"&gt;=0")=0,"",SUMIFS(Datos!$H:$H,Datos!$B:$B,Tablero!$I$5,Datos!$A:$A,Tablero!$B$5,Datos!$G:$G,$A91))</f>
        <v/>
      </c>
    </row>
    <row r="92" customFormat="false" ht="15" hidden="false" customHeight="false" outlineLevel="0" collapsed="false">
      <c r="A92" s="22" t="n">
        <v>1365</v>
      </c>
      <c r="B92" s="22" t="s">
        <v>279</v>
      </c>
      <c r="C92" s="25" t="str">
        <f aca="false">IF(COUNTIFS(Datos!$B:$B,Tablero!$I$5,Datos!$A:$A,Tablero!$B$5,Datos!$G:$G,$A92,Datos!$H:$H,"&gt;=0")=0,"",SUMIFS(Datos!$H:$H,Datos!$B:$B,Tablero!$I$5,Datos!$A:$A,Tablero!$B$5,Datos!$G:$G,$A92))</f>
        <v/>
      </c>
    </row>
    <row r="93" customFormat="false" ht="15" hidden="false" customHeight="false" outlineLevel="0" collapsed="false">
      <c r="A93" s="22" t="n">
        <v>1380</v>
      </c>
      <c r="B93" s="22" t="s">
        <v>280</v>
      </c>
      <c r="C93" s="25" t="str">
        <f aca="false">IF(COUNTIFS(Datos!$B:$B,Tablero!$I$5,Datos!$A:$A,Tablero!$B$5,Datos!$G:$G,$A93,Datos!$H:$H,"&gt;=0")=0,"",SUMIFS(Datos!$H:$H,Datos!$B:$B,Tablero!$I$5,Datos!$A:$A,Tablero!$B$5,Datos!$G:$G,$A93))</f>
        <v/>
      </c>
    </row>
    <row r="94" customFormat="false" ht="15" hidden="false" customHeight="false" outlineLevel="0" collapsed="false">
      <c r="A94" s="22" t="n">
        <v>1395</v>
      </c>
      <c r="B94" s="22" t="s">
        <v>281</v>
      </c>
      <c r="C94" s="25" t="str">
        <f aca="false">IF(COUNTIFS(Datos!$B:$B,Tablero!$I$5,Datos!$A:$A,Tablero!$B$5,Datos!$G:$G,$A94,Datos!$H:$H,"&gt;=0")=0,"",SUMIFS(Datos!$H:$H,Datos!$B:$B,Tablero!$I$5,Datos!$A:$A,Tablero!$B$5,Datos!$G:$G,$A94))</f>
        <v/>
      </c>
    </row>
    <row r="95" customFormat="false" ht="15" hidden="false" customHeight="false" outlineLevel="0" collapsed="false">
      <c r="A95" s="22" t="n">
        <v>1410</v>
      </c>
      <c r="B95" s="22" t="s">
        <v>282</v>
      </c>
      <c r="C95" s="25" t="str">
        <f aca="false">IF(COUNTIFS(Datos!$B:$B,Tablero!$I$5,Datos!$A:$A,Tablero!$B$5,Datos!$G:$G,$A95,Datos!$H:$H,"&gt;=0")=0,"",SUMIFS(Datos!$H:$H,Datos!$B:$B,Tablero!$I$5,Datos!$A:$A,Tablero!$B$5,Datos!$G:$G,$A95))</f>
        <v/>
      </c>
    </row>
    <row r="96" customFormat="false" ht="15" hidden="false" customHeight="false" outlineLevel="0" collapsed="false">
      <c r="A96" s="22" t="n">
        <v>1425</v>
      </c>
      <c r="B96" s="22" t="s">
        <v>283</v>
      </c>
      <c r="C96" s="25" t="str">
        <f aca="false">IF(COUNTIFS(Datos!$B:$B,Tablero!$I$5,Datos!$A:$A,Tablero!$B$5,Datos!$G:$G,$A96,Datos!$H:$H,"&gt;=0")=0,"",SUMIFS(Datos!$H:$H,Datos!$B:$B,Tablero!$I$5,Datos!$A:$A,Tablero!$B$5,Datos!$G:$G,$A96))</f>
        <v/>
      </c>
    </row>
    <row r="97" customFormat="false" ht="15" hidden="false" customHeight="false" outlineLevel="0" collapsed="false">
      <c r="A97" s="22" t="n">
        <v>1440</v>
      </c>
      <c r="B97" s="22" t="s">
        <v>284</v>
      </c>
      <c r="C97" s="25" t="str">
        <f aca="false">IF(COUNTIFS(Datos!$B:$B,Tablero!$I$5,Datos!$A:$A,Tablero!$B$5,Datos!$G:$G,$A97,Datos!$H:$H,"&gt;=0")=0,"",SUMIFS(Datos!$H:$H,Datos!$B:$B,Tablero!$I$5,Datos!$A:$A,Tablero!$B$5,Datos!$G:$G,$A97))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5"/>
  </cols>
  <sheetData>
    <row r="1" customFormat="false" ht="16.15" hidden="false" customHeight="false" outlineLevel="0" collapsed="false">
      <c r="A1" s="27" t="s">
        <v>285</v>
      </c>
    </row>
    <row r="2" customFormat="false" ht="15" hidden="false" customHeight="false" outlineLevel="0" collapsed="false">
      <c r="A2" s="10" t="s">
        <v>36</v>
      </c>
      <c r="B2" s="10" t="s">
        <v>176</v>
      </c>
      <c r="C2" s="10" t="s">
        <v>177</v>
      </c>
      <c r="D2" s="10" t="s">
        <v>178</v>
      </c>
      <c r="E2" s="10" t="s">
        <v>179</v>
      </c>
      <c r="F2" s="10" t="s">
        <v>180</v>
      </c>
      <c r="G2" s="10" t="s">
        <v>181</v>
      </c>
      <c r="H2" s="10" t="s">
        <v>182</v>
      </c>
      <c r="I2" s="10" t="s">
        <v>183</v>
      </c>
      <c r="J2" s="10" t="s">
        <v>184</v>
      </c>
      <c r="K2" s="10" t="s">
        <v>5</v>
      </c>
      <c r="L2" s="10" t="s">
        <v>286</v>
      </c>
    </row>
    <row r="3" customFormat="false" ht="15" hidden="false" customHeight="false" outlineLevel="0" collapsed="false">
      <c r="A3" s="21" t="n">
        <v>46302</v>
      </c>
      <c r="B3" s="19" t="n">
        <f aca="false">IF(COUNTIFS(Datos!$B:$B,"192.168.50.3",Datos!$A:$A,$A3,Datos!$D:$D,"&gt;0")&lt;2,"",_xlfn.MAXIFS(Datos!$D:$D,Datos!$B:$B,"192.168.50.3",Datos!$A:$A,$A3,Datos!$D:$D,"&gt;0")-_xlfn.MINIFS(Datos!$D:$D,Datos!$B:$B,"192.168.50.3",Datos!$A:$A,$A3,Datos!$D:$D,"&gt;0"))</f>
        <v>2.55199999999968</v>
      </c>
      <c r="C3" s="19" t="n">
        <f aca="false">IF(COUNTIFS(Datos!$B:$B,"192.168.50.4",Datos!$A:$A,$A3,Datos!$D:$D,"&gt;0")&lt;2,"",_xlfn.MAXIFS(Datos!$D:$D,Datos!$B:$B,"192.168.50.4",Datos!$A:$A,$A3,Datos!$D:$D,"&gt;0")-_xlfn.MINIFS(Datos!$D:$D,Datos!$B:$B,"192.168.50.4",Datos!$A:$A,$A3,Datos!$D:$D,"&gt;0"))</f>
        <v>2.94899999999871</v>
      </c>
      <c r="D3" s="19" t="n">
        <f aca="false">IF(COUNTIFS(Datos!$B:$B,"192.168.50.5",Datos!$A:$A,$A3,Datos!$D:$D,"&gt;0")&lt;2,"",_xlfn.MAXIFS(Datos!$D:$D,Datos!$B:$B,"192.168.50.5",Datos!$A:$A,$A3,Datos!$D:$D,"&gt;0")-_xlfn.MINIFS(Datos!$D:$D,Datos!$B:$B,"192.168.50.5",Datos!$A:$A,$A3,Datos!$D:$D,"&gt;0"))</f>
        <v>14.9849999999988</v>
      </c>
      <c r="E3" s="19" t="n">
        <f aca="false">IF(COUNTIFS(Datos!$B:$B,"192.168.50.6",Datos!$A:$A,$A3,Datos!$D:$D,"&gt;0")&lt;2,"",_xlfn.MAXIFS(Datos!$D:$D,Datos!$B:$B,"192.168.50.6",Datos!$A:$A,$A3,Datos!$D:$D,"&gt;0")-_xlfn.MINIFS(Datos!$D:$D,Datos!$B:$B,"192.168.50.6",Datos!$A:$A,$A3,Datos!$D:$D,"&gt;0"))</f>
        <v>7.60999999999876</v>
      </c>
      <c r="F3" s="19" t="n">
        <f aca="false">IF(COUNTIFS(Datos!$B:$B,"192.168.50.7",Datos!$A:$A,$A3,Datos!$D:$D,"&gt;0")&lt;2,"",_xlfn.MAXIFS(Datos!$D:$D,Datos!$B:$B,"192.168.50.7",Datos!$A:$A,$A3,Datos!$D:$D,"&gt;0")-_xlfn.MINIFS(Datos!$D:$D,Datos!$B:$B,"192.168.50.7",Datos!$A:$A,$A3,Datos!$D:$D,"&gt;0"))</f>
        <v>0.559999999999491</v>
      </c>
      <c r="G3" s="19" t="n">
        <f aca="false">IF(COUNTIFS(Datos!$B:$B,"192.168.1.168",Datos!$A:$A,$A3,Datos!$D:$D,"&gt;0")&lt;2,"",_xlfn.MAXIFS(Datos!$D:$D,Datos!$B:$B,"192.168.1.168",Datos!$A:$A,$A3,Datos!$D:$D,"&gt;0")-_xlfn.MINIFS(Datos!$D:$D,Datos!$B:$B,"192.168.1.168",Datos!$A:$A,$A3,Datos!$D:$D,"&gt;0"))</f>
        <v>26.3539999999994</v>
      </c>
      <c r="H3" s="19" t="n">
        <f aca="false">IF(COUNTIFS(Datos!$B:$B,"192.168.50.8",Datos!$A:$A,$A3,Datos!$D:$D,"&gt;0")&lt;2,"",_xlfn.MAXIFS(Datos!$D:$D,Datos!$B:$B,"192.168.50.8",Datos!$A:$A,$A3,Datos!$D:$D,"&gt;0")-_xlfn.MINIFS(Datos!$D:$D,Datos!$B:$B,"192.168.50.8",Datos!$A:$A,$A3,Datos!$D:$D,"&gt;0"))</f>
        <v>13.125</v>
      </c>
      <c r="I3" s="19" t="n">
        <f aca="false">IF(COUNTIFS(Datos!$B:$B,"192.168.50.9",Datos!$A:$A,$A3,Datos!$D:$D,"&gt;0")&lt;2,"",_xlfn.MAXIFS(Datos!$D:$D,Datos!$B:$B,"192.168.50.9",Datos!$A:$A,$A3,Datos!$D:$D,"&gt;0")-_xlfn.MINIFS(Datos!$D:$D,Datos!$B:$B,"192.168.50.9",Datos!$A:$A,$A3,Datos!$D:$D,"&gt;0"))</f>
        <v>235.5</v>
      </c>
      <c r="J3" s="19" t="n">
        <f aca="false">IF(COUNTIFS(Datos!$B:$B,"192.168.50.10",Datos!$A:$A,$A3,Datos!$D:$D,"&gt;0")&lt;2,"",_xlfn.MAXIFS(Datos!$D:$D,Datos!$B:$B,"192.168.50.10",Datos!$A:$A,$A3,Datos!$D:$D,"&gt;0")-_xlfn.MINIFS(Datos!$D:$D,Datos!$B:$B,"192.168.50.10",Datos!$A:$A,$A3,Datos!$D:$D,"&gt;0"))</f>
        <v>401.967999999994</v>
      </c>
      <c r="K3" s="19" t="n">
        <f aca="false">IF(COUNTIFS(Datos!$B:$B,"192.168.50.11",Datos!$A:$A,$A3,Datos!$D:$D,"&gt;0")&lt;2,"",_xlfn.MAXIFS(Datos!$D:$D,Datos!$B:$B,"192.168.50.11",Datos!$A:$A,$A3,Datos!$D:$D,"&gt;0")-_xlfn.MINIFS(Datos!$D:$D,Datos!$B:$B,"192.168.50.11",Datos!$A:$A,$A3,Datos!$D:$D,"&gt;0"))</f>
        <v>233.25</v>
      </c>
      <c r="L3" s="28" t="n">
        <f aca="false">SUM(B3:K3)</f>
        <v>938.852999999988</v>
      </c>
    </row>
    <row r="4" customFormat="false" ht="15" hidden="false" customHeight="false" outlineLevel="0" collapsed="false">
      <c r="A4" s="21" t="n">
        <v>46303</v>
      </c>
      <c r="B4" s="19" t="n">
        <f aca="false">IF(COUNTIFS(Datos!$B:$B,"192.168.50.3",Datos!$A:$A,$A4,Datos!$D:$D,"&gt;0")&lt;2,"",_xlfn.MAXIFS(Datos!$D:$D,Datos!$B:$B,"192.168.50.3",Datos!$A:$A,$A4,Datos!$D:$D,"&gt;0")-_xlfn.MINIFS(Datos!$D:$D,Datos!$B:$B,"192.168.50.3",Datos!$A:$A,$A4,Datos!$D:$D,"&gt;0"))</f>
        <v>3.18400000000111</v>
      </c>
      <c r="C4" s="19" t="n">
        <f aca="false">IF(COUNTIFS(Datos!$B:$B,"192.168.50.4",Datos!$A:$A,$A4,Datos!$D:$D,"&gt;0")&lt;2,"",_xlfn.MAXIFS(Datos!$D:$D,Datos!$B:$B,"192.168.50.4",Datos!$A:$A,$A4,Datos!$D:$D,"&gt;0")-_xlfn.MINIFS(Datos!$D:$D,Datos!$B:$B,"192.168.50.4",Datos!$A:$A,$A4,Datos!$D:$D,"&gt;0"))</f>
        <v>5.10499999999956</v>
      </c>
      <c r="D4" s="19" t="n">
        <f aca="false">IF(COUNTIFS(Datos!$B:$B,"192.168.50.5",Datos!$A:$A,$A4,Datos!$D:$D,"&gt;0")&lt;2,"",_xlfn.MAXIFS(Datos!$D:$D,Datos!$B:$B,"192.168.50.5",Datos!$A:$A,$A4,Datos!$D:$D,"&gt;0")-_xlfn.MINIFS(Datos!$D:$D,Datos!$B:$B,"192.168.50.5",Datos!$A:$A,$A4,Datos!$D:$D,"&gt;0"))</f>
        <v>17.6990000000005</v>
      </c>
      <c r="E4" s="19" t="n">
        <f aca="false">IF(COUNTIFS(Datos!$B:$B,"192.168.50.6",Datos!$A:$A,$A4,Datos!$D:$D,"&gt;0")&lt;2,"",_xlfn.MAXIFS(Datos!$D:$D,Datos!$B:$B,"192.168.50.6",Datos!$A:$A,$A4,Datos!$D:$D,"&gt;0")-_xlfn.MINIFS(Datos!$D:$D,Datos!$B:$B,"192.168.50.6",Datos!$A:$A,$A4,Datos!$D:$D,"&gt;0"))</f>
        <v>16.2430000000004</v>
      </c>
      <c r="F4" s="19" t="n">
        <f aca="false">IF(COUNTIFS(Datos!$B:$B,"192.168.50.7",Datos!$A:$A,$A4,Datos!$D:$D,"&gt;0")&lt;2,"",_xlfn.MAXIFS(Datos!$D:$D,Datos!$B:$B,"192.168.50.7",Datos!$A:$A,$A4,Datos!$D:$D,"&gt;0")-_xlfn.MINIFS(Datos!$D:$D,Datos!$B:$B,"192.168.50.7",Datos!$A:$A,$A4,Datos!$D:$D,"&gt;0"))</f>
        <v>0.740999999999985</v>
      </c>
      <c r="G4" s="19" t="n">
        <f aca="false">IF(COUNTIFS(Datos!$B:$B,"192.168.1.168",Datos!$A:$A,$A4,Datos!$D:$D,"&gt;0")&lt;2,"",_xlfn.MAXIFS(Datos!$D:$D,Datos!$B:$B,"192.168.1.168",Datos!$A:$A,$A4,Datos!$D:$D,"&gt;0")-_xlfn.MINIFS(Datos!$D:$D,Datos!$B:$B,"192.168.1.168",Datos!$A:$A,$A4,Datos!$D:$D,"&gt;0"))</f>
        <v>29.5360000000001</v>
      </c>
      <c r="H4" s="19" t="n">
        <f aca="false">IF(COUNTIFS(Datos!$B:$B,"192.168.50.8",Datos!$A:$A,$A4,Datos!$D:$D,"&gt;0")&lt;2,"",_xlfn.MAXIFS(Datos!$D:$D,Datos!$B:$B,"192.168.50.8",Datos!$A:$A,$A4,Datos!$D:$D,"&gt;0")-_xlfn.MINIFS(Datos!$D:$D,Datos!$B:$B,"192.168.50.8",Datos!$A:$A,$A4,Datos!$D:$D,"&gt;0"))</f>
        <v>148.320999999996</v>
      </c>
      <c r="I4" s="19" t="n">
        <f aca="false">IF(COUNTIFS(Datos!$B:$B,"192.168.50.9",Datos!$A:$A,$A4,Datos!$D:$D,"&gt;0")&lt;2,"",_xlfn.MAXIFS(Datos!$D:$D,Datos!$B:$B,"192.168.50.9",Datos!$A:$A,$A4,Datos!$D:$D,"&gt;0")-_xlfn.MINIFS(Datos!$D:$D,Datos!$B:$B,"192.168.50.9",Datos!$A:$A,$A4,Datos!$D:$D,"&gt;0"))</f>
        <v>334.25</v>
      </c>
      <c r="J4" s="19" t="n">
        <f aca="false">IF(COUNTIFS(Datos!$B:$B,"192.168.50.10",Datos!$A:$A,$A4,Datos!$D:$D,"&gt;0")&lt;2,"",_xlfn.MAXIFS(Datos!$D:$D,Datos!$B:$B,"192.168.50.10",Datos!$A:$A,$A4,Datos!$D:$D,"&gt;0")-_xlfn.MINIFS(Datos!$D:$D,Datos!$B:$B,"192.168.50.10",Datos!$A:$A,$A4,Datos!$D:$D,"&gt;0"))</f>
        <v>419.625</v>
      </c>
      <c r="K4" s="19" t="n">
        <f aca="false">IF(COUNTIFS(Datos!$B:$B,"192.168.50.11",Datos!$A:$A,$A4,Datos!$D:$D,"&gt;0")&lt;2,"",_xlfn.MAXIFS(Datos!$D:$D,Datos!$B:$B,"192.168.50.11",Datos!$A:$A,$A4,Datos!$D:$D,"&gt;0")-_xlfn.MINIFS(Datos!$D:$D,Datos!$B:$B,"192.168.50.11",Datos!$A:$A,$A4,Datos!$D:$D,"&gt;0"))</f>
        <v>381.313000000024</v>
      </c>
      <c r="L4" s="28" t="n">
        <f aca="false">SUM(B4:K4)</f>
        <v>1356.01700000002</v>
      </c>
    </row>
    <row r="5" customFormat="false" ht="15" hidden="false" customHeight="false" outlineLevel="0" collapsed="false">
      <c r="A5" s="21" t="n">
        <v>46304</v>
      </c>
      <c r="B5" s="19" t="n">
        <f aca="false">IF(COUNTIFS(Datos!$B:$B,"192.168.50.3",Datos!$A:$A,$A5,Datos!$D:$D,"&gt;0")&lt;2,"",_xlfn.MAXIFS(Datos!$D:$D,Datos!$B:$B,"192.168.50.3",Datos!$A:$A,$A5,Datos!$D:$D,"&gt;0")-_xlfn.MINIFS(Datos!$D:$D,Datos!$B:$B,"192.168.50.3",Datos!$A:$A,$A5,Datos!$D:$D,"&gt;0"))</f>
        <v>2.96499999999833</v>
      </c>
      <c r="C5" s="19" t="n">
        <f aca="false">IF(COUNTIFS(Datos!$B:$B,"192.168.50.4",Datos!$A:$A,$A5,Datos!$D:$D,"&gt;0")&lt;2,"",_xlfn.MAXIFS(Datos!$D:$D,Datos!$B:$B,"192.168.50.4",Datos!$A:$A,$A5,Datos!$D:$D,"&gt;0")-_xlfn.MINIFS(Datos!$D:$D,Datos!$B:$B,"192.168.50.4",Datos!$A:$A,$A5,Datos!$D:$D,"&gt;0"))</f>
        <v>2.95799999999872</v>
      </c>
      <c r="D5" s="19" t="n">
        <f aca="false">IF(COUNTIFS(Datos!$B:$B,"192.168.50.5",Datos!$A:$A,$A5,Datos!$D:$D,"&gt;0")&lt;2,"",_xlfn.MAXIFS(Datos!$D:$D,Datos!$B:$B,"192.168.50.5",Datos!$A:$A,$A5,Datos!$D:$D,"&gt;0")-_xlfn.MINIFS(Datos!$D:$D,Datos!$B:$B,"192.168.50.5",Datos!$A:$A,$A5,Datos!$D:$D,"&gt;0"))</f>
        <v>17.4159999999993</v>
      </c>
      <c r="E5" s="19" t="n">
        <f aca="false">IF(COUNTIFS(Datos!$B:$B,"192.168.50.6",Datos!$A:$A,$A5,Datos!$D:$D,"&gt;0")&lt;2,"",_xlfn.MAXIFS(Datos!$D:$D,Datos!$B:$B,"192.168.50.6",Datos!$A:$A,$A5,Datos!$D:$D,"&gt;0")-_xlfn.MINIFS(Datos!$D:$D,Datos!$B:$B,"192.168.50.6",Datos!$A:$A,$A5,Datos!$D:$D,"&gt;0"))</f>
        <v>16.1989999999987</v>
      </c>
      <c r="F5" s="19" t="n">
        <f aca="false">IF(COUNTIFS(Datos!$B:$B,"192.168.50.7",Datos!$A:$A,$A5,Datos!$D:$D,"&gt;0")&lt;2,"",_xlfn.MAXIFS(Datos!$D:$D,Datos!$B:$B,"192.168.50.7",Datos!$A:$A,$A5,Datos!$D:$D,"&gt;0")-_xlfn.MINIFS(Datos!$D:$D,Datos!$B:$B,"192.168.50.7",Datos!$A:$A,$A5,Datos!$D:$D,"&gt;0"))</f>
        <v>0.7450000000008</v>
      </c>
      <c r="G5" s="19" t="n">
        <f aca="false">IF(COUNTIFS(Datos!$B:$B,"192.168.1.168",Datos!$A:$A,$A5,Datos!$D:$D,"&gt;0")&lt;2,"",_xlfn.MAXIFS(Datos!$D:$D,Datos!$B:$B,"192.168.1.168",Datos!$A:$A,$A5,Datos!$D:$D,"&gt;0")-_xlfn.MINIFS(Datos!$D:$D,Datos!$B:$B,"192.168.1.168",Datos!$A:$A,$A5,Datos!$D:$D,"&gt;0"))</f>
        <v>27.7580000000016</v>
      </c>
      <c r="H5" s="19" t="n">
        <f aca="false">IF(COUNTIFS(Datos!$B:$B,"192.168.50.8",Datos!$A:$A,$A5,Datos!$D:$D,"&gt;0")&lt;2,"",_xlfn.MAXIFS(Datos!$D:$D,Datos!$B:$B,"192.168.50.8",Datos!$A:$A,$A5,Datos!$D:$D,"&gt;0")-_xlfn.MINIFS(Datos!$D:$D,Datos!$B:$B,"192.168.50.8",Datos!$A:$A,$A5,Datos!$D:$D,"&gt;0"))</f>
        <v>127.945999999996</v>
      </c>
      <c r="I5" s="19" t="n">
        <f aca="false">IF(COUNTIFS(Datos!$B:$B,"192.168.50.9",Datos!$A:$A,$A5,Datos!$D:$D,"&gt;0")&lt;2,"",_xlfn.MAXIFS(Datos!$D:$D,Datos!$B:$B,"192.168.50.9",Datos!$A:$A,$A5,Datos!$D:$D,"&gt;0")-_xlfn.MINIFS(Datos!$D:$D,Datos!$B:$B,"192.168.50.9",Datos!$A:$A,$A5,Datos!$D:$D,"&gt;0"))</f>
        <v>341.218999999983</v>
      </c>
      <c r="J5" s="19" t="n">
        <f aca="false">IF(COUNTIFS(Datos!$B:$B,"192.168.50.10",Datos!$A:$A,$A5,Datos!$D:$D,"&gt;0")&lt;2,"",_xlfn.MAXIFS(Datos!$D:$D,Datos!$B:$B,"192.168.50.10",Datos!$A:$A,$A5,Datos!$D:$D,"&gt;0")-_xlfn.MINIFS(Datos!$D:$D,Datos!$B:$B,"192.168.50.10",Datos!$A:$A,$A5,Datos!$D:$D,"&gt;0"))</f>
        <v>427.342999999994</v>
      </c>
      <c r="K5" s="19" t="n">
        <f aca="false">IF(COUNTIFS(Datos!$B:$B,"192.168.50.11",Datos!$A:$A,$A5,Datos!$D:$D,"&gt;0")&lt;2,"",_xlfn.MAXIFS(Datos!$D:$D,Datos!$B:$B,"192.168.50.11",Datos!$A:$A,$A5,Datos!$D:$D,"&gt;0")-_xlfn.MINIFS(Datos!$D:$D,Datos!$B:$B,"192.168.50.11",Datos!$A:$A,$A5,Datos!$D:$D,"&gt;0"))</f>
        <v>430.219000000041</v>
      </c>
      <c r="L5" s="28" t="n">
        <f aca="false">SUM(B5:K5)</f>
        <v>1394.76800000001</v>
      </c>
    </row>
    <row r="7" customFormat="false" ht="16.15" hidden="false" customHeight="false" outlineLevel="0" collapsed="false">
      <c r="A7" s="27" t="s">
        <v>287</v>
      </c>
    </row>
    <row r="8" customFormat="false" ht="15" hidden="false" customHeight="false" outlineLevel="0" collapsed="false">
      <c r="A8" s="10" t="s">
        <v>36</v>
      </c>
      <c r="B8" s="10" t="s">
        <v>176</v>
      </c>
      <c r="C8" s="10" t="s">
        <v>177</v>
      </c>
      <c r="D8" s="10" t="s">
        <v>178</v>
      </c>
      <c r="E8" s="10" t="s">
        <v>179</v>
      </c>
      <c r="F8" s="10" t="s">
        <v>180</v>
      </c>
      <c r="G8" s="10" t="s">
        <v>181</v>
      </c>
      <c r="H8" s="10" t="s">
        <v>182</v>
      </c>
      <c r="I8" s="10" t="s">
        <v>183</v>
      </c>
      <c r="J8" s="10" t="s">
        <v>184</v>
      </c>
      <c r="K8" s="10" t="s">
        <v>5</v>
      </c>
      <c r="L8" s="10" t="s">
        <v>286</v>
      </c>
    </row>
    <row r="9" customFormat="false" ht="15" hidden="false" customHeight="false" outlineLevel="0" collapsed="false">
      <c r="A9" s="21" t="n">
        <v>46302</v>
      </c>
      <c r="B9" s="19" t="str">
        <f aca="false">IF(OR(COUNTIFS(Datos!$B:$B,"192.168.50.3",Datos!$A:$A,$A9,Datos!$D:$D,"&gt;0",Datos!$G:$G,(HOUR(Tablero!$D$5)*60+MINUTE(Tablero!$D$5)))=0,COUNTIFS(Datos!$B:$B,"192.168.50.3",Datos!$A:$A,$A9-1,Datos!$D:$D,"&gt;0",Datos!$G:$G,(HOUR(Tablero!$D$5)*60+MINUTE(Tablero!$D$5)))=0),"",SUMIFS(Datos!$D:$D,Datos!$B:$B,"192.168.50.3",Datos!$A:$A,$A9,Datos!$D:$D,"&gt;0",Datos!$G:$G,(HOUR(Tablero!$D$5)*60+MINUTE(Tablero!$D$5)))-SUMIFS(Datos!$D:$D,Datos!$B:$B,"192.168.50.3",Datos!$A:$A,$A9-1,Datos!$D:$D,"&gt;0",Datos!$G:$G,(HOUR(Tablero!$D$5)*60+MINUTE(Tablero!$D$5))))</f>
        <v/>
      </c>
      <c r="C9" s="19" t="str">
        <f aca="false">IF(OR(COUNTIFS(Datos!$B:$B,"192.168.50.4",Datos!$A:$A,$A9,Datos!$D:$D,"&gt;0",Datos!$G:$G,(HOUR(Tablero!$D$5)*60+MINUTE(Tablero!$D$5)))=0,COUNTIFS(Datos!$B:$B,"192.168.50.4",Datos!$A:$A,$A9-1,Datos!$D:$D,"&gt;0",Datos!$G:$G,(HOUR(Tablero!$D$5)*60+MINUTE(Tablero!$D$5)))=0),"",SUMIFS(Datos!$D:$D,Datos!$B:$B,"192.168.50.4",Datos!$A:$A,$A9,Datos!$D:$D,"&gt;0",Datos!$G:$G,(HOUR(Tablero!$D$5)*60+MINUTE(Tablero!$D$5)))-SUMIFS(Datos!$D:$D,Datos!$B:$B,"192.168.50.4",Datos!$A:$A,$A9-1,Datos!$D:$D,"&gt;0",Datos!$G:$G,(HOUR(Tablero!$D$5)*60+MINUTE(Tablero!$D$5))))</f>
        <v/>
      </c>
      <c r="D9" s="19" t="str">
        <f aca="false">IF(OR(COUNTIFS(Datos!$B:$B,"192.168.50.5",Datos!$A:$A,$A9,Datos!$D:$D,"&gt;0",Datos!$G:$G,(HOUR(Tablero!$D$5)*60+MINUTE(Tablero!$D$5)))=0,COUNTIFS(Datos!$B:$B,"192.168.50.5",Datos!$A:$A,$A9-1,Datos!$D:$D,"&gt;0",Datos!$G:$G,(HOUR(Tablero!$D$5)*60+MINUTE(Tablero!$D$5)))=0),"",SUMIFS(Datos!$D:$D,Datos!$B:$B,"192.168.50.5",Datos!$A:$A,$A9,Datos!$D:$D,"&gt;0",Datos!$G:$G,(HOUR(Tablero!$D$5)*60+MINUTE(Tablero!$D$5)))-SUMIFS(Datos!$D:$D,Datos!$B:$B,"192.168.50.5",Datos!$A:$A,$A9-1,Datos!$D:$D,"&gt;0",Datos!$G:$G,(HOUR(Tablero!$D$5)*60+MINUTE(Tablero!$D$5))))</f>
        <v/>
      </c>
      <c r="E9" s="19" t="str">
        <f aca="false">IF(OR(COUNTIFS(Datos!$B:$B,"192.168.50.6",Datos!$A:$A,$A9,Datos!$D:$D,"&gt;0",Datos!$G:$G,(HOUR(Tablero!$D$5)*60+MINUTE(Tablero!$D$5)))=0,COUNTIFS(Datos!$B:$B,"192.168.50.6",Datos!$A:$A,$A9-1,Datos!$D:$D,"&gt;0",Datos!$G:$G,(HOUR(Tablero!$D$5)*60+MINUTE(Tablero!$D$5)))=0),"",SUMIFS(Datos!$D:$D,Datos!$B:$B,"192.168.50.6",Datos!$A:$A,$A9,Datos!$D:$D,"&gt;0",Datos!$G:$G,(HOUR(Tablero!$D$5)*60+MINUTE(Tablero!$D$5)))-SUMIFS(Datos!$D:$D,Datos!$B:$B,"192.168.50.6",Datos!$A:$A,$A9-1,Datos!$D:$D,"&gt;0",Datos!$G:$G,(HOUR(Tablero!$D$5)*60+MINUTE(Tablero!$D$5))))</f>
        <v/>
      </c>
      <c r="F9" s="19" t="str">
        <f aca="false">IF(OR(COUNTIFS(Datos!$B:$B,"192.168.50.7",Datos!$A:$A,$A9,Datos!$D:$D,"&gt;0",Datos!$G:$G,(HOUR(Tablero!$D$5)*60+MINUTE(Tablero!$D$5)))=0,COUNTIFS(Datos!$B:$B,"192.168.50.7",Datos!$A:$A,$A9-1,Datos!$D:$D,"&gt;0",Datos!$G:$G,(HOUR(Tablero!$D$5)*60+MINUTE(Tablero!$D$5)))=0),"",SUMIFS(Datos!$D:$D,Datos!$B:$B,"192.168.50.7",Datos!$A:$A,$A9,Datos!$D:$D,"&gt;0",Datos!$G:$G,(HOUR(Tablero!$D$5)*60+MINUTE(Tablero!$D$5)))-SUMIFS(Datos!$D:$D,Datos!$B:$B,"192.168.50.7",Datos!$A:$A,$A9-1,Datos!$D:$D,"&gt;0",Datos!$G:$G,(HOUR(Tablero!$D$5)*60+MINUTE(Tablero!$D$5))))</f>
        <v/>
      </c>
      <c r="G9" s="19" t="str">
        <f aca="false">IF(OR(COUNTIFS(Datos!$B:$B,"192.168.1.168",Datos!$A:$A,$A9,Datos!$D:$D,"&gt;0",Datos!$G:$G,(HOUR(Tablero!$D$5)*60+MINUTE(Tablero!$D$5)))=0,COUNTIFS(Datos!$B:$B,"192.168.1.168",Datos!$A:$A,$A9-1,Datos!$D:$D,"&gt;0",Datos!$G:$G,(HOUR(Tablero!$D$5)*60+MINUTE(Tablero!$D$5)))=0),"",SUMIFS(Datos!$D:$D,Datos!$B:$B,"192.168.1.168",Datos!$A:$A,$A9,Datos!$D:$D,"&gt;0",Datos!$G:$G,(HOUR(Tablero!$D$5)*60+MINUTE(Tablero!$D$5)))-SUMIFS(Datos!$D:$D,Datos!$B:$B,"192.168.1.168",Datos!$A:$A,$A9-1,Datos!$D:$D,"&gt;0",Datos!$G:$G,(HOUR(Tablero!$D$5)*60+MINUTE(Tablero!$D$5))))</f>
        <v/>
      </c>
      <c r="H9" s="19" t="str">
        <f aca="false">IF(OR(COUNTIFS(Datos!$B:$B,"192.168.50.8",Datos!$A:$A,$A9,Datos!$D:$D,"&gt;0",Datos!$G:$G,(HOUR(Tablero!$D$5)*60+MINUTE(Tablero!$D$5)))=0,COUNTIFS(Datos!$B:$B,"192.168.50.8",Datos!$A:$A,$A9-1,Datos!$D:$D,"&gt;0",Datos!$G:$G,(HOUR(Tablero!$D$5)*60+MINUTE(Tablero!$D$5)))=0),"",SUMIFS(Datos!$D:$D,Datos!$B:$B,"192.168.50.8",Datos!$A:$A,$A9,Datos!$D:$D,"&gt;0",Datos!$G:$G,(HOUR(Tablero!$D$5)*60+MINUTE(Tablero!$D$5)))-SUMIFS(Datos!$D:$D,Datos!$B:$B,"192.168.50.8",Datos!$A:$A,$A9-1,Datos!$D:$D,"&gt;0",Datos!$G:$G,(HOUR(Tablero!$D$5)*60+MINUTE(Tablero!$D$5))))</f>
        <v/>
      </c>
      <c r="I9" s="19" t="str">
        <f aca="false">IF(OR(COUNTIFS(Datos!$B:$B,"192.168.50.9",Datos!$A:$A,$A9,Datos!$D:$D,"&gt;0",Datos!$G:$G,(HOUR(Tablero!$D$5)*60+MINUTE(Tablero!$D$5)))=0,COUNTIFS(Datos!$B:$B,"192.168.50.9",Datos!$A:$A,$A9-1,Datos!$D:$D,"&gt;0",Datos!$G:$G,(HOUR(Tablero!$D$5)*60+MINUTE(Tablero!$D$5)))=0),"",SUMIFS(Datos!$D:$D,Datos!$B:$B,"192.168.50.9",Datos!$A:$A,$A9,Datos!$D:$D,"&gt;0",Datos!$G:$G,(HOUR(Tablero!$D$5)*60+MINUTE(Tablero!$D$5)))-SUMIFS(Datos!$D:$D,Datos!$B:$B,"192.168.50.9",Datos!$A:$A,$A9-1,Datos!$D:$D,"&gt;0",Datos!$G:$G,(HOUR(Tablero!$D$5)*60+MINUTE(Tablero!$D$5))))</f>
        <v/>
      </c>
      <c r="J9" s="19" t="str">
        <f aca="false">IF(OR(COUNTIFS(Datos!$B:$B,"192.168.50.10",Datos!$A:$A,$A9,Datos!$D:$D,"&gt;0",Datos!$G:$G,(HOUR(Tablero!$D$5)*60+MINUTE(Tablero!$D$5)))=0,COUNTIFS(Datos!$B:$B,"192.168.50.10",Datos!$A:$A,$A9-1,Datos!$D:$D,"&gt;0",Datos!$G:$G,(HOUR(Tablero!$D$5)*60+MINUTE(Tablero!$D$5)))=0),"",SUMIFS(Datos!$D:$D,Datos!$B:$B,"192.168.50.10",Datos!$A:$A,$A9,Datos!$D:$D,"&gt;0",Datos!$G:$G,(HOUR(Tablero!$D$5)*60+MINUTE(Tablero!$D$5)))-SUMIFS(Datos!$D:$D,Datos!$B:$B,"192.168.50.10",Datos!$A:$A,$A9-1,Datos!$D:$D,"&gt;0",Datos!$G:$G,(HOUR(Tablero!$D$5)*60+MINUTE(Tablero!$D$5))))</f>
        <v/>
      </c>
      <c r="K9" s="19" t="str">
        <f aca="false">IF(OR(COUNTIFS(Datos!$B:$B,"192.168.50.11",Datos!$A:$A,$A9,Datos!$D:$D,"&gt;0",Datos!$G:$G,(HOUR(Tablero!$D$5)*60+MINUTE(Tablero!$D$5)))=0,COUNTIFS(Datos!$B:$B,"192.168.50.11",Datos!$A:$A,$A9-1,Datos!$D:$D,"&gt;0",Datos!$G:$G,(HOUR(Tablero!$D$5)*60+MINUTE(Tablero!$D$5)))=0),"",SUMIFS(Datos!$D:$D,Datos!$B:$B,"192.168.50.11",Datos!$A:$A,$A9,Datos!$D:$D,"&gt;0",Datos!$G:$G,(HOUR(Tablero!$D$5)*60+MINUTE(Tablero!$D$5)))-SUMIFS(Datos!$D:$D,Datos!$B:$B,"192.168.50.11",Datos!$A:$A,$A9-1,Datos!$D:$D,"&gt;0",Datos!$G:$G,(HOUR(Tablero!$D$5)*60+MINUTE(Tablero!$D$5))))</f>
        <v/>
      </c>
      <c r="L9" s="28" t="str">
        <f aca="false">IF(COUNT(B9:K9)=0,"",SUM(B9:K9))</f>
        <v/>
      </c>
    </row>
    <row r="10" customFormat="false" ht="15" hidden="false" customHeight="false" outlineLevel="0" collapsed="false">
      <c r="A10" s="21" t="n">
        <v>46303</v>
      </c>
      <c r="B10" s="19" t="n">
        <f aca="false">IF(OR(COUNTIFS(Datos!$B:$B,"192.168.50.3",Datos!$A:$A,$A10,Datos!$D:$D,"&gt;0",Datos!$G:$G,(HOUR(Tablero!$D$5)*60+MINUTE(Tablero!$D$5)))=0,COUNTIFS(Datos!$B:$B,"192.168.50.3",Datos!$A:$A,$A10-1,Datos!$D:$D,"&gt;0",Datos!$G:$G,(HOUR(Tablero!$D$5)*60+MINUTE(Tablero!$D$5)))=0),"",SUMIFS(Datos!$D:$D,Datos!$B:$B,"192.168.50.3",Datos!$A:$A,$A10,Datos!$D:$D,"&gt;0",Datos!$G:$G,(HOUR(Tablero!$D$5)*60+MINUTE(Tablero!$D$5)))-SUMIFS(Datos!$D:$D,Datos!$B:$B,"192.168.50.3",Datos!$A:$A,$A10-1,Datos!$D:$D,"&gt;0",Datos!$G:$G,(HOUR(Tablero!$D$5)*60+MINUTE(Tablero!$D$5))))</f>
        <v>12.8729999999996</v>
      </c>
      <c r="C10" s="19" t="n">
        <f aca="false">IF(OR(COUNTIFS(Datos!$B:$B,"192.168.50.4",Datos!$A:$A,$A10,Datos!$D:$D,"&gt;0",Datos!$G:$G,(HOUR(Tablero!$D$5)*60+MINUTE(Tablero!$D$5)))=0,COUNTIFS(Datos!$B:$B,"192.168.50.4",Datos!$A:$A,$A10-1,Datos!$D:$D,"&gt;0",Datos!$G:$G,(HOUR(Tablero!$D$5)*60+MINUTE(Tablero!$D$5)))=0),"",SUMIFS(Datos!$D:$D,Datos!$B:$B,"192.168.50.4",Datos!$A:$A,$A10,Datos!$D:$D,"&gt;0",Datos!$G:$G,(HOUR(Tablero!$D$5)*60+MINUTE(Tablero!$D$5)))-SUMIFS(Datos!$D:$D,Datos!$B:$B,"192.168.50.4",Datos!$A:$A,$A10-1,Datos!$D:$D,"&gt;0",Datos!$G:$G,(HOUR(Tablero!$D$5)*60+MINUTE(Tablero!$D$5))))</f>
        <v>40.7019999999993</v>
      </c>
      <c r="D10" s="19" t="n">
        <f aca="false">IF(OR(COUNTIFS(Datos!$B:$B,"192.168.50.5",Datos!$A:$A,$A10,Datos!$D:$D,"&gt;0",Datos!$G:$G,(HOUR(Tablero!$D$5)*60+MINUTE(Tablero!$D$5)))=0,COUNTIFS(Datos!$B:$B,"192.168.50.5",Datos!$A:$A,$A10-1,Datos!$D:$D,"&gt;0",Datos!$G:$G,(HOUR(Tablero!$D$5)*60+MINUTE(Tablero!$D$5)))=0),"",SUMIFS(Datos!$D:$D,Datos!$B:$B,"192.168.50.5",Datos!$A:$A,$A10,Datos!$D:$D,"&gt;0",Datos!$G:$G,(HOUR(Tablero!$D$5)*60+MINUTE(Tablero!$D$5)))-SUMIFS(Datos!$D:$D,Datos!$B:$B,"192.168.50.5",Datos!$A:$A,$A10-1,Datos!$D:$D,"&gt;0",Datos!$G:$G,(HOUR(Tablero!$D$5)*60+MINUTE(Tablero!$D$5))))</f>
        <v>39.5830000000005</v>
      </c>
      <c r="E10" s="19" t="n">
        <f aca="false">IF(OR(COUNTIFS(Datos!$B:$B,"192.168.50.6",Datos!$A:$A,$A10,Datos!$D:$D,"&gt;0",Datos!$G:$G,(HOUR(Tablero!$D$5)*60+MINUTE(Tablero!$D$5)))=0,COUNTIFS(Datos!$B:$B,"192.168.50.6",Datos!$A:$A,$A10-1,Datos!$D:$D,"&gt;0",Datos!$G:$G,(HOUR(Tablero!$D$5)*60+MINUTE(Tablero!$D$5)))=0),"",SUMIFS(Datos!$D:$D,Datos!$B:$B,"192.168.50.6",Datos!$A:$A,$A10,Datos!$D:$D,"&gt;0",Datos!$G:$G,(HOUR(Tablero!$D$5)*60+MINUTE(Tablero!$D$5)))-SUMIFS(Datos!$D:$D,Datos!$B:$B,"192.168.50.6",Datos!$A:$A,$A10-1,Datos!$D:$D,"&gt;0",Datos!$G:$G,(HOUR(Tablero!$D$5)*60+MINUTE(Tablero!$D$5))))</f>
        <v>56.4110000000001</v>
      </c>
      <c r="F10" s="19" t="n">
        <f aca="false">IF(OR(COUNTIFS(Datos!$B:$B,"192.168.50.7",Datos!$A:$A,$A10,Datos!$D:$D,"&gt;0",Datos!$G:$G,(HOUR(Tablero!$D$5)*60+MINUTE(Tablero!$D$5)))=0,COUNTIFS(Datos!$B:$B,"192.168.50.7",Datos!$A:$A,$A10-1,Datos!$D:$D,"&gt;0",Datos!$G:$G,(HOUR(Tablero!$D$5)*60+MINUTE(Tablero!$D$5)))=0),"",SUMIFS(Datos!$D:$D,Datos!$B:$B,"192.168.50.7",Datos!$A:$A,$A10,Datos!$D:$D,"&gt;0",Datos!$G:$G,(HOUR(Tablero!$D$5)*60+MINUTE(Tablero!$D$5)))-SUMIFS(Datos!$D:$D,Datos!$B:$B,"192.168.50.7",Datos!$A:$A,$A10-1,Datos!$D:$D,"&gt;0",Datos!$G:$G,(HOUR(Tablero!$D$5)*60+MINUTE(Tablero!$D$5))))</f>
        <v>30.3450000000003</v>
      </c>
      <c r="G10" s="19" t="n">
        <f aca="false">IF(OR(COUNTIFS(Datos!$B:$B,"192.168.1.168",Datos!$A:$A,$A10,Datos!$D:$D,"&gt;0",Datos!$G:$G,(HOUR(Tablero!$D$5)*60+MINUTE(Tablero!$D$5)))=0,COUNTIFS(Datos!$B:$B,"192.168.1.168",Datos!$A:$A,$A10-1,Datos!$D:$D,"&gt;0",Datos!$G:$G,(HOUR(Tablero!$D$5)*60+MINUTE(Tablero!$D$5)))=0),"",SUMIFS(Datos!$D:$D,Datos!$B:$B,"192.168.1.168",Datos!$A:$A,$A10,Datos!$D:$D,"&gt;0",Datos!$G:$G,(HOUR(Tablero!$D$5)*60+MINUTE(Tablero!$D$5)))-SUMIFS(Datos!$D:$D,Datos!$B:$B,"192.168.1.168",Datos!$A:$A,$A10-1,Datos!$D:$D,"&gt;0",Datos!$G:$G,(HOUR(Tablero!$D$5)*60+MINUTE(Tablero!$D$5))))</f>
        <v>100.804</v>
      </c>
      <c r="H10" s="19" t="str">
        <f aca="false">IF(OR(COUNTIFS(Datos!$B:$B,"192.168.50.8",Datos!$A:$A,$A10,Datos!$D:$D,"&gt;0",Datos!$G:$G,(HOUR(Tablero!$D$5)*60+MINUTE(Tablero!$D$5)))=0,COUNTIFS(Datos!$B:$B,"192.168.50.8",Datos!$A:$A,$A10-1,Datos!$D:$D,"&gt;0",Datos!$G:$G,(HOUR(Tablero!$D$5)*60+MINUTE(Tablero!$D$5)))=0),"",SUMIFS(Datos!$D:$D,Datos!$B:$B,"192.168.50.8",Datos!$A:$A,$A10,Datos!$D:$D,"&gt;0",Datos!$G:$G,(HOUR(Tablero!$D$5)*60+MINUTE(Tablero!$D$5)))-SUMIFS(Datos!$D:$D,Datos!$B:$B,"192.168.50.8",Datos!$A:$A,$A10-1,Datos!$D:$D,"&gt;0",Datos!$G:$G,(HOUR(Tablero!$D$5)*60+MINUTE(Tablero!$D$5))))</f>
        <v/>
      </c>
      <c r="I10" s="19" t="n">
        <f aca="false">IF(OR(COUNTIFS(Datos!$B:$B,"192.168.50.9",Datos!$A:$A,$A10,Datos!$D:$D,"&gt;0",Datos!$G:$G,(HOUR(Tablero!$D$5)*60+MINUTE(Tablero!$D$5)))=0,COUNTIFS(Datos!$B:$B,"192.168.50.9",Datos!$A:$A,$A10-1,Datos!$D:$D,"&gt;0",Datos!$G:$G,(HOUR(Tablero!$D$5)*60+MINUTE(Tablero!$D$5)))=0),"",SUMIFS(Datos!$D:$D,Datos!$B:$B,"192.168.50.9",Datos!$A:$A,$A10,Datos!$D:$D,"&gt;0",Datos!$G:$G,(HOUR(Tablero!$D$5)*60+MINUTE(Tablero!$D$5)))-SUMIFS(Datos!$D:$D,Datos!$B:$B,"192.168.50.9",Datos!$A:$A,$A10-1,Datos!$D:$D,"&gt;0",Datos!$G:$G,(HOUR(Tablero!$D$5)*60+MINUTE(Tablero!$D$5))))</f>
        <v>975.406000000017</v>
      </c>
      <c r="J10" s="19" t="n">
        <f aca="false">IF(OR(COUNTIFS(Datos!$B:$B,"192.168.50.10",Datos!$A:$A,$A10,Datos!$D:$D,"&gt;0",Datos!$G:$G,(HOUR(Tablero!$D$5)*60+MINUTE(Tablero!$D$5)))=0,COUNTIFS(Datos!$B:$B,"192.168.50.10",Datos!$A:$A,$A10-1,Datos!$D:$D,"&gt;0",Datos!$G:$G,(HOUR(Tablero!$D$5)*60+MINUTE(Tablero!$D$5)))=0),"",SUMIFS(Datos!$D:$D,Datos!$B:$B,"192.168.50.10",Datos!$A:$A,$A10,Datos!$D:$D,"&gt;0",Datos!$G:$G,(HOUR(Tablero!$D$5)*60+MINUTE(Tablero!$D$5)))-SUMIFS(Datos!$D:$D,Datos!$B:$B,"192.168.50.10",Datos!$A:$A,$A10-1,Datos!$D:$D,"&gt;0",Datos!$G:$G,(HOUR(Tablero!$D$5)*60+MINUTE(Tablero!$D$5))))</f>
        <v>1457.25</v>
      </c>
      <c r="K10" s="19" t="n">
        <f aca="false">IF(OR(COUNTIFS(Datos!$B:$B,"192.168.50.11",Datos!$A:$A,$A10,Datos!$D:$D,"&gt;0",Datos!$G:$G,(HOUR(Tablero!$D$5)*60+MINUTE(Tablero!$D$5)))=0,COUNTIFS(Datos!$B:$B,"192.168.50.11",Datos!$A:$A,$A10-1,Datos!$D:$D,"&gt;0",Datos!$G:$G,(HOUR(Tablero!$D$5)*60+MINUTE(Tablero!$D$5)))=0),"",SUMIFS(Datos!$D:$D,Datos!$B:$B,"192.168.50.11",Datos!$A:$A,$A10,Datos!$D:$D,"&gt;0",Datos!$G:$G,(HOUR(Tablero!$D$5)*60+MINUTE(Tablero!$D$5)))-SUMIFS(Datos!$D:$D,Datos!$B:$B,"192.168.50.11",Datos!$A:$A,$A10-1,Datos!$D:$D,"&gt;0",Datos!$G:$G,(HOUR(Tablero!$D$5)*60+MINUTE(Tablero!$D$5))))</f>
        <v>1298.34400000004</v>
      </c>
      <c r="L10" s="28" t="n">
        <f aca="false">IF(COUNT(B10:K10)=0,"",SUM(B10:K10))</f>
        <v>4011.71800000006</v>
      </c>
    </row>
    <row r="11" customFormat="false" ht="15" hidden="false" customHeight="false" outlineLevel="0" collapsed="false">
      <c r="A11" s="21" t="n">
        <v>46304</v>
      </c>
      <c r="B11" s="19" t="n">
        <f aca="false">IF(OR(COUNTIFS(Datos!$B:$B,"192.168.50.3",Datos!$A:$A,$A11,Datos!$D:$D,"&gt;0",Datos!$G:$G,(HOUR(Tablero!$D$5)*60+MINUTE(Tablero!$D$5)))=0,COUNTIFS(Datos!$B:$B,"192.168.50.3",Datos!$A:$A,$A11-1,Datos!$D:$D,"&gt;0",Datos!$G:$G,(HOUR(Tablero!$D$5)*60+MINUTE(Tablero!$D$5)))=0),"",SUMIFS(Datos!$D:$D,Datos!$B:$B,"192.168.50.3",Datos!$A:$A,$A11,Datos!$D:$D,"&gt;0",Datos!$G:$G,(HOUR(Tablero!$D$5)*60+MINUTE(Tablero!$D$5)))-SUMIFS(Datos!$D:$D,Datos!$B:$B,"192.168.50.3",Datos!$A:$A,$A11-1,Datos!$D:$D,"&gt;0",Datos!$G:$G,(HOUR(Tablero!$D$5)*60+MINUTE(Tablero!$D$5))))</f>
        <v>31.3410000000004</v>
      </c>
      <c r="C11" s="19" t="n">
        <f aca="false">IF(OR(COUNTIFS(Datos!$B:$B,"192.168.50.4",Datos!$A:$A,$A11,Datos!$D:$D,"&gt;0",Datos!$G:$G,(HOUR(Tablero!$D$5)*60+MINUTE(Tablero!$D$5)))=0,COUNTIFS(Datos!$B:$B,"192.168.50.4",Datos!$A:$A,$A11-1,Datos!$D:$D,"&gt;0",Datos!$G:$G,(HOUR(Tablero!$D$5)*60+MINUTE(Tablero!$D$5)))=0),"",SUMIFS(Datos!$D:$D,Datos!$B:$B,"192.168.50.4",Datos!$A:$A,$A11,Datos!$D:$D,"&gt;0",Datos!$G:$G,(HOUR(Tablero!$D$5)*60+MINUTE(Tablero!$D$5)))-SUMIFS(Datos!$D:$D,Datos!$B:$B,"192.168.50.4",Datos!$A:$A,$A11-1,Datos!$D:$D,"&gt;0",Datos!$G:$G,(HOUR(Tablero!$D$5)*60+MINUTE(Tablero!$D$5))))</f>
        <v>40.6410000000014</v>
      </c>
      <c r="D11" s="19" t="n">
        <f aca="false">IF(OR(COUNTIFS(Datos!$B:$B,"192.168.50.5",Datos!$A:$A,$A11,Datos!$D:$D,"&gt;0",Datos!$G:$G,(HOUR(Tablero!$D$5)*60+MINUTE(Tablero!$D$5)))=0,COUNTIFS(Datos!$B:$B,"192.168.50.5",Datos!$A:$A,$A11-1,Datos!$D:$D,"&gt;0",Datos!$G:$G,(HOUR(Tablero!$D$5)*60+MINUTE(Tablero!$D$5)))=0),"",SUMIFS(Datos!$D:$D,Datos!$B:$B,"192.168.50.5",Datos!$A:$A,$A11,Datos!$D:$D,"&gt;0",Datos!$G:$G,(HOUR(Tablero!$D$5)*60+MINUTE(Tablero!$D$5)))-SUMIFS(Datos!$D:$D,Datos!$B:$B,"192.168.50.5",Datos!$A:$A,$A11-1,Datos!$D:$D,"&gt;0",Datos!$G:$G,(HOUR(Tablero!$D$5)*60+MINUTE(Tablero!$D$5))))</f>
        <v>58.982</v>
      </c>
      <c r="E11" s="19" t="n">
        <f aca="false">IF(OR(COUNTIFS(Datos!$B:$B,"192.168.50.6",Datos!$A:$A,$A11,Datos!$D:$D,"&gt;0",Datos!$G:$G,(HOUR(Tablero!$D$5)*60+MINUTE(Tablero!$D$5)))=0,COUNTIFS(Datos!$B:$B,"192.168.50.6",Datos!$A:$A,$A11-1,Datos!$D:$D,"&gt;0",Datos!$G:$G,(HOUR(Tablero!$D$5)*60+MINUTE(Tablero!$D$5)))=0),"",SUMIFS(Datos!$D:$D,Datos!$B:$B,"192.168.50.6",Datos!$A:$A,$A11,Datos!$D:$D,"&gt;0",Datos!$G:$G,(HOUR(Tablero!$D$5)*60+MINUTE(Tablero!$D$5)))-SUMIFS(Datos!$D:$D,Datos!$B:$B,"192.168.50.6",Datos!$A:$A,$A11-1,Datos!$D:$D,"&gt;0",Datos!$G:$G,(HOUR(Tablero!$D$5)*60+MINUTE(Tablero!$D$5))))</f>
        <v>57.5959999999996</v>
      </c>
      <c r="F11" s="19" t="n">
        <f aca="false">IF(OR(COUNTIFS(Datos!$B:$B,"192.168.50.7",Datos!$A:$A,$A11,Datos!$D:$D,"&gt;0",Datos!$G:$G,(HOUR(Tablero!$D$5)*60+MINUTE(Tablero!$D$5)))=0,COUNTIFS(Datos!$B:$B,"192.168.50.7",Datos!$A:$A,$A11-1,Datos!$D:$D,"&gt;0",Datos!$G:$G,(HOUR(Tablero!$D$5)*60+MINUTE(Tablero!$D$5)))=0),"",SUMIFS(Datos!$D:$D,Datos!$B:$B,"192.168.50.7",Datos!$A:$A,$A11,Datos!$D:$D,"&gt;0",Datos!$G:$G,(HOUR(Tablero!$D$5)*60+MINUTE(Tablero!$D$5)))-SUMIFS(Datos!$D:$D,Datos!$B:$B,"192.168.50.7",Datos!$A:$A,$A11-1,Datos!$D:$D,"&gt;0",Datos!$G:$G,(HOUR(Tablero!$D$5)*60+MINUTE(Tablero!$D$5))))</f>
        <v>3.76800000000003</v>
      </c>
      <c r="G11" s="19" t="n">
        <f aca="false">IF(OR(COUNTIFS(Datos!$B:$B,"192.168.1.168",Datos!$A:$A,$A11,Datos!$D:$D,"&gt;0",Datos!$G:$G,(HOUR(Tablero!$D$5)*60+MINUTE(Tablero!$D$5)))=0,COUNTIFS(Datos!$B:$B,"192.168.1.168",Datos!$A:$A,$A11-1,Datos!$D:$D,"&gt;0",Datos!$G:$G,(HOUR(Tablero!$D$5)*60+MINUTE(Tablero!$D$5)))=0),"",SUMIFS(Datos!$D:$D,Datos!$B:$B,"192.168.1.168",Datos!$A:$A,$A11,Datos!$D:$D,"&gt;0",Datos!$G:$G,(HOUR(Tablero!$D$5)*60+MINUTE(Tablero!$D$5)))-SUMIFS(Datos!$D:$D,Datos!$B:$B,"192.168.1.168",Datos!$A:$A,$A11-1,Datos!$D:$D,"&gt;0",Datos!$G:$G,(HOUR(Tablero!$D$5)*60+MINUTE(Tablero!$D$5))))</f>
        <v>104.231</v>
      </c>
      <c r="H11" s="19" t="n">
        <f aca="false">IF(OR(COUNTIFS(Datos!$B:$B,"192.168.50.8",Datos!$A:$A,$A11,Datos!$D:$D,"&gt;0",Datos!$G:$G,(HOUR(Tablero!$D$5)*60+MINUTE(Tablero!$D$5)))=0,COUNTIFS(Datos!$B:$B,"192.168.50.8",Datos!$A:$A,$A11-1,Datos!$D:$D,"&gt;0",Datos!$G:$G,(HOUR(Tablero!$D$5)*60+MINUTE(Tablero!$D$5)))=0),"",SUMIFS(Datos!$D:$D,Datos!$B:$B,"192.168.50.8",Datos!$A:$A,$A11,Datos!$D:$D,"&gt;0",Datos!$G:$G,(HOUR(Tablero!$D$5)*60+MINUTE(Tablero!$D$5)))-SUMIFS(Datos!$D:$D,Datos!$B:$B,"192.168.50.8",Datos!$A:$A,$A11-1,Datos!$D:$D,"&gt;0",Datos!$G:$G,(HOUR(Tablero!$D$5)*60+MINUTE(Tablero!$D$5))))</f>
        <v>476.008000000002</v>
      </c>
      <c r="I11" s="19" t="n">
        <f aca="false">IF(OR(COUNTIFS(Datos!$B:$B,"192.168.50.9",Datos!$A:$A,$A11,Datos!$D:$D,"&gt;0",Datos!$G:$G,(HOUR(Tablero!$D$5)*60+MINUTE(Tablero!$D$5)))=0,COUNTIFS(Datos!$B:$B,"192.168.50.9",Datos!$A:$A,$A11-1,Datos!$D:$D,"&gt;0",Datos!$G:$G,(HOUR(Tablero!$D$5)*60+MINUTE(Tablero!$D$5)))=0),"",SUMIFS(Datos!$D:$D,Datos!$B:$B,"192.168.50.9",Datos!$A:$A,$A11,Datos!$D:$D,"&gt;0",Datos!$G:$G,(HOUR(Tablero!$D$5)*60+MINUTE(Tablero!$D$5)))-SUMIFS(Datos!$D:$D,Datos!$B:$B,"192.168.50.9",Datos!$A:$A,$A11-1,Datos!$D:$D,"&gt;0",Datos!$G:$G,(HOUR(Tablero!$D$5)*60+MINUTE(Tablero!$D$5))))</f>
        <v>1117.93799999997</v>
      </c>
      <c r="J11" s="19" t="n">
        <f aca="false">IF(OR(COUNTIFS(Datos!$B:$B,"192.168.50.10",Datos!$A:$A,$A11,Datos!$D:$D,"&gt;0",Datos!$G:$G,(HOUR(Tablero!$D$5)*60+MINUTE(Tablero!$D$5)))=0,COUNTIFS(Datos!$B:$B,"192.168.50.10",Datos!$A:$A,$A11-1,Datos!$D:$D,"&gt;0",Datos!$G:$G,(HOUR(Tablero!$D$5)*60+MINUTE(Tablero!$D$5)))=0),"",SUMIFS(Datos!$D:$D,Datos!$B:$B,"192.168.50.10",Datos!$A:$A,$A11,Datos!$D:$D,"&gt;0",Datos!$G:$G,(HOUR(Tablero!$D$5)*60+MINUTE(Tablero!$D$5)))-SUMIFS(Datos!$D:$D,Datos!$B:$B,"192.168.50.10",Datos!$A:$A,$A11-1,Datos!$D:$D,"&gt;0",Datos!$G:$G,(HOUR(Tablero!$D$5)*60+MINUTE(Tablero!$D$5))))</f>
        <v>1557.125</v>
      </c>
      <c r="K11" s="19" t="n">
        <f aca="false">IF(OR(COUNTIFS(Datos!$B:$B,"192.168.50.11",Datos!$A:$A,$A11,Datos!$D:$D,"&gt;0",Datos!$G:$G,(HOUR(Tablero!$D$5)*60+MINUTE(Tablero!$D$5)))=0,COUNTIFS(Datos!$B:$B,"192.168.50.11",Datos!$A:$A,$A11-1,Datos!$D:$D,"&gt;0",Datos!$G:$G,(HOUR(Tablero!$D$5)*60+MINUTE(Tablero!$D$5)))=0),"",SUMIFS(Datos!$D:$D,Datos!$B:$B,"192.168.50.11",Datos!$A:$A,$A11,Datos!$D:$D,"&gt;0",Datos!$G:$G,(HOUR(Tablero!$D$5)*60+MINUTE(Tablero!$D$5)))-SUMIFS(Datos!$D:$D,Datos!$B:$B,"192.168.50.11",Datos!$A:$A,$A11-1,Datos!$D:$D,"&gt;0",Datos!$G:$G,(HOUR(Tablero!$D$5)*60+MINUTE(Tablero!$D$5))))</f>
        <v>1362.93699999998</v>
      </c>
      <c r="L11" s="28" t="n">
        <f aca="false">IF(COUNT(B11:K11)=0,"",SUM(B11:K11))</f>
        <v>4810.56699999994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7" t="s">
        <v>288</v>
      </c>
    </row>
    <row r="2" customFormat="false" ht="15" hidden="false" customHeight="false" outlineLevel="0" collapsed="false">
      <c r="A2" s="22" t="s">
        <v>289</v>
      </c>
    </row>
    <row r="3" customFormat="false" ht="15" hidden="false" customHeight="false" outlineLevel="0" collapsed="false">
      <c r="A3" s="22" t="s">
        <v>290</v>
      </c>
    </row>
    <row r="4" customFormat="false" ht="15" hidden="false" customHeight="false" outlineLevel="0" collapsed="false">
      <c r="A4" s="22" t="s">
        <v>291</v>
      </c>
    </row>
    <row r="5" customFormat="false" ht="15" hidden="false" customHeight="false" outlineLevel="0" collapsed="false">
      <c r="A5" s="22" t="s">
        <v>292</v>
      </c>
    </row>
    <row r="6" customFormat="false" ht="15" hidden="false" customHeight="false" outlineLevel="0" collapsed="false">
      <c r="A6" s="22" t="s">
        <v>293</v>
      </c>
    </row>
    <row r="7" customFormat="false" ht="15" hidden="false" customHeight="false" outlineLevel="0" collapsed="false">
      <c r="A7" s="22" t="s">
        <v>294</v>
      </c>
    </row>
    <row r="8" customFormat="false" ht="15" hidden="false" customHeight="false" outlineLevel="0" collapsed="false">
      <c r="A8" s="22" t="s">
        <v>295</v>
      </c>
    </row>
    <row r="9" customFormat="false" ht="15" hidden="false" customHeight="false" outlineLevel="0" collapsed="false">
      <c r="A9" s="22" t="s">
        <v>296</v>
      </c>
    </row>
    <row r="10" customFormat="false" ht="15" hidden="false" customHeight="false" outlineLevel="0" collapsed="false">
      <c r="A10" s="2" t="s">
        <v>297</v>
      </c>
    </row>
    <row r="11" customFormat="false" ht="15" hidden="false" customHeight="false" outlineLevel="0" collapsed="false">
      <c r="A11" s="2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2026-10-13T12:55:39Z</dcterms:created>
  <dc:creator>openpyxl</dc:creator>
  <dc:description/>
  <dc:language>en-US</dc:language>
  <cp:lastModifiedBy/>
  <dcterms:modified xsi:type="dcterms:W3CDTF">2026-10-13T12:55:49Z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