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Instruccion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<sst xmlns="http://schemas.openxmlformats.org/spreadsheetml/2006/main" count="966" uniqueCount="258">
  <si>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</si>
  <si>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</si>
  <si>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</si>
  <si>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</si>
  <si>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</si>
  <si>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2</t>
  </si>
  <si>
    <t xml:space="preserve">CONSUMO DEL PERIODO (kWh)</t>
  </si>
  <si>
    <t xml:space="preserve">DEMANDA MEDIA TOTAL (kW)</t>
  </si>
  <si>
    <t xml:space="preserve">CONSUMO 24 h AL CORTE (kWh)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</si>
  <si>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</si>
  <si>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</si>
  <si>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</si>
  <si>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</si>
  <si>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</si>
  <si>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</si>
  <si>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</si>
  <si>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</si>
  <si>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</si>
  <si>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</si>
  <si>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</si>
  <si>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</si>
  <si>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</si>
  <si>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</si>
  <si>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</si>
  <si>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</si>
  <si>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 24 h al corte</t>
  </si>
  <si>
    <t xml:space="preserve">kW medio vs día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</si>
  <si>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</si>
  <si>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</si>
  <si>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</si>
  <si>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</si>
  <si>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día ant.</t>
  </si>
  <si>
    <t xml:space="preserve">Celdas amarillas: día y medidor se eligen de la lista; la hora de corte se escribe (ej. 14:45).</t>
  </si>
  <si>
    <t xml:space="preserve">kWh 24 h al corte = lectura del día a la hora de corte − lectura del día anterior a la misma hora. Requiere ambas lecturas.</t>
  </si>
  <si>
    <t xml:space="preserve">kVARh / kWh &gt; 50 %: la energía reactiva supera el límite de la CREG y se factura. FP en ámbar cuando es menor a 0.90.</t>
  </si>
  <si>
    <t xml:space="preserve">kW medio vs día anterior compara la demanda media del periodo registrado de cada día. Las lecturas en cero se excluyen.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</si>
  <si>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</si>
  <si>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</si>
  <si>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</si>
  <si>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</si>
  <si>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</si>
  <si>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</si>
  <si>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</si>
  <si>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</si>
  <si>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</si>
  <si>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</si>
  <si>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</si>
  <si>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</si>
  <si>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</si>
  <si>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</si>
  <si>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</si>
  <si>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</si>
  <si>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</si>
  <si>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</si>
  <si>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</si>
  <si>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</si>
  <si>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</si>
  <si>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</si>
  <si>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</si>
  <si>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</si>
  <si>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</si>
  <si>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</si>
  <si>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</si>
  <si>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</si>
  <si>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</si>
  <si>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</si>
  <si>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</si>
  <si>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</si>
  <si>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</si>
  <si>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</si>
  <si>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</si>
  <si>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</si>
  <si>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</si>
  <si>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</si>
  <si>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</si>
  <si>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</si>
  <si>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</si>
  <si>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</si>
  <si>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</si>
  <si>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</si>
  <si>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</si>
  <si>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</si>
  <si>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</si>
  <si>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</si>
  <si>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</si>
  <si>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</si>
  <si>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</si>
  <si>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</si>
  <si>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</si>
  <si>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</si>
  <si>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</si>
  <si>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</si>
  <si>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</si>
  <si>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</si>
  <si>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</si>
  <si>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</si>
  <si>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</si>
  <si>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</si>
  <si>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</si>
  <si>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</si>
  <si>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</si>
  <si>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</si>
  <si>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</si>
  <si>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</si>
  <si>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</si>
  <si>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</si>
  <si>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</si>
  <si>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</si>
  <si>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</si>
  <si>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</si>
  <si>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</si>
  <si>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</si>
  <si>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</si>
  <si>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</si>
  <si>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</si>
  <si>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</si>
  <si>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</si>
  <si>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</si>
  <si>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</si>
  <si>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</si>
  <si>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</si>
  <si>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</si>
  <si>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</si>
  <si>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</si>
  <si>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</si>
  <si>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</si>
  <si>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</si>
  <si>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</si>
  <si>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</si>
  <si>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</si>
  <si>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</si>
  <si>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</si>
  <si>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</si>
  <si>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Nombre de la línea</t>
  </si>
  <si>
    <t xml:space="preserve">Puedes cambiar los nombres de la columna B; el tablero se actualiza solo.</t>
  </si>
  <si>
    <t xml:space="preserve">L50</t>
  </si>
  <si>
    <t xml:space="preserve">L21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</si>
  <si>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</si>
  <si>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</si>
  <si>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</si>
  <si>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</si>
  <si>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</si>
  <si>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</si>
  <si>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1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</si>
  <si>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</si>
  <si>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</si>
  <si>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</si>
  <si>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</si>
  <si>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</si>
  <si>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</si>
  <si>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</si>
  <si>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</si>
  <si>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</si>
  <si>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</si>
  <si>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</si>
  <si>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</si>
  <si>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</si>
  <si>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</si>
  <si>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</si>
  <si>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</si>
  <si>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</si>
  <si>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</si>
  <si>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</si>
  <si>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</si>
  <si>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</si>
  <si>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</si>
  <si>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</si>
  <si>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</si>
  <si>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</si>
  <si>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</si>
  <si>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</si>
  <si>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</si>
  <si>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</si>
  <si>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</si>
  <si>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</si>
  <si>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</si>
  <si>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</si>
  <si>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</si>
  <si>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</si>
  <si>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</si>
  <si>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</si>
  <si>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</si>
  <si>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</si>
  <si>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</si>
  <si>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</si>
  <si>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</si>
  <si>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</si>
  <si>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</si>
  <si>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</si>
  <si>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</si>
  <si>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</si>
  <si>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</si>
  <si>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</si>
  <si>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</si>
  <si>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</si>
  <si>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</si>
  <si>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</si>
  <si>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</si>
  <si>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</si>
  <si>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</si>
  <si>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</si>
  <si>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</si>
  <si>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</si>
  <si>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</si>
  <si>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</si>
  <si>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</si>
  <si>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</si>
  <si>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</si>
  <si>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</si>
  <si>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</si>
  <si>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</si>
  <si>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</si>
  <si>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</si>
  <si>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</si>
  <si>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</si>
  <si>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</si>
  <si>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</si>
  <si>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</si>
  <si>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</si>
  <si>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</si>
  <si>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</si>
  <si>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</si>
  <si>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</si>
  <si>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</si>
  <si>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</si>
  <si>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</si>
  <si>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</si>
  <si>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</si>
  <si>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</si>
  <si>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</si>
  <si>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</si>
  <si>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</si>
  <si>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</si>
  <si>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</si>
  <si>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</si>
  <si>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</si>
  <si>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</si>
  <si>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</si>
  <si>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</si>
  <si>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</si>
  <si>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</si>
  <si>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</si>
  <si>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</si>
  <si>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</si>
  <si>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</si>
  <si>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</si>
  <si>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de 24 h al corte (kWh) · hora de corte en Tablero!D5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</si>
  <si>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</si>
  <si>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</si>
  <si>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</si>
  <si>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</si>
  <si>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</si>
  <si>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</si>
  <si>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</si>
  <si>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</si>
  <si>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Tomando las fotos a las 3:00 p. m., la lectura común de todos es 14:45.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</si>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</sst>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3.18400000000111</c:v>
                </c:pt>
                <c:pt idx="1">
                  <c:v>5.10499999999956</c:v>
                </c:pt>
                <c:pt idx="2">
                  <c:v>17.6990000000005</c:v>
                </c:pt>
                <c:pt idx="3">
                  <c:v>16.2430000000004</c:v>
                </c:pt>
                <c:pt idx="4">
                  <c:v>0.740999999999985</c:v>
                </c:pt>
                <c:pt idx="5">
                  <c:v>29.5360000000001</c:v>
                </c:pt>
                <c:pt idx="6">
                  <c:v>148.320999999996</c:v>
                </c:pt>
                <c:pt idx="7">
                  <c:v>334.25</c:v>
                </c:pt>
                <c:pt idx="8">
                  <c:v>419.625</c:v>
                </c:pt>
                <c:pt idx="9">
                  <c:v>381.313000000024</c:v>
                </c:pt>
              </c:numCache>
            </c:numRef>
          </c:val>
        </c:ser>
        <c:gapWidth val="150"/>
        <c:overlap val="0"/>
        <c:axId val="36824042"/>
        <c:axId val="44696267"/>
      </c:barChart>
      <c:catAx>
        <c:axId val="36824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696267"/>
        <c:crosses val="autoZero"/>
        <c:auto val="1"/>
        <c:lblAlgn val="ctr"/>
        <c:lblOffset val="100"/>
        <c:noMultiLvlLbl val="0"/>
      </c:catAx>
      <c:valAx>
        <c:axId val="4469626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240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41">
                  <c:v>89</c:v>
                </c:pt>
                <c:pt idx="42">
                  <c:v>86.3759999999311</c:v>
                </c:pt>
                <c:pt idx="43">
                  <c:v>83.752000000095</c:v>
                </c:pt>
                <c:pt idx="44">
                  <c:v>84</c:v>
                </c:pt>
                <c:pt idx="45">
                  <c:v>84.8719999999739</c:v>
                </c:pt>
                <c:pt idx="46">
                  <c:v>81</c:v>
                </c:pt>
                <c:pt idx="47">
                  <c:v>79.6280000000261</c:v>
                </c:pt>
                <c:pt idx="48">
                  <c:v>80.247999999905</c:v>
                </c:pt>
                <c:pt idx="49">
                  <c:v>94.752000000095</c:v>
                </c:pt>
                <c:pt idx="50">
                  <c:v>95.6239999998361</c:v>
                </c:pt>
                <c:pt idx="51">
                  <c:v>94.1240000000689</c:v>
                </c:pt>
                <c:pt idx="52">
                  <c:v>89.3759999999311</c:v>
                </c:pt>
                <c:pt idx="53">
                  <c:v>85.7480000001378</c:v>
                </c:pt>
                <c:pt idx="54">
                  <c:v>87.1280000000261</c:v>
                </c:pt>
                <c:pt idx="55">
                  <c:v>91</c:v>
                </c:pt>
                <c:pt idx="56">
                  <c:v>92.1239999998361</c:v>
                </c:pt>
                <c:pt idx="57">
                  <c:v>93.3760000001639</c:v>
                </c:pt>
                <c:pt idx="58">
                  <c:v>94.1239999998361</c:v>
                </c:pt>
                <c:pt idx="59">
                  <c:v>92.2480000001378</c:v>
                </c:pt>
              </c:numCache>
            </c:numRef>
          </c:val>
        </c:ser>
        <c:gapWidth val="20"/>
        <c:overlap val="0"/>
        <c:axId val="33517530"/>
        <c:axId val="32927356"/>
      </c:barChart>
      <c:catAx>
        <c:axId val="335175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27356"/>
        <c:crosses val="autoZero"/>
        <c:auto val="1"/>
        <c:lblAlgn val="ctr"/>
        <c:lblOffset val="100"/>
        <c:noMultiLvlLbl val="0"/>
      </c:catAx>
      <c:valAx>
        <c:axId val="32927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175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Histórico!$A$3:$A$4</c:f>
              <c:strCache>
                <c:ptCount val="2"/>
                <c:pt idx="0">
                  <c:v>2026-10-07</c:v>
                </c:pt>
                <c:pt idx="1">
                  <c:v>2026-10-08</c:v>
                </c:pt>
              </c:strCache>
            </c:strRef>
          </c:cat>
          <c:val>
            <c:numRef>
              <c:f>Histórico!$L$3:$L$4</c:f>
              <c:numCache>
                <c:formatCode>#,##0.0</c:formatCode>
                <c:ptCount val="2"/>
                <c:pt idx="0">
                  <c:v>938.852999999988</c:v>
                </c:pt>
                <c:pt idx="1">
                  <c:v>1356.01700000002</c:v>
                </c:pt>
              </c:numCache>
            </c:numRef>
          </c:val>
        </c:ser>
        <c:gapWidth val="150"/>
        <c:overlap val="0"/>
        <c:axId val="71823704"/>
        <c:axId val="5587058"/>
      </c:barChart>
      <c:catAx>
        <c:axId val="718237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7058"/>
        <c:crosses val="autoZero"/>
        <c:auto val="1"/>
        <c:lblAlgn val="ctr"/>
        <c:lblOffset val="100"/>
        <c:noMultiLvlLbl val="0"/>
      </c:catAx>
      <c:valAx>
        <c:axId val="55870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237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11520</xdr:rowOff>
    </xdr:from>
    <xdr:to>
      <xdr:col>7</xdr:col>
      <xdr:colOff>113400</xdr:colOff>
      <xdr:row>43</xdr:row>
      <xdr:rowOff>12600</xdr:rowOff>
    </xdr:to>
    <xdr:graphicFrame>
      <xdr:nvGraphicFramePr>
        <xdr:cNvPr id="0" name="Chart 1"/>
        <xdr:cNvGraphicFramePr/>
      </xdr:nvGraphicFramePr>
      <xdr:xfrm>
        <a:off x="141120" y="53341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26</xdr:row>
      <xdr:rowOff>11520</xdr:rowOff>
    </xdr:from>
    <xdr:to>
      <xdr:col>16</xdr:col>
      <xdr:colOff>269280</xdr:colOff>
      <xdr:row>43</xdr:row>
      <xdr:rowOff>12600</xdr:rowOff>
    </xdr:to>
    <xdr:graphicFrame>
      <xdr:nvGraphicFramePr>
        <xdr:cNvPr id="1" name="Chart 2"/>
        <xdr:cNvGraphicFramePr/>
      </xdr:nvGraphicFramePr>
      <xdr:xfrm>
        <a:off x="6273000" y="53341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161280</xdr:rowOff>
    </xdr:from>
    <xdr:to>
      <xdr:col>6</xdr:col>
      <xdr:colOff>276840</xdr:colOff>
      <xdr:row>25</xdr:row>
      <xdr:rowOff>183600</xdr:rowOff>
    </xdr:to>
    <xdr:graphicFrame>
      <xdr:nvGraphicFramePr>
        <xdr:cNvPr id="2" name="Chart 1"/>
        <xdr:cNvGraphicFramePr/>
      </xdr:nvGraphicFramePr>
      <xdr:xfrm>
        <a:off x="0" y="2095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381" headerRowCount="1" totalsRowCount="0" totalsRowShown="0">
  <autoFilter ref="A1:J38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2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46303</v>
      </c>
      <c r="D5" s="5" t="n">
        <v>0.614583333333333</v>
      </c>
      <c r="F5" s="6" t="s">
        <v>5</v>
      </c>
      <c r="G5" s="6"/>
      <c r="H5" s="6"/>
      <c r="I5" s="2" t="str">
        <f aca="false">IFERROR(INDEX(Medidores!$A:$A,MATCH($F$5,Medidores!$B:$B,0)),"")</f>
        <v>192.168.50.10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SUM(H12:H21)</f>
        <v>1356.01700000002</v>
      </c>
      <c r="D8" s="7" t="n">
        <f aca="false">SUM(K12:K21)</f>
        <v>285.477263157899</v>
      </c>
      <c r="G8" s="7" t="str">
        <f aca="false">IF(COUNT(P12:P21)=0,"Falta el día anterior",SUM(P12:P21))</f>
        <v>Falta el día anterior</v>
      </c>
      <c r="J8" s="8" t="n">
        <f aca="false">IFERROR(SUMPRODUCT(--ISNUMBER(L12:L21),H12:H21)/SUM(J12:J21),"")</f>
        <v>0.910364463469073</v>
      </c>
      <c r="M8" s="9" t="str">
        <f aca="false">COUNTIF(D12:D21,"&lt;&gt;Normal")&amp;" de "&amp;COUNTA(C12:C21)</f>
        <v>3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Normal</v>
      </c>
      <c r="E12" s="13" t="n">
        <f aca="false">IF(S12&lt;2,"",_xlfn.MINIFS(Datos!$G:$G,Datos!$B:$B,$C12,Datos!$A:$A,$B$5,Datos!$D:$D,"&gt;0")/1440)</f>
        <v>0.416666666666667</v>
      </c>
      <c r="F12" s="13" t="n">
        <f aca="false">IF(S12&lt;2,"",_xlfn.MAXIFS(Datos!$G:$G,Datos!$B:$B,$C12,Datos!$A:$A,$B$5,Datos!$D:$D,"&gt;0")/1440)</f>
        <v>0.614583333333333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3.18400000000111</v>
      </c>
      <c r="I12" s="15" t="n">
        <f aca="false">IF(S12&lt;2,"",_xlfn.MAXIFS(Datos!$E:$E,Datos!$B:$B,$C12,Datos!$A:$A,$B$5,Datos!$D:$D,"&gt;0")-_xlfn.MINIFS(Datos!$E:$E,Datos!$B:$B,$C12,Datos!$A:$A,$B$5,Datos!$D:$D,"&gt;0"))</f>
        <v>0.576000000000022</v>
      </c>
      <c r="J12" s="15" t="n">
        <f aca="false">IF(U12&lt;2,"",_xlfn.MAXIFS(Datos!$F:$F,Datos!$B:$B,$C12,Datos!$A:$A,$B$5,Datos!$F:$F,"&gt;0")-_xlfn.MINIFS(Datos!$F:$F,Datos!$B:$B,$C12,Datos!$A:$A,$B$5,Datos!$F:$F,"&gt;0"))</f>
        <v>3.51499999999942</v>
      </c>
      <c r="K12" s="16" t="n">
        <f aca="false">IF(H12="","",IF(F12&gt;E12,H12/((F12-E12)*24),""))</f>
        <v>0.670315789473917</v>
      </c>
      <c r="L12" s="17" t="n">
        <f aca="false">IF(OR(H12="",J12=""),"",IF(J12&gt;0,H12/J12,""))</f>
        <v>0.905832147937876</v>
      </c>
      <c r="M12" s="18" t="n">
        <f aca="false">IF(OR(H12="",I12=""),"",IF(H12&gt;0,I12/H12,""))</f>
        <v>0.180904522613009</v>
      </c>
      <c r="N12" s="16" t="n">
        <f aca="false">IF(S12&lt;2,"",_xlfn.MAXIFS(Datos!$H:$H,Datos!$B:$B,$C12,Datos!$A:$A,$B$5))</f>
        <v>2.07200000000012</v>
      </c>
      <c r="O12" s="13" t="n">
        <f aca="false">IF(N12="","",_xlfn.MINIFS(Datos!$G:$G,Datos!$B:$B,$C12,Datos!$A:$A,$B$5,Datos!$H:$H,N12)/1440)</f>
        <v>0.604166666666667</v>
      </c>
      <c r="P12" s="19" t="str">
        <f aca="false">IF(OR(COUNTIFS(Datos!$B:$B,$C12,Datos!$A:$A,$B$5,Datos!$D:$D,"&gt;0",Datos!$G:$G,(HOUR($D$5)*60+MINUTE($D$5)))=0,COUNTIFS(Datos!$B:$B,$C12,Datos!$A:$A,$B$5-1,Datos!$D:$D,"&gt;0",Datos!$G:$G,(HOUR($D$5)*60+MINUTE($D$5)))=0),"",SUMIFS(Datos!$D:$D,Datos!$B:$B,$C12,Datos!$A:$A,$B$5,Datos!$D:$D,"&gt;0",Datos!$G:$G,(HOUR($D$5)*60+MINUTE($D$5)))-SUMIFS(Datos!$D:$D,Datos!$B:$B,$C12,Datos!$A:$A,$B$5-1,Datos!$D:$D,"&gt;0",Datos!$G:$G,(HOUR($D$5)*60+MINUTE($D$5))))</f>
        <v/>
      </c>
      <c r="Q12" s="20" t="n">
        <f aca="false">IF(OR(K12="",V12=""),"",IF(V12&gt;0,K12/V12-1,""))</f>
        <v>0.247648902821906</v>
      </c>
      <c r="R12" s="15" t="n">
        <f aca="false">IF(S12=0,"",_xlfn.MAXIFS(Datos!$D:$D,Datos!$B:$B,$C12,Datos!$A:$A,$B$5,Datos!$D:$D,"&gt;0"))</f>
        <v>8736.439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B$5-1,Datos!$D:$D,"&gt;0")&lt;2,"",IFERROR((_xlfn.MAXIFS(Datos!$D:$D,Datos!$B:$B,$C12,Datos!$A:$A,$B$5-1,Datos!$D:$D,"&gt;0")-_xlfn.MINIFS(Datos!$D:$D,Datos!$B:$B,$C12,Datos!$A:$A,$B$5-1,Datos!$D:$D,"&gt;0"))/((_xlfn.MAXIFS(Datos!$G:$G,Datos!$B:$B,$C12,Datos!$A:$A,$B$5-1,Datos!$D:$D,"&gt;0")-_xlfn.MINIFS(Datos!$G:$G,Datos!$B:$B,$C12,Datos!$A:$A,$B$5-1,Datos!$D:$D,"&gt;0"))/60),""))</f>
        <v>0.53726315789467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Normal</v>
      </c>
      <c r="E13" s="13" t="n">
        <f aca="false">IF(S13&lt;2,"",_xlfn.MINIFS(Datos!$G:$G,Datos!$B:$B,$C13,Datos!$A:$A,$B$5,Datos!$D:$D,"&gt;0")/1440)</f>
        <v>0.427083333333333</v>
      </c>
      <c r="F13" s="13" t="n">
        <f aca="false">IF(S13&lt;2,"",_xlfn.MAXIFS(Datos!$G:$G,Datos!$B:$B,$C13,Datos!$A:$A,$B$5,Datos!$D:$D,"&gt;0")/1440)</f>
        <v>0.625</v>
      </c>
      <c r="G13" s="14" t="n">
        <f aca="false">COUNTIFS(Datos!$B:$B,$C13,Datos!$A:$A,$B$5)</f>
        <v>20</v>
      </c>
      <c r="H13" s="15" t="n">
        <f aca="false">IF(S13&lt;2,"",_xlfn.MAXIFS(Datos!$D:$D,Datos!$B:$B,$C13,Datos!$A:$A,$B$5,Datos!$D:$D,"&gt;0")-_xlfn.MINIFS(Datos!$D:$D,Datos!$B:$B,$C13,Datos!$A:$A,$B$5,Datos!$D:$D,"&gt;0"))</f>
        <v>5.10499999999956</v>
      </c>
      <c r="I13" s="15" t="n">
        <f aca="false">IF(S13&lt;2,"",_xlfn.MAXIFS(Datos!$E:$E,Datos!$B:$B,$C13,Datos!$A:$A,$B$5,Datos!$D:$D,"&gt;0")-_xlfn.MINIFS(Datos!$E:$E,Datos!$B:$B,$C13,Datos!$A:$A,$B$5,Datos!$D:$D,"&gt;0"))</f>
        <v>0.970000000000255</v>
      </c>
      <c r="J13" s="15" t="n">
        <f aca="false">IF(U13&lt;2,"",_xlfn.MAXIFS(Datos!$F:$F,Datos!$B:$B,$C13,Datos!$A:$A,$B$5,Datos!$F:$F,"&gt;0")-_xlfn.MINIFS(Datos!$F:$F,Datos!$B:$B,$C13,Datos!$A:$A,$B$5,Datos!$F:$F,"&gt;0"))</f>
        <v>5.44999999999891</v>
      </c>
      <c r="K13" s="16" t="n">
        <f aca="false">IF(H13="","",IF(F13&gt;E13,H13/((F13-E13)*24),""))</f>
        <v>1.07473684210517</v>
      </c>
      <c r="L13" s="17" t="n">
        <f aca="false">IF(OR(H13="",J13=""),"",IF(J13&gt;0,H13/J13,""))</f>
        <v>0.93669724770653</v>
      </c>
      <c r="M13" s="18" t="n">
        <f aca="false">IF(OR(H13="",I13=""),"",IF(H13&gt;0,I13/H13,""))</f>
        <v>0.190009794319361</v>
      </c>
      <c r="N13" s="16" t="n">
        <f aca="false">IF(S13&lt;2,"",_xlfn.MAXIFS(Datos!$H:$H,Datos!$B:$B,$C13,Datos!$A:$A,$B$5))</f>
        <v>3.291999999994</v>
      </c>
      <c r="O13" s="13" t="n">
        <f aca="false">IF(N13="","",_xlfn.MINIFS(Datos!$G:$G,Datos!$B:$B,$C13,Datos!$A:$A,$B$5,Datos!$H:$H,N13)/1440)</f>
        <v>0.625</v>
      </c>
      <c r="P13" s="19" t="str">
        <f aca="false">IF(OR(COUNTIFS(Datos!$B:$B,$C13,Datos!$A:$A,$B$5,Datos!$D:$D,"&gt;0",Datos!$G:$G,(HOUR($D$5)*60+MINUTE($D$5)))=0,COUNTIFS(Datos!$B:$B,$C13,Datos!$A:$A,$B$5-1,Datos!$D:$D,"&gt;0",Datos!$G:$G,(HOUR($D$5)*60+MINUTE($D$5)))=0),"",SUMIFS(Datos!$D:$D,Datos!$B:$B,$C13,Datos!$A:$A,$B$5,Datos!$D:$D,"&gt;0",Datos!$G:$G,(HOUR($D$5)*60+MINUTE($D$5)))-SUMIFS(Datos!$D:$D,Datos!$B:$B,$C13,Datos!$A:$A,$B$5-1,Datos!$D:$D,"&gt;0",Datos!$G:$G,(HOUR($D$5)*60+MINUTE($D$5))))</f>
        <v/>
      </c>
      <c r="Q13" s="20" t="n">
        <f aca="false">IF(OR(K13="",V13=""),"",IF(V13&gt;0,K13/V13-1,""))</f>
        <v>0.731095286538422</v>
      </c>
      <c r="R13" s="15" t="n">
        <f aca="false">IF(S13=0,"",_xlfn.MAXIFS(Datos!$D:$D,Datos!$B:$B,$C13,Datos!$A:$A,$B$5,Datos!$D:$D,"&gt;0"))</f>
        <v>9923.381</v>
      </c>
      <c r="S13" s="11" t="n">
        <f aca="false">COUNTIFS(Datos!$B:$B,$C13,Datos!$A:$A,$B$5,Datos!$D:$D,"&gt;0")</f>
        <v>20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20</v>
      </c>
      <c r="V13" s="11" t="n">
        <f aca="false">IF(COUNTIFS(Datos!$B:$B,$C13,Datos!$A:$A,$B$5-1,Datos!$D:$D,"&gt;0")&lt;2,"",IFERROR((_xlfn.MAXIFS(Datos!$D:$D,Datos!$B:$B,$C13,Datos!$A:$A,$B$5-1,Datos!$D:$D,"&gt;0")-_xlfn.MINIFS(Datos!$D:$D,Datos!$B:$B,$C13,Datos!$A:$A,$B$5-1,Datos!$D:$D,"&gt;0"))/((_xlfn.MAXIFS(Datos!$G:$G,Datos!$B:$B,$C13,Datos!$A:$A,$B$5-1,Datos!$D:$D,"&gt;0")-_xlfn.MINIFS(Datos!$G:$G,Datos!$B:$B,$C13,Datos!$A:$A,$B$5-1,Datos!$D:$D,"&gt;0"))/60),""))</f>
        <v>0.620842105262885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0.416666666666667</v>
      </c>
      <c r="F14" s="13" t="n">
        <f aca="false">IF(S14&lt;2,"",_xlfn.MAXIFS(Datos!$G:$G,Datos!$B:$B,$C14,Datos!$A:$A,$B$5,Datos!$D:$D,"&gt;0")/1440)</f>
        <v>0.614583333333333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17.6990000000005</v>
      </c>
      <c r="I14" s="15" t="n">
        <f aca="false">IF(S14&lt;2,"",_xlfn.MAXIFS(Datos!$E:$E,Datos!$B:$B,$C14,Datos!$A:$A,$B$5,Datos!$D:$D,"&gt;0")-_xlfn.MINIFS(Datos!$E:$E,Datos!$B:$B,$C14,Datos!$A:$A,$B$5,Datos!$D:$D,"&gt;0"))</f>
        <v>9.02499999999964</v>
      </c>
      <c r="J14" s="15" t="n">
        <f aca="false">IF(U14&lt;2,"",_xlfn.MAXIFS(Datos!$F:$F,Datos!$B:$B,$C14,Datos!$A:$A,$B$5,Datos!$F:$F,"&gt;0")-_xlfn.MINIFS(Datos!$F:$F,Datos!$B:$B,$C14,Datos!$A:$A,$B$5,Datos!$F:$F,"&gt;0"))</f>
        <v>19.9429999999993</v>
      </c>
      <c r="K14" s="16" t="n">
        <f aca="false">IF(H14="","",IF(F14&gt;E14,H14/((F14-E14)*24),""))</f>
        <v>3.72610526315801</v>
      </c>
      <c r="L14" s="17" t="n">
        <f aca="false">IF(OR(H14="",J14=""),"",IF(J14&gt;0,H14/J14,""))</f>
        <v>0.887479316050802</v>
      </c>
      <c r="M14" s="18" t="n">
        <f aca="false">IF(OR(H14="",I14=""),"",IF(H14&gt;0,I14/H14,""))</f>
        <v>0.509915814452758</v>
      </c>
      <c r="N14" s="16" t="n">
        <f aca="false">IF(S14&lt;2,"",_xlfn.MAXIFS(Datos!$H:$H,Datos!$B:$B,$C14,Datos!$A:$A,$B$5))</f>
        <v>4.19600000000355</v>
      </c>
      <c r="O14" s="13" t="n">
        <f aca="false">IF(N14="","",_xlfn.MINIFS(Datos!$G:$G,Datos!$B:$B,$C14,Datos!$A:$A,$B$5,Datos!$H:$H,N14)/1440)</f>
        <v>0.4375</v>
      </c>
      <c r="P14" s="19" t="str">
        <f aca="false">IF(OR(COUNTIFS(Datos!$B:$B,$C14,Datos!$A:$A,$B$5,Datos!$D:$D,"&gt;0",Datos!$G:$G,(HOUR($D$5)*60+MINUTE($D$5)))=0,COUNTIFS(Datos!$B:$B,$C14,Datos!$A:$A,$B$5-1,Datos!$D:$D,"&gt;0",Datos!$G:$G,(HOUR($D$5)*60+MINUTE($D$5)))=0),"",SUMIFS(Datos!$D:$D,Datos!$B:$B,$C14,Datos!$A:$A,$B$5,Datos!$D:$D,"&gt;0",Datos!$G:$G,(HOUR($D$5)*60+MINUTE($D$5)))-SUMIFS(Datos!$D:$D,Datos!$B:$B,$C14,Datos!$A:$A,$B$5-1,Datos!$D:$D,"&gt;0",Datos!$G:$G,(HOUR($D$5)*60+MINUTE($D$5))))</f>
        <v/>
      </c>
      <c r="Q14" s="20" t="n">
        <f aca="false">IF(OR(K14="",V14=""),"",IF(V14&gt;0,K14/V14-1,""))</f>
        <v>0.181114447781247</v>
      </c>
      <c r="R14" s="15" t="n">
        <f aca="false">IF(S14=0,"",_xlfn.MAXIFS(Datos!$D:$D,Datos!$B:$B,$C14,Datos!$A:$A,$B$5,Datos!$D:$D,"&gt;0"))</f>
        <v>10523.467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B$5-1,Datos!$D:$D,"&gt;0")&lt;2,"",IFERROR((_xlfn.MAXIFS(Datos!$D:$D,Datos!$B:$B,$C14,Datos!$A:$A,$B$5-1,Datos!$D:$D,"&gt;0")-_xlfn.MINIFS(Datos!$D:$D,Datos!$B:$B,$C14,Datos!$A:$A,$B$5-1,Datos!$D:$D,"&gt;0"))/((_xlfn.MAXIFS(Datos!$G:$G,Datos!$B:$B,$C14,Datos!$A:$A,$B$5-1,Datos!$D:$D,"&gt;0")-_xlfn.MINIFS(Datos!$G:$G,Datos!$B:$B,$C14,Datos!$A:$A,$B$5-1,Datos!$D:$D,"&gt;0"))/60),""))</f>
        <v>3.154736842105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Reactiva &gt; 50 %</v>
      </c>
      <c r="E15" s="13" t="n">
        <f aca="false">IF(S15&lt;2,"",_xlfn.MINIFS(Datos!$G:$G,Datos!$B:$B,$C15,Datos!$A:$A,$B$5,Datos!$D:$D,"&gt;0")/1440)</f>
        <v>0.416666666666667</v>
      </c>
      <c r="F15" s="13" t="n">
        <f aca="false">IF(S15&lt;2,"",_xlfn.MAXIFS(Datos!$G:$G,Datos!$B:$B,$C15,Datos!$A:$A,$B$5,Datos!$D:$D,"&gt;0")/1440)</f>
        <v>0.614583333333333</v>
      </c>
      <c r="G15" s="14" t="n">
        <f aca="false">COUNTIFS(Datos!$B:$B,$C15,Datos!$A:$A,$B$5)</f>
        <v>20</v>
      </c>
      <c r="H15" s="15" t="n">
        <f aca="false">IF(S15&lt;2,"",_xlfn.MAXIFS(Datos!$D:$D,Datos!$B:$B,$C15,Datos!$A:$A,$B$5,Datos!$D:$D,"&gt;0")-_xlfn.MINIFS(Datos!$D:$D,Datos!$B:$B,$C15,Datos!$A:$A,$B$5,Datos!$D:$D,"&gt;0"))</f>
        <v>16.2430000000004</v>
      </c>
      <c r="I15" s="15" t="n">
        <f aca="false">IF(S15&lt;2,"",_xlfn.MAXIFS(Datos!$E:$E,Datos!$B:$B,$C15,Datos!$A:$A,$B$5,Datos!$D:$D,"&gt;0")-_xlfn.MINIFS(Datos!$E:$E,Datos!$B:$B,$C15,Datos!$A:$A,$B$5,Datos!$D:$D,"&gt;0"))</f>
        <v>12.3590000000004</v>
      </c>
      <c r="J15" s="15" t="n">
        <f aca="false">IF(U15&lt;2,"",_xlfn.MAXIFS(Datos!$F:$F,Datos!$B:$B,$C15,Datos!$A:$A,$B$5,Datos!$F:$F,"&gt;0")-_xlfn.MINIFS(Datos!$F:$F,Datos!$B:$B,$C15,Datos!$A:$A,$B$5,Datos!$F:$F,"&gt;0"))</f>
        <v>20.4700000000012</v>
      </c>
      <c r="K15" s="16" t="n">
        <f aca="false">IF(H15="","",IF(F15&gt;E15,H15/((F15-E15)*24),""))</f>
        <v>3.4195789473685</v>
      </c>
      <c r="L15" s="17" t="n">
        <f aca="false">IF(OR(H15="",J15=""),"",IF(J15&gt;0,H15/J15,""))</f>
        <v>0.793502686858792</v>
      </c>
      <c r="M15" s="18" t="n">
        <f aca="false">IF(OR(H15="",I15=""),"",IF(H15&gt;0,I15/H15,""))</f>
        <v>0.76088161053993</v>
      </c>
      <c r="N15" s="16" t="n">
        <f aca="false">IF(S15&lt;2,"",_xlfn.MAXIFS(Datos!$H:$H,Datos!$B:$B,$C15,Datos!$A:$A,$B$5))</f>
        <v>4.05200000000332</v>
      </c>
      <c r="O15" s="13" t="n">
        <f aca="false">IF(N15="","",_xlfn.MINIFS(Datos!$G:$G,Datos!$B:$B,$C15,Datos!$A:$A,$B$5,Datos!$H:$H,N15)/1440)</f>
        <v>0.46875</v>
      </c>
      <c r="P15" s="19" t="str">
        <f aca="false">IF(OR(COUNTIFS(Datos!$B:$B,$C15,Datos!$A:$A,$B$5,Datos!$D:$D,"&gt;0",Datos!$G:$G,(HOUR($D$5)*60+MINUTE($D$5)))=0,COUNTIFS(Datos!$B:$B,$C15,Datos!$A:$A,$B$5-1,Datos!$D:$D,"&gt;0",Datos!$G:$G,(HOUR($D$5)*60+MINUTE($D$5)))=0),"",SUMIFS(Datos!$D:$D,Datos!$B:$B,$C15,Datos!$A:$A,$B$5,Datos!$D:$D,"&gt;0",Datos!$G:$G,(HOUR($D$5)*60+MINUTE($D$5)))-SUMIFS(Datos!$D:$D,Datos!$B:$B,$C15,Datos!$A:$A,$B$5-1,Datos!$D:$D,"&gt;0",Datos!$G:$G,(HOUR($D$5)*60+MINUTE($D$5))))</f>
        <v/>
      </c>
      <c r="Q15" s="20" t="n">
        <f aca="false">IF(OR(K15="",V15=""),"",IF(V15&gt;0,K15/V15-1,""))</f>
        <v>0.685075039767933</v>
      </c>
      <c r="R15" s="15" t="n">
        <f aca="false">IF(S15=0,"",_xlfn.MAXIFS(Datos!$D:$D,Datos!$B:$B,$C15,Datos!$A:$A,$B$5,Datos!$D:$D,"&gt;0"))</f>
        <v>13598.605</v>
      </c>
      <c r="S15" s="11" t="n">
        <f aca="false">COUNTIFS(Datos!$B:$B,$C15,Datos!$A:$A,$B$5,Datos!$D:$D,"&gt;0")</f>
        <v>20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20</v>
      </c>
      <c r="V15" s="11" t="n">
        <f aca="false">IF(COUNTIFS(Datos!$B:$B,$C15,Datos!$A:$A,$B$5-1,Datos!$D:$D,"&gt;0")&lt;2,"",IFERROR((_xlfn.MAXIFS(Datos!$D:$D,Datos!$B:$B,$C15,Datos!$A:$A,$B$5-1,Datos!$D:$D,"&gt;0")-_xlfn.MINIFS(Datos!$D:$D,Datos!$B:$B,$C15,Datos!$A:$A,$B$5-1,Datos!$D:$D,"&gt;0"))/((_xlfn.MAXIFS(Datos!$G:$G,Datos!$B:$B,$C15,Datos!$A:$A,$B$5-1,Datos!$D:$D,"&gt;0")-_xlfn.MINIFS(Datos!$G:$G,Datos!$B:$B,$C15,Datos!$A:$A,$B$5-1,Datos!$D:$D,"&gt;0"))/60),""))</f>
        <v>2.029333333333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0.416666666666667</v>
      </c>
      <c r="F16" s="13" t="n">
        <f aca="false">IF(S16&lt;2,"",_xlfn.MAXIFS(Datos!$G:$G,Datos!$B:$B,$C16,Datos!$A:$A,$B$5,Datos!$D:$D,"&gt;0")/1440)</f>
        <v>0.614583333333333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0.740999999999985</v>
      </c>
      <c r="I16" s="15" t="n">
        <f aca="false">IF(S16&lt;2,"",_xlfn.MAXIFS(Datos!$E:$E,Datos!$B:$B,$C16,Datos!$A:$A,$B$5,Datos!$D:$D,"&gt;0")-_xlfn.MINIFS(Datos!$E:$E,Datos!$B:$B,$C16,Datos!$A:$A,$B$5,Datos!$D:$D,"&gt;0"))</f>
        <v>0</v>
      </c>
      <c r="J16" s="15" t="n">
        <f aca="false">IF(U16&lt;2,"",_xlfn.MAXIFS(Datos!$F:$F,Datos!$B:$B,$C16,Datos!$A:$A,$B$5,Datos!$F:$F,"&gt;0")-_xlfn.MINIFS(Datos!$F:$F,Datos!$B:$B,$C16,Datos!$A:$A,$B$5,Datos!$F:$F,"&gt;0"))</f>
        <v>2.01100000000042</v>
      </c>
      <c r="K16" s="16" t="n">
        <f aca="false">IF(H16="","",IF(F16&gt;E16,H16/((F16-E16)*24),""))</f>
        <v>0.155999999999997</v>
      </c>
      <c r="L16" s="17" t="n">
        <f aca="false">IF(OR(H16="",J16=""),"",IF(J16&gt;0,H16/J16,""))</f>
        <v>0.368473396320154</v>
      </c>
      <c r="M16" s="18" t="n">
        <f aca="false">IF(OR(H16="",I16=""),"",IF(H16&gt;0,I16/H16,""))</f>
        <v>0</v>
      </c>
      <c r="N16" s="16" t="n">
        <f aca="false">IF(S16&lt;2,"",_xlfn.MAXIFS(Datos!$H:$H,Datos!$B:$B,$C16,Datos!$A:$A,$B$5))</f>
        <v>0.159999999999854</v>
      </c>
      <c r="O16" s="13" t="n">
        <f aca="false">IF(N16="","",_xlfn.MINIFS(Datos!$G:$G,Datos!$B:$B,$C16,Datos!$A:$A,$B$5,Datos!$H:$H,N16)/1440)</f>
        <v>0.458333333333333</v>
      </c>
      <c r="P16" s="19" t="str">
        <f aca="false">IF(OR(COUNTIFS(Datos!$B:$B,$C16,Datos!$A:$A,$B$5,Datos!$D:$D,"&gt;0",Datos!$G:$G,(HOUR($D$5)*60+MINUTE($D$5)))=0,COUNTIFS(Datos!$B:$B,$C16,Datos!$A:$A,$B$5-1,Datos!$D:$D,"&gt;0",Datos!$G:$G,(HOUR($D$5)*60+MINUTE($D$5)))=0),"",SUMIFS(Datos!$D:$D,Datos!$B:$B,$C16,Datos!$A:$A,$B$5,Datos!$D:$D,"&gt;0",Datos!$G:$G,(HOUR($D$5)*60+MINUTE($D$5)))-SUMIFS(Datos!$D:$D,Datos!$B:$B,$C16,Datos!$A:$A,$B$5-1,Datos!$D:$D,"&gt;0",Datos!$G:$G,(HOUR($D$5)*60+MINUTE($D$5))))</f>
        <v/>
      </c>
      <c r="Q16" s="20" t="n">
        <f aca="false">IF(OR(K16="",V16=""),"",IF(V16&gt;0,K16/V16-1,""))</f>
        <v>0.323214285715463</v>
      </c>
      <c r="R16" s="15" t="n">
        <f aca="false">IF(S16=0,"",_xlfn.MAXIFS(Datos!$D:$D,Datos!$B:$B,$C16,Datos!$A:$A,$B$5,Datos!$D:$D,"&gt;0"))</f>
        <v>6625.321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B$5-1,Datos!$D:$D,"&gt;0")&lt;2,"",IFERROR((_xlfn.MAXIFS(Datos!$D:$D,Datos!$B:$B,$C16,Datos!$A:$A,$B$5-1,Datos!$D:$D,"&gt;0")-_xlfn.MINIFS(Datos!$D:$D,Datos!$B:$B,$C16,Datos!$A:$A,$B$5-1,Datos!$D:$D,"&gt;0"))/((_xlfn.MAXIFS(Datos!$G:$G,Datos!$B:$B,$C16,Datos!$A:$A,$B$5-1,Datos!$D:$D,"&gt;0")-_xlfn.MINIFS(Datos!$G:$G,Datos!$B:$B,$C16,Datos!$A:$A,$B$5-1,Datos!$D:$D,"&gt;0"))/60),""))</f>
        <v>0.117894736841998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Normal</v>
      </c>
      <c r="E17" s="13" t="n">
        <f aca="false">IF(S17&lt;2,"",_xlfn.MINIFS(Datos!$G:$G,Datos!$B:$B,$C17,Datos!$A:$A,$B$5,Datos!$D:$D,"&gt;0")/1440)</f>
        <v>0.416666666666667</v>
      </c>
      <c r="F17" s="13" t="n">
        <f aca="false">IF(S17&lt;2,"",_xlfn.MAXIFS(Datos!$G:$G,Datos!$B:$B,$C17,Datos!$A:$A,$B$5,Datos!$D:$D,"&gt;0")/1440)</f>
        <v>0.614583333333333</v>
      </c>
      <c r="G17" s="14" t="n">
        <f aca="false">COUNTIFS(Datos!$B:$B,$C17,Datos!$A:$A,$B$5)</f>
        <v>20</v>
      </c>
      <c r="H17" s="15" t="n">
        <f aca="false">IF(S17&lt;2,"",_xlfn.MAXIFS(Datos!$D:$D,Datos!$B:$B,$C17,Datos!$A:$A,$B$5,Datos!$D:$D,"&gt;0")-_xlfn.MINIFS(Datos!$D:$D,Datos!$B:$B,$C17,Datos!$A:$A,$B$5,Datos!$D:$D,"&gt;0"))</f>
        <v>29.5360000000001</v>
      </c>
      <c r="I17" s="15" t="n">
        <f aca="false">IF(S17&lt;2,"",_xlfn.MAXIFS(Datos!$E:$E,Datos!$B:$B,$C17,Datos!$A:$A,$B$5,Datos!$D:$D,"&gt;0")-_xlfn.MINIFS(Datos!$E:$E,Datos!$B:$B,$C17,Datos!$A:$A,$B$5,Datos!$D:$D,"&gt;0"))</f>
        <v>8.89800000000014</v>
      </c>
      <c r="J17" s="15" t="n">
        <f aca="false">IF(U17&lt;2,"",_xlfn.MAXIFS(Datos!$F:$F,Datos!$B:$B,$C17,Datos!$A:$A,$B$5,Datos!$F:$F,"&gt;0")-_xlfn.MINIFS(Datos!$F:$F,Datos!$B:$B,$C17,Datos!$A:$A,$B$5,Datos!$F:$F,"&gt;0"))</f>
        <v>31.1110000000008</v>
      </c>
      <c r="K17" s="16" t="n">
        <f aca="false">IF(H17="","",IF(F17&gt;E17,H17/((F17-E17)*24),""))</f>
        <v>6.21810526315791</v>
      </c>
      <c r="L17" s="17" t="n">
        <f aca="false">IF(OR(H17="",J17=""),"",IF(J17&gt;0,H17/J17,""))</f>
        <v>0.949374819195761</v>
      </c>
      <c r="M17" s="18" t="n">
        <f aca="false">IF(OR(H17="",I17=""),"",IF(H17&gt;0,I17/H17,""))</f>
        <v>0.301259479956667</v>
      </c>
      <c r="N17" s="16" t="n">
        <f aca="false">IF(S17&lt;2,"",_xlfn.MAXIFS(Datos!$H:$H,Datos!$B:$B,$C17,Datos!$A:$A,$B$5))</f>
        <v>6.73600000000442</v>
      </c>
      <c r="O17" s="13" t="n">
        <f aca="false">IF(N17="","",_xlfn.MINIFS(Datos!$G:$G,Datos!$B:$B,$C17,Datos!$A:$A,$B$5,Datos!$H:$H,N17)/1440)</f>
        <v>0.4375</v>
      </c>
      <c r="P17" s="19" t="str">
        <f aca="false">IF(OR(COUNTIFS(Datos!$B:$B,$C17,Datos!$A:$A,$B$5,Datos!$D:$D,"&gt;0",Datos!$G:$G,(HOUR($D$5)*60+MINUTE($D$5)))=0,COUNTIFS(Datos!$B:$B,$C17,Datos!$A:$A,$B$5-1,Datos!$D:$D,"&gt;0",Datos!$G:$G,(HOUR($D$5)*60+MINUTE($D$5)))=0),"",SUMIFS(Datos!$D:$D,Datos!$B:$B,$C17,Datos!$A:$A,$B$5,Datos!$D:$D,"&gt;0",Datos!$G:$G,(HOUR($D$5)*60+MINUTE($D$5)))-SUMIFS(Datos!$D:$D,Datos!$B:$B,$C17,Datos!$A:$A,$B$5-1,Datos!$D:$D,"&gt;0",Datos!$G:$G,(HOUR($D$5)*60+MINUTE($D$5))))</f>
        <v/>
      </c>
      <c r="Q17" s="20" t="n">
        <f aca="false">IF(OR(K17="",V17=""),"",IF(V17&gt;0,K17/V17-1,""))</f>
        <v>0.120740684526098</v>
      </c>
      <c r="R17" s="15" t="n">
        <f aca="false">IF(S17=0,"",_xlfn.MAXIFS(Datos!$D:$D,Datos!$B:$B,$C17,Datos!$A:$A,$B$5,Datos!$D:$D,"&gt;0"))</f>
        <v>23364.68</v>
      </c>
      <c r="S17" s="11" t="n">
        <f aca="false">COUNTIFS(Datos!$B:$B,$C17,Datos!$A:$A,$B$5,Datos!$D:$D,"&gt;0")</f>
        <v>20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20</v>
      </c>
      <c r="V17" s="11" t="n">
        <f aca="false">IF(COUNTIFS(Datos!$B:$B,$C17,Datos!$A:$A,$B$5-1,Datos!$D:$D,"&gt;0")&lt;2,"",IFERROR((_xlfn.MAXIFS(Datos!$D:$D,Datos!$B:$B,$C17,Datos!$A:$A,$B$5-1,Datos!$D:$D,"&gt;0")-_xlfn.MINIFS(Datos!$D:$D,Datos!$B:$B,$C17,Datos!$A:$A,$B$5-1,Datos!$D:$D,"&gt;0"))/((_xlfn.MAXIFS(Datos!$G:$G,Datos!$B:$B,$C17,Datos!$A:$A,$B$5-1,Datos!$D:$D,"&gt;0")-_xlfn.MINIFS(Datos!$G:$G,Datos!$B:$B,$C17,Datos!$A:$A,$B$5-1,Datos!$D:$D,"&gt;0"))/60),""))</f>
        <v>5.54821052631565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0.427083333333333</v>
      </c>
      <c r="F18" s="13" t="n">
        <f aca="false">IF(S18&lt;2,"",_xlfn.MAXIFS(Datos!$G:$G,Datos!$B:$B,$C18,Datos!$A:$A,$B$5,Datos!$D:$D,"&gt;0")/1440)</f>
        <v>0.625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148.320999999996</v>
      </c>
      <c r="I18" s="15" t="n">
        <f aca="false">IF(S18&lt;2,"",_xlfn.MAXIFS(Datos!$E:$E,Datos!$B:$B,$C18,Datos!$A:$A,$B$5,Datos!$D:$D,"&gt;0")-_xlfn.MINIFS(Datos!$E:$E,Datos!$B:$B,$C18,Datos!$A:$A,$B$5,Datos!$D:$D,"&gt;0"))</f>
        <v>6.90099999999802</v>
      </c>
      <c r="J18" s="15" t="n">
        <f aca="false">IF(U18&lt;2,"",_xlfn.MAXIFS(Datos!$F:$F,Datos!$B:$B,$C18,Datos!$A:$A,$B$5,Datos!$F:$F,"&gt;0")-_xlfn.MINIFS(Datos!$F:$F,Datos!$B:$B,$C18,Datos!$A:$A,$B$5,Datos!$F:$F,"&gt;0"))</f>
        <v>148.5</v>
      </c>
      <c r="K18" s="16" t="n">
        <f aca="false">IF(H18="","",IF(F18&gt;E18,H18/((F18-E18)*24),""))</f>
        <v>31.2254736842097</v>
      </c>
      <c r="L18" s="17" t="n">
        <f aca="false">IF(OR(H18="",J18=""),"",IF(J18&gt;0,H18/J18,""))</f>
        <v>0.998794612794588</v>
      </c>
      <c r="M18" s="18" t="n">
        <f aca="false">IF(OR(H18="",I18=""),"",IF(H18&gt;0,I18/H18,""))</f>
        <v>0.046527464081271</v>
      </c>
      <c r="N18" s="16" t="n">
        <f aca="false">IF(S18&lt;2,"",_xlfn.MAXIFS(Datos!$H:$H,Datos!$B:$B,$C18,Datos!$A:$A,$B$5))</f>
        <v>33.2799999999697</v>
      </c>
      <c r="O18" s="13" t="n">
        <f aca="false">IF(N18="","",_xlfn.MINIFS(Datos!$G:$G,Datos!$B:$B,$C18,Datos!$A:$A,$B$5,Datos!$H:$H,N18)/1440)</f>
        <v>0.5</v>
      </c>
      <c r="P18" s="19" t="str">
        <f aca="false">IF(OR(COUNTIFS(Datos!$B:$B,$C18,Datos!$A:$A,$B$5,Datos!$D:$D,"&gt;0",Datos!$G:$G,(HOUR($D$5)*60+MINUTE($D$5)))=0,COUNTIFS(Datos!$B:$B,$C18,Datos!$A:$A,$B$5-1,Datos!$D:$D,"&gt;0",Datos!$G:$G,(HOUR($D$5)*60+MINUTE($D$5)))=0),"",SUMIFS(Datos!$D:$D,Datos!$B:$B,$C18,Datos!$A:$A,$B$5,Datos!$D:$D,"&gt;0",Datos!$G:$G,(HOUR($D$5)*60+MINUTE($D$5)))-SUMIFS(Datos!$D:$D,Datos!$B:$B,$C18,Datos!$A:$A,$B$5-1,Datos!$D:$D,"&gt;0",Datos!$G:$G,(HOUR($D$5)*60+MINUTE($D$5))))</f>
        <v/>
      </c>
      <c r="Q18" s="20" t="n">
        <f aca="false">IF(OR(K18="",V18=""),"",IF(V18&gt;0,K18/V18-1,""))</f>
        <v>0.189541854636562</v>
      </c>
      <c r="R18" s="15" t="n">
        <f aca="false">IF(S18=0,"",_xlfn.MAXIFS(Datos!$D:$D,Datos!$B:$B,$C18,Datos!$A:$A,$B$5,Datos!$D:$D,"&gt;0"))</f>
        <v>107483.469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B$5-1,Datos!$D:$D,"&gt;0")&lt;2,"",IFERROR((_xlfn.MAXIFS(Datos!$D:$D,Datos!$B:$B,$C18,Datos!$A:$A,$B$5-1,Datos!$D:$D,"&gt;0")-_xlfn.MINIFS(Datos!$D:$D,Datos!$B:$B,$C18,Datos!$A:$A,$B$5-1,Datos!$D:$D,"&gt;0"))/((_xlfn.MAXIFS(Datos!$G:$G,Datos!$B:$B,$C18,Datos!$A:$A,$B$5-1,Datos!$D:$D,"&gt;0")-_xlfn.MINIFS(Datos!$G:$G,Datos!$B:$B,$C18,Datos!$A:$A,$B$5-1,Datos!$D:$D,"&gt;0"))/60),""))</f>
        <v>26.25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0.427083333333333</v>
      </c>
      <c r="F19" s="13" t="n">
        <f aca="false">IF(S19&lt;2,"",_xlfn.MAXIFS(Datos!$G:$G,Datos!$B:$B,$C19,Datos!$A:$A,$B$5,Datos!$D:$D,"&gt;0")/1440)</f>
        <v>0.625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334.25</v>
      </c>
      <c r="I19" s="15" t="n">
        <f aca="false">IF(S19&lt;2,"",_xlfn.MAXIFS(Datos!$E:$E,Datos!$B:$B,$C19,Datos!$A:$A,$B$5,Datos!$D:$D,"&gt;0")-_xlfn.MINIFS(Datos!$E:$E,Datos!$B:$B,$C19,Datos!$A:$A,$B$5,Datos!$D:$D,"&gt;0"))</f>
        <v>144.593999999997</v>
      </c>
      <c r="J19" s="15" t="n">
        <f aca="false">IF(U19&lt;2,"",_xlfn.MAXIFS(Datos!$F:$F,Datos!$B:$B,$C19,Datos!$A:$A,$B$5,Datos!$F:$F,"&gt;0")-_xlfn.MINIFS(Datos!$F:$F,Datos!$B:$B,$C19,Datos!$A:$A,$B$5,Datos!$F:$F,"&gt;0"))</f>
        <v>364.562999999966</v>
      </c>
      <c r="K19" s="16" t="n">
        <f aca="false">IF(H19="","",IF(F19&gt;E19,H19/((F19-E19)*24),""))</f>
        <v>70.3684210526316</v>
      </c>
      <c r="L19" s="17" t="n">
        <f aca="false">IF(OR(H19="",J19=""),"",IF(J19&gt;0,H19/J19,""))</f>
        <v>0.916851134097623</v>
      </c>
      <c r="M19" s="18" t="n">
        <f aca="false">IF(OR(H19="",I19=""),"",IF(H19&gt;0,I19/H19,""))</f>
        <v>0.432592370979798</v>
      </c>
      <c r="N19" s="16" t="n">
        <f aca="false">IF(S19&lt;2,"",_xlfn.MAXIFS(Datos!$H:$H,Datos!$B:$B,$C19,Datos!$A:$A,$B$5))</f>
        <v>88.8759999999311</v>
      </c>
      <c r="O19" s="13" t="n">
        <f aca="false">IF(N19="","",_xlfn.MINIFS(Datos!$G:$G,Datos!$B:$B,$C19,Datos!$A:$A,$B$5,Datos!$H:$H,N19)/1440)</f>
        <v>0.583333333333333</v>
      </c>
      <c r="P19" s="19" t="str">
        <f aca="false">IF(OR(COUNTIFS(Datos!$B:$B,$C19,Datos!$A:$A,$B$5,Datos!$D:$D,"&gt;0",Datos!$G:$G,(HOUR($D$5)*60+MINUTE($D$5)))=0,COUNTIFS(Datos!$B:$B,$C19,Datos!$A:$A,$B$5-1,Datos!$D:$D,"&gt;0",Datos!$G:$G,(HOUR($D$5)*60+MINUTE($D$5)))=0),"",SUMIFS(Datos!$D:$D,Datos!$B:$B,$C19,Datos!$A:$A,$B$5,Datos!$D:$D,"&gt;0",Datos!$G:$G,(HOUR($D$5)*60+MINUTE($D$5)))-SUMIFS(Datos!$D:$D,Datos!$B:$B,$C19,Datos!$A:$A,$B$5-1,Datos!$D:$D,"&gt;0",Datos!$G:$G,(HOUR($D$5)*60+MINUTE($D$5))))</f>
        <v/>
      </c>
      <c r="Q19" s="20" t="n">
        <f aca="false">IF(OR(K19="",V19=""),"",IF(V19&gt;0,K19/V19-1,""))</f>
        <v>0.41932059447983</v>
      </c>
      <c r="R19" s="15" t="n">
        <f aca="false">IF(S19=0,"",_xlfn.MAXIFS(Datos!$D:$D,Datos!$B:$B,$C19,Datos!$A:$A,$B$5,Datos!$D:$D,"&gt;0"))</f>
        <v>266858.688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B$5-1,Datos!$D:$D,"&gt;0")&lt;2,"",IFERROR((_xlfn.MAXIFS(Datos!$D:$D,Datos!$B:$B,$C19,Datos!$A:$A,$B$5-1,Datos!$D:$D,"&gt;0")-_xlfn.MINIFS(Datos!$D:$D,Datos!$B:$B,$C19,Datos!$A:$A,$B$5-1,Datos!$D:$D,"&gt;0"))/((_xlfn.MAXIFS(Datos!$G:$G,Datos!$B:$B,$C19,Datos!$A:$A,$B$5-1,Datos!$D:$D,"&gt;0")-_xlfn.MINIFS(Datos!$G:$G,Datos!$B:$B,$C19,Datos!$A:$A,$B$5-1,Datos!$D:$D,"&gt;0"))/60),""))</f>
        <v>49.5789473684211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0.427083333333333</v>
      </c>
      <c r="F20" s="13" t="n">
        <f aca="false">IF(S20&lt;2,"",_xlfn.MAXIFS(Datos!$G:$G,Datos!$B:$B,$C20,Datos!$A:$A,$B$5,Datos!$D:$D,"&gt;0")/1440)</f>
        <v>0.625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419.625</v>
      </c>
      <c r="I20" s="15" t="n">
        <f aca="false">IF(S20&lt;2,"",_xlfn.MAXIFS(Datos!$E:$E,Datos!$B:$B,$C20,Datos!$A:$A,$B$5,Datos!$D:$D,"&gt;0")-_xlfn.MINIFS(Datos!$E:$E,Datos!$B:$B,$C20,Datos!$A:$A,$B$5,Datos!$D:$D,"&gt;0"))</f>
        <v>180.483999999997</v>
      </c>
      <c r="J20" s="15" t="n">
        <f aca="false">IF(U20&lt;2,"",_xlfn.MAXIFS(Datos!$F:$F,Datos!$B:$B,$C20,Datos!$A:$A,$B$5,Datos!$F:$F,"&gt;0")-_xlfn.MINIFS(Datos!$F:$F,Datos!$B:$B,$C20,Datos!$A:$A,$B$5,Datos!$F:$F,"&gt;0"))</f>
        <v>456.938000000024</v>
      </c>
      <c r="K20" s="16" t="n">
        <f aca="false">IF(H20="","",IF(F20&gt;E20,H20/((F20-E20)*24),""))</f>
        <v>88.3421052631579</v>
      </c>
      <c r="L20" s="17" t="n">
        <f aca="false">IF(OR(H20="",J20=""),"",IF(J20&gt;0,H20/J20,""))</f>
        <v>0.918341219158788</v>
      </c>
      <c r="M20" s="18" t="n">
        <f aca="false">IF(OR(H20="",I20=""),"",IF(H20&gt;0,I20/H20,""))</f>
        <v>0.430107834375923</v>
      </c>
      <c r="N20" s="16" t="n">
        <f aca="false">IF(S20&lt;2,"",_xlfn.MAXIFS(Datos!$H:$H,Datos!$B:$B,$C20,Datos!$A:$A,$B$5))</f>
        <v>95.6239999998361</v>
      </c>
      <c r="O20" s="13" t="n">
        <f aca="false">IF(N20="","",_xlfn.MINIFS(Datos!$G:$G,Datos!$B:$B,$C20,Datos!$A:$A,$B$5,Datos!$H:$H,N20)/1440)</f>
        <v>0.53125</v>
      </c>
      <c r="P20" s="19" t="str">
        <f aca="false">IF(OR(COUNTIFS(Datos!$B:$B,$C20,Datos!$A:$A,$B$5,Datos!$D:$D,"&gt;0",Datos!$G:$G,(HOUR($D$5)*60+MINUTE($D$5)))=0,COUNTIFS(Datos!$B:$B,$C20,Datos!$A:$A,$B$5-1,Datos!$D:$D,"&gt;0",Datos!$G:$G,(HOUR($D$5)*60+MINUTE($D$5)))=0),"",SUMIFS(Datos!$D:$D,Datos!$B:$B,$C20,Datos!$A:$A,$B$5,Datos!$D:$D,"&gt;0",Datos!$G:$G,(HOUR($D$5)*60+MINUTE($D$5)))-SUMIFS(Datos!$D:$D,Datos!$B:$B,$C20,Datos!$A:$A,$B$5-1,Datos!$D:$D,"&gt;0",Datos!$G:$G,(HOUR($D$5)*60+MINUTE($D$5))))</f>
        <v/>
      </c>
      <c r="Q20" s="20" t="n">
        <f aca="false">IF(OR(K20="",V20=""),"",IF(V20&gt;0,K20/V20-1,""))</f>
        <v>0.0439263821995948</v>
      </c>
      <c r="R20" s="15" t="n">
        <f aca="false">IF(S20=0,"",_xlfn.MAXIFS(Datos!$D:$D,Datos!$B:$B,$C20,Datos!$A:$A,$B$5,Datos!$D:$D,"&gt;0"))</f>
        <v>434967.031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B$5-1,Datos!$D:$D,"&gt;0")&lt;2,"",IFERROR((_xlfn.MAXIFS(Datos!$D:$D,Datos!$B:$B,$C20,Datos!$A:$A,$B$5-1,Datos!$D:$D,"&gt;0")-_xlfn.MINIFS(Datos!$D:$D,Datos!$B:$B,$C20,Datos!$A:$A,$B$5-1,Datos!$D:$D,"&gt;0"))/((_xlfn.MAXIFS(Datos!$G:$G,Datos!$B:$B,$C20,Datos!$A:$A,$B$5-1,Datos!$D:$D,"&gt;0")-_xlfn.MINIFS(Datos!$G:$G,Datos!$B:$B,$C20,Datos!$A:$A,$B$5-1,Datos!$D:$D,"&gt;0"))/60),""))</f>
        <v>84.6248421052618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0.427083333333333</v>
      </c>
      <c r="F21" s="13" t="n">
        <f aca="false">IF(S21&lt;2,"",_xlfn.MAXIFS(Datos!$G:$G,Datos!$B:$B,$C21,Datos!$A:$A,$B$5,Datos!$D:$D,"&gt;0")/1440)</f>
        <v>0.625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381.313000000024</v>
      </c>
      <c r="I21" s="15" t="n">
        <f aca="false">IF(S21&lt;2,"",_xlfn.MAXIFS(Datos!$E:$E,Datos!$B:$B,$C21,Datos!$A:$A,$B$5,Datos!$D:$D,"&gt;0")-_xlfn.MINIFS(Datos!$E:$E,Datos!$B:$B,$C21,Datos!$A:$A,$B$5,Datos!$D:$D,"&gt;0"))</f>
        <v>211.219000000012</v>
      </c>
      <c r="J21" s="15" t="n">
        <f aca="false">IF(U21&lt;2,"",_xlfn.MAXIFS(Datos!$F:$F,Datos!$B:$B,$C21,Datos!$A:$A,$B$5,Datos!$F:$F,"&gt;0")-_xlfn.MINIFS(Datos!$F:$F,Datos!$B:$B,$C21,Datos!$A:$A,$B$5,Datos!$F:$F,"&gt;0"))</f>
        <v>437.031000000017</v>
      </c>
      <c r="K21" s="16" t="n">
        <f aca="false">IF(H21="","",IF(F21&gt;E21,H21/((F21-E21)*24),""))</f>
        <v>80.2764210526366</v>
      </c>
      <c r="L21" s="17" t="n">
        <f aca="false">IF(OR(H21="",J21=""),"",IF(J21&gt;0,H21/J21,""))</f>
        <v>0.872507899897281</v>
      </c>
      <c r="M21" s="18" t="n">
        <f aca="false">IF(OR(H21="",I21=""),"",IF(H21&gt;0,I21/H21,""))</f>
        <v>0.553925515259115</v>
      </c>
      <c r="N21" s="16" t="n">
        <f aca="false">IF(S21&lt;2,"",_xlfn.MAXIFS(Datos!$H:$H,Datos!$B:$B,$C21,Datos!$A:$A,$B$5))</f>
        <v>108.624000000069</v>
      </c>
      <c r="O21" s="13" t="n">
        <f aca="false">IF(N21="","",_xlfn.MINIFS(Datos!$G:$G,Datos!$B:$B,$C21,Datos!$A:$A,$B$5,Datos!$H:$H,N21)/1440)</f>
        <v>0.510416666666667</v>
      </c>
      <c r="P21" s="19" t="str">
        <f aca="false">IF(OR(COUNTIFS(Datos!$B:$B,$C21,Datos!$A:$A,$B$5,Datos!$D:$D,"&gt;0",Datos!$G:$G,(HOUR($D$5)*60+MINUTE($D$5)))=0,COUNTIFS(Datos!$B:$B,$C21,Datos!$A:$A,$B$5-1,Datos!$D:$D,"&gt;0",Datos!$G:$G,(HOUR($D$5)*60+MINUTE($D$5)))=0),"",SUMIFS(Datos!$D:$D,Datos!$B:$B,$C21,Datos!$A:$A,$B$5,Datos!$D:$D,"&gt;0",Datos!$G:$G,(HOUR($D$5)*60+MINUTE($D$5)))-SUMIFS(Datos!$D:$D,Datos!$B:$B,$C21,Datos!$A:$A,$B$5-1,Datos!$D:$D,"&gt;0",Datos!$G:$G,(HOUR($D$5)*60+MINUTE($D$5))))</f>
        <v/>
      </c>
      <c r="Q21" s="20" t="n">
        <f aca="false">IF(OR(K21="",V21=""),"",IF(V21&gt;0,K21/V21-1,""))</f>
        <v>0.634782422293778</v>
      </c>
      <c r="R21" s="15" t="n">
        <f aca="false">IF(S21=0,"",_xlfn.MAXIFS(Datos!$D:$D,Datos!$B:$B,$C21,Datos!$A:$A,$B$5,Datos!$D:$D,"&gt;0"))</f>
        <v>330484.688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B$5-1,Datos!$D:$D,"&gt;0")&lt;2,"",IFERROR((_xlfn.MAXIFS(Datos!$D:$D,Datos!$B:$B,$C21,Datos!$A:$A,$B$5-1,Datos!$D:$D,"&gt;0")-_xlfn.MINIFS(Datos!$D:$D,Datos!$B:$B,$C21,Datos!$A:$A,$B$5-1,Datos!$D:$D,"&gt;0"))/((_xlfn.MAXIFS(Datos!$G:$G,Datos!$B:$B,$C21,Datos!$A:$A,$B$5-1,Datos!$D:$D,"&gt;0")-_xlfn.MINIFS(Datos!$G:$G,Datos!$B:$B,$C21,Datos!$A:$A,$B$5-1,Datos!$D:$D,"&gt;0"))/60),""))</f>
        <v>49.1052631578947</v>
      </c>
    </row>
    <row r="23" customFormat="false" ht="15" hidden="false" customHeight="false" outlineLevel="0" collapsed="false">
      <c r="B23" s="2" t="s">
        <v>32</v>
      </c>
    </row>
    <row r="24" customFormat="false" ht="15" hidden="false" customHeight="false" outlineLevel="0" collapsed="false">
      <c r="B24" s="2" t="s">
        <v>33</v>
      </c>
    </row>
    <row r="25" customFormat="false" ht="15" hidden="false" customHeight="false" outlineLevel="0" collapsed="false">
      <c r="B25" s="2" t="s">
        <v>34</v>
      </c>
    </row>
    <row r="26" customFormat="false" ht="15" hidden="false" customHeight="false" outlineLevel="0" collapsed="false">
      <c r="B26" s="2" t="s">
        <v>35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Histórico!$A$3:$A$4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36</v>
      </c>
      <c r="B1" s="10" t="s">
        <v>12</v>
      </c>
      <c r="C1" s="10" t="s">
        <v>37</v>
      </c>
      <c r="D1" s="10" t="s">
        <v>17</v>
      </c>
      <c r="E1" s="10" t="s">
        <v>18</v>
      </c>
      <c r="F1" s="10" t="s">
        <v>19</v>
      </c>
      <c r="G1" s="10" t="s">
        <v>38</v>
      </c>
      <c r="H1" s="10" t="s">
        <v>39</v>
      </c>
      <c r="I1" s="10" t="s">
        <v>11</v>
      </c>
      <c r="J1" s="10" t="s">
        <v>40</v>
      </c>
    </row>
    <row r="2" customFormat="false" ht="15" hidden="false" customHeight="false" outlineLevel="0" collapsed="false">
      <c r="A2" s="21" t="n">
        <v>46302</v>
      </c>
      <c r="B2" s="22" t="s">
        <v>41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42</v>
      </c>
    </row>
    <row r="3" customFormat="false" ht="15" hidden="false" customHeight="false" outlineLevel="0" collapsed="false">
      <c r="A3" s="21" t="n">
        <v>46302</v>
      </c>
      <c r="B3" s="22" t="s">
        <v>41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43</v>
      </c>
    </row>
    <row r="4" customFormat="false" ht="15" hidden="false" customHeight="false" outlineLevel="0" collapsed="false">
      <c r="A4" s="21" t="n">
        <v>46302</v>
      </c>
      <c r="B4" s="22" t="s">
        <v>41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44</v>
      </c>
    </row>
    <row r="5" customFormat="false" ht="15" hidden="false" customHeight="false" outlineLevel="0" collapsed="false">
      <c r="A5" s="21" t="n">
        <v>46302</v>
      </c>
      <c r="B5" s="22" t="s">
        <v>41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45</v>
      </c>
    </row>
    <row r="6" customFormat="false" ht="15" hidden="false" customHeight="false" outlineLevel="0" collapsed="false">
      <c r="A6" s="21" t="n">
        <v>46302</v>
      </c>
      <c r="B6" s="22" t="s">
        <v>41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46</v>
      </c>
    </row>
    <row r="7" customFormat="false" ht="15" hidden="false" customHeight="false" outlineLevel="0" collapsed="false">
      <c r="A7" s="21" t="n">
        <v>46302</v>
      </c>
      <c r="B7" s="22" t="s">
        <v>41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47</v>
      </c>
    </row>
    <row r="8" customFormat="false" ht="15" hidden="false" customHeight="false" outlineLevel="0" collapsed="false">
      <c r="A8" s="21" t="n">
        <v>46302</v>
      </c>
      <c r="B8" s="22" t="s">
        <v>41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48</v>
      </c>
    </row>
    <row r="9" customFormat="false" ht="15" hidden="false" customHeight="false" outlineLevel="0" collapsed="false">
      <c r="A9" s="21" t="n">
        <v>46302</v>
      </c>
      <c r="B9" s="22" t="s">
        <v>41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49</v>
      </c>
    </row>
    <row r="10" customFormat="false" ht="15" hidden="false" customHeight="false" outlineLevel="0" collapsed="false">
      <c r="A10" s="21" t="n">
        <v>46302</v>
      </c>
      <c r="B10" s="22" t="s">
        <v>41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50</v>
      </c>
    </row>
    <row r="11" customFormat="false" ht="15" hidden="false" customHeight="false" outlineLevel="0" collapsed="false">
      <c r="A11" s="21" t="n">
        <v>46302</v>
      </c>
      <c r="B11" s="22" t="s">
        <v>41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51</v>
      </c>
    </row>
    <row r="12" customFormat="false" ht="15" hidden="false" customHeight="false" outlineLevel="0" collapsed="false">
      <c r="A12" s="21" t="n">
        <v>46302</v>
      </c>
      <c r="B12" s="22" t="s">
        <v>41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52</v>
      </c>
    </row>
    <row r="13" customFormat="false" ht="15" hidden="false" customHeight="false" outlineLevel="0" collapsed="false">
      <c r="A13" s="21" t="n">
        <v>46302</v>
      </c>
      <c r="B13" s="22" t="s">
        <v>41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53</v>
      </c>
    </row>
    <row r="14" customFormat="false" ht="15" hidden="false" customHeight="false" outlineLevel="0" collapsed="false">
      <c r="A14" s="21" t="n">
        <v>46302</v>
      </c>
      <c r="B14" s="22" t="s">
        <v>41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54</v>
      </c>
    </row>
    <row r="15" customFormat="false" ht="15" hidden="false" customHeight="false" outlineLevel="0" collapsed="false">
      <c r="A15" s="21" t="n">
        <v>46302</v>
      </c>
      <c r="B15" s="22" t="s">
        <v>41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55</v>
      </c>
    </row>
    <row r="16" customFormat="false" ht="15" hidden="false" customHeight="false" outlineLevel="0" collapsed="false">
      <c r="A16" s="21" t="n">
        <v>46302</v>
      </c>
      <c r="B16" s="22" t="s">
        <v>41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56</v>
      </c>
    </row>
    <row r="17" customFormat="false" ht="15" hidden="false" customHeight="false" outlineLevel="0" collapsed="false">
      <c r="A17" s="21" t="n">
        <v>46302</v>
      </c>
      <c r="B17" s="22" t="s">
        <v>41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57</v>
      </c>
    </row>
    <row r="18" customFormat="false" ht="15" hidden="false" customHeight="false" outlineLevel="0" collapsed="false">
      <c r="A18" s="21" t="n">
        <v>46302</v>
      </c>
      <c r="B18" s="22" t="s">
        <v>41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58</v>
      </c>
    </row>
    <row r="19" customFormat="false" ht="15" hidden="false" customHeight="false" outlineLevel="0" collapsed="false">
      <c r="A19" s="21" t="n">
        <v>46302</v>
      </c>
      <c r="B19" s="22" t="s">
        <v>41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59</v>
      </c>
    </row>
    <row r="20" customFormat="false" ht="15" hidden="false" customHeight="false" outlineLevel="0" collapsed="false">
      <c r="A20" s="21" t="n">
        <v>46302</v>
      </c>
      <c r="B20" s="22" t="s">
        <v>41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60</v>
      </c>
    </row>
    <row r="21" customFormat="false" ht="15" hidden="false" customHeight="false" outlineLevel="0" collapsed="false">
      <c r="A21" s="21" t="n">
        <v>46302</v>
      </c>
      <c r="B21" s="22" t="s">
        <v>41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61</v>
      </c>
    </row>
    <row r="22" customFormat="false" ht="15" hidden="false" customHeight="false" outlineLevel="0" collapsed="false">
      <c r="A22" s="21" t="n">
        <v>46302</v>
      </c>
      <c r="B22" s="22" t="s">
        <v>62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63</v>
      </c>
    </row>
    <row r="23" customFormat="false" ht="15" hidden="false" customHeight="false" outlineLevel="0" collapsed="false">
      <c r="A23" s="21" t="n">
        <v>46302</v>
      </c>
      <c r="B23" s="22" t="s">
        <v>62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64</v>
      </c>
    </row>
    <row r="24" customFormat="false" ht="15" hidden="false" customHeight="false" outlineLevel="0" collapsed="false">
      <c r="A24" s="21" t="n">
        <v>46302</v>
      </c>
      <c r="B24" s="22" t="s">
        <v>62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65</v>
      </c>
    </row>
    <row r="25" customFormat="false" ht="15" hidden="false" customHeight="false" outlineLevel="0" collapsed="false">
      <c r="A25" s="21" t="n">
        <v>46302</v>
      </c>
      <c r="B25" s="22" t="s">
        <v>62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66</v>
      </c>
    </row>
    <row r="26" customFormat="false" ht="15" hidden="false" customHeight="false" outlineLevel="0" collapsed="false">
      <c r="A26" s="21" t="n">
        <v>46302</v>
      </c>
      <c r="B26" s="22" t="s">
        <v>62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67</v>
      </c>
    </row>
    <row r="27" customFormat="false" ht="15" hidden="false" customHeight="false" outlineLevel="0" collapsed="false">
      <c r="A27" s="21" t="n">
        <v>46302</v>
      </c>
      <c r="B27" s="22" t="s">
        <v>62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68</v>
      </c>
    </row>
    <row r="28" customFormat="false" ht="15" hidden="false" customHeight="false" outlineLevel="0" collapsed="false">
      <c r="A28" s="21" t="n">
        <v>46302</v>
      </c>
      <c r="B28" s="22" t="s">
        <v>62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69</v>
      </c>
    </row>
    <row r="29" customFormat="false" ht="15" hidden="false" customHeight="false" outlineLevel="0" collapsed="false">
      <c r="A29" s="21" t="n">
        <v>46302</v>
      </c>
      <c r="B29" s="22" t="s">
        <v>62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70</v>
      </c>
    </row>
    <row r="30" customFormat="false" ht="15" hidden="false" customHeight="false" outlineLevel="0" collapsed="false">
      <c r="A30" s="21" t="n">
        <v>46302</v>
      </c>
      <c r="B30" s="22" t="s">
        <v>62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71</v>
      </c>
    </row>
    <row r="31" customFormat="false" ht="15" hidden="false" customHeight="false" outlineLevel="0" collapsed="false">
      <c r="A31" s="21" t="n">
        <v>46302</v>
      </c>
      <c r="B31" s="22" t="s">
        <v>62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72</v>
      </c>
    </row>
    <row r="32" customFormat="false" ht="15" hidden="false" customHeight="false" outlineLevel="0" collapsed="false">
      <c r="A32" s="21" t="n">
        <v>46302</v>
      </c>
      <c r="B32" s="22" t="s">
        <v>62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73</v>
      </c>
    </row>
    <row r="33" customFormat="false" ht="15" hidden="false" customHeight="false" outlineLevel="0" collapsed="false">
      <c r="A33" s="21" t="n">
        <v>46302</v>
      </c>
      <c r="B33" s="22" t="s">
        <v>62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74</v>
      </c>
    </row>
    <row r="34" customFormat="false" ht="15" hidden="false" customHeight="false" outlineLevel="0" collapsed="false">
      <c r="A34" s="21" t="n">
        <v>46302</v>
      </c>
      <c r="B34" s="22" t="s">
        <v>62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75</v>
      </c>
    </row>
    <row r="35" customFormat="false" ht="15" hidden="false" customHeight="false" outlineLevel="0" collapsed="false">
      <c r="A35" s="21" t="n">
        <v>46302</v>
      </c>
      <c r="B35" s="22" t="s">
        <v>62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76</v>
      </c>
    </row>
    <row r="36" customFormat="false" ht="15" hidden="false" customHeight="false" outlineLevel="0" collapsed="false">
      <c r="A36" s="21" t="n">
        <v>46302</v>
      </c>
      <c r="B36" s="22" t="s">
        <v>62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77</v>
      </c>
    </row>
    <row r="37" customFormat="false" ht="15" hidden="false" customHeight="false" outlineLevel="0" collapsed="false">
      <c r="A37" s="21" t="n">
        <v>46302</v>
      </c>
      <c r="B37" s="22" t="s">
        <v>62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78</v>
      </c>
    </row>
    <row r="38" customFormat="false" ht="15" hidden="false" customHeight="false" outlineLevel="0" collapsed="false">
      <c r="A38" s="21" t="n">
        <v>46302</v>
      </c>
      <c r="B38" s="22" t="s">
        <v>62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79</v>
      </c>
    </row>
    <row r="39" customFormat="false" ht="15" hidden="false" customHeight="false" outlineLevel="0" collapsed="false">
      <c r="A39" s="21" t="n">
        <v>46302</v>
      </c>
      <c r="B39" s="22" t="s">
        <v>62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80</v>
      </c>
    </row>
    <row r="40" customFormat="false" ht="15" hidden="false" customHeight="false" outlineLevel="0" collapsed="false">
      <c r="A40" s="21" t="n">
        <v>46302</v>
      </c>
      <c r="B40" s="22" t="s">
        <v>62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81</v>
      </c>
    </row>
    <row r="41" customFormat="false" ht="15" hidden="false" customHeight="false" outlineLevel="0" collapsed="false">
      <c r="A41" s="21" t="n">
        <v>46302</v>
      </c>
      <c r="B41" s="22" t="s">
        <v>62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42</v>
      </c>
    </row>
    <row r="42" customFormat="false" ht="15" hidden="false" customHeight="false" outlineLevel="0" collapsed="false">
      <c r="A42" s="21" t="n">
        <v>46302</v>
      </c>
      <c r="B42" s="22" t="s">
        <v>82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43</v>
      </c>
    </row>
    <row r="43" customFormat="false" ht="15" hidden="false" customHeight="false" outlineLevel="0" collapsed="false">
      <c r="A43" s="21" t="n">
        <v>46302</v>
      </c>
      <c r="B43" s="22" t="s">
        <v>82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44</v>
      </c>
    </row>
    <row r="44" customFormat="false" ht="15" hidden="false" customHeight="false" outlineLevel="0" collapsed="false">
      <c r="A44" s="21" t="n">
        <v>46302</v>
      </c>
      <c r="B44" s="22" t="s">
        <v>82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45</v>
      </c>
    </row>
    <row r="45" customFormat="false" ht="15" hidden="false" customHeight="false" outlineLevel="0" collapsed="false">
      <c r="A45" s="21" t="n">
        <v>46302</v>
      </c>
      <c r="B45" s="22" t="s">
        <v>82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46</v>
      </c>
    </row>
    <row r="46" customFormat="false" ht="15" hidden="false" customHeight="false" outlineLevel="0" collapsed="false">
      <c r="A46" s="21" t="n">
        <v>46302</v>
      </c>
      <c r="B46" s="22" t="s">
        <v>82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47</v>
      </c>
    </row>
    <row r="47" customFormat="false" ht="15" hidden="false" customHeight="false" outlineLevel="0" collapsed="false">
      <c r="A47" s="21" t="n">
        <v>46302</v>
      </c>
      <c r="B47" s="22" t="s">
        <v>82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48</v>
      </c>
    </row>
    <row r="48" customFormat="false" ht="15" hidden="false" customHeight="false" outlineLevel="0" collapsed="false">
      <c r="A48" s="21" t="n">
        <v>46302</v>
      </c>
      <c r="B48" s="22" t="s">
        <v>82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49</v>
      </c>
    </row>
    <row r="49" customFormat="false" ht="15" hidden="false" customHeight="false" outlineLevel="0" collapsed="false">
      <c r="A49" s="21" t="n">
        <v>46302</v>
      </c>
      <c r="B49" s="22" t="s">
        <v>82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50</v>
      </c>
    </row>
    <row r="50" customFormat="false" ht="15" hidden="false" customHeight="false" outlineLevel="0" collapsed="false">
      <c r="A50" s="21" t="n">
        <v>46302</v>
      </c>
      <c r="B50" s="22" t="s">
        <v>82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51</v>
      </c>
    </row>
    <row r="51" customFormat="false" ht="15" hidden="false" customHeight="false" outlineLevel="0" collapsed="false">
      <c r="A51" s="21" t="n">
        <v>46302</v>
      </c>
      <c r="B51" s="22" t="s">
        <v>82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52</v>
      </c>
    </row>
    <row r="52" customFormat="false" ht="15" hidden="false" customHeight="false" outlineLevel="0" collapsed="false">
      <c r="A52" s="21" t="n">
        <v>46302</v>
      </c>
      <c r="B52" s="22" t="s">
        <v>82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53</v>
      </c>
    </row>
    <row r="53" customFormat="false" ht="15" hidden="false" customHeight="false" outlineLevel="0" collapsed="false">
      <c r="A53" s="21" t="n">
        <v>46302</v>
      </c>
      <c r="B53" s="22" t="s">
        <v>82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54</v>
      </c>
    </row>
    <row r="54" customFormat="false" ht="15" hidden="false" customHeight="false" outlineLevel="0" collapsed="false">
      <c r="A54" s="21" t="n">
        <v>46302</v>
      </c>
      <c r="B54" s="22" t="s">
        <v>82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55</v>
      </c>
    </row>
    <row r="55" customFormat="false" ht="15" hidden="false" customHeight="false" outlineLevel="0" collapsed="false">
      <c r="A55" s="21" t="n">
        <v>46302</v>
      </c>
      <c r="B55" s="22" t="s">
        <v>82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56</v>
      </c>
    </row>
    <row r="56" customFormat="false" ht="15" hidden="false" customHeight="false" outlineLevel="0" collapsed="false">
      <c r="A56" s="21" t="n">
        <v>46302</v>
      </c>
      <c r="B56" s="22" t="s">
        <v>82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57</v>
      </c>
    </row>
    <row r="57" customFormat="false" ht="15" hidden="false" customHeight="false" outlineLevel="0" collapsed="false">
      <c r="A57" s="21" t="n">
        <v>46302</v>
      </c>
      <c r="B57" s="22" t="s">
        <v>82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58</v>
      </c>
    </row>
    <row r="58" customFormat="false" ht="15" hidden="false" customHeight="false" outlineLevel="0" collapsed="false">
      <c r="A58" s="21" t="n">
        <v>46302</v>
      </c>
      <c r="B58" s="22" t="s">
        <v>82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59</v>
      </c>
    </row>
    <row r="59" customFormat="false" ht="15" hidden="false" customHeight="false" outlineLevel="0" collapsed="false">
      <c r="A59" s="21" t="n">
        <v>46302</v>
      </c>
      <c r="B59" s="22" t="s">
        <v>82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60</v>
      </c>
    </row>
    <row r="60" customFormat="false" ht="15" hidden="false" customHeight="false" outlineLevel="0" collapsed="false">
      <c r="A60" s="21" t="n">
        <v>46302</v>
      </c>
      <c r="B60" s="22" t="s">
        <v>82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61</v>
      </c>
    </row>
    <row r="61" customFormat="false" ht="15" hidden="false" customHeight="false" outlineLevel="0" collapsed="false">
      <c r="A61" s="21" t="n">
        <v>46302</v>
      </c>
      <c r="B61" s="22" t="s">
        <v>82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83</v>
      </c>
    </row>
    <row r="62" customFormat="false" ht="15" hidden="false" customHeight="false" outlineLevel="0" collapsed="false">
      <c r="A62" s="21" t="n">
        <v>46302</v>
      </c>
      <c r="B62" s="22" t="s">
        <v>84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85</v>
      </c>
    </row>
    <row r="63" customFormat="false" ht="15" hidden="false" customHeight="false" outlineLevel="0" collapsed="false">
      <c r="A63" s="21" t="n">
        <v>46302</v>
      </c>
      <c r="B63" s="22" t="s">
        <v>84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63</v>
      </c>
    </row>
    <row r="64" customFormat="false" ht="15" hidden="false" customHeight="false" outlineLevel="0" collapsed="false">
      <c r="A64" s="21" t="n">
        <v>46302</v>
      </c>
      <c r="B64" s="22" t="s">
        <v>84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64</v>
      </c>
    </row>
    <row r="65" customFormat="false" ht="15" hidden="false" customHeight="false" outlineLevel="0" collapsed="false">
      <c r="A65" s="21" t="n">
        <v>46302</v>
      </c>
      <c r="B65" s="22" t="s">
        <v>84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65</v>
      </c>
    </row>
    <row r="66" customFormat="false" ht="15" hidden="false" customHeight="false" outlineLevel="0" collapsed="false">
      <c r="A66" s="21" t="n">
        <v>46302</v>
      </c>
      <c r="B66" s="22" t="s">
        <v>84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66</v>
      </c>
    </row>
    <row r="67" customFormat="false" ht="15" hidden="false" customHeight="false" outlineLevel="0" collapsed="false">
      <c r="A67" s="21" t="n">
        <v>46302</v>
      </c>
      <c r="B67" s="22" t="s">
        <v>84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67</v>
      </c>
    </row>
    <row r="68" customFormat="false" ht="15" hidden="false" customHeight="false" outlineLevel="0" collapsed="false">
      <c r="A68" s="21" t="n">
        <v>46302</v>
      </c>
      <c r="B68" s="22" t="s">
        <v>84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68</v>
      </c>
    </row>
    <row r="69" customFormat="false" ht="15" hidden="false" customHeight="false" outlineLevel="0" collapsed="false">
      <c r="A69" s="21" t="n">
        <v>46302</v>
      </c>
      <c r="B69" s="22" t="s">
        <v>84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69</v>
      </c>
    </row>
    <row r="70" customFormat="false" ht="15" hidden="false" customHeight="false" outlineLevel="0" collapsed="false">
      <c r="A70" s="21" t="n">
        <v>46302</v>
      </c>
      <c r="B70" s="22" t="s">
        <v>84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70</v>
      </c>
    </row>
    <row r="71" customFormat="false" ht="15" hidden="false" customHeight="false" outlineLevel="0" collapsed="false">
      <c r="A71" s="21" t="n">
        <v>46302</v>
      </c>
      <c r="B71" s="22" t="s">
        <v>84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71</v>
      </c>
    </row>
    <row r="72" customFormat="false" ht="15" hidden="false" customHeight="false" outlineLevel="0" collapsed="false">
      <c r="A72" s="21" t="n">
        <v>46302</v>
      </c>
      <c r="B72" s="22" t="s">
        <v>84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72</v>
      </c>
    </row>
    <row r="73" customFormat="false" ht="15" hidden="false" customHeight="false" outlineLevel="0" collapsed="false">
      <c r="A73" s="21" t="n">
        <v>46302</v>
      </c>
      <c r="B73" s="22" t="s">
        <v>84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73</v>
      </c>
    </row>
    <row r="74" customFormat="false" ht="15" hidden="false" customHeight="false" outlineLevel="0" collapsed="false">
      <c r="A74" s="21" t="n">
        <v>46302</v>
      </c>
      <c r="B74" s="22" t="s">
        <v>84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74</v>
      </c>
    </row>
    <row r="75" customFormat="false" ht="15" hidden="false" customHeight="false" outlineLevel="0" collapsed="false">
      <c r="A75" s="21" t="n">
        <v>46302</v>
      </c>
      <c r="B75" s="22" t="s">
        <v>84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75</v>
      </c>
    </row>
    <row r="76" customFormat="false" ht="15" hidden="false" customHeight="false" outlineLevel="0" collapsed="false">
      <c r="A76" s="21" t="n">
        <v>46302</v>
      </c>
      <c r="B76" s="22" t="s">
        <v>84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76</v>
      </c>
    </row>
    <row r="77" customFormat="false" ht="15" hidden="false" customHeight="false" outlineLevel="0" collapsed="false">
      <c r="A77" s="21" t="n">
        <v>46302</v>
      </c>
      <c r="B77" s="22" t="s">
        <v>84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77</v>
      </c>
    </row>
    <row r="78" customFormat="false" ht="15" hidden="false" customHeight="false" outlineLevel="0" collapsed="false">
      <c r="A78" s="21" t="n">
        <v>46302</v>
      </c>
      <c r="B78" s="22" t="s">
        <v>84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78</v>
      </c>
    </row>
    <row r="79" customFormat="false" ht="15" hidden="false" customHeight="false" outlineLevel="0" collapsed="false">
      <c r="A79" s="21" t="n">
        <v>46302</v>
      </c>
      <c r="B79" s="22" t="s">
        <v>84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79</v>
      </c>
    </row>
    <row r="80" customFormat="false" ht="15" hidden="false" customHeight="false" outlineLevel="0" collapsed="false">
      <c r="A80" s="21" t="n">
        <v>46302</v>
      </c>
      <c r="B80" s="22" t="s">
        <v>84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80</v>
      </c>
    </row>
    <row r="81" customFormat="false" ht="15" hidden="false" customHeight="false" outlineLevel="0" collapsed="false">
      <c r="A81" s="21" t="n">
        <v>46302</v>
      </c>
      <c r="B81" s="22" t="s">
        <v>84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81</v>
      </c>
    </row>
    <row r="82" customFormat="false" ht="15" hidden="false" customHeight="false" outlineLevel="0" collapsed="false">
      <c r="A82" s="21" t="n">
        <v>46302</v>
      </c>
      <c r="B82" s="22" t="s">
        <v>86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46</v>
      </c>
    </row>
    <row r="83" customFormat="false" ht="15" hidden="false" customHeight="false" outlineLevel="0" collapsed="false">
      <c r="A83" s="21" t="n">
        <v>46302</v>
      </c>
      <c r="B83" s="22" t="s">
        <v>86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47</v>
      </c>
    </row>
    <row r="84" customFormat="false" ht="15" hidden="false" customHeight="false" outlineLevel="0" collapsed="false">
      <c r="A84" s="21" t="n">
        <v>46302</v>
      </c>
      <c r="B84" s="22" t="s">
        <v>86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48</v>
      </c>
    </row>
    <row r="85" customFormat="false" ht="15" hidden="false" customHeight="false" outlineLevel="0" collapsed="false">
      <c r="A85" s="21" t="n">
        <v>46302</v>
      </c>
      <c r="B85" s="22" t="s">
        <v>86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49</v>
      </c>
    </row>
    <row r="86" customFormat="false" ht="15" hidden="false" customHeight="false" outlineLevel="0" collapsed="false">
      <c r="A86" s="21" t="n">
        <v>46302</v>
      </c>
      <c r="B86" s="22" t="s">
        <v>86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50</v>
      </c>
    </row>
    <row r="87" customFormat="false" ht="15" hidden="false" customHeight="false" outlineLevel="0" collapsed="false">
      <c r="A87" s="21" t="n">
        <v>46302</v>
      </c>
      <c r="B87" s="22" t="s">
        <v>86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51</v>
      </c>
    </row>
    <row r="88" customFormat="false" ht="15" hidden="false" customHeight="false" outlineLevel="0" collapsed="false">
      <c r="A88" s="21" t="n">
        <v>46302</v>
      </c>
      <c r="B88" s="22" t="s">
        <v>86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52</v>
      </c>
    </row>
    <row r="89" customFormat="false" ht="15" hidden="false" customHeight="false" outlineLevel="0" collapsed="false">
      <c r="A89" s="21" t="n">
        <v>46302</v>
      </c>
      <c r="B89" s="22" t="s">
        <v>86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53</v>
      </c>
    </row>
    <row r="90" customFormat="false" ht="15" hidden="false" customHeight="false" outlineLevel="0" collapsed="false">
      <c r="A90" s="21" t="n">
        <v>46302</v>
      </c>
      <c r="B90" s="22" t="s">
        <v>86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54</v>
      </c>
    </row>
    <row r="91" customFormat="false" ht="15" hidden="false" customHeight="false" outlineLevel="0" collapsed="false">
      <c r="A91" s="21" t="n">
        <v>46302</v>
      </c>
      <c r="B91" s="22" t="s">
        <v>86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55</v>
      </c>
    </row>
    <row r="92" customFormat="false" ht="15" hidden="false" customHeight="false" outlineLevel="0" collapsed="false">
      <c r="A92" s="21" t="n">
        <v>46302</v>
      </c>
      <c r="B92" s="22" t="s">
        <v>86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56</v>
      </c>
    </row>
    <row r="93" customFormat="false" ht="15" hidden="false" customHeight="false" outlineLevel="0" collapsed="false">
      <c r="A93" s="21" t="n">
        <v>46302</v>
      </c>
      <c r="B93" s="22" t="s">
        <v>86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57</v>
      </c>
    </row>
    <row r="94" customFormat="false" ht="15" hidden="false" customHeight="false" outlineLevel="0" collapsed="false">
      <c r="A94" s="21" t="n">
        <v>46302</v>
      </c>
      <c r="B94" s="22" t="s">
        <v>86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58</v>
      </c>
    </row>
    <row r="95" customFormat="false" ht="15" hidden="false" customHeight="false" outlineLevel="0" collapsed="false">
      <c r="A95" s="21" t="n">
        <v>46302</v>
      </c>
      <c r="B95" s="22" t="s">
        <v>86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59</v>
      </c>
    </row>
    <row r="96" customFormat="false" ht="15" hidden="false" customHeight="false" outlineLevel="0" collapsed="false">
      <c r="A96" s="21" t="n">
        <v>46302</v>
      </c>
      <c r="B96" s="22" t="s">
        <v>86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60</v>
      </c>
    </row>
    <row r="97" customFormat="false" ht="15" hidden="false" customHeight="false" outlineLevel="0" collapsed="false">
      <c r="A97" s="21" t="n">
        <v>46302</v>
      </c>
      <c r="B97" s="22" t="s">
        <v>86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61</v>
      </c>
    </row>
    <row r="98" customFormat="false" ht="15" hidden="false" customHeight="false" outlineLevel="0" collapsed="false">
      <c r="A98" s="21" t="n">
        <v>46302</v>
      </c>
      <c r="B98" s="22" t="s">
        <v>87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42</v>
      </c>
    </row>
    <row r="99" customFormat="false" ht="15" hidden="false" customHeight="false" outlineLevel="0" collapsed="false">
      <c r="A99" s="21" t="n">
        <v>46302</v>
      </c>
      <c r="B99" s="22" t="s">
        <v>87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43</v>
      </c>
    </row>
    <row r="100" customFormat="false" ht="15" hidden="false" customHeight="false" outlineLevel="0" collapsed="false">
      <c r="A100" s="21" t="n">
        <v>46302</v>
      </c>
      <c r="B100" s="22" t="s">
        <v>87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44</v>
      </c>
    </row>
    <row r="101" customFormat="false" ht="15" hidden="false" customHeight="false" outlineLevel="0" collapsed="false">
      <c r="A101" s="21" t="n">
        <v>46302</v>
      </c>
      <c r="B101" s="22" t="s">
        <v>87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45</v>
      </c>
    </row>
    <row r="102" customFormat="false" ht="15" hidden="false" customHeight="false" outlineLevel="0" collapsed="false">
      <c r="A102" s="21" t="n">
        <v>46302</v>
      </c>
      <c r="B102" s="22" t="s">
        <v>87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46</v>
      </c>
    </row>
    <row r="103" customFormat="false" ht="15" hidden="false" customHeight="false" outlineLevel="0" collapsed="false">
      <c r="A103" s="21" t="n">
        <v>46302</v>
      </c>
      <c r="B103" s="22" t="s">
        <v>87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47</v>
      </c>
    </row>
    <row r="104" customFormat="false" ht="15" hidden="false" customHeight="false" outlineLevel="0" collapsed="false">
      <c r="A104" s="21" t="n">
        <v>46302</v>
      </c>
      <c r="B104" s="22" t="s">
        <v>87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48</v>
      </c>
    </row>
    <row r="105" customFormat="false" ht="15" hidden="false" customHeight="false" outlineLevel="0" collapsed="false">
      <c r="A105" s="21" t="n">
        <v>46302</v>
      </c>
      <c r="B105" s="22" t="s">
        <v>87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49</v>
      </c>
    </row>
    <row r="106" customFormat="false" ht="15" hidden="false" customHeight="false" outlineLevel="0" collapsed="false">
      <c r="A106" s="21" t="n">
        <v>46302</v>
      </c>
      <c r="B106" s="22" t="s">
        <v>87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50</v>
      </c>
    </row>
    <row r="107" customFormat="false" ht="15" hidden="false" customHeight="false" outlineLevel="0" collapsed="false">
      <c r="A107" s="21" t="n">
        <v>46302</v>
      </c>
      <c r="B107" s="22" t="s">
        <v>87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51</v>
      </c>
    </row>
    <row r="108" customFormat="false" ht="15" hidden="false" customHeight="false" outlineLevel="0" collapsed="false">
      <c r="A108" s="21" t="n">
        <v>46302</v>
      </c>
      <c r="B108" s="22" t="s">
        <v>87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52</v>
      </c>
    </row>
    <row r="109" customFormat="false" ht="15" hidden="false" customHeight="false" outlineLevel="0" collapsed="false">
      <c r="A109" s="21" t="n">
        <v>46302</v>
      </c>
      <c r="B109" s="22" t="s">
        <v>87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53</v>
      </c>
    </row>
    <row r="110" customFormat="false" ht="15" hidden="false" customHeight="false" outlineLevel="0" collapsed="false">
      <c r="A110" s="21" t="n">
        <v>46302</v>
      </c>
      <c r="B110" s="22" t="s">
        <v>87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54</v>
      </c>
    </row>
    <row r="111" customFormat="false" ht="15" hidden="false" customHeight="false" outlineLevel="0" collapsed="false">
      <c r="A111" s="21" t="n">
        <v>46302</v>
      </c>
      <c r="B111" s="22" t="s">
        <v>87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55</v>
      </c>
    </row>
    <row r="112" customFormat="false" ht="15" hidden="false" customHeight="false" outlineLevel="0" collapsed="false">
      <c r="A112" s="21" t="n">
        <v>46302</v>
      </c>
      <c r="B112" s="22" t="s">
        <v>87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56</v>
      </c>
    </row>
    <row r="113" customFormat="false" ht="15" hidden="false" customHeight="false" outlineLevel="0" collapsed="false">
      <c r="A113" s="21" t="n">
        <v>46302</v>
      </c>
      <c r="B113" s="22" t="s">
        <v>87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57</v>
      </c>
    </row>
    <row r="114" customFormat="false" ht="15" hidden="false" customHeight="false" outlineLevel="0" collapsed="false">
      <c r="A114" s="21" t="n">
        <v>46302</v>
      </c>
      <c r="B114" s="22" t="s">
        <v>87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58</v>
      </c>
    </row>
    <row r="115" customFormat="false" ht="15" hidden="false" customHeight="false" outlineLevel="0" collapsed="false">
      <c r="A115" s="21" t="n">
        <v>46302</v>
      </c>
      <c r="B115" s="22" t="s">
        <v>87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59</v>
      </c>
    </row>
    <row r="116" customFormat="false" ht="15" hidden="false" customHeight="false" outlineLevel="0" collapsed="false">
      <c r="A116" s="21" t="n">
        <v>46302</v>
      </c>
      <c r="B116" s="22" t="s">
        <v>87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60</v>
      </c>
    </row>
    <row r="117" customFormat="false" ht="15" hidden="false" customHeight="false" outlineLevel="0" collapsed="false">
      <c r="A117" s="21" t="n">
        <v>46302</v>
      </c>
      <c r="B117" s="22" t="s">
        <v>87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61</v>
      </c>
    </row>
    <row r="118" customFormat="false" ht="15" hidden="false" customHeight="false" outlineLevel="0" collapsed="false">
      <c r="A118" s="21" t="n">
        <v>46302</v>
      </c>
      <c r="B118" s="22" t="s">
        <v>88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48</v>
      </c>
    </row>
    <row r="119" customFormat="false" ht="15" hidden="false" customHeight="false" outlineLevel="0" collapsed="false">
      <c r="A119" s="21" t="n">
        <v>46302</v>
      </c>
      <c r="B119" s="22" t="s">
        <v>88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49</v>
      </c>
    </row>
    <row r="120" customFormat="false" ht="15" hidden="false" customHeight="false" outlineLevel="0" collapsed="false">
      <c r="A120" s="21" t="n">
        <v>46302</v>
      </c>
      <c r="B120" s="22" t="s">
        <v>88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50</v>
      </c>
    </row>
    <row r="121" customFormat="false" ht="15" hidden="false" customHeight="false" outlineLevel="0" collapsed="false">
      <c r="A121" s="21" t="n">
        <v>46302</v>
      </c>
      <c r="B121" s="22" t="s">
        <v>88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51</v>
      </c>
    </row>
    <row r="122" customFormat="false" ht="15" hidden="false" customHeight="false" outlineLevel="0" collapsed="false">
      <c r="A122" s="21" t="n">
        <v>46302</v>
      </c>
      <c r="B122" s="22" t="s">
        <v>89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43</v>
      </c>
    </row>
    <row r="123" customFormat="false" ht="15" hidden="false" customHeight="false" outlineLevel="0" collapsed="false">
      <c r="A123" s="21" t="n">
        <v>46302</v>
      </c>
      <c r="B123" s="22" t="s">
        <v>89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44</v>
      </c>
    </row>
    <row r="124" customFormat="false" ht="15" hidden="false" customHeight="false" outlineLevel="0" collapsed="false">
      <c r="A124" s="21" t="n">
        <v>46302</v>
      </c>
      <c r="B124" s="22" t="s">
        <v>89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45</v>
      </c>
    </row>
    <row r="125" customFormat="false" ht="15" hidden="false" customHeight="false" outlineLevel="0" collapsed="false">
      <c r="A125" s="21" t="n">
        <v>46302</v>
      </c>
      <c r="B125" s="22" t="s">
        <v>89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46</v>
      </c>
    </row>
    <row r="126" customFormat="false" ht="15" hidden="false" customHeight="false" outlineLevel="0" collapsed="false">
      <c r="A126" s="21" t="n">
        <v>46302</v>
      </c>
      <c r="B126" s="22" t="s">
        <v>89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47</v>
      </c>
    </row>
    <row r="127" customFormat="false" ht="15" hidden="false" customHeight="false" outlineLevel="0" collapsed="false">
      <c r="A127" s="21" t="n">
        <v>46302</v>
      </c>
      <c r="B127" s="22" t="s">
        <v>89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48</v>
      </c>
    </row>
    <row r="128" customFormat="false" ht="15" hidden="false" customHeight="false" outlineLevel="0" collapsed="false">
      <c r="A128" s="21" t="n">
        <v>46302</v>
      </c>
      <c r="B128" s="22" t="s">
        <v>89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49</v>
      </c>
    </row>
    <row r="129" customFormat="false" ht="15" hidden="false" customHeight="false" outlineLevel="0" collapsed="false">
      <c r="A129" s="21" t="n">
        <v>46302</v>
      </c>
      <c r="B129" s="22" t="s">
        <v>89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50</v>
      </c>
    </row>
    <row r="130" customFormat="false" ht="15" hidden="false" customHeight="false" outlineLevel="0" collapsed="false">
      <c r="A130" s="21" t="n">
        <v>46302</v>
      </c>
      <c r="B130" s="22" t="s">
        <v>89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51</v>
      </c>
    </row>
    <row r="131" customFormat="false" ht="15" hidden="false" customHeight="false" outlineLevel="0" collapsed="false">
      <c r="A131" s="21" t="n">
        <v>46302</v>
      </c>
      <c r="B131" s="22" t="s">
        <v>89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52</v>
      </c>
    </row>
    <row r="132" customFormat="false" ht="15" hidden="false" customHeight="false" outlineLevel="0" collapsed="false">
      <c r="A132" s="21" t="n">
        <v>46302</v>
      </c>
      <c r="B132" s="22" t="s">
        <v>89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53</v>
      </c>
    </row>
    <row r="133" customFormat="false" ht="15" hidden="false" customHeight="false" outlineLevel="0" collapsed="false">
      <c r="A133" s="21" t="n">
        <v>46302</v>
      </c>
      <c r="B133" s="22" t="s">
        <v>89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54</v>
      </c>
    </row>
    <row r="134" customFormat="false" ht="15" hidden="false" customHeight="false" outlineLevel="0" collapsed="false">
      <c r="A134" s="21" t="n">
        <v>46302</v>
      </c>
      <c r="B134" s="22" t="s">
        <v>89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55</v>
      </c>
    </row>
    <row r="135" customFormat="false" ht="15" hidden="false" customHeight="false" outlineLevel="0" collapsed="false">
      <c r="A135" s="21" t="n">
        <v>46302</v>
      </c>
      <c r="B135" s="22" t="s">
        <v>89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56</v>
      </c>
    </row>
    <row r="136" customFormat="false" ht="15" hidden="false" customHeight="false" outlineLevel="0" collapsed="false">
      <c r="A136" s="21" t="n">
        <v>46302</v>
      </c>
      <c r="B136" s="22" t="s">
        <v>89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57</v>
      </c>
    </row>
    <row r="137" customFormat="false" ht="15" hidden="false" customHeight="false" outlineLevel="0" collapsed="false">
      <c r="A137" s="21" t="n">
        <v>46302</v>
      </c>
      <c r="B137" s="22" t="s">
        <v>89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58</v>
      </c>
    </row>
    <row r="138" customFormat="false" ht="15" hidden="false" customHeight="false" outlineLevel="0" collapsed="false">
      <c r="A138" s="21" t="n">
        <v>46302</v>
      </c>
      <c r="B138" s="22" t="s">
        <v>89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59</v>
      </c>
    </row>
    <row r="139" customFormat="false" ht="15" hidden="false" customHeight="false" outlineLevel="0" collapsed="false">
      <c r="A139" s="21" t="n">
        <v>46302</v>
      </c>
      <c r="B139" s="22" t="s">
        <v>89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60</v>
      </c>
    </row>
    <row r="140" customFormat="false" ht="15" hidden="false" customHeight="false" outlineLevel="0" collapsed="false">
      <c r="A140" s="21" t="n">
        <v>46302</v>
      </c>
      <c r="B140" s="22" t="s">
        <v>89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61</v>
      </c>
    </row>
    <row r="141" customFormat="false" ht="15" hidden="false" customHeight="false" outlineLevel="0" collapsed="false">
      <c r="A141" s="21" t="n">
        <v>46302</v>
      </c>
      <c r="B141" s="22" t="s">
        <v>89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83</v>
      </c>
    </row>
    <row r="142" customFormat="false" ht="15" hidden="false" customHeight="false" outlineLevel="0" collapsed="false">
      <c r="A142" s="21" t="n">
        <v>46302</v>
      </c>
      <c r="B142" s="22" t="s">
        <v>90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43</v>
      </c>
    </row>
    <row r="143" customFormat="false" ht="15" hidden="false" customHeight="false" outlineLevel="0" collapsed="false">
      <c r="A143" s="21" t="n">
        <v>46302</v>
      </c>
      <c r="B143" s="22" t="s">
        <v>90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44</v>
      </c>
    </row>
    <row r="144" customFormat="false" ht="15" hidden="false" customHeight="false" outlineLevel="0" collapsed="false">
      <c r="A144" s="21" t="n">
        <v>46302</v>
      </c>
      <c r="B144" s="22" t="s">
        <v>90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45</v>
      </c>
    </row>
    <row r="145" customFormat="false" ht="15" hidden="false" customHeight="false" outlineLevel="0" collapsed="false">
      <c r="A145" s="21" t="n">
        <v>46302</v>
      </c>
      <c r="B145" s="22" t="s">
        <v>90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46</v>
      </c>
    </row>
    <row r="146" customFormat="false" ht="15" hidden="false" customHeight="false" outlineLevel="0" collapsed="false">
      <c r="A146" s="21" t="n">
        <v>46302</v>
      </c>
      <c r="B146" s="22" t="s">
        <v>90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47</v>
      </c>
    </row>
    <row r="147" customFormat="false" ht="15" hidden="false" customHeight="false" outlineLevel="0" collapsed="false">
      <c r="A147" s="21" t="n">
        <v>46302</v>
      </c>
      <c r="B147" s="22" t="s">
        <v>90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48</v>
      </c>
    </row>
    <row r="148" customFormat="false" ht="15" hidden="false" customHeight="false" outlineLevel="0" collapsed="false">
      <c r="A148" s="21" t="n">
        <v>46302</v>
      </c>
      <c r="B148" s="22" t="s">
        <v>90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49</v>
      </c>
    </row>
    <row r="149" customFormat="false" ht="15" hidden="false" customHeight="false" outlineLevel="0" collapsed="false">
      <c r="A149" s="21" t="n">
        <v>46302</v>
      </c>
      <c r="B149" s="22" t="s">
        <v>90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50</v>
      </c>
    </row>
    <row r="150" customFormat="false" ht="15" hidden="false" customHeight="false" outlineLevel="0" collapsed="false">
      <c r="A150" s="21" t="n">
        <v>46302</v>
      </c>
      <c r="B150" s="22" t="s">
        <v>90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51</v>
      </c>
    </row>
    <row r="151" customFormat="false" ht="15" hidden="false" customHeight="false" outlineLevel="0" collapsed="false">
      <c r="A151" s="21" t="n">
        <v>46302</v>
      </c>
      <c r="B151" s="22" t="s">
        <v>90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52</v>
      </c>
    </row>
    <row r="152" customFormat="false" ht="15" hidden="false" customHeight="false" outlineLevel="0" collapsed="false">
      <c r="A152" s="21" t="n">
        <v>46302</v>
      </c>
      <c r="B152" s="22" t="s">
        <v>90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53</v>
      </c>
    </row>
    <row r="153" customFormat="false" ht="15" hidden="false" customHeight="false" outlineLevel="0" collapsed="false">
      <c r="A153" s="21" t="n">
        <v>46302</v>
      </c>
      <c r="B153" s="22" t="s">
        <v>90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54</v>
      </c>
    </row>
    <row r="154" customFormat="false" ht="15" hidden="false" customHeight="false" outlineLevel="0" collapsed="false">
      <c r="A154" s="21" t="n">
        <v>46302</v>
      </c>
      <c r="B154" s="22" t="s">
        <v>90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55</v>
      </c>
    </row>
    <row r="155" customFormat="false" ht="15" hidden="false" customHeight="false" outlineLevel="0" collapsed="false">
      <c r="A155" s="21" t="n">
        <v>46302</v>
      </c>
      <c r="B155" s="22" t="s">
        <v>90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56</v>
      </c>
    </row>
    <row r="156" customFormat="false" ht="15" hidden="false" customHeight="false" outlineLevel="0" collapsed="false">
      <c r="A156" s="21" t="n">
        <v>46302</v>
      </c>
      <c r="B156" s="22" t="s">
        <v>90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57</v>
      </c>
    </row>
    <row r="157" customFormat="false" ht="15" hidden="false" customHeight="false" outlineLevel="0" collapsed="false">
      <c r="A157" s="21" t="n">
        <v>46302</v>
      </c>
      <c r="B157" s="22" t="s">
        <v>90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58</v>
      </c>
    </row>
    <row r="158" customFormat="false" ht="15" hidden="false" customHeight="false" outlineLevel="0" collapsed="false">
      <c r="A158" s="21" t="n">
        <v>46302</v>
      </c>
      <c r="B158" s="22" t="s">
        <v>90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59</v>
      </c>
    </row>
    <row r="159" customFormat="false" ht="15" hidden="false" customHeight="false" outlineLevel="0" collapsed="false">
      <c r="A159" s="21" t="n">
        <v>46302</v>
      </c>
      <c r="B159" s="22" t="s">
        <v>90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60</v>
      </c>
    </row>
    <row r="160" customFormat="false" ht="15" hidden="false" customHeight="false" outlineLevel="0" collapsed="false">
      <c r="A160" s="21" t="n">
        <v>46302</v>
      </c>
      <c r="B160" s="22" t="s">
        <v>90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61</v>
      </c>
    </row>
    <row r="161" customFormat="false" ht="15" hidden="false" customHeight="false" outlineLevel="0" collapsed="false">
      <c r="A161" s="21" t="n">
        <v>46302</v>
      </c>
      <c r="B161" s="22" t="s">
        <v>90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83</v>
      </c>
    </row>
    <row r="162" customFormat="false" ht="15" hidden="false" customHeight="false" outlineLevel="0" collapsed="false">
      <c r="A162" s="21" t="n">
        <v>46302</v>
      </c>
      <c r="B162" s="22" t="s">
        <v>91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43</v>
      </c>
    </row>
    <row r="163" customFormat="false" ht="15" hidden="false" customHeight="false" outlineLevel="0" collapsed="false">
      <c r="A163" s="21" t="n">
        <v>46302</v>
      </c>
      <c r="B163" s="22" t="s">
        <v>91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44</v>
      </c>
    </row>
    <row r="164" customFormat="false" ht="15" hidden="false" customHeight="false" outlineLevel="0" collapsed="false">
      <c r="A164" s="21" t="n">
        <v>46302</v>
      </c>
      <c r="B164" s="22" t="s">
        <v>91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45</v>
      </c>
    </row>
    <row r="165" customFormat="false" ht="15" hidden="false" customHeight="false" outlineLevel="0" collapsed="false">
      <c r="A165" s="21" t="n">
        <v>46302</v>
      </c>
      <c r="B165" s="22" t="s">
        <v>91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46</v>
      </c>
    </row>
    <row r="166" customFormat="false" ht="15" hidden="false" customHeight="false" outlineLevel="0" collapsed="false">
      <c r="A166" s="21" t="n">
        <v>46302</v>
      </c>
      <c r="B166" s="22" t="s">
        <v>91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47</v>
      </c>
    </row>
    <row r="167" customFormat="false" ht="15" hidden="false" customHeight="false" outlineLevel="0" collapsed="false">
      <c r="A167" s="21" t="n">
        <v>46302</v>
      </c>
      <c r="B167" s="22" t="s">
        <v>91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48</v>
      </c>
    </row>
    <row r="168" customFormat="false" ht="15" hidden="false" customHeight="false" outlineLevel="0" collapsed="false">
      <c r="A168" s="21" t="n">
        <v>46302</v>
      </c>
      <c r="B168" s="22" t="s">
        <v>91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49</v>
      </c>
    </row>
    <row r="169" customFormat="false" ht="15" hidden="false" customHeight="false" outlineLevel="0" collapsed="false">
      <c r="A169" s="21" t="n">
        <v>46302</v>
      </c>
      <c r="B169" s="22" t="s">
        <v>91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50</v>
      </c>
    </row>
    <row r="170" customFormat="false" ht="15" hidden="false" customHeight="false" outlineLevel="0" collapsed="false">
      <c r="A170" s="21" t="n">
        <v>46302</v>
      </c>
      <c r="B170" s="22" t="s">
        <v>91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51</v>
      </c>
    </row>
    <row r="171" customFormat="false" ht="15" hidden="false" customHeight="false" outlineLevel="0" collapsed="false">
      <c r="A171" s="21" t="n">
        <v>46302</v>
      </c>
      <c r="B171" s="22" t="s">
        <v>91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52</v>
      </c>
    </row>
    <row r="172" customFormat="false" ht="15" hidden="false" customHeight="false" outlineLevel="0" collapsed="false">
      <c r="A172" s="21" t="n">
        <v>46302</v>
      </c>
      <c r="B172" s="22" t="s">
        <v>91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53</v>
      </c>
    </row>
    <row r="173" customFormat="false" ht="15" hidden="false" customHeight="false" outlineLevel="0" collapsed="false">
      <c r="A173" s="21" t="n">
        <v>46302</v>
      </c>
      <c r="B173" s="22" t="s">
        <v>91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54</v>
      </c>
    </row>
    <row r="174" customFormat="false" ht="15" hidden="false" customHeight="false" outlineLevel="0" collapsed="false">
      <c r="A174" s="21" t="n">
        <v>46302</v>
      </c>
      <c r="B174" s="22" t="s">
        <v>91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55</v>
      </c>
    </row>
    <row r="175" customFormat="false" ht="15" hidden="false" customHeight="false" outlineLevel="0" collapsed="false">
      <c r="A175" s="21" t="n">
        <v>46302</v>
      </c>
      <c r="B175" s="22" t="s">
        <v>91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56</v>
      </c>
    </row>
    <row r="176" customFormat="false" ht="15" hidden="false" customHeight="false" outlineLevel="0" collapsed="false">
      <c r="A176" s="21" t="n">
        <v>46302</v>
      </c>
      <c r="B176" s="22" t="s">
        <v>91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57</v>
      </c>
    </row>
    <row r="177" customFormat="false" ht="15" hidden="false" customHeight="false" outlineLevel="0" collapsed="false">
      <c r="A177" s="21" t="n">
        <v>46302</v>
      </c>
      <c r="B177" s="22" t="s">
        <v>91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58</v>
      </c>
    </row>
    <row r="178" customFormat="false" ht="15" hidden="false" customHeight="false" outlineLevel="0" collapsed="false">
      <c r="A178" s="21" t="n">
        <v>46302</v>
      </c>
      <c r="B178" s="22" t="s">
        <v>91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59</v>
      </c>
    </row>
    <row r="179" customFormat="false" ht="15" hidden="false" customHeight="false" outlineLevel="0" collapsed="false">
      <c r="A179" s="21" t="n">
        <v>46302</v>
      </c>
      <c r="B179" s="22" t="s">
        <v>91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60</v>
      </c>
    </row>
    <row r="180" customFormat="false" ht="15" hidden="false" customHeight="false" outlineLevel="0" collapsed="false">
      <c r="A180" s="21" t="n">
        <v>46302</v>
      </c>
      <c r="B180" s="22" t="s">
        <v>91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61</v>
      </c>
    </row>
    <row r="181" customFormat="false" ht="15" hidden="false" customHeight="false" outlineLevel="0" collapsed="false">
      <c r="A181" s="21" t="n">
        <v>46302</v>
      </c>
      <c r="B181" s="22" t="s">
        <v>91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83</v>
      </c>
    </row>
    <row r="182" customFormat="false" ht="15" hidden="false" customHeight="false" outlineLevel="0" collapsed="false">
      <c r="A182" s="21" t="n">
        <v>46303</v>
      </c>
      <c r="B182" s="22" t="s">
        <v>41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92</v>
      </c>
    </row>
    <row r="183" customFormat="false" ht="15" hidden="false" customHeight="false" outlineLevel="0" collapsed="false">
      <c r="A183" s="21" t="n">
        <v>46303</v>
      </c>
      <c r="B183" s="22" t="s">
        <v>41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93</v>
      </c>
    </row>
    <row r="184" customFormat="false" ht="15" hidden="false" customHeight="false" outlineLevel="0" collapsed="false">
      <c r="A184" s="21" t="n">
        <v>46303</v>
      </c>
      <c r="B184" s="22" t="s">
        <v>41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94</v>
      </c>
    </row>
    <row r="185" customFormat="false" ht="15" hidden="false" customHeight="false" outlineLevel="0" collapsed="false">
      <c r="A185" s="21" t="n">
        <v>46303</v>
      </c>
      <c r="B185" s="22" t="s">
        <v>41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95</v>
      </c>
    </row>
    <row r="186" customFormat="false" ht="15" hidden="false" customHeight="false" outlineLevel="0" collapsed="false">
      <c r="A186" s="21" t="n">
        <v>46303</v>
      </c>
      <c r="B186" s="22" t="s">
        <v>41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96</v>
      </c>
    </row>
    <row r="187" customFormat="false" ht="15" hidden="false" customHeight="false" outlineLevel="0" collapsed="false">
      <c r="A187" s="21" t="n">
        <v>46303</v>
      </c>
      <c r="B187" s="22" t="s">
        <v>41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97</v>
      </c>
    </row>
    <row r="188" customFormat="false" ht="15" hidden="false" customHeight="false" outlineLevel="0" collapsed="false">
      <c r="A188" s="21" t="n">
        <v>46303</v>
      </c>
      <c r="B188" s="22" t="s">
        <v>41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98</v>
      </c>
    </row>
    <row r="189" customFormat="false" ht="15" hidden="false" customHeight="false" outlineLevel="0" collapsed="false">
      <c r="A189" s="21" t="n">
        <v>46303</v>
      </c>
      <c r="B189" s="22" t="s">
        <v>41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99</v>
      </c>
    </row>
    <row r="190" customFormat="false" ht="15" hidden="false" customHeight="false" outlineLevel="0" collapsed="false">
      <c r="A190" s="21" t="n">
        <v>46303</v>
      </c>
      <c r="B190" s="22" t="s">
        <v>41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100</v>
      </c>
    </row>
    <row r="191" customFormat="false" ht="15" hidden="false" customHeight="false" outlineLevel="0" collapsed="false">
      <c r="A191" s="21" t="n">
        <v>46303</v>
      </c>
      <c r="B191" s="22" t="s">
        <v>41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101</v>
      </c>
    </row>
    <row r="192" customFormat="false" ht="15" hidden="false" customHeight="false" outlineLevel="0" collapsed="false">
      <c r="A192" s="21" t="n">
        <v>46303</v>
      </c>
      <c r="B192" s="22" t="s">
        <v>41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102</v>
      </c>
    </row>
    <row r="193" customFormat="false" ht="15" hidden="false" customHeight="false" outlineLevel="0" collapsed="false">
      <c r="A193" s="21" t="n">
        <v>46303</v>
      </c>
      <c r="B193" s="22" t="s">
        <v>41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103</v>
      </c>
    </row>
    <row r="194" customFormat="false" ht="15" hidden="false" customHeight="false" outlineLevel="0" collapsed="false">
      <c r="A194" s="21" t="n">
        <v>46303</v>
      </c>
      <c r="B194" s="22" t="s">
        <v>41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104</v>
      </c>
    </row>
    <row r="195" customFormat="false" ht="15" hidden="false" customHeight="false" outlineLevel="0" collapsed="false">
      <c r="A195" s="21" t="n">
        <v>46303</v>
      </c>
      <c r="B195" s="22" t="s">
        <v>41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105</v>
      </c>
    </row>
    <row r="196" customFormat="false" ht="15" hidden="false" customHeight="false" outlineLevel="0" collapsed="false">
      <c r="A196" s="21" t="n">
        <v>46303</v>
      </c>
      <c r="B196" s="22" t="s">
        <v>41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106</v>
      </c>
    </row>
    <row r="197" customFormat="false" ht="15" hidden="false" customHeight="false" outlineLevel="0" collapsed="false">
      <c r="A197" s="21" t="n">
        <v>46303</v>
      </c>
      <c r="B197" s="22" t="s">
        <v>41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107</v>
      </c>
    </row>
    <row r="198" customFormat="false" ht="15" hidden="false" customHeight="false" outlineLevel="0" collapsed="false">
      <c r="A198" s="21" t="n">
        <v>46303</v>
      </c>
      <c r="B198" s="22" t="s">
        <v>41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108</v>
      </c>
    </row>
    <row r="199" customFormat="false" ht="15" hidden="false" customHeight="false" outlineLevel="0" collapsed="false">
      <c r="A199" s="21" t="n">
        <v>46303</v>
      </c>
      <c r="B199" s="22" t="s">
        <v>41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109</v>
      </c>
    </row>
    <row r="200" customFormat="false" ht="15" hidden="false" customHeight="false" outlineLevel="0" collapsed="false">
      <c r="A200" s="21" t="n">
        <v>46303</v>
      </c>
      <c r="B200" s="22" t="s">
        <v>41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110</v>
      </c>
    </row>
    <row r="201" customFormat="false" ht="15" hidden="false" customHeight="false" outlineLevel="0" collapsed="false">
      <c r="A201" s="21" t="n">
        <v>46303</v>
      </c>
      <c r="B201" s="22" t="s">
        <v>41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111</v>
      </c>
    </row>
    <row r="202" customFormat="false" ht="15" hidden="false" customHeight="false" outlineLevel="0" collapsed="false">
      <c r="A202" s="21" t="n">
        <v>46303</v>
      </c>
      <c r="B202" s="22" t="s">
        <v>62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112</v>
      </c>
    </row>
    <row r="203" customFormat="false" ht="15" hidden="false" customHeight="false" outlineLevel="0" collapsed="false">
      <c r="A203" s="21" t="n">
        <v>46303</v>
      </c>
      <c r="B203" s="22" t="s">
        <v>62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113</v>
      </c>
    </row>
    <row r="204" customFormat="false" ht="15" hidden="false" customHeight="false" outlineLevel="0" collapsed="false">
      <c r="A204" s="21" t="n">
        <v>46303</v>
      </c>
      <c r="B204" s="22" t="s">
        <v>62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114</v>
      </c>
    </row>
    <row r="205" customFormat="false" ht="15" hidden="false" customHeight="false" outlineLevel="0" collapsed="false">
      <c r="A205" s="21" t="n">
        <v>46303</v>
      </c>
      <c r="B205" s="22" t="s">
        <v>62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115</v>
      </c>
    </row>
    <row r="206" customFormat="false" ht="15" hidden="false" customHeight="false" outlineLevel="0" collapsed="false">
      <c r="A206" s="21" t="n">
        <v>46303</v>
      </c>
      <c r="B206" s="22" t="s">
        <v>62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116</v>
      </c>
    </row>
    <row r="207" customFormat="false" ht="15" hidden="false" customHeight="false" outlineLevel="0" collapsed="false">
      <c r="A207" s="21" t="n">
        <v>46303</v>
      </c>
      <c r="B207" s="22" t="s">
        <v>62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117</v>
      </c>
    </row>
    <row r="208" customFormat="false" ht="15" hidden="false" customHeight="false" outlineLevel="0" collapsed="false">
      <c r="A208" s="21" t="n">
        <v>46303</v>
      </c>
      <c r="B208" s="22" t="s">
        <v>62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118</v>
      </c>
    </row>
    <row r="209" customFormat="false" ht="15" hidden="false" customHeight="false" outlineLevel="0" collapsed="false">
      <c r="A209" s="21" t="n">
        <v>46303</v>
      </c>
      <c r="B209" s="22" t="s">
        <v>62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119</v>
      </c>
    </row>
    <row r="210" customFormat="false" ht="15" hidden="false" customHeight="false" outlineLevel="0" collapsed="false">
      <c r="A210" s="21" t="n">
        <v>46303</v>
      </c>
      <c r="B210" s="22" t="s">
        <v>62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120</v>
      </c>
    </row>
    <row r="211" customFormat="false" ht="15" hidden="false" customHeight="false" outlineLevel="0" collapsed="false">
      <c r="A211" s="21" t="n">
        <v>46303</v>
      </c>
      <c r="B211" s="22" t="s">
        <v>62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121</v>
      </c>
    </row>
    <row r="212" customFormat="false" ht="15" hidden="false" customHeight="false" outlineLevel="0" collapsed="false">
      <c r="A212" s="21" t="n">
        <v>46303</v>
      </c>
      <c r="B212" s="22" t="s">
        <v>62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122</v>
      </c>
    </row>
    <row r="213" customFormat="false" ht="15" hidden="false" customHeight="false" outlineLevel="0" collapsed="false">
      <c r="A213" s="21" t="n">
        <v>46303</v>
      </c>
      <c r="B213" s="22" t="s">
        <v>62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123</v>
      </c>
    </row>
    <row r="214" customFormat="false" ht="15" hidden="false" customHeight="false" outlineLevel="0" collapsed="false">
      <c r="A214" s="21" t="n">
        <v>46303</v>
      </c>
      <c r="B214" s="22" t="s">
        <v>62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124</v>
      </c>
    </row>
    <row r="215" customFormat="false" ht="15" hidden="false" customHeight="false" outlineLevel="0" collapsed="false">
      <c r="A215" s="21" t="n">
        <v>46303</v>
      </c>
      <c r="B215" s="22" t="s">
        <v>62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125</v>
      </c>
    </row>
    <row r="216" customFormat="false" ht="15" hidden="false" customHeight="false" outlineLevel="0" collapsed="false">
      <c r="A216" s="21" t="n">
        <v>46303</v>
      </c>
      <c r="B216" s="22" t="s">
        <v>62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126</v>
      </c>
    </row>
    <row r="217" customFormat="false" ht="15" hidden="false" customHeight="false" outlineLevel="0" collapsed="false">
      <c r="A217" s="21" t="n">
        <v>46303</v>
      </c>
      <c r="B217" s="22" t="s">
        <v>62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127</v>
      </c>
    </row>
    <row r="218" customFormat="false" ht="15" hidden="false" customHeight="false" outlineLevel="0" collapsed="false">
      <c r="A218" s="21" t="n">
        <v>46303</v>
      </c>
      <c r="B218" s="22" t="s">
        <v>62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128</v>
      </c>
    </row>
    <row r="219" customFormat="false" ht="15" hidden="false" customHeight="false" outlineLevel="0" collapsed="false">
      <c r="A219" s="21" t="n">
        <v>46303</v>
      </c>
      <c r="B219" s="22" t="s">
        <v>62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129</v>
      </c>
    </row>
    <row r="220" customFormat="false" ht="15" hidden="false" customHeight="false" outlineLevel="0" collapsed="false">
      <c r="A220" s="21" t="n">
        <v>46303</v>
      </c>
      <c r="B220" s="22" t="s">
        <v>62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130</v>
      </c>
    </row>
    <row r="221" customFormat="false" ht="15" hidden="false" customHeight="false" outlineLevel="0" collapsed="false">
      <c r="A221" s="21" t="n">
        <v>46303</v>
      </c>
      <c r="B221" s="22" t="s">
        <v>62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131</v>
      </c>
    </row>
    <row r="222" customFormat="false" ht="15" hidden="false" customHeight="false" outlineLevel="0" collapsed="false">
      <c r="A222" s="21" t="n">
        <v>46303</v>
      </c>
      <c r="B222" s="22" t="s">
        <v>82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93</v>
      </c>
    </row>
    <row r="223" customFormat="false" ht="15" hidden="false" customHeight="false" outlineLevel="0" collapsed="false">
      <c r="A223" s="21" t="n">
        <v>46303</v>
      </c>
      <c r="B223" s="22" t="s">
        <v>82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94</v>
      </c>
    </row>
    <row r="224" customFormat="false" ht="15" hidden="false" customHeight="false" outlineLevel="0" collapsed="false">
      <c r="A224" s="21" t="n">
        <v>46303</v>
      </c>
      <c r="B224" s="22" t="s">
        <v>82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95</v>
      </c>
    </row>
    <row r="225" customFormat="false" ht="15" hidden="false" customHeight="false" outlineLevel="0" collapsed="false">
      <c r="A225" s="21" t="n">
        <v>46303</v>
      </c>
      <c r="B225" s="22" t="s">
        <v>82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96</v>
      </c>
    </row>
    <row r="226" customFormat="false" ht="15" hidden="false" customHeight="false" outlineLevel="0" collapsed="false">
      <c r="A226" s="21" t="n">
        <v>46303</v>
      </c>
      <c r="B226" s="22" t="s">
        <v>82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97</v>
      </c>
    </row>
    <row r="227" customFormat="false" ht="15" hidden="false" customHeight="false" outlineLevel="0" collapsed="false">
      <c r="A227" s="21" t="n">
        <v>46303</v>
      </c>
      <c r="B227" s="22" t="s">
        <v>82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98</v>
      </c>
    </row>
    <row r="228" customFormat="false" ht="15" hidden="false" customHeight="false" outlineLevel="0" collapsed="false">
      <c r="A228" s="21" t="n">
        <v>46303</v>
      </c>
      <c r="B228" s="22" t="s">
        <v>82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99</v>
      </c>
    </row>
    <row r="229" customFormat="false" ht="15" hidden="false" customHeight="false" outlineLevel="0" collapsed="false">
      <c r="A229" s="21" t="n">
        <v>46303</v>
      </c>
      <c r="B229" s="22" t="s">
        <v>82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100</v>
      </c>
    </row>
    <row r="230" customFormat="false" ht="15" hidden="false" customHeight="false" outlineLevel="0" collapsed="false">
      <c r="A230" s="21" t="n">
        <v>46303</v>
      </c>
      <c r="B230" s="22" t="s">
        <v>82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101</v>
      </c>
    </row>
    <row r="231" customFormat="false" ht="15" hidden="false" customHeight="false" outlineLevel="0" collapsed="false">
      <c r="A231" s="21" t="n">
        <v>46303</v>
      </c>
      <c r="B231" s="22" t="s">
        <v>82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102</v>
      </c>
    </row>
    <row r="232" customFormat="false" ht="15" hidden="false" customHeight="false" outlineLevel="0" collapsed="false">
      <c r="A232" s="21" t="n">
        <v>46303</v>
      </c>
      <c r="B232" s="22" t="s">
        <v>82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103</v>
      </c>
    </row>
    <row r="233" customFormat="false" ht="15" hidden="false" customHeight="false" outlineLevel="0" collapsed="false">
      <c r="A233" s="21" t="n">
        <v>46303</v>
      </c>
      <c r="B233" s="22" t="s">
        <v>82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104</v>
      </c>
    </row>
    <row r="234" customFormat="false" ht="15" hidden="false" customHeight="false" outlineLevel="0" collapsed="false">
      <c r="A234" s="21" t="n">
        <v>46303</v>
      </c>
      <c r="B234" s="22" t="s">
        <v>82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105</v>
      </c>
    </row>
    <row r="235" customFormat="false" ht="15" hidden="false" customHeight="false" outlineLevel="0" collapsed="false">
      <c r="A235" s="21" t="n">
        <v>46303</v>
      </c>
      <c r="B235" s="22" t="s">
        <v>82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106</v>
      </c>
    </row>
    <row r="236" customFormat="false" ht="15" hidden="false" customHeight="false" outlineLevel="0" collapsed="false">
      <c r="A236" s="21" t="n">
        <v>46303</v>
      </c>
      <c r="B236" s="22" t="s">
        <v>82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107</v>
      </c>
    </row>
    <row r="237" customFormat="false" ht="15" hidden="false" customHeight="false" outlineLevel="0" collapsed="false">
      <c r="A237" s="21" t="n">
        <v>46303</v>
      </c>
      <c r="B237" s="22" t="s">
        <v>82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108</v>
      </c>
    </row>
    <row r="238" customFormat="false" ht="15" hidden="false" customHeight="false" outlineLevel="0" collapsed="false">
      <c r="A238" s="21" t="n">
        <v>46303</v>
      </c>
      <c r="B238" s="22" t="s">
        <v>82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109</v>
      </c>
    </row>
    <row r="239" customFormat="false" ht="15" hidden="false" customHeight="false" outlineLevel="0" collapsed="false">
      <c r="A239" s="21" t="n">
        <v>46303</v>
      </c>
      <c r="B239" s="22" t="s">
        <v>82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110</v>
      </c>
    </row>
    <row r="240" customFormat="false" ht="15" hidden="false" customHeight="false" outlineLevel="0" collapsed="false">
      <c r="A240" s="21" t="n">
        <v>46303</v>
      </c>
      <c r="B240" s="22" t="s">
        <v>82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111</v>
      </c>
    </row>
    <row r="241" customFormat="false" ht="15" hidden="false" customHeight="false" outlineLevel="0" collapsed="false">
      <c r="A241" s="21" t="n">
        <v>46303</v>
      </c>
      <c r="B241" s="22" t="s">
        <v>82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132</v>
      </c>
    </row>
    <row r="242" customFormat="false" ht="15" hidden="false" customHeight="false" outlineLevel="0" collapsed="false">
      <c r="A242" s="21" t="n">
        <v>46303</v>
      </c>
      <c r="B242" s="22" t="s">
        <v>84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112</v>
      </c>
    </row>
    <row r="243" customFormat="false" ht="15" hidden="false" customHeight="false" outlineLevel="0" collapsed="false">
      <c r="A243" s="21" t="n">
        <v>46303</v>
      </c>
      <c r="B243" s="22" t="s">
        <v>84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113</v>
      </c>
    </row>
    <row r="244" customFormat="false" ht="15" hidden="false" customHeight="false" outlineLevel="0" collapsed="false">
      <c r="A244" s="21" t="n">
        <v>46303</v>
      </c>
      <c r="B244" s="22" t="s">
        <v>84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114</v>
      </c>
    </row>
    <row r="245" customFormat="false" ht="15" hidden="false" customHeight="false" outlineLevel="0" collapsed="false">
      <c r="A245" s="21" t="n">
        <v>46303</v>
      </c>
      <c r="B245" s="22" t="s">
        <v>84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115</v>
      </c>
    </row>
    <row r="246" customFormat="false" ht="15" hidden="false" customHeight="false" outlineLevel="0" collapsed="false">
      <c r="A246" s="21" t="n">
        <v>46303</v>
      </c>
      <c r="B246" s="22" t="s">
        <v>84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116</v>
      </c>
    </row>
    <row r="247" customFormat="false" ht="15" hidden="false" customHeight="false" outlineLevel="0" collapsed="false">
      <c r="A247" s="21" t="n">
        <v>46303</v>
      </c>
      <c r="B247" s="22" t="s">
        <v>84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117</v>
      </c>
    </row>
    <row r="248" customFormat="false" ht="15" hidden="false" customHeight="false" outlineLevel="0" collapsed="false">
      <c r="A248" s="21" t="n">
        <v>46303</v>
      </c>
      <c r="B248" s="22" t="s">
        <v>84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118</v>
      </c>
    </row>
    <row r="249" customFormat="false" ht="15" hidden="false" customHeight="false" outlineLevel="0" collapsed="false">
      <c r="A249" s="21" t="n">
        <v>46303</v>
      </c>
      <c r="B249" s="22" t="s">
        <v>84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119</v>
      </c>
    </row>
    <row r="250" customFormat="false" ht="15" hidden="false" customHeight="false" outlineLevel="0" collapsed="false">
      <c r="A250" s="21" t="n">
        <v>46303</v>
      </c>
      <c r="B250" s="22" t="s">
        <v>84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120</v>
      </c>
    </row>
    <row r="251" customFormat="false" ht="15" hidden="false" customHeight="false" outlineLevel="0" collapsed="false">
      <c r="A251" s="21" t="n">
        <v>46303</v>
      </c>
      <c r="B251" s="22" t="s">
        <v>84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121</v>
      </c>
    </row>
    <row r="252" customFormat="false" ht="15" hidden="false" customHeight="false" outlineLevel="0" collapsed="false">
      <c r="A252" s="21" t="n">
        <v>46303</v>
      </c>
      <c r="B252" s="22" t="s">
        <v>84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122</v>
      </c>
    </row>
    <row r="253" customFormat="false" ht="15" hidden="false" customHeight="false" outlineLevel="0" collapsed="false">
      <c r="A253" s="21" t="n">
        <v>46303</v>
      </c>
      <c r="B253" s="22" t="s">
        <v>84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123</v>
      </c>
    </row>
    <row r="254" customFormat="false" ht="15" hidden="false" customHeight="false" outlineLevel="0" collapsed="false">
      <c r="A254" s="21" t="n">
        <v>46303</v>
      </c>
      <c r="B254" s="22" t="s">
        <v>84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124</v>
      </c>
    </row>
    <row r="255" customFormat="false" ht="15" hidden="false" customHeight="false" outlineLevel="0" collapsed="false">
      <c r="A255" s="21" t="n">
        <v>46303</v>
      </c>
      <c r="B255" s="22" t="s">
        <v>84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125</v>
      </c>
    </row>
    <row r="256" customFormat="false" ht="15" hidden="false" customHeight="false" outlineLevel="0" collapsed="false">
      <c r="A256" s="21" t="n">
        <v>46303</v>
      </c>
      <c r="B256" s="22" t="s">
        <v>84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126</v>
      </c>
    </row>
    <row r="257" customFormat="false" ht="15" hidden="false" customHeight="false" outlineLevel="0" collapsed="false">
      <c r="A257" s="21" t="n">
        <v>46303</v>
      </c>
      <c r="B257" s="22" t="s">
        <v>84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127</v>
      </c>
    </row>
    <row r="258" customFormat="false" ht="15" hidden="false" customHeight="false" outlineLevel="0" collapsed="false">
      <c r="A258" s="21" t="n">
        <v>46303</v>
      </c>
      <c r="B258" s="22" t="s">
        <v>84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128</v>
      </c>
    </row>
    <row r="259" customFormat="false" ht="15" hidden="false" customHeight="false" outlineLevel="0" collapsed="false">
      <c r="A259" s="21" t="n">
        <v>46303</v>
      </c>
      <c r="B259" s="22" t="s">
        <v>84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129</v>
      </c>
    </row>
    <row r="260" customFormat="false" ht="15" hidden="false" customHeight="false" outlineLevel="0" collapsed="false">
      <c r="A260" s="21" t="n">
        <v>46303</v>
      </c>
      <c r="B260" s="22" t="s">
        <v>84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130</v>
      </c>
    </row>
    <row r="261" customFormat="false" ht="15" hidden="false" customHeight="false" outlineLevel="0" collapsed="false">
      <c r="A261" s="21" t="n">
        <v>46303</v>
      </c>
      <c r="B261" s="22" t="s">
        <v>84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131</v>
      </c>
    </row>
    <row r="262" customFormat="false" ht="15" hidden="false" customHeight="false" outlineLevel="0" collapsed="false">
      <c r="A262" s="21" t="n">
        <v>46303</v>
      </c>
      <c r="B262" s="22" t="s">
        <v>86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92</v>
      </c>
    </row>
    <row r="263" customFormat="false" ht="15" hidden="false" customHeight="false" outlineLevel="0" collapsed="false">
      <c r="A263" s="21" t="n">
        <v>46303</v>
      </c>
      <c r="B263" s="22" t="s">
        <v>86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93</v>
      </c>
    </row>
    <row r="264" customFormat="false" ht="15" hidden="false" customHeight="false" outlineLevel="0" collapsed="false">
      <c r="A264" s="21" t="n">
        <v>46303</v>
      </c>
      <c r="B264" s="22" t="s">
        <v>86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94</v>
      </c>
    </row>
    <row r="265" customFormat="false" ht="15" hidden="false" customHeight="false" outlineLevel="0" collapsed="false">
      <c r="A265" s="21" t="n">
        <v>46303</v>
      </c>
      <c r="B265" s="22" t="s">
        <v>86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95</v>
      </c>
    </row>
    <row r="266" customFormat="false" ht="15" hidden="false" customHeight="false" outlineLevel="0" collapsed="false">
      <c r="A266" s="21" t="n">
        <v>46303</v>
      </c>
      <c r="B266" s="22" t="s">
        <v>86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96</v>
      </c>
    </row>
    <row r="267" customFormat="false" ht="15" hidden="false" customHeight="false" outlineLevel="0" collapsed="false">
      <c r="A267" s="21" t="n">
        <v>46303</v>
      </c>
      <c r="B267" s="22" t="s">
        <v>86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97</v>
      </c>
    </row>
    <row r="268" customFormat="false" ht="15" hidden="false" customHeight="false" outlineLevel="0" collapsed="false">
      <c r="A268" s="21" t="n">
        <v>46303</v>
      </c>
      <c r="B268" s="22" t="s">
        <v>86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98</v>
      </c>
    </row>
    <row r="269" customFormat="false" ht="15" hidden="false" customHeight="false" outlineLevel="0" collapsed="false">
      <c r="A269" s="21" t="n">
        <v>46303</v>
      </c>
      <c r="B269" s="22" t="s">
        <v>86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99</v>
      </c>
    </row>
    <row r="270" customFormat="false" ht="15" hidden="false" customHeight="false" outlineLevel="0" collapsed="false">
      <c r="A270" s="21" t="n">
        <v>46303</v>
      </c>
      <c r="B270" s="22" t="s">
        <v>86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100</v>
      </c>
    </row>
    <row r="271" customFormat="false" ht="15" hidden="false" customHeight="false" outlineLevel="0" collapsed="false">
      <c r="A271" s="21" t="n">
        <v>46303</v>
      </c>
      <c r="B271" s="22" t="s">
        <v>86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101</v>
      </c>
    </row>
    <row r="272" customFormat="false" ht="15" hidden="false" customHeight="false" outlineLevel="0" collapsed="false">
      <c r="A272" s="21" t="n">
        <v>46303</v>
      </c>
      <c r="B272" s="22" t="s">
        <v>86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102</v>
      </c>
    </row>
    <row r="273" customFormat="false" ht="15" hidden="false" customHeight="false" outlineLevel="0" collapsed="false">
      <c r="A273" s="21" t="n">
        <v>46303</v>
      </c>
      <c r="B273" s="22" t="s">
        <v>86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103</v>
      </c>
    </row>
    <row r="274" customFormat="false" ht="15" hidden="false" customHeight="false" outlineLevel="0" collapsed="false">
      <c r="A274" s="21" t="n">
        <v>46303</v>
      </c>
      <c r="B274" s="22" t="s">
        <v>86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104</v>
      </c>
    </row>
    <row r="275" customFormat="false" ht="15" hidden="false" customHeight="false" outlineLevel="0" collapsed="false">
      <c r="A275" s="21" t="n">
        <v>46303</v>
      </c>
      <c r="B275" s="22" t="s">
        <v>86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105</v>
      </c>
    </row>
    <row r="276" customFormat="false" ht="15" hidden="false" customHeight="false" outlineLevel="0" collapsed="false">
      <c r="A276" s="21" t="n">
        <v>46303</v>
      </c>
      <c r="B276" s="22" t="s">
        <v>86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106</v>
      </c>
    </row>
    <row r="277" customFormat="false" ht="15" hidden="false" customHeight="false" outlineLevel="0" collapsed="false">
      <c r="A277" s="21" t="n">
        <v>46303</v>
      </c>
      <c r="B277" s="22" t="s">
        <v>86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107</v>
      </c>
    </row>
    <row r="278" customFormat="false" ht="15" hidden="false" customHeight="false" outlineLevel="0" collapsed="false">
      <c r="A278" s="21" t="n">
        <v>46303</v>
      </c>
      <c r="B278" s="22" t="s">
        <v>86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108</v>
      </c>
    </row>
    <row r="279" customFormat="false" ht="15" hidden="false" customHeight="false" outlineLevel="0" collapsed="false">
      <c r="A279" s="21" t="n">
        <v>46303</v>
      </c>
      <c r="B279" s="22" t="s">
        <v>86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109</v>
      </c>
    </row>
    <row r="280" customFormat="false" ht="15" hidden="false" customHeight="false" outlineLevel="0" collapsed="false">
      <c r="A280" s="21" t="n">
        <v>46303</v>
      </c>
      <c r="B280" s="22" t="s">
        <v>86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110</v>
      </c>
    </row>
    <row r="281" customFormat="false" ht="15" hidden="false" customHeight="false" outlineLevel="0" collapsed="false">
      <c r="A281" s="21" t="n">
        <v>46303</v>
      </c>
      <c r="B281" s="22" t="s">
        <v>86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111</v>
      </c>
    </row>
    <row r="282" customFormat="false" ht="15" hidden="false" customHeight="false" outlineLevel="0" collapsed="false">
      <c r="A282" s="21" t="n">
        <v>46303</v>
      </c>
      <c r="B282" s="22" t="s">
        <v>87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92</v>
      </c>
    </row>
    <row r="283" customFormat="false" ht="15" hidden="false" customHeight="false" outlineLevel="0" collapsed="false">
      <c r="A283" s="21" t="n">
        <v>46303</v>
      </c>
      <c r="B283" s="22" t="s">
        <v>87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93</v>
      </c>
    </row>
    <row r="284" customFormat="false" ht="15" hidden="false" customHeight="false" outlineLevel="0" collapsed="false">
      <c r="A284" s="21" t="n">
        <v>46303</v>
      </c>
      <c r="B284" s="22" t="s">
        <v>87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94</v>
      </c>
    </row>
    <row r="285" customFormat="false" ht="15" hidden="false" customHeight="false" outlineLevel="0" collapsed="false">
      <c r="A285" s="21" t="n">
        <v>46303</v>
      </c>
      <c r="B285" s="22" t="s">
        <v>87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95</v>
      </c>
    </row>
    <row r="286" customFormat="false" ht="15" hidden="false" customHeight="false" outlineLevel="0" collapsed="false">
      <c r="A286" s="21" t="n">
        <v>46303</v>
      </c>
      <c r="B286" s="22" t="s">
        <v>87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96</v>
      </c>
    </row>
    <row r="287" customFormat="false" ht="15" hidden="false" customHeight="false" outlineLevel="0" collapsed="false">
      <c r="A287" s="21" t="n">
        <v>46303</v>
      </c>
      <c r="B287" s="22" t="s">
        <v>87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97</v>
      </c>
    </row>
    <row r="288" customFormat="false" ht="15" hidden="false" customHeight="false" outlineLevel="0" collapsed="false">
      <c r="A288" s="21" t="n">
        <v>46303</v>
      </c>
      <c r="B288" s="22" t="s">
        <v>87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98</v>
      </c>
    </row>
    <row r="289" customFormat="false" ht="15" hidden="false" customHeight="false" outlineLevel="0" collapsed="false">
      <c r="A289" s="21" t="n">
        <v>46303</v>
      </c>
      <c r="B289" s="22" t="s">
        <v>87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99</v>
      </c>
    </row>
    <row r="290" customFormat="false" ht="15" hidden="false" customHeight="false" outlineLevel="0" collapsed="false">
      <c r="A290" s="21" t="n">
        <v>46303</v>
      </c>
      <c r="B290" s="22" t="s">
        <v>87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100</v>
      </c>
    </row>
    <row r="291" customFormat="false" ht="15" hidden="false" customHeight="false" outlineLevel="0" collapsed="false">
      <c r="A291" s="21" t="n">
        <v>46303</v>
      </c>
      <c r="B291" s="22" t="s">
        <v>87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101</v>
      </c>
    </row>
    <row r="292" customFormat="false" ht="15" hidden="false" customHeight="false" outlineLevel="0" collapsed="false">
      <c r="A292" s="21" t="n">
        <v>46303</v>
      </c>
      <c r="B292" s="22" t="s">
        <v>87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102</v>
      </c>
    </row>
    <row r="293" customFormat="false" ht="15" hidden="false" customHeight="false" outlineLevel="0" collapsed="false">
      <c r="A293" s="21" t="n">
        <v>46303</v>
      </c>
      <c r="B293" s="22" t="s">
        <v>87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103</v>
      </c>
    </row>
    <row r="294" customFormat="false" ht="15" hidden="false" customHeight="false" outlineLevel="0" collapsed="false">
      <c r="A294" s="21" t="n">
        <v>46303</v>
      </c>
      <c r="B294" s="22" t="s">
        <v>87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104</v>
      </c>
    </row>
    <row r="295" customFormat="false" ht="15" hidden="false" customHeight="false" outlineLevel="0" collapsed="false">
      <c r="A295" s="21" t="n">
        <v>46303</v>
      </c>
      <c r="B295" s="22" t="s">
        <v>87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105</v>
      </c>
    </row>
    <row r="296" customFormat="false" ht="15" hidden="false" customHeight="false" outlineLevel="0" collapsed="false">
      <c r="A296" s="21" t="n">
        <v>46303</v>
      </c>
      <c r="B296" s="22" t="s">
        <v>87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106</v>
      </c>
    </row>
    <row r="297" customFormat="false" ht="15" hidden="false" customHeight="false" outlineLevel="0" collapsed="false">
      <c r="A297" s="21" t="n">
        <v>46303</v>
      </c>
      <c r="B297" s="22" t="s">
        <v>87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107</v>
      </c>
    </row>
    <row r="298" customFormat="false" ht="15" hidden="false" customHeight="false" outlineLevel="0" collapsed="false">
      <c r="A298" s="21" t="n">
        <v>46303</v>
      </c>
      <c r="B298" s="22" t="s">
        <v>87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108</v>
      </c>
    </row>
    <row r="299" customFormat="false" ht="15" hidden="false" customHeight="false" outlineLevel="0" collapsed="false">
      <c r="A299" s="21" t="n">
        <v>46303</v>
      </c>
      <c r="B299" s="22" t="s">
        <v>87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109</v>
      </c>
    </row>
    <row r="300" customFormat="false" ht="15" hidden="false" customHeight="false" outlineLevel="0" collapsed="false">
      <c r="A300" s="21" t="n">
        <v>46303</v>
      </c>
      <c r="B300" s="22" t="s">
        <v>87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110</v>
      </c>
    </row>
    <row r="301" customFormat="false" ht="15" hidden="false" customHeight="false" outlineLevel="0" collapsed="false">
      <c r="A301" s="21" t="n">
        <v>46303</v>
      </c>
      <c r="B301" s="22" t="s">
        <v>87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111</v>
      </c>
    </row>
    <row r="302" customFormat="false" ht="15" hidden="false" customHeight="false" outlineLevel="0" collapsed="false">
      <c r="A302" s="21" t="n">
        <v>46303</v>
      </c>
      <c r="B302" s="22" t="s">
        <v>88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93</v>
      </c>
    </row>
    <row r="303" customFormat="false" ht="15" hidden="false" customHeight="false" outlineLevel="0" collapsed="false">
      <c r="A303" s="21" t="n">
        <v>46303</v>
      </c>
      <c r="B303" s="22" t="s">
        <v>88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94</v>
      </c>
    </row>
    <row r="304" customFormat="false" ht="15" hidden="false" customHeight="false" outlineLevel="0" collapsed="false">
      <c r="A304" s="21" t="n">
        <v>46303</v>
      </c>
      <c r="B304" s="22" t="s">
        <v>88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95</v>
      </c>
    </row>
    <row r="305" customFormat="false" ht="15" hidden="false" customHeight="false" outlineLevel="0" collapsed="false">
      <c r="A305" s="21" t="n">
        <v>46303</v>
      </c>
      <c r="B305" s="22" t="s">
        <v>88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96</v>
      </c>
    </row>
    <row r="306" customFormat="false" ht="15" hidden="false" customHeight="false" outlineLevel="0" collapsed="false">
      <c r="A306" s="21" t="n">
        <v>46303</v>
      </c>
      <c r="B306" s="22" t="s">
        <v>88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97</v>
      </c>
    </row>
    <row r="307" customFormat="false" ht="15" hidden="false" customHeight="false" outlineLevel="0" collapsed="false">
      <c r="A307" s="21" t="n">
        <v>46303</v>
      </c>
      <c r="B307" s="22" t="s">
        <v>88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98</v>
      </c>
    </row>
    <row r="308" customFormat="false" ht="15" hidden="false" customHeight="false" outlineLevel="0" collapsed="false">
      <c r="A308" s="21" t="n">
        <v>46303</v>
      </c>
      <c r="B308" s="22" t="s">
        <v>88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99</v>
      </c>
    </row>
    <row r="309" customFormat="false" ht="15" hidden="false" customHeight="false" outlineLevel="0" collapsed="false">
      <c r="A309" s="21" t="n">
        <v>46303</v>
      </c>
      <c r="B309" s="22" t="s">
        <v>88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100</v>
      </c>
    </row>
    <row r="310" customFormat="false" ht="15" hidden="false" customHeight="false" outlineLevel="0" collapsed="false">
      <c r="A310" s="21" t="n">
        <v>46303</v>
      </c>
      <c r="B310" s="22" t="s">
        <v>88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101</v>
      </c>
    </row>
    <row r="311" customFormat="false" ht="15" hidden="false" customHeight="false" outlineLevel="0" collapsed="false">
      <c r="A311" s="21" t="n">
        <v>46303</v>
      </c>
      <c r="B311" s="22" t="s">
        <v>88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102</v>
      </c>
    </row>
    <row r="312" customFormat="false" ht="15" hidden="false" customHeight="false" outlineLevel="0" collapsed="false">
      <c r="A312" s="21" t="n">
        <v>46303</v>
      </c>
      <c r="B312" s="22" t="s">
        <v>88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103</v>
      </c>
    </row>
    <row r="313" customFormat="false" ht="15" hidden="false" customHeight="false" outlineLevel="0" collapsed="false">
      <c r="A313" s="21" t="n">
        <v>46303</v>
      </c>
      <c r="B313" s="22" t="s">
        <v>88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104</v>
      </c>
    </row>
    <row r="314" customFormat="false" ht="15" hidden="false" customHeight="false" outlineLevel="0" collapsed="false">
      <c r="A314" s="21" t="n">
        <v>46303</v>
      </c>
      <c r="B314" s="22" t="s">
        <v>88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105</v>
      </c>
    </row>
    <row r="315" customFormat="false" ht="15" hidden="false" customHeight="false" outlineLevel="0" collapsed="false">
      <c r="A315" s="21" t="n">
        <v>46303</v>
      </c>
      <c r="B315" s="22" t="s">
        <v>88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106</v>
      </c>
    </row>
    <row r="316" customFormat="false" ht="15" hidden="false" customHeight="false" outlineLevel="0" collapsed="false">
      <c r="A316" s="21" t="n">
        <v>46303</v>
      </c>
      <c r="B316" s="22" t="s">
        <v>88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107</v>
      </c>
    </row>
    <row r="317" customFormat="false" ht="15" hidden="false" customHeight="false" outlineLevel="0" collapsed="false">
      <c r="A317" s="21" t="n">
        <v>46303</v>
      </c>
      <c r="B317" s="22" t="s">
        <v>88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108</v>
      </c>
    </row>
    <row r="318" customFormat="false" ht="15" hidden="false" customHeight="false" outlineLevel="0" collapsed="false">
      <c r="A318" s="21" t="n">
        <v>46303</v>
      </c>
      <c r="B318" s="22" t="s">
        <v>88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109</v>
      </c>
    </row>
    <row r="319" customFormat="false" ht="15" hidden="false" customHeight="false" outlineLevel="0" collapsed="false">
      <c r="A319" s="21" t="n">
        <v>46303</v>
      </c>
      <c r="B319" s="22" t="s">
        <v>88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110</v>
      </c>
    </row>
    <row r="320" customFormat="false" ht="15" hidden="false" customHeight="false" outlineLevel="0" collapsed="false">
      <c r="A320" s="21" t="n">
        <v>46303</v>
      </c>
      <c r="B320" s="22" t="s">
        <v>88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111</v>
      </c>
    </row>
    <row r="321" customFormat="false" ht="15" hidden="false" customHeight="false" outlineLevel="0" collapsed="false">
      <c r="A321" s="21" t="n">
        <v>46303</v>
      </c>
      <c r="B321" s="22" t="s">
        <v>88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132</v>
      </c>
    </row>
    <row r="322" customFormat="false" ht="15" hidden="false" customHeight="false" outlineLevel="0" collapsed="false">
      <c r="A322" s="21" t="n">
        <v>46303</v>
      </c>
      <c r="B322" s="22" t="s">
        <v>89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93</v>
      </c>
    </row>
    <row r="323" customFormat="false" ht="15" hidden="false" customHeight="false" outlineLevel="0" collapsed="false">
      <c r="A323" s="21" t="n">
        <v>46303</v>
      </c>
      <c r="B323" s="22" t="s">
        <v>89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94</v>
      </c>
    </row>
    <row r="324" customFormat="false" ht="15" hidden="false" customHeight="false" outlineLevel="0" collapsed="false">
      <c r="A324" s="21" t="n">
        <v>46303</v>
      </c>
      <c r="B324" s="22" t="s">
        <v>89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95</v>
      </c>
    </row>
    <row r="325" customFormat="false" ht="15" hidden="false" customHeight="false" outlineLevel="0" collapsed="false">
      <c r="A325" s="21" t="n">
        <v>46303</v>
      </c>
      <c r="B325" s="22" t="s">
        <v>89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96</v>
      </c>
    </row>
    <row r="326" customFormat="false" ht="15" hidden="false" customHeight="false" outlineLevel="0" collapsed="false">
      <c r="A326" s="21" t="n">
        <v>46303</v>
      </c>
      <c r="B326" s="22" t="s">
        <v>89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97</v>
      </c>
    </row>
    <row r="327" customFormat="false" ht="15" hidden="false" customHeight="false" outlineLevel="0" collapsed="false">
      <c r="A327" s="21" t="n">
        <v>46303</v>
      </c>
      <c r="B327" s="22" t="s">
        <v>89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98</v>
      </c>
    </row>
    <row r="328" customFormat="false" ht="15" hidden="false" customHeight="false" outlineLevel="0" collapsed="false">
      <c r="A328" s="21" t="n">
        <v>46303</v>
      </c>
      <c r="B328" s="22" t="s">
        <v>89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99</v>
      </c>
    </row>
    <row r="329" customFormat="false" ht="15" hidden="false" customHeight="false" outlineLevel="0" collapsed="false">
      <c r="A329" s="21" t="n">
        <v>46303</v>
      </c>
      <c r="B329" s="22" t="s">
        <v>89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100</v>
      </c>
    </row>
    <row r="330" customFormat="false" ht="15" hidden="false" customHeight="false" outlineLevel="0" collapsed="false">
      <c r="A330" s="21" t="n">
        <v>46303</v>
      </c>
      <c r="B330" s="22" t="s">
        <v>89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101</v>
      </c>
    </row>
    <row r="331" customFormat="false" ht="15" hidden="false" customHeight="false" outlineLevel="0" collapsed="false">
      <c r="A331" s="21" t="n">
        <v>46303</v>
      </c>
      <c r="B331" s="22" t="s">
        <v>89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102</v>
      </c>
    </row>
    <row r="332" customFormat="false" ht="15" hidden="false" customHeight="false" outlineLevel="0" collapsed="false">
      <c r="A332" s="21" t="n">
        <v>46303</v>
      </c>
      <c r="B332" s="22" t="s">
        <v>89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103</v>
      </c>
    </row>
    <row r="333" customFormat="false" ht="15" hidden="false" customHeight="false" outlineLevel="0" collapsed="false">
      <c r="A333" s="21" t="n">
        <v>46303</v>
      </c>
      <c r="B333" s="22" t="s">
        <v>89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104</v>
      </c>
    </row>
    <row r="334" customFormat="false" ht="15" hidden="false" customHeight="false" outlineLevel="0" collapsed="false">
      <c r="A334" s="21" t="n">
        <v>46303</v>
      </c>
      <c r="B334" s="22" t="s">
        <v>89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105</v>
      </c>
    </row>
    <row r="335" customFormat="false" ht="15" hidden="false" customHeight="false" outlineLevel="0" collapsed="false">
      <c r="A335" s="21" t="n">
        <v>46303</v>
      </c>
      <c r="B335" s="22" t="s">
        <v>89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106</v>
      </c>
    </row>
    <row r="336" customFormat="false" ht="15" hidden="false" customHeight="false" outlineLevel="0" collapsed="false">
      <c r="A336" s="21" t="n">
        <v>46303</v>
      </c>
      <c r="B336" s="22" t="s">
        <v>89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107</v>
      </c>
    </row>
    <row r="337" customFormat="false" ht="15" hidden="false" customHeight="false" outlineLevel="0" collapsed="false">
      <c r="A337" s="21" t="n">
        <v>46303</v>
      </c>
      <c r="B337" s="22" t="s">
        <v>89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108</v>
      </c>
    </row>
    <row r="338" customFormat="false" ht="15" hidden="false" customHeight="false" outlineLevel="0" collapsed="false">
      <c r="A338" s="21" t="n">
        <v>46303</v>
      </c>
      <c r="B338" s="22" t="s">
        <v>89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109</v>
      </c>
    </row>
    <row r="339" customFormat="false" ht="15" hidden="false" customHeight="false" outlineLevel="0" collapsed="false">
      <c r="A339" s="21" t="n">
        <v>46303</v>
      </c>
      <c r="B339" s="22" t="s">
        <v>89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110</v>
      </c>
    </row>
    <row r="340" customFormat="false" ht="15" hidden="false" customHeight="false" outlineLevel="0" collapsed="false">
      <c r="A340" s="21" t="n">
        <v>46303</v>
      </c>
      <c r="B340" s="22" t="s">
        <v>89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111</v>
      </c>
    </row>
    <row r="341" customFormat="false" ht="15" hidden="false" customHeight="false" outlineLevel="0" collapsed="false">
      <c r="A341" s="21" t="n">
        <v>46303</v>
      </c>
      <c r="B341" s="22" t="s">
        <v>89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132</v>
      </c>
    </row>
    <row r="342" customFormat="false" ht="15" hidden="false" customHeight="false" outlineLevel="0" collapsed="false">
      <c r="A342" s="21" t="n">
        <v>46303</v>
      </c>
      <c r="B342" s="22" t="s">
        <v>90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93</v>
      </c>
    </row>
    <row r="343" customFormat="false" ht="15" hidden="false" customHeight="false" outlineLevel="0" collapsed="false">
      <c r="A343" s="21" t="n">
        <v>46303</v>
      </c>
      <c r="B343" s="22" t="s">
        <v>90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94</v>
      </c>
    </row>
    <row r="344" customFormat="false" ht="15" hidden="false" customHeight="false" outlineLevel="0" collapsed="false">
      <c r="A344" s="21" t="n">
        <v>46303</v>
      </c>
      <c r="B344" s="22" t="s">
        <v>90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95</v>
      </c>
    </row>
    <row r="345" customFormat="false" ht="15" hidden="false" customHeight="false" outlineLevel="0" collapsed="false">
      <c r="A345" s="21" t="n">
        <v>46303</v>
      </c>
      <c r="B345" s="22" t="s">
        <v>90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96</v>
      </c>
    </row>
    <row r="346" customFormat="false" ht="15" hidden="false" customHeight="false" outlineLevel="0" collapsed="false">
      <c r="A346" s="21" t="n">
        <v>46303</v>
      </c>
      <c r="B346" s="22" t="s">
        <v>90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97</v>
      </c>
    </row>
    <row r="347" customFormat="false" ht="15" hidden="false" customHeight="false" outlineLevel="0" collapsed="false">
      <c r="A347" s="21" t="n">
        <v>46303</v>
      </c>
      <c r="B347" s="22" t="s">
        <v>90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98</v>
      </c>
    </row>
    <row r="348" customFormat="false" ht="15" hidden="false" customHeight="false" outlineLevel="0" collapsed="false">
      <c r="A348" s="21" t="n">
        <v>46303</v>
      </c>
      <c r="B348" s="22" t="s">
        <v>90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99</v>
      </c>
    </row>
    <row r="349" customFormat="false" ht="15" hidden="false" customHeight="false" outlineLevel="0" collapsed="false">
      <c r="A349" s="21" t="n">
        <v>46303</v>
      </c>
      <c r="B349" s="22" t="s">
        <v>90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100</v>
      </c>
    </row>
    <row r="350" customFormat="false" ht="15" hidden="false" customHeight="false" outlineLevel="0" collapsed="false">
      <c r="A350" s="21" t="n">
        <v>46303</v>
      </c>
      <c r="B350" s="22" t="s">
        <v>90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101</v>
      </c>
    </row>
    <row r="351" customFormat="false" ht="15" hidden="false" customHeight="false" outlineLevel="0" collapsed="false">
      <c r="A351" s="21" t="n">
        <v>46303</v>
      </c>
      <c r="B351" s="22" t="s">
        <v>90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102</v>
      </c>
    </row>
    <row r="352" customFormat="false" ht="15" hidden="false" customHeight="false" outlineLevel="0" collapsed="false">
      <c r="A352" s="21" t="n">
        <v>46303</v>
      </c>
      <c r="B352" s="22" t="s">
        <v>90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103</v>
      </c>
    </row>
    <row r="353" customFormat="false" ht="15" hidden="false" customHeight="false" outlineLevel="0" collapsed="false">
      <c r="A353" s="21" t="n">
        <v>46303</v>
      </c>
      <c r="B353" s="22" t="s">
        <v>90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104</v>
      </c>
    </row>
    <row r="354" customFormat="false" ht="15" hidden="false" customHeight="false" outlineLevel="0" collapsed="false">
      <c r="A354" s="21" t="n">
        <v>46303</v>
      </c>
      <c r="B354" s="22" t="s">
        <v>90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105</v>
      </c>
    </row>
    <row r="355" customFormat="false" ht="15" hidden="false" customHeight="false" outlineLevel="0" collapsed="false">
      <c r="A355" s="21" t="n">
        <v>46303</v>
      </c>
      <c r="B355" s="22" t="s">
        <v>90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106</v>
      </c>
    </row>
    <row r="356" customFormat="false" ht="15" hidden="false" customHeight="false" outlineLevel="0" collapsed="false">
      <c r="A356" s="21" t="n">
        <v>46303</v>
      </c>
      <c r="B356" s="22" t="s">
        <v>90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107</v>
      </c>
    </row>
    <row r="357" customFormat="false" ht="15" hidden="false" customHeight="false" outlineLevel="0" collapsed="false">
      <c r="A357" s="21" t="n">
        <v>46303</v>
      </c>
      <c r="B357" s="22" t="s">
        <v>90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108</v>
      </c>
    </row>
    <row r="358" customFormat="false" ht="15" hidden="false" customHeight="false" outlineLevel="0" collapsed="false">
      <c r="A358" s="21" t="n">
        <v>46303</v>
      </c>
      <c r="B358" s="22" t="s">
        <v>90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109</v>
      </c>
    </row>
    <row r="359" customFormat="false" ht="15" hidden="false" customHeight="false" outlineLevel="0" collapsed="false">
      <c r="A359" s="21" t="n">
        <v>46303</v>
      </c>
      <c r="B359" s="22" t="s">
        <v>90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110</v>
      </c>
    </row>
    <row r="360" customFormat="false" ht="15" hidden="false" customHeight="false" outlineLevel="0" collapsed="false">
      <c r="A360" s="21" t="n">
        <v>46303</v>
      </c>
      <c r="B360" s="22" t="s">
        <v>90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111</v>
      </c>
    </row>
    <row r="361" customFormat="false" ht="15" hidden="false" customHeight="false" outlineLevel="0" collapsed="false">
      <c r="A361" s="21" t="n">
        <v>46303</v>
      </c>
      <c r="B361" s="22" t="s">
        <v>90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132</v>
      </c>
    </row>
    <row r="362" customFormat="false" ht="15" hidden="false" customHeight="false" outlineLevel="0" collapsed="false">
      <c r="A362" s="21" t="n">
        <v>46303</v>
      </c>
      <c r="B362" s="22" t="s">
        <v>91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93</v>
      </c>
    </row>
    <row r="363" customFormat="false" ht="15" hidden="false" customHeight="false" outlineLevel="0" collapsed="false">
      <c r="A363" s="21" t="n">
        <v>46303</v>
      </c>
      <c r="B363" s="22" t="s">
        <v>91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94</v>
      </c>
    </row>
    <row r="364" customFormat="false" ht="15" hidden="false" customHeight="false" outlineLevel="0" collapsed="false">
      <c r="A364" s="21" t="n">
        <v>46303</v>
      </c>
      <c r="B364" s="22" t="s">
        <v>91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95</v>
      </c>
    </row>
    <row r="365" customFormat="false" ht="15" hidden="false" customHeight="false" outlineLevel="0" collapsed="false">
      <c r="A365" s="21" t="n">
        <v>46303</v>
      </c>
      <c r="B365" s="22" t="s">
        <v>91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96</v>
      </c>
    </row>
    <row r="366" customFormat="false" ht="15" hidden="false" customHeight="false" outlineLevel="0" collapsed="false">
      <c r="A366" s="21" t="n">
        <v>46303</v>
      </c>
      <c r="B366" s="22" t="s">
        <v>91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97</v>
      </c>
    </row>
    <row r="367" customFormat="false" ht="15" hidden="false" customHeight="false" outlineLevel="0" collapsed="false">
      <c r="A367" s="21" t="n">
        <v>46303</v>
      </c>
      <c r="B367" s="22" t="s">
        <v>91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98</v>
      </c>
    </row>
    <row r="368" customFormat="false" ht="15" hidden="false" customHeight="false" outlineLevel="0" collapsed="false">
      <c r="A368" s="21" t="n">
        <v>46303</v>
      </c>
      <c r="B368" s="22" t="s">
        <v>91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99</v>
      </c>
    </row>
    <row r="369" customFormat="false" ht="15" hidden="false" customHeight="false" outlineLevel="0" collapsed="false">
      <c r="A369" s="21" t="n">
        <v>46303</v>
      </c>
      <c r="B369" s="22" t="s">
        <v>91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100</v>
      </c>
    </row>
    <row r="370" customFormat="false" ht="15" hidden="false" customHeight="false" outlineLevel="0" collapsed="false">
      <c r="A370" s="21" t="n">
        <v>46303</v>
      </c>
      <c r="B370" s="22" t="s">
        <v>91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101</v>
      </c>
    </row>
    <row r="371" customFormat="false" ht="15" hidden="false" customHeight="false" outlineLevel="0" collapsed="false">
      <c r="A371" s="21" t="n">
        <v>46303</v>
      </c>
      <c r="B371" s="22" t="s">
        <v>91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102</v>
      </c>
    </row>
    <row r="372" customFormat="false" ht="15" hidden="false" customHeight="false" outlineLevel="0" collapsed="false">
      <c r="A372" s="21" t="n">
        <v>46303</v>
      </c>
      <c r="B372" s="22" t="s">
        <v>91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103</v>
      </c>
    </row>
    <row r="373" customFormat="false" ht="15" hidden="false" customHeight="false" outlineLevel="0" collapsed="false">
      <c r="A373" s="21" t="n">
        <v>46303</v>
      </c>
      <c r="B373" s="22" t="s">
        <v>91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104</v>
      </c>
    </row>
    <row r="374" customFormat="false" ht="15" hidden="false" customHeight="false" outlineLevel="0" collapsed="false">
      <c r="A374" s="21" t="n">
        <v>46303</v>
      </c>
      <c r="B374" s="22" t="s">
        <v>91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105</v>
      </c>
    </row>
    <row r="375" customFormat="false" ht="15" hidden="false" customHeight="false" outlineLevel="0" collapsed="false">
      <c r="A375" s="21" t="n">
        <v>46303</v>
      </c>
      <c r="B375" s="22" t="s">
        <v>91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106</v>
      </c>
    </row>
    <row r="376" customFormat="false" ht="15" hidden="false" customHeight="false" outlineLevel="0" collapsed="false">
      <c r="A376" s="21" t="n">
        <v>46303</v>
      </c>
      <c r="B376" s="22" t="s">
        <v>91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107</v>
      </c>
    </row>
    <row r="377" customFormat="false" ht="15" hidden="false" customHeight="false" outlineLevel="0" collapsed="false">
      <c r="A377" s="21" t="n">
        <v>46303</v>
      </c>
      <c r="B377" s="22" t="s">
        <v>91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108</v>
      </c>
    </row>
    <row r="378" customFormat="false" ht="15" hidden="false" customHeight="false" outlineLevel="0" collapsed="false">
      <c r="A378" s="21" t="n">
        <v>46303</v>
      </c>
      <c r="B378" s="22" t="s">
        <v>91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109</v>
      </c>
    </row>
    <row r="379" customFormat="false" ht="15" hidden="false" customHeight="false" outlineLevel="0" collapsed="false">
      <c r="A379" s="21" t="n">
        <v>46303</v>
      </c>
      <c r="B379" s="22" t="s">
        <v>91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110</v>
      </c>
    </row>
    <row r="380" customFormat="false" ht="15" hidden="false" customHeight="false" outlineLevel="0" collapsed="false">
      <c r="A380" s="21" t="n">
        <v>46303</v>
      </c>
      <c r="B380" s="22" t="s">
        <v>91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111</v>
      </c>
    </row>
    <row r="381" customFormat="false" ht="15" hidden="false" customHeight="false" outlineLevel="0" collapsed="false">
      <c r="A381" s="21" t="n">
        <v>46303</v>
      </c>
      <c r="B381" s="22" t="s">
        <v>91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</cols>
  <sheetData>
    <row r="1" customFormat="false" ht="15" hidden="false" customHeight="false" outlineLevel="0" collapsed="false">
      <c r="A1" s="10" t="s">
        <v>12</v>
      </c>
      <c r="B1" s="10" t="s">
        <v>133</v>
      </c>
      <c r="D1" s="2" t="s">
        <v>134</v>
      </c>
    </row>
    <row r="2" customFormat="false" ht="15" hidden="false" customHeight="false" outlineLevel="0" collapsed="false">
      <c r="A2" s="11" t="s">
        <v>62</v>
      </c>
      <c r="B2" s="26" t="s">
        <v>135</v>
      </c>
    </row>
    <row r="3" customFormat="false" ht="15" hidden="false" customHeight="false" outlineLevel="0" collapsed="false">
      <c r="A3" s="11" t="s">
        <v>82</v>
      </c>
      <c r="B3" s="26" t="s">
        <v>136</v>
      </c>
    </row>
    <row r="4" customFormat="false" ht="15" hidden="false" customHeight="false" outlineLevel="0" collapsed="false">
      <c r="A4" s="11" t="s">
        <v>84</v>
      </c>
      <c r="B4" s="26" t="s">
        <v>137</v>
      </c>
    </row>
    <row r="5" customFormat="false" ht="15" hidden="false" customHeight="false" outlineLevel="0" collapsed="false">
      <c r="A5" s="11" t="s">
        <v>86</v>
      </c>
      <c r="B5" s="26" t="s">
        <v>138</v>
      </c>
    </row>
    <row r="6" customFormat="false" ht="15" hidden="false" customHeight="false" outlineLevel="0" collapsed="false">
      <c r="A6" s="11" t="s">
        <v>87</v>
      </c>
      <c r="B6" s="26" t="s">
        <v>139</v>
      </c>
    </row>
    <row r="7" customFormat="false" ht="15" hidden="false" customHeight="false" outlineLevel="0" collapsed="false">
      <c r="A7" s="11" t="s">
        <v>41</v>
      </c>
      <c r="B7" s="26" t="s">
        <v>140</v>
      </c>
    </row>
    <row r="8" customFormat="false" ht="15" hidden="false" customHeight="false" outlineLevel="0" collapsed="false">
      <c r="A8" s="11" t="s">
        <v>88</v>
      </c>
      <c r="B8" s="26" t="s">
        <v>141</v>
      </c>
    </row>
    <row r="9" customFormat="false" ht="15" hidden="false" customHeight="false" outlineLevel="0" collapsed="false">
      <c r="A9" s="11" t="s">
        <v>89</v>
      </c>
      <c r="B9" s="26" t="s">
        <v>142</v>
      </c>
    </row>
    <row r="10" customFormat="false" ht="15" hidden="false" customHeight="false" outlineLevel="0" collapsed="false">
      <c r="A10" s="11" t="s">
        <v>90</v>
      </c>
      <c r="B10" s="26" t="s">
        <v>5</v>
      </c>
    </row>
    <row r="11" customFormat="false" ht="15" hidden="false" customHeight="false" outlineLevel="0" collapsed="false">
      <c r="A11" s="11" t="s">
        <v>91</v>
      </c>
      <c r="B11" s="26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144</v>
      </c>
      <c r="B1" s="10" t="s">
        <v>145</v>
      </c>
      <c r="C1" s="10" t="s">
        <v>146</v>
      </c>
      <c r="E1" s="2" t="s">
        <v>147</v>
      </c>
    </row>
    <row r="2" customFormat="false" ht="15" hidden="false" customHeight="false" outlineLevel="0" collapsed="false">
      <c r="A2" s="22" t="n">
        <v>15</v>
      </c>
      <c r="B2" s="22" t="s">
        <v>148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149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150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151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152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153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154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155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156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157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158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159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160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161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162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163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164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165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166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167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168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169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170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171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172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173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174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175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176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177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178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179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180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181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182</v>
      </c>
      <c r="C36" s="25" t="str">
        <f aca="false">IF(COUNTIFS(Datos!$B:$B,Tablero!$I$5,Datos!$A:$A,Tablero!$B$5,Datos!$G:$G,$A36,Datos!$H:$H,"&gt;=0")=0,"",SUMIFS(Datos!$H:$H,Datos!$B:$B,Tablero!$I$5,Datos!$A:$A,Tablero!$B$5,Datos!$G:$G,$A36))</f>
        <v/>
      </c>
    </row>
    <row r="37" customFormat="false" ht="15" hidden="false" customHeight="false" outlineLevel="0" collapsed="false">
      <c r="A37" s="22" t="n">
        <v>540</v>
      </c>
      <c r="B37" s="22" t="s">
        <v>183</v>
      </c>
      <c r="C37" s="25" t="str">
        <f aca="false">IF(COUNTIFS(Datos!$B:$B,Tablero!$I$5,Datos!$A:$A,Tablero!$B$5,Datos!$G:$G,$A37,Datos!$H:$H,"&gt;=0")=0,"",SUMIFS(Datos!$H:$H,Datos!$B:$B,Tablero!$I$5,Datos!$A:$A,Tablero!$B$5,Datos!$G:$G,$A37))</f>
        <v/>
      </c>
    </row>
    <row r="38" customFormat="false" ht="15" hidden="false" customHeight="false" outlineLevel="0" collapsed="false">
      <c r="A38" s="22" t="n">
        <v>555</v>
      </c>
      <c r="B38" s="22" t="s">
        <v>184</v>
      </c>
      <c r="C38" s="25" t="str">
        <f aca="false">IF(COUNTIFS(Datos!$B:$B,Tablero!$I$5,Datos!$A:$A,Tablero!$B$5,Datos!$G:$G,$A38,Datos!$H:$H,"&gt;=0")=0,"",SUMIFS(Datos!$H:$H,Datos!$B:$B,Tablero!$I$5,Datos!$A:$A,Tablero!$B$5,Datos!$G:$G,$A38))</f>
        <v/>
      </c>
    </row>
    <row r="39" customFormat="false" ht="15" hidden="false" customHeight="false" outlineLevel="0" collapsed="false">
      <c r="A39" s="22" t="n">
        <v>570</v>
      </c>
      <c r="B39" s="22" t="s">
        <v>185</v>
      </c>
      <c r="C39" s="25" t="str">
        <f aca="false">IF(COUNTIFS(Datos!$B:$B,Tablero!$I$5,Datos!$A:$A,Tablero!$B$5,Datos!$G:$G,$A39,Datos!$H:$H,"&gt;=0")=0,"",SUMIFS(Datos!$H:$H,Datos!$B:$B,Tablero!$I$5,Datos!$A:$A,Tablero!$B$5,Datos!$G:$G,$A39))</f>
        <v/>
      </c>
    </row>
    <row r="40" customFormat="false" ht="15" hidden="false" customHeight="false" outlineLevel="0" collapsed="false">
      <c r="A40" s="22" t="n">
        <v>585</v>
      </c>
      <c r="B40" s="22" t="s">
        <v>186</v>
      </c>
      <c r="C40" s="25" t="str">
        <f aca="false">IF(COUNTIFS(Datos!$B:$B,Tablero!$I$5,Datos!$A:$A,Tablero!$B$5,Datos!$G:$G,$A40,Datos!$H:$H,"&gt;=0")=0,"",SUMIFS(Datos!$H:$H,Datos!$B:$B,Tablero!$I$5,Datos!$A:$A,Tablero!$B$5,Datos!$G:$G,$A40))</f>
        <v/>
      </c>
    </row>
    <row r="41" customFormat="false" ht="15" hidden="false" customHeight="false" outlineLevel="0" collapsed="false">
      <c r="A41" s="22" t="n">
        <v>600</v>
      </c>
      <c r="B41" s="22" t="s">
        <v>187</v>
      </c>
      <c r="C41" s="25" t="str">
        <f aca="false">IF(COUNTIFS(Datos!$B:$B,Tablero!$I$5,Datos!$A:$A,Tablero!$B$5,Datos!$G:$G,$A41,Datos!$H:$H,"&gt;=0")=0,"",SUMIFS(Datos!$H:$H,Datos!$B:$B,Tablero!$I$5,Datos!$A:$A,Tablero!$B$5,Datos!$G:$G,$A41))</f>
        <v/>
      </c>
    </row>
    <row r="42" customFormat="false" ht="15" hidden="false" customHeight="false" outlineLevel="0" collapsed="false">
      <c r="A42" s="22" t="n">
        <v>615</v>
      </c>
      <c r="B42" s="22" t="s">
        <v>188</v>
      </c>
      <c r="C42" s="25" t="str">
        <f aca="false">IF(COUNTIFS(Datos!$B:$B,Tablero!$I$5,Datos!$A:$A,Tablero!$B$5,Datos!$G:$G,$A42,Datos!$H:$H,"&gt;=0")=0,"",SUMIFS(Datos!$H:$H,Datos!$B:$B,Tablero!$I$5,Datos!$A:$A,Tablero!$B$5,Datos!$G:$G,$A42))</f>
        <v/>
      </c>
    </row>
    <row r="43" customFormat="false" ht="15" hidden="false" customHeight="false" outlineLevel="0" collapsed="false">
      <c r="A43" s="22" t="n">
        <v>630</v>
      </c>
      <c r="B43" s="22" t="s">
        <v>189</v>
      </c>
      <c r="C43" s="25" t="n">
        <f aca="false">IF(COUNTIFS(Datos!$B:$B,Tablero!$I$5,Datos!$A:$A,Tablero!$B$5,Datos!$G:$G,$A43,Datos!$H:$H,"&gt;=0")=0,"",SUMIFS(Datos!$H:$H,Datos!$B:$B,Tablero!$I$5,Datos!$A:$A,Tablero!$B$5,Datos!$G:$G,$A43))</f>
        <v>89</v>
      </c>
    </row>
    <row r="44" customFormat="false" ht="15" hidden="false" customHeight="false" outlineLevel="0" collapsed="false">
      <c r="A44" s="22" t="n">
        <v>645</v>
      </c>
      <c r="B44" s="22" t="s">
        <v>190</v>
      </c>
      <c r="C44" s="25" t="n">
        <f aca="false">IF(COUNTIFS(Datos!$B:$B,Tablero!$I$5,Datos!$A:$A,Tablero!$B$5,Datos!$G:$G,$A44,Datos!$H:$H,"&gt;=0")=0,"",SUMIFS(Datos!$H:$H,Datos!$B:$B,Tablero!$I$5,Datos!$A:$A,Tablero!$B$5,Datos!$G:$G,$A44))</f>
        <v>86.3759999999311</v>
      </c>
    </row>
    <row r="45" customFormat="false" ht="15" hidden="false" customHeight="false" outlineLevel="0" collapsed="false">
      <c r="A45" s="22" t="n">
        <v>660</v>
      </c>
      <c r="B45" s="22" t="s">
        <v>191</v>
      </c>
      <c r="C45" s="25" t="n">
        <f aca="false">IF(COUNTIFS(Datos!$B:$B,Tablero!$I$5,Datos!$A:$A,Tablero!$B$5,Datos!$G:$G,$A45,Datos!$H:$H,"&gt;=0")=0,"",SUMIFS(Datos!$H:$H,Datos!$B:$B,Tablero!$I$5,Datos!$A:$A,Tablero!$B$5,Datos!$G:$G,$A45))</f>
        <v>83.752000000095</v>
      </c>
    </row>
    <row r="46" customFormat="false" ht="15" hidden="false" customHeight="false" outlineLevel="0" collapsed="false">
      <c r="A46" s="22" t="n">
        <v>675</v>
      </c>
      <c r="B46" s="22" t="s">
        <v>192</v>
      </c>
      <c r="C46" s="25" t="n">
        <f aca="false">IF(COUNTIFS(Datos!$B:$B,Tablero!$I$5,Datos!$A:$A,Tablero!$B$5,Datos!$G:$G,$A46,Datos!$H:$H,"&gt;=0")=0,"",SUMIFS(Datos!$H:$H,Datos!$B:$B,Tablero!$I$5,Datos!$A:$A,Tablero!$B$5,Datos!$G:$G,$A46))</f>
        <v>84</v>
      </c>
    </row>
    <row r="47" customFormat="false" ht="15" hidden="false" customHeight="false" outlineLevel="0" collapsed="false">
      <c r="A47" s="22" t="n">
        <v>690</v>
      </c>
      <c r="B47" s="22" t="s">
        <v>193</v>
      </c>
      <c r="C47" s="25" t="n">
        <f aca="false">IF(COUNTIFS(Datos!$B:$B,Tablero!$I$5,Datos!$A:$A,Tablero!$B$5,Datos!$G:$G,$A47,Datos!$H:$H,"&gt;=0")=0,"",SUMIFS(Datos!$H:$H,Datos!$B:$B,Tablero!$I$5,Datos!$A:$A,Tablero!$B$5,Datos!$G:$G,$A47))</f>
        <v>84.8719999999739</v>
      </c>
    </row>
    <row r="48" customFormat="false" ht="15" hidden="false" customHeight="false" outlineLevel="0" collapsed="false">
      <c r="A48" s="22" t="n">
        <v>705</v>
      </c>
      <c r="B48" s="22" t="s">
        <v>194</v>
      </c>
      <c r="C48" s="25" t="n">
        <f aca="false">IF(COUNTIFS(Datos!$B:$B,Tablero!$I$5,Datos!$A:$A,Tablero!$B$5,Datos!$G:$G,$A48,Datos!$H:$H,"&gt;=0")=0,"",SUMIFS(Datos!$H:$H,Datos!$B:$B,Tablero!$I$5,Datos!$A:$A,Tablero!$B$5,Datos!$G:$G,$A48))</f>
        <v>81</v>
      </c>
    </row>
    <row r="49" customFormat="false" ht="15" hidden="false" customHeight="false" outlineLevel="0" collapsed="false">
      <c r="A49" s="22" t="n">
        <v>720</v>
      </c>
      <c r="B49" s="22" t="s">
        <v>195</v>
      </c>
      <c r="C49" s="25" t="n">
        <f aca="false">IF(COUNTIFS(Datos!$B:$B,Tablero!$I$5,Datos!$A:$A,Tablero!$B$5,Datos!$G:$G,$A49,Datos!$H:$H,"&gt;=0")=0,"",SUMIFS(Datos!$H:$H,Datos!$B:$B,Tablero!$I$5,Datos!$A:$A,Tablero!$B$5,Datos!$G:$G,$A49))</f>
        <v>79.6280000000261</v>
      </c>
    </row>
    <row r="50" customFormat="false" ht="15" hidden="false" customHeight="false" outlineLevel="0" collapsed="false">
      <c r="A50" s="22" t="n">
        <v>735</v>
      </c>
      <c r="B50" s="22" t="s">
        <v>196</v>
      </c>
      <c r="C50" s="25" t="n">
        <f aca="false">IF(COUNTIFS(Datos!$B:$B,Tablero!$I$5,Datos!$A:$A,Tablero!$B$5,Datos!$G:$G,$A50,Datos!$H:$H,"&gt;=0")=0,"",SUMIFS(Datos!$H:$H,Datos!$B:$B,Tablero!$I$5,Datos!$A:$A,Tablero!$B$5,Datos!$G:$G,$A50))</f>
        <v>80.247999999905</v>
      </c>
    </row>
    <row r="51" customFormat="false" ht="15" hidden="false" customHeight="false" outlineLevel="0" collapsed="false">
      <c r="A51" s="22" t="n">
        <v>750</v>
      </c>
      <c r="B51" s="22" t="s">
        <v>197</v>
      </c>
      <c r="C51" s="25" t="n">
        <f aca="false">IF(COUNTIFS(Datos!$B:$B,Tablero!$I$5,Datos!$A:$A,Tablero!$B$5,Datos!$G:$G,$A51,Datos!$H:$H,"&gt;=0")=0,"",SUMIFS(Datos!$H:$H,Datos!$B:$B,Tablero!$I$5,Datos!$A:$A,Tablero!$B$5,Datos!$G:$G,$A51))</f>
        <v>94.752000000095</v>
      </c>
    </row>
    <row r="52" customFormat="false" ht="15" hidden="false" customHeight="false" outlineLevel="0" collapsed="false">
      <c r="A52" s="22" t="n">
        <v>765</v>
      </c>
      <c r="B52" s="22" t="s">
        <v>198</v>
      </c>
      <c r="C52" s="25" t="n">
        <f aca="false">IF(COUNTIFS(Datos!$B:$B,Tablero!$I$5,Datos!$A:$A,Tablero!$B$5,Datos!$G:$G,$A52,Datos!$H:$H,"&gt;=0")=0,"",SUMIFS(Datos!$H:$H,Datos!$B:$B,Tablero!$I$5,Datos!$A:$A,Tablero!$B$5,Datos!$G:$G,$A52))</f>
        <v>95.6239999998361</v>
      </c>
    </row>
    <row r="53" customFormat="false" ht="15" hidden="false" customHeight="false" outlineLevel="0" collapsed="false">
      <c r="A53" s="22" t="n">
        <v>780</v>
      </c>
      <c r="B53" s="22" t="s">
        <v>199</v>
      </c>
      <c r="C53" s="25" t="n">
        <f aca="false">IF(COUNTIFS(Datos!$B:$B,Tablero!$I$5,Datos!$A:$A,Tablero!$B$5,Datos!$G:$G,$A53,Datos!$H:$H,"&gt;=0")=0,"",SUMIFS(Datos!$H:$H,Datos!$B:$B,Tablero!$I$5,Datos!$A:$A,Tablero!$B$5,Datos!$G:$G,$A53))</f>
        <v>94.1240000000689</v>
      </c>
    </row>
    <row r="54" customFormat="false" ht="15" hidden="false" customHeight="false" outlineLevel="0" collapsed="false">
      <c r="A54" s="22" t="n">
        <v>795</v>
      </c>
      <c r="B54" s="22" t="s">
        <v>200</v>
      </c>
      <c r="C54" s="25" t="n">
        <f aca="false">IF(COUNTIFS(Datos!$B:$B,Tablero!$I$5,Datos!$A:$A,Tablero!$B$5,Datos!$G:$G,$A54,Datos!$H:$H,"&gt;=0")=0,"",SUMIFS(Datos!$H:$H,Datos!$B:$B,Tablero!$I$5,Datos!$A:$A,Tablero!$B$5,Datos!$G:$G,$A54))</f>
        <v>89.3759999999311</v>
      </c>
    </row>
    <row r="55" customFormat="false" ht="15" hidden="false" customHeight="false" outlineLevel="0" collapsed="false">
      <c r="A55" s="22" t="n">
        <v>810</v>
      </c>
      <c r="B55" s="22" t="s">
        <v>201</v>
      </c>
      <c r="C55" s="25" t="n">
        <f aca="false">IF(COUNTIFS(Datos!$B:$B,Tablero!$I$5,Datos!$A:$A,Tablero!$B$5,Datos!$G:$G,$A55,Datos!$H:$H,"&gt;=0")=0,"",SUMIFS(Datos!$H:$H,Datos!$B:$B,Tablero!$I$5,Datos!$A:$A,Tablero!$B$5,Datos!$G:$G,$A55))</f>
        <v>85.7480000001378</v>
      </c>
    </row>
    <row r="56" customFormat="false" ht="15" hidden="false" customHeight="false" outlineLevel="0" collapsed="false">
      <c r="A56" s="22" t="n">
        <v>825</v>
      </c>
      <c r="B56" s="22" t="s">
        <v>202</v>
      </c>
      <c r="C56" s="25" t="n">
        <f aca="false">IF(COUNTIFS(Datos!$B:$B,Tablero!$I$5,Datos!$A:$A,Tablero!$B$5,Datos!$G:$G,$A56,Datos!$H:$H,"&gt;=0")=0,"",SUMIFS(Datos!$H:$H,Datos!$B:$B,Tablero!$I$5,Datos!$A:$A,Tablero!$B$5,Datos!$G:$G,$A56))</f>
        <v>87.1280000000261</v>
      </c>
    </row>
    <row r="57" customFormat="false" ht="15" hidden="false" customHeight="false" outlineLevel="0" collapsed="false">
      <c r="A57" s="22" t="n">
        <v>840</v>
      </c>
      <c r="B57" s="22" t="s">
        <v>203</v>
      </c>
      <c r="C57" s="25" t="n">
        <f aca="false">IF(COUNTIFS(Datos!$B:$B,Tablero!$I$5,Datos!$A:$A,Tablero!$B$5,Datos!$G:$G,$A57,Datos!$H:$H,"&gt;=0")=0,"",SUMIFS(Datos!$H:$H,Datos!$B:$B,Tablero!$I$5,Datos!$A:$A,Tablero!$B$5,Datos!$G:$G,$A57))</f>
        <v>91</v>
      </c>
    </row>
    <row r="58" customFormat="false" ht="15" hidden="false" customHeight="false" outlineLevel="0" collapsed="false">
      <c r="A58" s="22" t="n">
        <v>855</v>
      </c>
      <c r="B58" s="22" t="s">
        <v>204</v>
      </c>
      <c r="C58" s="25" t="n">
        <f aca="false">IF(COUNTIFS(Datos!$B:$B,Tablero!$I$5,Datos!$A:$A,Tablero!$B$5,Datos!$G:$G,$A58,Datos!$H:$H,"&gt;=0")=0,"",SUMIFS(Datos!$H:$H,Datos!$B:$B,Tablero!$I$5,Datos!$A:$A,Tablero!$B$5,Datos!$G:$G,$A58))</f>
        <v>92.1239999998361</v>
      </c>
    </row>
    <row r="59" customFormat="false" ht="15" hidden="false" customHeight="false" outlineLevel="0" collapsed="false">
      <c r="A59" s="22" t="n">
        <v>870</v>
      </c>
      <c r="B59" s="22" t="s">
        <v>205</v>
      </c>
      <c r="C59" s="25" t="n">
        <f aca="false">IF(COUNTIFS(Datos!$B:$B,Tablero!$I$5,Datos!$A:$A,Tablero!$B$5,Datos!$G:$G,$A59,Datos!$H:$H,"&gt;=0")=0,"",SUMIFS(Datos!$H:$H,Datos!$B:$B,Tablero!$I$5,Datos!$A:$A,Tablero!$B$5,Datos!$G:$G,$A59))</f>
        <v>93.3760000001639</v>
      </c>
    </row>
    <row r="60" customFormat="false" ht="15" hidden="false" customHeight="false" outlineLevel="0" collapsed="false">
      <c r="A60" s="22" t="n">
        <v>885</v>
      </c>
      <c r="B60" s="22" t="s">
        <v>206</v>
      </c>
      <c r="C60" s="25" t="n">
        <f aca="false">IF(COUNTIFS(Datos!$B:$B,Tablero!$I$5,Datos!$A:$A,Tablero!$B$5,Datos!$G:$G,$A60,Datos!$H:$H,"&gt;=0")=0,"",SUMIFS(Datos!$H:$H,Datos!$B:$B,Tablero!$I$5,Datos!$A:$A,Tablero!$B$5,Datos!$G:$G,$A60))</f>
        <v>94.1239999998361</v>
      </c>
    </row>
    <row r="61" customFormat="false" ht="15" hidden="false" customHeight="false" outlineLevel="0" collapsed="false">
      <c r="A61" s="22" t="n">
        <v>900</v>
      </c>
      <c r="B61" s="22" t="s">
        <v>207</v>
      </c>
      <c r="C61" s="25" t="n">
        <f aca="false">IF(COUNTIFS(Datos!$B:$B,Tablero!$I$5,Datos!$A:$A,Tablero!$B$5,Datos!$G:$G,$A61,Datos!$H:$H,"&gt;=0")=0,"",SUMIFS(Datos!$H:$H,Datos!$B:$B,Tablero!$I$5,Datos!$A:$A,Tablero!$B$5,Datos!$G:$G,$A61))</f>
        <v>92.2480000001378</v>
      </c>
    </row>
    <row r="62" customFormat="false" ht="15" hidden="false" customHeight="false" outlineLevel="0" collapsed="false">
      <c r="A62" s="22" t="n">
        <v>915</v>
      </c>
      <c r="B62" s="22" t="s">
        <v>208</v>
      </c>
      <c r="C62" s="25" t="str">
        <f aca="false">IF(COUNTIFS(Datos!$B:$B,Tablero!$I$5,Datos!$A:$A,Tablero!$B$5,Datos!$G:$G,$A62,Datos!$H:$H,"&gt;=0")=0,"",SUMIFS(Datos!$H:$H,Datos!$B:$B,Tablero!$I$5,Datos!$A:$A,Tablero!$B$5,Datos!$G:$G,$A62))</f>
        <v/>
      </c>
    </row>
    <row r="63" customFormat="false" ht="15" hidden="false" customHeight="false" outlineLevel="0" collapsed="false">
      <c r="A63" s="22" t="n">
        <v>930</v>
      </c>
      <c r="B63" s="22" t="s">
        <v>209</v>
      </c>
      <c r="C63" s="25" t="str">
        <f aca="false">IF(COUNTIFS(Datos!$B:$B,Tablero!$I$5,Datos!$A:$A,Tablero!$B$5,Datos!$G:$G,$A63,Datos!$H:$H,"&gt;=0")=0,"",SUMIFS(Datos!$H:$H,Datos!$B:$B,Tablero!$I$5,Datos!$A:$A,Tablero!$B$5,Datos!$G:$G,$A63))</f>
        <v/>
      </c>
    </row>
    <row r="64" customFormat="false" ht="15" hidden="false" customHeight="false" outlineLevel="0" collapsed="false">
      <c r="A64" s="22" t="n">
        <v>945</v>
      </c>
      <c r="B64" s="22" t="s">
        <v>210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211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212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213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214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215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216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217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218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219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220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221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222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223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224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225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226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227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228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229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230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231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232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233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234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235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236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237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238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239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240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241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242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243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</cols>
  <sheetData>
    <row r="1" customFormat="false" ht="16.15" hidden="false" customHeight="false" outlineLevel="0" collapsed="false">
      <c r="A1" s="27" t="s">
        <v>244</v>
      </c>
    </row>
    <row r="2" customFormat="false" ht="15" hidden="false" customHeight="false" outlineLevel="0" collapsed="false">
      <c r="A2" s="10" t="s">
        <v>36</v>
      </c>
      <c r="B2" s="10" t="s">
        <v>135</v>
      </c>
      <c r="C2" s="10" t="s">
        <v>136</v>
      </c>
      <c r="D2" s="10" t="s">
        <v>137</v>
      </c>
      <c r="E2" s="10" t="s">
        <v>138</v>
      </c>
      <c r="F2" s="10" t="s">
        <v>139</v>
      </c>
      <c r="G2" s="10" t="s">
        <v>140</v>
      </c>
      <c r="H2" s="10" t="s">
        <v>141</v>
      </c>
      <c r="I2" s="10" t="s">
        <v>142</v>
      </c>
      <c r="J2" s="10" t="s">
        <v>5</v>
      </c>
      <c r="K2" s="10" t="s">
        <v>143</v>
      </c>
      <c r="L2" s="10" t="s">
        <v>245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SUM(B3:K3)</f>
        <v>938.852999999988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SUM(B4:K4)</f>
        <v>1356.01700000002</v>
      </c>
    </row>
    <row r="6" customFormat="false" ht="16.15" hidden="false" customHeight="false" outlineLevel="0" collapsed="false">
      <c r="A6" s="27" t="s">
        <v>246</v>
      </c>
    </row>
    <row r="7" customFormat="false" ht="15" hidden="false" customHeight="false" outlineLevel="0" collapsed="false">
      <c r="A7" s="10" t="s">
        <v>36</v>
      </c>
      <c r="B7" s="10" t="s">
        <v>135</v>
      </c>
      <c r="C7" s="10" t="s">
        <v>136</v>
      </c>
      <c r="D7" s="10" t="s">
        <v>137</v>
      </c>
      <c r="E7" s="10" t="s">
        <v>138</v>
      </c>
      <c r="F7" s="10" t="s">
        <v>139</v>
      </c>
      <c r="G7" s="10" t="s">
        <v>140</v>
      </c>
      <c r="H7" s="10" t="s">
        <v>141</v>
      </c>
      <c r="I7" s="10" t="s">
        <v>142</v>
      </c>
      <c r="J7" s="10" t="s">
        <v>5</v>
      </c>
      <c r="K7" s="10" t="s">
        <v>143</v>
      </c>
      <c r="L7" s="10" t="s">
        <v>245</v>
      </c>
    </row>
    <row r="8" customFormat="false" ht="15" hidden="false" customHeight="false" outlineLevel="0" collapsed="false">
      <c r="A8" s="21" t="n">
        <v>46302</v>
      </c>
      <c r="B8" s="19" t="str">
        <f aca="false">IF(OR(COUNTIFS(Datos!$B:$B,"192.168.50.3",Datos!$A:$A,$A8,Datos!$D:$D,"&gt;0",Datos!$G:$G,(HOUR(Tablero!$D$5)*60+MINUTE(Tablero!$D$5)))=0,COUNTIFS(Datos!$B:$B,"192.168.50.3",Datos!$A:$A,$A8-1,Datos!$D:$D,"&gt;0",Datos!$G:$G,(HOUR(Tablero!$D$5)*60+MINUTE(Tablero!$D$5)))=0),"",SUMIFS(Datos!$D:$D,Datos!$B:$B,"192.168.50.3",Datos!$A:$A,$A8,Datos!$D:$D,"&gt;0",Datos!$G:$G,(HOUR(Tablero!$D$5)*60+MINUTE(Tablero!$D$5)))-SUMIFS(Datos!$D:$D,Datos!$B:$B,"192.168.50.3",Datos!$A:$A,$A8-1,Datos!$D:$D,"&gt;0",Datos!$G:$G,(HOUR(Tablero!$D$5)*60+MINUTE(Tablero!$D$5))))</f>
        <v/>
      </c>
      <c r="C8" s="19" t="str">
        <f aca="false">IF(OR(COUNTIFS(Datos!$B:$B,"192.168.50.4",Datos!$A:$A,$A8,Datos!$D:$D,"&gt;0",Datos!$G:$G,(HOUR(Tablero!$D$5)*60+MINUTE(Tablero!$D$5)))=0,COUNTIFS(Datos!$B:$B,"192.168.50.4",Datos!$A:$A,$A8-1,Datos!$D:$D,"&gt;0",Datos!$G:$G,(HOUR(Tablero!$D$5)*60+MINUTE(Tablero!$D$5)))=0),"",SUMIFS(Datos!$D:$D,Datos!$B:$B,"192.168.50.4",Datos!$A:$A,$A8,Datos!$D:$D,"&gt;0",Datos!$G:$G,(HOUR(Tablero!$D$5)*60+MINUTE(Tablero!$D$5)))-SUMIFS(Datos!$D:$D,Datos!$B:$B,"192.168.50.4",Datos!$A:$A,$A8-1,Datos!$D:$D,"&gt;0",Datos!$G:$G,(HOUR(Tablero!$D$5)*60+MINUTE(Tablero!$D$5))))</f>
        <v/>
      </c>
      <c r="D8" s="19" t="str">
        <f aca="false">IF(OR(COUNTIFS(Datos!$B:$B,"192.168.50.5",Datos!$A:$A,$A8,Datos!$D:$D,"&gt;0",Datos!$G:$G,(HOUR(Tablero!$D$5)*60+MINUTE(Tablero!$D$5)))=0,COUNTIFS(Datos!$B:$B,"192.168.50.5",Datos!$A:$A,$A8-1,Datos!$D:$D,"&gt;0",Datos!$G:$G,(HOUR(Tablero!$D$5)*60+MINUTE(Tablero!$D$5)))=0),"",SUMIFS(Datos!$D:$D,Datos!$B:$B,"192.168.50.5",Datos!$A:$A,$A8,Datos!$D:$D,"&gt;0",Datos!$G:$G,(HOUR(Tablero!$D$5)*60+MINUTE(Tablero!$D$5)))-SUMIFS(Datos!$D:$D,Datos!$B:$B,"192.168.50.5",Datos!$A:$A,$A8-1,Datos!$D:$D,"&gt;0",Datos!$G:$G,(HOUR(Tablero!$D$5)*60+MINUTE(Tablero!$D$5))))</f>
        <v/>
      </c>
      <c r="E8" s="19" t="str">
        <f aca="false">IF(OR(COUNTIFS(Datos!$B:$B,"192.168.50.6",Datos!$A:$A,$A8,Datos!$D:$D,"&gt;0",Datos!$G:$G,(HOUR(Tablero!$D$5)*60+MINUTE(Tablero!$D$5)))=0,COUNTIFS(Datos!$B:$B,"192.168.50.6",Datos!$A:$A,$A8-1,Datos!$D:$D,"&gt;0",Datos!$G:$G,(HOUR(Tablero!$D$5)*60+MINUTE(Tablero!$D$5)))=0),"",SUMIFS(Datos!$D:$D,Datos!$B:$B,"192.168.50.6",Datos!$A:$A,$A8,Datos!$D:$D,"&gt;0",Datos!$G:$G,(HOUR(Tablero!$D$5)*60+MINUTE(Tablero!$D$5)))-SUMIFS(Datos!$D:$D,Datos!$B:$B,"192.168.50.6",Datos!$A:$A,$A8-1,Datos!$D:$D,"&gt;0",Datos!$G:$G,(HOUR(Tablero!$D$5)*60+MINUTE(Tablero!$D$5))))</f>
        <v/>
      </c>
      <c r="F8" s="19" t="str">
        <f aca="false">IF(OR(COUNTIFS(Datos!$B:$B,"192.168.50.7",Datos!$A:$A,$A8,Datos!$D:$D,"&gt;0",Datos!$G:$G,(HOUR(Tablero!$D$5)*60+MINUTE(Tablero!$D$5)))=0,COUNTIFS(Datos!$B:$B,"192.168.50.7",Datos!$A:$A,$A8-1,Datos!$D:$D,"&gt;0",Datos!$G:$G,(HOUR(Tablero!$D$5)*60+MINUTE(Tablero!$D$5)))=0),"",SUMIFS(Datos!$D:$D,Datos!$B:$B,"192.168.50.7",Datos!$A:$A,$A8,Datos!$D:$D,"&gt;0",Datos!$G:$G,(HOUR(Tablero!$D$5)*60+MINUTE(Tablero!$D$5)))-SUMIFS(Datos!$D:$D,Datos!$B:$B,"192.168.50.7",Datos!$A:$A,$A8-1,Datos!$D:$D,"&gt;0",Datos!$G:$G,(HOUR(Tablero!$D$5)*60+MINUTE(Tablero!$D$5))))</f>
        <v/>
      </c>
      <c r="G8" s="19" t="str">
        <f aca="false">IF(OR(COUNTIFS(Datos!$B:$B,"192.168.1.168",Datos!$A:$A,$A8,Datos!$D:$D,"&gt;0",Datos!$G:$G,(HOUR(Tablero!$D$5)*60+MINUTE(Tablero!$D$5)))=0,COUNTIFS(Datos!$B:$B,"192.168.1.168",Datos!$A:$A,$A8-1,Datos!$D:$D,"&gt;0",Datos!$G:$G,(HOUR(Tablero!$D$5)*60+MINUTE(Tablero!$D$5)))=0),"",SUMIFS(Datos!$D:$D,Datos!$B:$B,"192.168.1.168",Datos!$A:$A,$A8,Datos!$D:$D,"&gt;0",Datos!$G:$G,(HOUR(Tablero!$D$5)*60+MINUTE(Tablero!$D$5)))-SUMIFS(Datos!$D:$D,Datos!$B:$B,"192.168.1.168",Datos!$A:$A,$A8-1,Datos!$D:$D,"&gt;0",Datos!$G:$G,(HOUR(Tablero!$D$5)*60+MINUTE(Tablero!$D$5))))</f>
        <v/>
      </c>
      <c r="H8" s="19" t="str">
        <f aca="false">IF(OR(COUNTIFS(Datos!$B:$B,"192.168.50.8",Datos!$A:$A,$A8,Datos!$D:$D,"&gt;0",Datos!$G:$G,(HOUR(Tablero!$D$5)*60+MINUTE(Tablero!$D$5)))=0,COUNTIFS(Datos!$B:$B,"192.168.50.8",Datos!$A:$A,$A8-1,Datos!$D:$D,"&gt;0",Datos!$G:$G,(HOUR(Tablero!$D$5)*60+MINUTE(Tablero!$D$5)))=0),"",SUMIFS(Datos!$D:$D,Datos!$B:$B,"192.168.50.8",Datos!$A:$A,$A8,Datos!$D:$D,"&gt;0",Datos!$G:$G,(HOUR(Tablero!$D$5)*60+MINUTE(Tablero!$D$5)))-SUMIFS(Datos!$D:$D,Datos!$B:$B,"192.168.50.8",Datos!$A:$A,$A8-1,Datos!$D:$D,"&gt;0",Datos!$G:$G,(HOUR(Tablero!$D$5)*60+MINUTE(Tablero!$D$5))))</f>
        <v/>
      </c>
      <c r="I8" s="19" t="str">
        <f aca="false">IF(OR(COUNTIFS(Datos!$B:$B,"192.168.50.9",Datos!$A:$A,$A8,Datos!$D:$D,"&gt;0",Datos!$G:$G,(HOUR(Tablero!$D$5)*60+MINUTE(Tablero!$D$5)))=0,COUNTIFS(Datos!$B:$B,"192.168.50.9",Datos!$A:$A,$A8-1,Datos!$D:$D,"&gt;0",Datos!$G:$G,(HOUR(Tablero!$D$5)*60+MINUTE(Tablero!$D$5)))=0),"",SUMIFS(Datos!$D:$D,Datos!$B:$B,"192.168.50.9",Datos!$A:$A,$A8,Datos!$D:$D,"&gt;0",Datos!$G:$G,(HOUR(Tablero!$D$5)*60+MINUTE(Tablero!$D$5)))-SUMIFS(Datos!$D:$D,Datos!$B:$B,"192.168.50.9",Datos!$A:$A,$A8-1,Datos!$D:$D,"&gt;0",Datos!$G:$G,(HOUR(Tablero!$D$5)*60+MINUTE(Tablero!$D$5))))</f>
        <v/>
      </c>
      <c r="J8" s="19" t="str">
        <f aca="false">IF(OR(COUNTIFS(Datos!$B:$B,"192.168.50.10",Datos!$A:$A,$A8,Datos!$D:$D,"&gt;0",Datos!$G:$G,(HOUR(Tablero!$D$5)*60+MINUTE(Tablero!$D$5)))=0,COUNTIFS(Datos!$B:$B,"192.168.50.10",Datos!$A:$A,$A8-1,Datos!$D:$D,"&gt;0",Datos!$G:$G,(HOUR(Tablero!$D$5)*60+MINUTE(Tablero!$D$5)))=0),"",SUMIFS(Datos!$D:$D,Datos!$B:$B,"192.168.50.10",Datos!$A:$A,$A8,Datos!$D:$D,"&gt;0",Datos!$G:$G,(HOUR(Tablero!$D$5)*60+MINUTE(Tablero!$D$5)))-SUMIFS(Datos!$D:$D,Datos!$B:$B,"192.168.50.10",Datos!$A:$A,$A8-1,Datos!$D:$D,"&gt;0",Datos!$G:$G,(HOUR(Tablero!$D$5)*60+MINUTE(Tablero!$D$5))))</f>
        <v/>
      </c>
      <c r="K8" s="19" t="str">
        <f aca="false">IF(OR(COUNTIFS(Datos!$B:$B,"192.168.50.11",Datos!$A:$A,$A8,Datos!$D:$D,"&gt;0",Datos!$G:$G,(HOUR(Tablero!$D$5)*60+MINUTE(Tablero!$D$5)))=0,COUNTIFS(Datos!$B:$B,"192.168.50.11",Datos!$A:$A,$A8-1,Datos!$D:$D,"&gt;0",Datos!$G:$G,(HOUR(Tablero!$D$5)*60+MINUTE(Tablero!$D$5)))=0),"",SUMIFS(Datos!$D:$D,Datos!$B:$B,"192.168.50.11",Datos!$A:$A,$A8,Datos!$D:$D,"&gt;0",Datos!$G:$G,(HOUR(Tablero!$D$5)*60+MINUTE(Tablero!$D$5)))-SUMIFS(Datos!$D:$D,Datos!$B:$B,"192.168.50.11",Datos!$A:$A,$A8-1,Datos!$D:$D,"&gt;0",Datos!$G:$G,(HOUR(Tablero!$D$5)*60+MINUTE(Tablero!$D$5))))</f>
        <v/>
      </c>
      <c r="L8" s="28" t="str">
        <f aca="false">IF(COUNT(B8:K8)=0,"",SUM(B8:K8))</f>
        <v/>
      </c>
    </row>
    <row r="9" customFormat="false" ht="15" hidden="false" customHeight="false" outlineLevel="0" collapsed="false">
      <c r="A9" s="21" t="n">
        <v>46303</v>
      </c>
      <c r="B9" s="19" t="str">
        <f aca="false">IF(OR(COUNTIFS(Datos!$B:$B,"192.168.50.3",Datos!$A:$A,$A9,Datos!$D:$D,"&gt;0",Datos!$G:$G,(HOUR(Tablero!$D$5)*60+MINUTE(Tablero!$D$5)))=0,COUNTIFS(Datos!$B:$B,"192.168.50.3",Datos!$A:$A,$A9-1,Datos!$D:$D,"&gt;0",Datos!$G:$G,(HOUR(Tablero!$D$5)*60+MINUTE(Tablero!$D$5)))=0),"",SUMIFS(Datos!$D:$D,Datos!$B:$B,"192.168.50.3",Datos!$A:$A,$A9,Datos!$D:$D,"&gt;0",Datos!$G:$G,(HOUR(Tablero!$D$5)*60+MINUTE(Tablero!$D$5)))-SUMIFS(Datos!$D:$D,Datos!$B:$B,"192.168.50.3",Datos!$A:$A,$A9-1,Datos!$D:$D,"&gt;0",Datos!$G:$G,(HOUR(Tablero!$D$5)*60+MINUTE(Tablero!$D$5))))</f>
        <v/>
      </c>
      <c r="C9" s="19" t="str">
        <f aca="false">IF(OR(COUNTIFS(Datos!$B:$B,"192.168.50.4",Datos!$A:$A,$A9,Datos!$D:$D,"&gt;0",Datos!$G:$G,(HOUR(Tablero!$D$5)*60+MINUTE(Tablero!$D$5)))=0,COUNTIFS(Datos!$B:$B,"192.168.50.4",Datos!$A:$A,$A9-1,Datos!$D:$D,"&gt;0",Datos!$G:$G,(HOUR(Tablero!$D$5)*60+MINUTE(Tablero!$D$5)))=0),"",SUMIFS(Datos!$D:$D,Datos!$B:$B,"192.168.50.4",Datos!$A:$A,$A9,Datos!$D:$D,"&gt;0",Datos!$G:$G,(HOUR(Tablero!$D$5)*60+MINUTE(Tablero!$D$5)))-SUMIFS(Datos!$D:$D,Datos!$B:$B,"192.168.50.4",Datos!$A:$A,$A9-1,Datos!$D:$D,"&gt;0",Datos!$G:$G,(HOUR(Tablero!$D$5)*60+MINUTE(Tablero!$D$5))))</f>
        <v/>
      </c>
      <c r="D9" s="19" t="str">
        <f aca="false">IF(OR(COUNTIFS(Datos!$B:$B,"192.168.50.5",Datos!$A:$A,$A9,Datos!$D:$D,"&gt;0",Datos!$G:$G,(HOUR(Tablero!$D$5)*60+MINUTE(Tablero!$D$5)))=0,COUNTIFS(Datos!$B:$B,"192.168.50.5",Datos!$A:$A,$A9-1,Datos!$D:$D,"&gt;0",Datos!$G:$G,(HOUR(Tablero!$D$5)*60+MINUTE(Tablero!$D$5)))=0),"",SUMIFS(Datos!$D:$D,Datos!$B:$B,"192.168.50.5",Datos!$A:$A,$A9,Datos!$D:$D,"&gt;0",Datos!$G:$G,(HOUR(Tablero!$D$5)*60+MINUTE(Tablero!$D$5)))-SUMIFS(Datos!$D:$D,Datos!$B:$B,"192.168.50.5",Datos!$A:$A,$A9-1,Datos!$D:$D,"&gt;0",Datos!$G:$G,(HOUR(Tablero!$D$5)*60+MINUTE(Tablero!$D$5))))</f>
        <v/>
      </c>
      <c r="E9" s="19" t="str">
        <f aca="false">IF(OR(COUNTIFS(Datos!$B:$B,"192.168.50.6",Datos!$A:$A,$A9,Datos!$D:$D,"&gt;0",Datos!$G:$G,(HOUR(Tablero!$D$5)*60+MINUTE(Tablero!$D$5)))=0,COUNTIFS(Datos!$B:$B,"192.168.50.6",Datos!$A:$A,$A9-1,Datos!$D:$D,"&gt;0",Datos!$G:$G,(HOUR(Tablero!$D$5)*60+MINUTE(Tablero!$D$5)))=0),"",SUMIFS(Datos!$D:$D,Datos!$B:$B,"192.168.50.6",Datos!$A:$A,$A9,Datos!$D:$D,"&gt;0",Datos!$G:$G,(HOUR(Tablero!$D$5)*60+MINUTE(Tablero!$D$5)))-SUMIFS(Datos!$D:$D,Datos!$B:$B,"192.168.50.6",Datos!$A:$A,$A9-1,Datos!$D:$D,"&gt;0",Datos!$G:$G,(HOUR(Tablero!$D$5)*60+MINUTE(Tablero!$D$5))))</f>
        <v/>
      </c>
      <c r="F9" s="19" t="str">
        <f aca="false">IF(OR(COUNTIFS(Datos!$B:$B,"192.168.50.7",Datos!$A:$A,$A9,Datos!$D:$D,"&gt;0",Datos!$G:$G,(HOUR(Tablero!$D$5)*60+MINUTE(Tablero!$D$5)))=0,COUNTIFS(Datos!$B:$B,"192.168.50.7",Datos!$A:$A,$A9-1,Datos!$D:$D,"&gt;0",Datos!$G:$G,(HOUR(Tablero!$D$5)*60+MINUTE(Tablero!$D$5)))=0),"",SUMIFS(Datos!$D:$D,Datos!$B:$B,"192.168.50.7",Datos!$A:$A,$A9,Datos!$D:$D,"&gt;0",Datos!$G:$G,(HOUR(Tablero!$D$5)*60+MINUTE(Tablero!$D$5)))-SUMIFS(Datos!$D:$D,Datos!$B:$B,"192.168.50.7",Datos!$A:$A,$A9-1,Datos!$D:$D,"&gt;0",Datos!$G:$G,(HOUR(Tablero!$D$5)*60+MINUTE(Tablero!$D$5))))</f>
        <v/>
      </c>
      <c r="G9" s="19" t="str">
        <f aca="false">IF(OR(COUNTIFS(Datos!$B:$B,"192.168.1.168",Datos!$A:$A,$A9,Datos!$D:$D,"&gt;0",Datos!$G:$G,(HOUR(Tablero!$D$5)*60+MINUTE(Tablero!$D$5)))=0,COUNTIFS(Datos!$B:$B,"192.168.1.168",Datos!$A:$A,$A9-1,Datos!$D:$D,"&gt;0",Datos!$G:$G,(HOUR(Tablero!$D$5)*60+MINUTE(Tablero!$D$5)))=0),"",SUMIFS(Datos!$D:$D,Datos!$B:$B,"192.168.1.168",Datos!$A:$A,$A9,Datos!$D:$D,"&gt;0",Datos!$G:$G,(HOUR(Tablero!$D$5)*60+MINUTE(Tablero!$D$5)))-SUMIFS(Datos!$D:$D,Datos!$B:$B,"192.168.1.168",Datos!$A:$A,$A9-1,Datos!$D:$D,"&gt;0",Datos!$G:$G,(HOUR(Tablero!$D$5)*60+MINUTE(Tablero!$D$5))))</f>
        <v/>
      </c>
      <c r="H9" s="19" t="str">
        <f aca="false">IF(OR(COUNTIFS(Datos!$B:$B,"192.168.50.8",Datos!$A:$A,$A9,Datos!$D:$D,"&gt;0",Datos!$G:$G,(HOUR(Tablero!$D$5)*60+MINUTE(Tablero!$D$5)))=0,COUNTIFS(Datos!$B:$B,"192.168.50.8",Datos!$A:$A,$A9-1,Datos!$D:$D,"&gt;0",Datos!$G:$G,(HOUR(Tablero!$D$5)*60+MINUTE(Tablero!$D$5)))=0),"",SUMIFS(Datos!$D:$D,Datos!$B:$B,"192.168.50.8",Datos!$A:$A,$A9,Datos!$D:$D,"&gt;0",Datos!$G:$G,(HOUR(Tablero!$D$5)*60+MINUTE(Tablero!$D$5)))-SUMIFS(Datos!$D:$D,Datos!$B:$B,"192.168.50.8",Datos!$A:$A,$A9-1,Datos!$D:$D,"&gt;0",Datos!$G:$G,(HOUR(Tablero!$D$5)*60+MINUTE(Tablero!$D$5))))</f>
        <v/>
      </c>
      <c r="I9" s="19" t="str">
        <f aca="false">IF(OR(COUNTIFS(Datos!$B:$B,"192.168.50.9",Datos!$A:$A,$A9,Datos!$D:$D,"&gt;0",Datos!$G:$G,(HOUR(Tablero!$D$5)*60+MINUTE(Tablero!$D$5)))=0,COUNTIFS(Datos!$B:$B,"192.168.50.9",Datos!$A:$A,$A9-1,Datos!$D:$D,"&gt;0",Datos!$G:$G,(HOUR(Tablero!$D$5)*60+MINUTE(Tablero!$D$5)))=0),"",SUMIFS(Datos!$D:$D,Datos!$B:$B,"192.168.50.9",Datos!$A:$A,$A9,Datos!$D:$D,"&gt;0",Datos!$G:$G,(HOUR(Tablero!$D$5)*60+MINUTE(Tablero!$D$5)))-SUMIFS(Datos!$D:$D,Datos!$B:$B,"192.168.50.9",Datos!$A:$A,$A9-1,Datos!$D:$D,"&gt;0",Datos!$G:$G,(HOUR(Tablero!$D$5)*60+MINUTE(Tablero!$D$5))))</f>
        <v/>
      </c>
      <c r="J9" s="19" t="str">
        <f aca="false">IF(OR(COUNTIFS(Datos!$B:$B,"192.168.50.10",Datos!$A:$A,$A9,Datos!$D:$D,"&gt;0",Datos!$G:$G,(HOUR(Tablero!$D$5)*60+MINUTE(Tablero!$D$5)))=0,COUNTIFS(Datos!$B:$B,"192.168.50.10",Datos!$A:$A,$A9-1,Datos!$D:$D,"&gt;0",Datos!$G:$G,(HOUR(Tablero!$D$5)*60+MINUTE(Tablero!$D$5)))=0),"",SUMIFS(Datos!$D:$D,Datos!$B:$B,"192.168.50.10",Datos!$A:$A,$A9,Datos!$D:$D,"&gt;0",Datos!$G:$G,(HOUR(Tablero!$D$5)*60+MINUTE(Tablero!$D$5)))-SUMIFS(Datos!$D:$D,Datos!$B:$B,"192.168.50.10",Datos!$A:$A,$A9-1,Datos!$D:$D,"&gt;0",Datos!$G:$G,(HOUR(Tablero!$D$5)*60+MINUTE(Tablero!$D$5))))</f>
        <v/>
      </c>
      <c r="K9" s="19" t="str">
        <f aca="false">IF(OR(COUNTIFS(Datos!$B:$B,"192.168.50.11",Datos!$A:$A,$A9,Datos!$D:$D,"&gt;0",Datos!$G:$G,(HOUR(Tablero!$D$5)*60+MINUTE(Tablero!$D$5)))=0,COUNTIFS(Datos!$B:$B,"192.168.50.11",Datos!$A:$A,$A9-1,Datos!$D:$D,"&gt;0",Datos!$G:$G,(HOUR(Tablero!$D$5)*60+MINUTE(Tablero!$D$5)))=0),"",SUMIFS(Datos!$D:$D,Datos!$B:$B,"192.168.50.11",Datos!$A:$A,$A9,Datos!$D:$D,"&gt;0",Datos!$G:$G,(HOUR(Tablero!$D$5)*60+MINUTE(Tablero!$D$5)))-SUMIFS(Datos!$D:$D,Datos!$B:$B,"192.168.50.11",Datos!$A:$A,$A9-1,Datos!$D:$D,"&gt;0",Datos!$G:$G,(HOUR(Tablero!$D$5)*60+MINUTE(Tablero!$D$5))))</f>
        <v/>
      </c>
      <c r="L9" s="28" t="str">
        <f aca="false">IF(COUNT(B9:K9)=0,"",SUM(B9:K9))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247</v>
      </c>
    </row>
    <row r="2" customFormat="false" ht="15" hidden="false" customHeight="false" outlineLevel="0" collapsed="false">
      <c r="A2" s="22" t="s">
        <v>248</v>
      </c>
    </row>
    <row r="3" customFormat="false" ht="15" hidden="false" customHeight="false" outlineLevel="0" collapsed="false">
      <c r="A3" s="22" t="s">
        <v>249</v>
      </c>
    </row>
    <row r="4" customFormat="false" ht="15" hidden="false" customHeight="false" outlineLevel="0" collapsed="false">
      <c r="A4" s="22" t="s">
        <v>250</v>
      </c>
    </row>
    <row r="5" customFormat="false" ht="15" hidden="false" customHeight="false" outlineLevel="0" collapsed="false">
      <c r="A5" s="22" t="s">
        <v>251</v>
      </c>
    </row>
    <row r="6" customFormat="false" ht="15" hidden="false" customHeight="false" outlineLevel="0" collapsed="false">
      <c r="A6" s="22" t="s">
        <v>252</v>
      </c>
    </row>
    <row r="7" customFormat="false" ht="15" hidden="false" customHeight="false" outlineLevel="0" collapsed="false">
      <c r="A7" s="22" t="s">
        <v>253</v>
      </c>
    </row>
    <row r="8" customFormat="false" ht="15" hidden="false" customHeight="false" outlineLevel="0" collapsed="false">
      <c r="A8" s="22" t="s">
        <v>254</v>
      </c>
    </row>
    <row r="9" customFormat="false" ht="15" hidden="false" customHeight="false" outlineLevel="0" collapsed="false">
      <c r="A9" s="22" t="s">
        <v>255</v>
      </c>
    </row>
    <row r="10" customFormat="false" ht="15" hidden="false" customHeight="false" outlineLevel="0" collapsed="false">
      <c r="A10" s="2" t="s">
        <v>256</v>
      </c>
    </row>
    <row r="11" customFormat="false" ht="15" hidden="false" customHeight="false" outlineLevel="0" collapsed="false">
      <c r="A11" s="2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2026-10-08T20:31:54Z</dcterms:created>
  <dc:creator>openpyxl</dc:creator>
  <dc:description/>
  <dc:language>en-US</dc:language>
  <cp:lastModifiedBy/>
  <dcterms:modified xsi:type="dcterms:W3CDTF">2026-10-08T20:31:58Z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