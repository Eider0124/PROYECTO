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rio" sheetId="1" state="visible" r:id="rId1"/>
    <sheet name="Resumen" sheetId="2" state="visible" r:id="rId2"/>
    <sheet name="I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#,##0.000"/>
    <numFmt numFmtId="166" formatCode="#,##0.0;(#,##0.0);&quot;-&quot;"/>
  </numFmts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00595959"/>
    </font>
    <font>
      <name val="Arial"/>
      <b val="1"/>
      <color rgb="00FFFFFF"/>
    </font>
    <font>
      <name val="Arial"/>
    </font>
    <font>
      <name val="Arial"/>
      <color rgb="000000FF"/>
    </font>
    <font>
      <name val="Arial"/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FFFF00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4" fontId="4" fillId="0" borderId="1" pivotButton="0" quotePrefix="0" xfId="0"/>
    <xf numFmtId="0" fontId="4" fillId="0" borderId="1" pivotButton="0" quotePrefix="0" xfId="0"/>
    <xf numFmtId="1" fontId="4" fillId="0" borderId="1" pivotButton="0" quotePrefix="0" xfId="0"/>
    <xf numFmtId="165" fontId="5" fillId="0" borderId="1" pivotButton="0" quotePrefix="0" xfId="0"/>
    <xf numFmtId="0" fontId="5" fillId="0" borderId="1" pivotButton="0" quotePrefix="0" xfId="0"/>
    <xf numFmtId="165" fontId="5" fillId="3" borderId="1" pivotButton="0" quotePrefix="0" xfId="0"/>
    <xf numFmtId="166" fontId="4" fillId="0" borderId="1" pivotButton="0" quotePrefix="0" xfId="0"/>
    <xf numFmtId="10" fontId="5" fillId="4" borderId="1" pivotButton="0" quotePrefix="0" xfId="0"/>
    <xf numFmtId="0" fontId="3" fillId="2" borderId="1" pivotButton="0" quotePrefix="0" xfId="0"/>
    <xf numFmtId="0" fontId="6" fillId="5" borderId="1" pivotButton="0" quotePrefix="0" xfId="0"/>
    <xf numFmtId="1" fontId="6" fillId="5" borderId="1" pivotButton="0" quotePrefix="0" xfId="0"/>
    <xf numFmtId="166" fontId="6" fillId="5" borderId="1" pivotButton="0" quotePrefix="0" xfId="0"/>
    <xf numFmtId="2" fontId="5" fillId="0" borderId="1" pivotButton="0" quotePrefix="0" xfId="0"/>
    <xf numFmtId="2" fontId="6" fillId="5" borderId="1" pivotButton="0" quotePrefix="0" xfId="0"/>
    <xf numFmtId="0" fontId="6" fillId="0" borderId="1" pivotButton="0" quotePrefix="0" xfId="0"/>
    <xf numFmtId="1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8" customWidth="1" min="3" max="3"/>
    <col width="12" customWidth="1" min="4" max="4"/>
    <col width="11" customWidth="1" min="5" max="5"/>
    <col width="12" customWidth="1" min="6" max="6"/>
    <col width="11" customWidth="1" min="7" max="7"/>
    <col width="70" customWidth="1" min="8" max="8"/>
  </cols>
  <sheetData>
    <row r="1">
      <c r="A1" s="1" t="inlineStr">
        <is>
          <t>Línea 22 Megatron · consumo de energía activa diario (kWh)</t>
        </is>
      </c>
    </row>
    <row r="2">
      <c r="A2" s="2" t="inlineStr">
        <is>
          <t>Fuente: Informe de eficiencia energética, W. Paniquita, julio 2026, págs. 40-48 (gráficos Ixon).</t>
        </is>
      </c>
    </row>
    <row r="4" ht="30" customHeight="1">
      <c r="A4" s="3" t="inlineStr">
        <is>
          <t>Fecha</t>
        </is>
      </c>
      <c r="B4" s="3" t="inlineStr">
        <is>
          <t>Día</t>
        </is>
      </c>
      <c r="C4" s="3" t="inlineStr">
        <is>
          <t>Mes</t>
        </is>
      </c>
      <c r="D4" s="3" t="inlineStr">
        <is>
          <t>Semana del informe</t>
        </is>
      </c>
      <c r="E4" s="3" t="inlineStr">
        <is>
          <t>kWh</t>
        </is>
      </c>
      <c r="F4" s="3" t="inlineStr">
        <is>
          <t>Calidad del dato</t>
        </is>
      </c>
      <c r="G4" s="3" t="inlineStr">
        <is>
          <t>Incluir en análisis</t>
        </is>
      </c>
      <c r="H4" s="3" t="inlineStr">
        <is>
          <t>Nota</t>
        </is>
      </c>
    </row>
    <row r="5">
      <c r="A5" s="4" t="n">
        <v>46048</v>
      </c>
      <c r="B5" s="5" t="inlineStr">
        <is>
          <t>lunes</t>
        </is>
      </c>
      <c r="C5" s="6">
        <f>MONTH(A5)</f>
        <v/>
      </c>
      <c r="D5" s="5" t="inlineStr">
        <is>
          <t>Ene S4</t>
        </is>
      </c>
      <c r="E5" s="7" t="n">
        <v>72.09</v>
      </c>
      <c r="F5" s="5" t="inlineStr">
        <is>
          <t>leído</t>
        </is>
      </c>
      <c r="G5" s="8" t="inlineStr">
        <is>
          <t>Sí</t>
        </is>
      </c>
      <c r="H5" s="5" t="inlineStr"/>
    </row>
    <row r="6">
      <c r="A6" s="4" t="n">
        <v>46049</v>
      </c>
      <c r="B6" s="5" t="inlineStr">
        <is>
          <t>martes</t>
        </is>
      </c>
      <c r="C6" s="6">
        <f>MONTH(A6)</f>
        <v/>
      </c>
      <c r="D6" s="5" t="inlineStr">
        <is>
          <t>Ene S4</t>
        </is>
      </c>
      <c r="E6" s="7" t="n">
        <v>106.38</v>
      </c>
      <c r="F6" s="5" t="inlineStr">
        <is>
          <t>leído</t>
        </is>
      </c>
      <c r="G6" s="8" t="inlineStr">
        <is>
          <t>Sí</t>
        </is>
      </c>
      <c r="H6" s="5" t="inlineStr"/>
    </row>
    <row r="7">
      <c r="A7" s="4" t="n">
        <v>46050</v>
      </c>
      <c r="B7" s="5" t="inlineStr">
        <is>
          <t>miércoles</t>
        </is>
      </c>
      <c r="C7" s="6">
        <f>MONTH(A7)</f>
        <v/>
      </c>
      <c r="D7" s="5" t="inlineStr">
        <is>
          <t>Ene S4</t>
        </is>
      </c>
      <c r="E7" s="7" t="n">
        <v>108.457</v>
      </c>
      <c r="F7" s="5" t="inlineStr">
        <is>
          <t>leído</t>
        </is>
      </c>
      <c r="G7" s="8" t="inlineStr">
        <is>
          <t>Sí</t>
        </is>
      </c>
      <c r="H7" s="5" t="inlineStr"/>
    </row>
    <row r="8">
      <c r="A8" s="4" t="n">
        <v>46051</v>
      </c>
      <c r="B8" s="5" t="inlineStr">
        <is>
          <t>jueves</t>
        </is>
      </c>
      <c r="C8" s="6">
        <f>MONTH(A8)</f>
        <v/>
      </c>
      <c r="D8" s="5" t="inlineStr">
        <is>
          <t>Ene S4</t>
        </is>
      </c>
      <c r="E8" s="7" t="n">
        <v>105.679</v>
      </c>
      <c r="F8" s="5" t="inlineStr">
        <is>
          <t>leído</t>
        </is>
      </c>
      <c r="G8" s="8" t="inlineStr">
        <is>
          <t>Sí</t>
        </is>
      </c>
      <c r="H8" s="5" t="inlineStr"/>
    </row>
    <row r="9">
      <c r="A9" s="4" t="n">
        <v>46052</v>
      </c>
      <c r="B9" s="5" t="inlineStr">
        <is>
          <t>viernes</t>
        </is>
      </c>
      <c r="C9" s="6">
        <f>MONTH(A9)</f>
        <v/>
      </c>
      <c r="D9" s="5" t="inlineStr">
        <is>
          <t>Ene S4</t>
        </is>
      </c>
      <c r="E9" s="7" t="n">
        <v>74.386</v>
      </c>
      <c r="F9" s="5" t="inlineStr">
        <is>
          <t>leído</t>
        </is>
      </c>
      <c r="G9" s="8" t="inlineStr">
        <is>
          <t>Sí</t>
        </is>
      </c>
      <c r="H9" s="5" t="inlineStr"/>
    </row>
    <row r="10">
      <c r="A10" s="4" t="n">
        <v>46053</v>
      </c>
      <c r="B10" s="5" t="inlineStr">
        <is>
          <t>sábado</t>
        </is>
      </c>
      <c r="C10" s="6">
        <f>MONTH(A10)</f>
        <v/>
      </c>
      <c r="D10" s="5" t="inlineStr">
        <is>
          <t>Ene S4</t>
        </is>
      </c>
      <c r="E10" s="7" t="n">
        <v>27.264</v>
      </c>
      <c r="F10" s="5" t="inlineStr">
        <is>
          <t>leído</t>
        </is>
      </c>
      <c r="G10" s="8" t="inlineStr">
        <is>
          <t>Sí</t>
        </is>
      </c>
      <c r="H10" s="5" t="inlineStr"/>
    </row>
    <row r="11">
      <c r="A11" s="4" t="n">
        <v>46055</v>
      </c>
      <c r="B11" s="5" t="inlineStr">
        <is>
          <t>lunes</t>
        </is>
      </c>
      <c r="C11" s="6">
        <f>MONTH(A11)</f>
        <v/>
      </c>
      <c r="D11" s="5" t="inlineStr">
        <is>
          <t>Feb S1</t>
        </is>
      </c>
      <c r="E11" s="7" t="n">
        <v>111.162</v>
      </c>
      <c r="F11" s="5" t="inlineStr">
        <is>
          <t>leído</t>
        </is>
      </c>
      <c r="G11" s="8" t="inlineStr">
        <is>
          <t>Sí</t>
        </is>
      </c>
      <c r="H11" s="5" t="inlineStr"/>
    </row>
    <row r="12">
      <c r="A12" s="4" t="n">
        <v>46056</v>
      </c>
      <c r="B12" s="5" t="inlineStr">
        <is>
          <t>martes</t>
        </is>
      </c>
      <c r="C12" s="6">
        <f>MONTH(A12)</f>
        <v/>
      </c>
      <c r="D12" s="5" t="inlineStr">
        <is>
          <t>Feb S1</t>
        </is>
      </c>
      <c r="E12" s="7" t="n">
        <v>115.302</v>
      </c>
      <c r="F12" s="5" t="inlineStr">
        <is>
          <t>leído</t>
        </is>
      </c>
      <c r="G12" s="8" t="inlineStr">
        <is>
          <t>Sí</t>
        </is>
      </c>
      <c r="H12" s="5" t="inlineStr"/>
    </row>
    <row r="13">
      <c r="A13" s="4" t="n">
        <v>46057</v>
      </c>
      <c r="B13" s="5" t="inlineStr">
        <is>
          <t>miércoles</t>
        </is>
      </c>
      <c r="C13" s="6">
        <f>MONTH(A13)</f>
        <v/>
      </c>
      <c r="D13" s="5" t="inlineStr">
        <is>
          <t>Feb S1</t>
        </is>
      </c>
      <c r="E13" s="7" t="n">
        <v>101.299</v>
      </c>
      <c r="F13" s="5" t="inlineStr">
        <is>
          <t>leído</t>
        </is>
      </c>
      <c r="G13" s="8" t="inlineStr">
        <is>
          <t>Sí</t>
        </is>
      </c>
      <c r="H13" s="5" t="inlineStr"/>
    </row>
    <row r="14">
      <c r="A14" s="4" t="n">
        <v>46058</v>
      </c>
      <c r="B14" s="5" t="inlineStr">
        <is>
          <t>jueves</t>
        </is>
      </c>
      <c r="C14" s="6">
        <f>MONTH(A14)</f>
        <v/>
      </c>
      <c r="D14" s="5" t="inlineStr">
        <is>
          <t>Feb S1</t>
        </is>
      </c>
      <c r="E14" s="7" t="n">
        <v>113.098</v>
      </c>
      <c r="F14" s="5" t="inlineStr">
        <is>
          <t>leído</t>
        </is>
      </c>
      <c r="G14" s="8" t="inlineStr">
        <is>
          <t>Sí</t>
        </is>
      </c>
      <c r="H14" s="5" t="inlineStr"/>
    </row>
    <row r="15">
      <c r="A15" s="4" t="n">
        <v>46059</v>
      </c>
      <c r="B15" s="5" t="inlineStr">
        <is>
          <t>viernes</t>
        </is>
      </c>
      <c r="C15" s="6">
        <f>MONTH(A15)</f>
        <v/>
      </c>
      <c r="D15" s="5" t="inlineStr">
        <is>
          <t>Feb S1</t>
        </is>
      </c>
      <c r="E15" s="7" t="n">
        <v>113.937</v>
      </c>
      <c r="F15" s="5" t="inlineStr">
        <is>
          <t>leído</t>
        </is>
      </c>
      <c r="G15" s="8" t="inlineStr">
        <is>
          <t>Sí</t>
        </is>
      </c>
      <c r="H15" s="5" t="inlineStr"/>
    </row>
    <row r="16">
      <c r="A16" s="4" t="n">
        <v>46060</v>
      </c>
      <c r="B16" s="5" t="inlineStr">
        <is>
          <t>sábado</t>
        </is>
      </c>
      <c r="C16" s="6">
        <f>MONTH(A16)</f>
        <v/>
      </c>
      <c r="D16" s="5" t="inlineStr">
        <is>
          <t>Feb S1</t>
        </is>
      </c>
      <c r="E16" s="9" t="n">
        <v>731.716</v>
      </c>
      <c r="F16" s="5" t="inlineStr">
        <is>
          <t>atípico</t>
        </is>
      </c>
      <c r="G16" s="8" t="inlineStr">
        <is>
          <t>No</t>
        </is>
      </c>
      <c r="H16" s="5" t="inlineStr">
        <is>
          <t>Valor 6,5 veces mayor que lo normal; probable error del medidor o acumulado de varios días. Excluido.</t>
        </is>
      </c>
    </row>
    <row r="17">
      <c r="A17" s="4" t="n">
        <v>46062</v>
      </c>
      <c r="B17" s="5" t="inlineStr">
        <is>
          <t>lunes</t>
        </is>
      </c>
      <c r="C17" s="6">
        <f>MONTH(A17)</f>
        <v/>
      </c>
      <c r="D17" s="5" t="inlineStr">
        <is>
          <t>Feb S2</t>
        </is>
      </c>
      <c r="E17" s="7" t="n">
        <v>75.19199999999999</v>
      </c>
      <c r="F17" s="5" t="inlineStr">
        <is>
          <t>leído</t>
        </is>
      </c>
      <c r="G17" s="8" t="inlineStr">
        <is>
          <t>Sí</t>
        </is>
      </c>
      <c r="H17" s="5" t="inlineStr"/>
    </row>
    <row r="18">
      <c r="A18" s="4" t="n">
        <v>46063</v>
      </c>
      <c r="B18" s="5" t="inlineStr">
        <is>
          <t>martes</t>
        </is>
      </c>
      <c r="C18" s="6">
        <f>MONTH(A18)</f>
        <v/>
      </c>
      <c r="D18" s="5" t="inlineStr">
        <is>
          <t>Feb S2</t>
        </is>
      </c>
      <c r="E18" s="7" t="n">
        <v>82.366</v>
      </c>
      <c r="F18" s="5" t="inlineStr">
        <is>
          <t>leído</t>
        </is>
      </c>
      <c r="G18" s="8" t="inlineStr">
        <is>
          <t>Sí</t>
        </is>
      </c>
      <c r="H18" s="5" t="inlineStr"/>
    </row>
    <row r="19">
      <c r="A19" s="4" t="n">
        <v>46064</v>
      </c>
      <c r="B19" s="5" t="inlineStr">
        <is>
          <t>miércoles</t>
        </is>
      </c>
      <c r="C19" s="6">
        <f>MONTH(A19)</f>
        <v/>
      </c>
      <c r="D19" s="5" t="inlineStr">
        <is>
          <t>Feb S2</t>
        </is>
      </c>
      <c r="E19" s="7" t="n">
        <v>84.545</v>
      </c>
      <c r="F19" s="5" t="inlineStr">
        <is>
          <t>leído</t>
        </is>
      </c>
      <c r="G19" s="8" t="inlineStr">
        <is>
          <t>Sí</t>
        </is>
      </c>
      <c r="H19" s="5" t="inlineStr"/>
    </row>
    <row r="20">
      <c r="A20" s="4" t="n">
        <v>46065</v>
      </c>
      <c r="B20" s="5" t="inlineStr">
        <is>
          <t>jueves</t>
        </is>
      </c>
      <c r="C20" s="6">
        <f>MONTH(A20)</f>
        <v/>
      </c>
      <c r="D20" s="5" t="inlineStr">
        <is>
          <t>Feb S2</t>
        </is>
      </c>
      <c r="E20" s="7" t="n">
        <v>77.089</v>
      </c>
      <c r="F20" s="5" t="inlineStr">
        <is>
          <t>leído</t>
        </is>
      </c>
      <c r="G20" s="8" t="inlineStr">
        <is>
          <t>Sí</t>
        </is>
      </c>
      <c r="H20" s="5" t="inlineStr"/>
    </row>
    <row r="21">
      <c r="A21" s="4" t="n">
        <v>46066</v>
      </c>
      <c r="B21" s="5" t="inlineStr">
        <is>
          <t>viernes</t>
        </is>
      </c>
      <c r="C21" s="6">
        <f>MONTH(A21)</f>
        <v/>
      </c>
      <c r="D21" s="5" t="inlineStr">
        <is>
          <t>Feb S2</t>
        </is>
      </c>
      <c r="E21" s="7" t="n">
        <v>72.666</v>
      </c>
      <c r="F21" s="5" t="inlineStr">
        <is>
          <t>leído</t>
        </is>
      </c>
      <c r="G21" s="8" t="inlineStr">
        <is>
          <t>Sí</t>
        </is>
      </c>
      <c r="H21" s="5" t="inlineStr"/>
    </row>
    <row r="22">
      <c r="A22" s="4" t="n">
        <v>46067</v>
      </c>
      <c r="B22" s="5" t="inlineStr">
        <is>
          <t>sábado</t>
        </is>
      </c>
      <c r="C22" s="6">
        <f>MONTH(A22)</f>
        <v/>
      </c>
      <c r="D22" s="5" t="inlineStr">
        <is>
          <t>Feb S2</t>
        </is>
      </c>
      <c r="E22" s="7" t="n">
        <v>49.787</v>
      </c>
      <c r="F22" s="5" t="inlineStr">
        <is>
          <t>leído</t>
        </is>
      </c>
      <c r="G22" s="8" t="inlineStr">
        <is>
          <t>Sí</t>
        </is>
      </c>
      <c r="H22" s="5" t="inlineStr"/>
    </row>
    <row r="23">
      <c r="A23" s="4" t="n">
        <v>46069</v>
      </c>
      <c r="B23" s="5" t="inlineStr">
        <is>
          <t>lunes</t>
        </is>
      </c>
      <c r="C23" s="6">
        <f>MONTH(A23)</f>
        <v/>
      </c>
      <c r="D23" s="5" t="inlineStr">
        <is>
          <t>Feb S3</t>
        </is>
      </c>
      <c r="E23" s="7" t="n">
        <v>102.391</v>
      </c>
      <c r="F23" s="5" t="inlineStr">
        <is>
          <t>leído</t>
        </is>
      </c>
      <c r="G23" s="8" t="inlineStr">
        <is>
          <t>Sí</t>
        </is>
      </c>
      <c r="H23" s="5" t="inlineStr"/>
    </row>
    <row r="24">
      <c r="A24" s="4" t="n">
        <v>46070</v>
      </c>
      <c r="B24" s="5" t="inlineStr">
        <is>
          <t>martes</t>
        </is>
      </c>
      <c r="C24" s="6">
        <f>MONTH(A24)</f>
        <v/>
      </c>
      <c r="D24" s="5" t="inlineStr">
        <is>
          <t>Feb S3</t>
        </is>
      </c>
      <c r="E24" s="7" t="n">
        <v>117.13</v>
      </c>
      <c r="F24" s="5" t="inlineStr">
        <is>
          <t>leído</t>
        </is>
      </c>
      <c r="G24" s="8" t="inlineStr">
        <is>
          <t>Sí</t>
        </is>
      </c>
      <c r="H24" s="5" t="inlineStr"/>
    </row>
    <row r="25">
      <c r="A25" s="4" t="n">
        <v>46071</v>
      </c>
      <c r="B25" s="5" t="inlineStr">
        <is>
          <t>miércoles</t>
        </is>
      </c>
      <c r="C25" s="6">
        <f>MONTH(A25)</f>
        <v/>
      </c>
      <c r="D25" s="5" t="inlineStr">
        <is>
          <t>Feb S3</t>
        </is>
      </c>
      <c r="E25" s="7" t="n">
        <v>119.866</v>
      </c>
      <c r="F25" s="5" t="inlineStr">
        <is>
          <t>leído</t>
        </is>
      </c>
      <c r="G25" s="8" t="inlineStr">
        <is>
          <t>Sí</t>
        </is>
      </c>
      <c r="H25" s="5" t="inlineStr"/>
    </row>
    <row r="26">
      <c r="A26" s="4" t="n">
        <v>46072</v>
      </c>
      <c r="B26" s="5" t="inlineStr">
        <is>
          <t>jueves</t>
        </is>
      </c>
      <c r="C26" s="6">
        <f>MONTH(A26)</f>
        <v/>
      </c>
      <c r="D26" s="5" t="inlineStr">
        <is>
          <t>Feb S3</t>
        </is>
      </c>
      <c r="E26" s="7" t="n">
        <v>81.33499999999999</v>
      </c>
      <c r="F26" s="5" t="inlineStr">
        <is>
          <t>leído</t>
        </is>
      </c>
      <c r="G26" s="8" t="inlineStr">
        <is>
          <t>Sí</t>
        </is>
      </c>
      <c r="H26" s="5" t="inlineStr"/>
    </row>
    <row r="27">
      <c r="A27" s="4" t="n">
        <v>46073</v>
      </c>
      <c r="B27" s="5" t="inlineStr">
        <is>
          <t>viernes</t>
        </is>
      </c>
      <c r="C27" s="6">
        <f>MONTH(A27)</f>
        <v/>
      </c>
      <c r="D27" s="5" t="inlineStr">
        <is>
          <t>Feb S3</t>
        </is>
      </c>
      <c r="E27" s="7" t="n">
        <v>109.95</v>
      </c>
      <c r="F27" s="5" t="inlineStr">
        <is>
          <t>leído</t>
        </is>
      </c>
      <c r="G27" s="8" t="inlineStr">
        <is>
          <t>Sí</t>
        </is>
      </c>
      <c r="H27" s="5" t="inlineStr"/>
    </row>
    <row r="28">
      <c r="A28" s="4" t="n">
        <v>46074</v>
      </c>
      <c r="B28" s="5" t="inlineStr">
        <is>
          <t>sábado</t>
        </is>
      </c>
      <c r="C28" s="6">
        <f>MONTH(A28)</f>
        <v/>
      </c>
      <c r="D28" s="5" t="inlineStr">
        <is>
          <t>Feb S3</t>
        </is>
      </c>
      <c r="E28" s="7" t="n">
        <v>89.113</v>
      </c>
      <c r="F28" s="5" t="inlineStr">
        <is>
          <t>leído</t>
        </is>
      </c>
      <c r="G28" s="8" t="inlineStr">
        <is>
          <t>Sí</t>
        </is>
      </c>
      <c r="H28" s="5" t="inlineStr"/>
    </row>
    <row r="29">
      <c r="A29" s="4" t="n">
        <v>46076</v>
      </c>
      <c r="B29" s="5" t="inlineStr">
        <is>
          <t>lunes</t>
        </is>
      </c>
      <c r="C29" s="6">
        <f>MONTH(A29)</f>
        <v/>
      </c>
      <c r="D29" s="5" t="inlineStr">
        <is>
          <t>Feb S4</t>
        </is>
      </c>
      <c r="E29" s="7" t="n">
        <v>106.517</v>
      </c>
      <c r="F29" s="5" t="inlineStr">
        <is>
          <t>leído</t>
        </is>
      </c>
      <c r="G29" s="8" t="inlineStr">
        <is>
          <t>Sí</t>
        </is>
      </c>
      <c r="H29" s="5" t="inlineStr"/>
    </row>
    <row r="30">
      <c r="A30" s="4" t="n">
        <v>46077</v>
      </c>
      <c r="B30" s="5" t="inlineStr">
        <is>
          <t>martes</t>
        </is>
      </c>
      <c r="C30" s="6">
        <f>MONTH(A30)</f>
        <v/>
      </c>
      <c r="D30" s="5" t="inlineStr">
        <is>
          <t>Feb S4</t>
        </is>
      </c>
      <c r="E30" s="7" t="n">
        <v>116.289</v>
      </c>
      <c r="F30" s="5" t="inlineStr">
        <is>
          <t>leído</t>
        </is>
      </c>
      <c r="G30" s="8" t="inlineStr">
        <is>
          <t>Sí</t>
        </is>
      </c>
      <c r="H30" s="5" t="inlineStr"/>
    </row>
    <row r="31">
      <c r="A31" s="4" t="n">
        <v>46078</v>
      </c>
      <c r="B31" s="5" t="inlineStr">
        <is>
          <t>miércoles</t>
        </is>
      </c>
      <c r="C31" s="6">
        <f>MONTH(A31)</f>
        <v/>
      </c>
      <c r="D31" s="5" t="inlineStr">
        <is>
          <t>Feb S4</t>
        </is>
      </c>
      <c r="E31" s="7" t="n">
        <v>114.605</v>
      </c>
      <c r="F31" s="5" t="inlineStr">
        <is>
          <t>leído</t>
        </is>
      </c>
      <c r="G31" s="8" t="inlineStr">
        <is>
          <t>Sí</t>
        </is>
      </c>
      <c r="H31" s="5" t="inlineStr"/>
    </row>
    <row r="32">
      <c r="A32" s="4" t="n">
        <v>46079</v>
      </c>
      <c r="B32" s="5" t="inlineStr">
        <is>
          <t>jueves</t>
        </is>
      </c>
      <c r="C32" s="6">
        <f>MONTH(A32)</f>
        <v/>
      </c>
      <c r="D32" s="5" t="inlineStr">
        <is>
          <t>Feb S4</t>
        </is>
      </c>
      <c r="E32" s="7" t="n">
        <v>117.962</v>
      </c>
      <c r="F32" s="5" t="inlineStr">
        <is>
          <t>leído</t>
        </is>
      </c>
      <c r="G32" s="8" t="inlineStr">
        <is>
          <t>Sí</t>
        </is>
      </c>
      <c r="H32" s="5" t="inlineStr"/>
    </row>
    <row r="33">
      <c r="A33" s="4" t="n">
        <v>46080</v>
      </c>
      <c r="B33" s="5" t="inlineStr">
        <is>
          <t>viernes</t>
        </is>
      </c>
      <c r="C33" s="6">
        <f>MONTH(A33)</f>
        <v/>
      </c>
      <c r="D33" s="5" t="inlineStr">
        <is>
          <t>Feb S4</t>
        </is>
      </c>
      <c r="E33" s="7" t="n">
        <v>117.937</v>
      </c>
      <c r="F33" s="5" t="inlineStr">
        <is>
          <t>leído</t>
        </is>
      </c>
      <c r="G33" s="8" t="inlineStr">
        <is>
          <t>Sí</t>
        </is>
      </c>
      <c r="H33" s="5" t="inlineStr"/>
    </row>
    <row r="34">
      <c r="A34" s="4" t="n">
        <v>46081</v>
      </c>
      <c r="B34" s="5" t="inlineStr">
        <is>
          <t>sábado</t>
        </is>
      </c>
      <c r="C34" s="6">
        <f>MONTH(A34)</f>
        <v/>
      </c>
      <c r="D34" s="5" t="inlineStr">
        <is>
          <t>Feb S4</t>
        </is>
      </c>
      <c r="E34" s="7" t="n">
        <v>36.967</v>
      </c>
      <c r="F34" s="5" t="inlineStr">
        <is>
          <t>leído</t>
        </is>
      </c>
      <c r="G34" s="8" t="inlineStr">
        <is>
          <t>Sí</t>
        </is>
      </c>
      <c r="H34" s="5" t="inlineStr"/>
    </row>
    <row r="35">
      <c r="A35" s="4" t="n">
        <v>46083</v>
      </c>
      <c r="B35" s="5" t="inlineStr">
        <is>
          <t>lunes</t>
        </is>
      </c>
      <c r="C35" s="6">
        <f>MONTH(A35)</f>
        <v/>
      </c>
      <c r="D35" s="5" t="inlineStr">
        <is>
          <t>Mar S1</t>
        </is>
      </c>
      <c r="E35" s="7" t="n">
        <v>111.572</v>
      </c>
      <c r="F35" s="5" t="inlineStr">
        <is>
          <t>leído</t>
        </is>
      </c>
      <c r="G35" s="8" t="inlineStr">
        <is>
          <t>Sí</t>
        </is>
      </c>
      <c r="H35" s="5" t="inlineStr"/>
    </row>
    <row r="36">
      <c r="A36" s="4" t="n">
        <v>46084</v>
      </c>
      <c r="B36" s="5" t="inlineStr">
        <is>
          <t>martes</t>
        </is>
      </c>
      <c r="C36" s="6">
        <f>MONTH(A36)</f>
        <v/>
      </c>
      <c r="D36" s="5" t="inlineStr">
        <is>
          <t>Mar S1</t>
        </is>
      </c>
      <c r="E36" s="7" t="n">
        <v>112.742</v>
      </c>
      <c r="F36" s="5" t="inlineStr">
        <is>
          <t>leído</t>
        </is>
      </c>
      <c r="G36" s="8" t="inlineStr">
        <is>
          <t>Sí</t>
        </is>
      </c>
      <c r="H36" s="5" t="inlineStr"/>
    </row>
    <row r="37">
      <c r="A37" s="4" t="n">
        <v>46085</v>
      </c>
      <c r="B37" s="5" t="inlineStr">
        <is>
          <t>miércoles</t>
        </is>
      </c>
      <c r="C37" s="6">
        <f>MONTH(A37)</f>
        <v/>
      </c>
      <c r="D37" s="5" t="inlineStr">
        <is>
          <t>Mar S1</t>
        </is>
      </c>
      <c r="E37" s="7" t="n">
        <v>107.625</v>
      </c>
      <c r="F37" s="5" t="inlineStr">
        <is>
          <t>leído</t>
        </is>
      </c>
      <c r="G37" s="8" t="inlineStr">
        <is>
          <t>Sí</t>
        </is>
      </c>
      <c r="H37" s="5" t="inlineStr"/>
    </row>
    <row r="38">
      <c r="A38" s="4" t="n">
        <v>46086</v>
      </c>
      <c r="B38" s="5" t="inlineStr">
        <is>
          <t>jueves</t>
        </is>
      </c>
      <c r="C38" s="6">
        <f>MONTH(A38)</f>
        <v/>
      </c>
      <c r="D38" s="5" t="inlineStr">
        <is>
          <t>Mar S1</t>
        </is>
      </c>
      <c r="E38" s="7" t="n">
        <v>113.568</v>
      </c>
      <c r="F38" s="5" t="inlineStr">
        <is>
          <t>leído</t>
        </is>
      </c>
      <c r="G38" s="8" t="inlineStr">
        <is>
          <t>Sí</t>
        </is>
      </c>
      <c r="H38" s="5" t="inlineStr"/>
    </row>
    <row r="39">
      <c r="A39" s="4" t="n">
        <v>46087</v>
      </c>
      <c r="B39" s="5" t="inlineStr">
        <is>
          <t>viernes</t>
        </is>
      </c>
      <c r="C39" s="6">
        <f>MONTH(A39)</f>
        <v/>
      </c>
      <c r="D39" s="5" t="inlineStr">
        <is>
          <t>Mar S1</t>
        </is>
      </c>
      <c r="E39" s="7" t="n">
        <v>115.156</v>
      </c>
      <c r="F39" s="5" t="inlineStr">
        <is>
          <t>leído</t>
        </is>
      </c>
      <c r="G39" s="8" t="inlineStr">
        <is>
          <t>Sí</t>
        </is>
      </c>
      <c r="H39" s="5" t="inlineStr"/>
    </row>
    <row r="40">
      <c r="A40" s="4" t="n">
        <v>46088</v>
      </c>
      <c r="B40" s="5" t="inlineStr">
        <is>
          <t>sábado</t>
        </is>
      </c>
      <c r="C40" s="6">
        <f>MONTH(A40)</f>
        <v/>
      </c>
      <c r="D40" s="5" t="inlineStr">
        <is>
          <t>Mar S1</t>
        </is>
      </c>
      <c r="E40" s="7" t="n">
        <v>89.65000000000001</v>
      </c>
      <c r="F40" s="5" t="inlineStr">
        <is>
          <t>leído</t>
        </is>
      </c>
      <c r="G40" s="8" t="inlineStr">
        <is>
          <t>Sí</t>
        </is>
      </c>
      <c r="H40" s="5" t="inlineStr"/>
    </row>
    <row r="41">
      <c r="A41" s="4" t="n">
        <v>46090</v>
      </c>
      <c r="B41" s="5" t="inlineStr">
        <is>
          <t>lunes</t>
        </is>
      </c>
      <c r="C41" s="6">
        <f>MONTH(A41)</f>
        <v/>
      </c>
      <c r="D41" s="5" t="inlineStr">
        <is>
          <t>Mar S2</t>
        </is>
      </c>
      <c r="E41" s="7" t="n">
        <v>74.099</v>
      </c>
      <c r="F41" s="5" t="inlineStr">
        <is>
          <t>leído</t>
        </is>
      </c>
      <c r="G41" s="8" t="inlineStr">
        <is>
          <t>Sí</t>
        </is>
      </c>
      <c r="H41" s="5" t="inlineStr"/>
    </row>
    <row r="42">
      <c r="A42" s="4" t="n">
        <v>46091</v>
      </c>
      <c r="B42" s="5" t="inlineStr">
        <is>
          <t>martes</t>
        </is>
      </c>
      <c r="C42" s="6">
        <f>MONTH(A42)</f>
        <v/>
      </c>
      <c r="D42" s="5" t="inlineStr">
        <is>
          <t>Mar S2</t>
        </is>
      </c>
      <c r="E42" s="7" t="n">
        <v>83.90300000000001</v>
      </c>
      <c r="F42" s="5" t="inlineStr">
        <is>
          <t>leído</t>
        </is>
      </c>
      <c r="G42" s="8" t="inlineStr">
        <is>
          <t>Sí</t>
        </is>
      </c>
      <c r="H42" s="5" t="inlineStr"/>
    </row>
    <row r="43">
      <c r="A43" s="4" t="n">
        <v>46092</v>
      </c>
      <c r="B43" s="5" t="inlineStr">
        <is>
          <t>miércoles</t>
        </is>
      </c>
      <c r="C43" s="6">
        <f>MONTH(A43)</f>
        <v/>
      </c>
      <c r="D43" s="5" t="inlineStr">
        <is>
          <t>Mar S2</t>
        </is>
      </c>
      <c r="E43" s="7" t="n">
        <v>84.373</v>
      </c>
      <c r="F43" s="5" t="inlineStr">
        <is>
          <t>leído</t>
        </is>
      </c>
      <c r="G43" s="8" t="inlineStr">
        <is>
          <t>Sí</t>
        </is>
      </c>
      <c r="H43" s="5" t="inlineStr"/>
    </row>
    <row r="44">
      <c r="A44" s="4" t="n">
        <v>46093</v>
      </c>
      <c r="B44" s="5" t="inlineStr">
        <is>
          <t>jueves</t>
        </is>
      </c>
      <c r="C44" s="6">
        <f>MONTH(A44)</f>
        <v/>
      </c>
      <c r="D44" s="5" t="inlineStr">
        <is>
          <t>Mar S2</t>
        </is>
      </c>
      <c r="E44" s="7" t="n">
        <v>76.23399999999999</v>
      </c>
      <c r="F44" s="5" t="inlineStr">
        <is>
          <t>leído</t>
        </is>
      </c>
      <c r="G44" s="8" t="inlineStr">
        <is>
          <t>Sí</t>
        </is>
      </c>
      <c r="H44" s="5" t="inlineStr"/>
    </row>
    <row r="45">
      <c r="A45" s="4" t="n">
        <v>46094</v>
      </c>
      <c r="B45" s="5" t="inlineStr">
        <is>
          <t>viernes</t>
        </is>
      </c>
      <c r="C45" s="6">
        <f>MONTH(A45)</f>
        <v/>
      </c>
      <c r="D45" s="5" t="inlineStr">
        <is>
          <t>Mar S2</t>
        </is>
      </c>
      <c r="E45" s="7" t="n">
        <v>72.307</v>
      </c>
      <c r="F45" s="5" t="inlineStr">
        <is>
          <t>leído</t>
        </is>
      </c>
      <c r="G45" s="8" t="inlineStr">
        <is>
          <t>Sí</t>
        </is>
      </c>
      <c r="H45" s="5" t="inlineStr"/>
    </row>
    <row r="46">
      <c r="A46" s="4" t="n">
        <v>46095</v>
      </c>
      <c r="B46" s="5" t="inlineStr">
        <is>
          <t>sábado</t>
        </is>
      </c>
      <c r="C46" s="6">
        <f>MONTH(A46)</f>
        <v/>
      </c>
      <c r="D46" s="5" t="inlineStr">
        <is>
          <t>Mar S2</t>
        </is>
      </c>
      <c r="E46" s="7" t="n">
        <v>51.167</v>
      </c>
      <c r="F46" s="5" t="inlineStr">
        <is>
          <t>leído</t>
        </is>
      </c>
      <c r="G46" s="8" t="inlineStr">
        <is>
          <t>Sí</t>
        </is>
      </c>
      <c r="H46" s="5" t="inlineStr"/>
    </row>
    <row r="47">
      <c r="A47" s="4" t="n">
        <v>46097</v>
      </c>
      <c r="B47" s="5" t="inlineStr">
        <is>
          <t>lunes</t>
        </is>
      </c>
      <c r="C47" s="6">
        <f>MONTH(A47)</f>
        <v/>
      </c>
      <c r="D47" s="5" t="inlineStr">
        <is>
          <t>Mar S3</t>
        </is>
      </c>
      <c r="E47" s="7" t="n">
        <v>124.24</v>
      </c>
      <c r="F47" s="5" t="inlineStr">
        <is>
          <t>leído</t>
        </is>
      </c>
      <c r="G47" s="8" t="inlineStr">
        <is>
          <t>Sí</t>
        </is>
      </c>
      <c r="H47" s="5" t="inlineStr"/>
    </row>
    <row r="48">
      <c r="A48" s="4" t="n">
        <v>46098</v>
      </c>
      <c r="B48" s="5" t="inlineStr">
        <is>
          <t>martes</t>
        </is>
      </c>
      <c r="C48" s="6">
        <f>MONTH(A48)</f>
        <v/>
      </c>
      <c r="D48" s="5" t="inlineStr">
        <is>
          <t>Mar S3</t>
        </is>
      </c>
      <c r="E48" s="7" t="n">
        <v>119.295</v>
      </c>
      <c r="F48" s="5" t="inlineStr">
        <is>
          <t>leído</t>
        </is>
      </c>
      <c r="G48" s="8" t="inlineStr">
        <is>
          <t>Sí</t>
        </is>
      </c>
      <c r="H48" s="5" t="inlineStr"/>
    </row>
    <row r="49">
      <c r="A49" s="4" t="n">
        <v>46099</v>
      </c>
      <c r="B49" s="5" t="inlineStr">
        <is>
          <t>miércoles</t>
        </is>
      </c>
      <c r="C49" s="6">
        <f>MONTH(A49)</f>
        <v/>
      </c>
      <c r="D49" s="5" t="inlineStr">
        <is>
          <t>Mar S3</t>
        </is>
      </c>
      <c r="E49" s="7" t="n">
        <v>121.465</v>
      </c>
      <c r="F49" s="5" t="inlineStr">
        <is>
          <t>leído</t>
        </is>
      </c>
      <c r="G49" s="8" t="inlineStr">
        <is>
          <t>Sí</t>
        </is>
      </c>
      <c r="H49" s="5" t="inlineStr"/>
    </row>
    <row r="50">
      <c r="A50" s="4" t="n">
        <v>46100</v>
      </c>
      <c r="B50" s="5" t="inlineStr">
        <is>
          <t>jueves</t>
        </is>
      </c>
      <c r="C50" s="6">
        <f>MONTH(A50)</f>
        <v/>
      </c>
      <c r="D50" s="5" t="inlineStr">
        <is>
          <t>Mar S3</t>
        </is>
      </c>
      <c r="E50" s="7" t="n">
        <v>95.92400000000001</v>
      </c>
      <c r="F50" s="5" t="inlineStr">
        <is>
          <t>leído</t>
        </is>
      </c>
      <c r="G50" s="8" t="inlineStr">
        <is>
          <t>Sí</t>
        </is>
      </c>
      <c r="H50" s="5" t="inlineStr"/>
    </row>
    <row r="51">
      <c r="A51" s="4" t="n">
        <v>46101</v>
      </c>
      <c r="B51" s="5" t="inlineStr">
        <is>
          <t>viernes</t>
        </is>
      </c>
      <c r="C51" s="6">
        <f>MONTH(A51)</f>
        <v/>
      </c>
      <c r="D51" s="5" t="inlineStr">
        <is>
          <t>Mar S3</t>
        </is>
      </c>
      <c r="E51" s="7" t="n">
        <v>85.605</v>
      </c>
      <c r="F51" s="5" t="inlineStr">
        <is>
          <t>leído</t>
        </is>
      </c>
      <c r="G51" s="8" t="inlineStr">
        <is>
          <t>Sí</t>
        </is>
      </c>
      <c r="H51" s="5" t="inlineStr"/>
    </row>
    <row r="52">
      <c r="A52" s="4" t="n">
        <v>46102</v>
      </c>
      <c r="B52" s="5" t="inlineStr">
        <is>
          <t>sábado</t>
        </is>
      </c>
      <c r="C52" s="6">
        <f>MONTH(A52)</f>
        <v/>
      </c>
      <c r="D52" s="5" t="inlineStr">
        <is>
          <t>Mar S3</t>
        </is>
      </c>
      <c r="E52" s="7" t="n">
        <v>100.815</v>
      </c>
      <c r="F52" s="5" t="inlineStr">
        <is>
          <t>leído</t>
        </is>
      </c>
      <c r="G52" s="8" t="inlineStr">
        <is>
          <t>Sí</t>
        </is>
      </c>
      <c r="H52" s="5" t="inlineStr"/>
    </row>
    <row r="53">
      <c r="A53" s="4" t="n">
        <v>46105</v>
      </c>
      <c r="B53" s="5" t="inlineStr">
        <is>
          <t>martes</t>
        </is>
      </c>
      <c r="C53" s="6">
        <f>MONTH(A53)</f>
        <v/>
      </c>
      <c r="D53" s="5" t="inlineStr">
        <is>
          <t>Mar S4</t>
        </is>
      </c>
      <c r="E53" s="7" t="n">
        <v>34.292</v>
      </c>
      <c r="F53" s="5" t="inlineStr">
        <is>
          <t>leído</t>
        </is>
      </c>
      <c r="G53" s="8" t="inlineStr">
        <is>
          <t>Sí</t>
        </is>
      </c>
      <c r="H53" s="5" t="inlineStr"/>
    </row>
    <row r="54">
      <c r="A54" s="4" t="n">
        <v>46106</v>
      </c>
      <c r="B54" s="5" t="inlineStr">
        <is>
          <t>miércoles</t>
        </is>
      </c>
      <c r="C54" s="6">
        <f>MONTH(A54)</f>
        <v/>
      </c>
      <c r="D54" s="5" t="inlineStr">
        <is>
          <t>Mar S4</t>
        </is>
      </c>
      <c r="E54" s="7" t="n">
        <v>73.402</v>
      </c>
      <c r="F54" s="5" t="inlineStr">
        <is>
          <t>leído</t>
        </is>
      </c>
      <c r="G54" s="8" t="inlineStr">
        <is>
          <t>Sí</t>
        </is>
      </c>
      <c r="H54" s="5" t="inlineStr"/>
    </row>
    <row r="55">
      <c r="A55" s="4" t="n">
        <v>46107</v>
      </c>
      <c r="B55" s="5" t="inlineStr">
        <is>
          <t>jueves</t>
        </is>
      </c>
      <c r="C55" s="6">
        <f>MONTH(A55)</f>
        <v/>
      </c>
      <c r="D55" s="5" t="inlineStr">
        <is>
          <t>Mar S4</t>
        </is>
      </c>
      <c r="E55" s="7" t="n">
        <v>82.85899999999999</v>
      </c>
      <c r="F55" s="5" t="inlineStr">
        <is>
          <t>leído</t>
        </is>
      </c>
      <c r="G55" s="8" t="inlineStr">
        <is>
          <t>Sí</t>
        </is>
      </c>
      <c r="H55" s="5" t="inlineStr"/>
    </row>
    <row r="56">
      <c r="A56" s="4" t="n">
        <v>46108</v>
      </c>
      <c r="B56" s="5" t="inlineStr">
        <is>
          <t>viernes</t>
        </is>
      </c>
      <c r="C56" s="6">
        <f>MONTH(A56)</f>
        <v/>
      </c>
      <c r="D56" s="5" t="inlineStr">
        <is>
          <t>Mar S4</t>
        </is>
      </c>
      <c r="E56" s="7" t="n">
        <v>86.964</v>
      </c>
      <c r="F56" s="5" t="inlineStr">
        <is>
          <t>leído</t>
        </is>
      </c>
      <c r="G56" s="8" t="inlineStr">
        <is>
          <t>Sí</t>
        </is>
      </c>
      <c r="H56" s="5" t="inlineStr"/>
    </row>
    <row r="57">
      <c r="A57" s="4" t="n">
        <v>46109</v>
      </c>
      <c r="B57" s="5" t="inlineStr">
        <is>
          <t>sábado</t>
        </is>
      </c>
      <c r="C57" s="6">
        <f>MONTH(A57)</f>
        <v/>
      </c>
      <c r="D57" s="5" t="inlineStr">
        <is>
          <t>Mar S4</t>
        </is>
      </c>
      <c r="E57" s="7" t="n">
        <v>74.708</v>
      </c>
      <c r="F57" s="5" t="inlineStr">
        <is>
          <t>leído</t>
        </is>
      </c>
      <c r="G57" s="8" t="inlineStr">
        <is>
          <t>Sí</t>
        </is>
      </c>
      <c r="H57" s="5" t="inlineStr"/>
    </row>
    <row r="58">
      <c r="A58" s="4" t="n">
        <v>46113</v>
      </c>
      <c r="B58" s="5" t="inlineStr">
        <is>
          <t>miércoles</t>
        </is>
      </c>
      <c r="C58" s="6">
        <f>MONTH(A58)</f>
        <v/>
      </c>
      <c r="D58" s="5" t="inlineStr">
        <is>
          <t>Abr S1</t>
        </is>
      </c>
      <c r="E58" s="7" t="n">
        <v>112.608</v>
      </c>
      <c r="F58" s="5" t="inlineStr">
        <is>
          <t>leído</t>
        </is>
      </c>
      <c r="G58" s="8" t="inlineStr">
        <is>
          <t>Sí</t>
        </is>
      </c>
      <c r="H58" s="5" t="inlineStr"/>
    </row>
    <row r="59">
      <c r="A59" s="4" t="n">
        <v>46114</v>
      </c>
      <c r="B59" s="5" t="inlineStr">
        <is>
          <t>jueves</t>
        </is>
      </c>
      <c r="C59" s="6">
        <f>MONTH(A59)</f>
        <v/>
      </c>
      <c r="D59" s="5" t="inlineStr">
        <is>
          <t>Abr S1</t>
        </is>
      </c>
      <c r="E59" s="9" t="n">
        <v>0</v>
      </c>
      <c r="F59" s="5" t="inlineStr">
        <is>
          <t>cero</t>
        </is>
      </c>
      <c r="G59" s="8" t="inlineStr">
        <is>
          <t>No</t>
        </is>
      </c>
      <c r="H59" s="5" t="inlineStr">
        <is>
          <t>Jueves y Viernes Santo (festivos). Línea sin consumo. Excluido del promedio.</t>
        </is>
      </c>
    </row>
    <row r="60">
      <c r="A60" s="4" t="n">
        <v>46115</v>
      </c>
      <c r="B60" s="5" t="inlineStr">
        <is>
          <t>viernes</t>
        </is>
      </c>
      <c r="C60" s="6">
        <f>MONTH(A60)</f>
        <v/>
      </c>
      <c r="D60" s="5" t="inlineStr">
        <is>
          <t>Abr S1</t>
        </is>
      </c>
      <c r="E60" s="9" t="n">
        <v>0</v>
      </c>
      <c r="F60" s="5" t="inlineStr">
        <is>
          <t>cero</t>
        </is>
      </c>
      <c r="G60" s="8" t="inlineStr">
        <is>
          <t>No</t>
        </is>
      </c>
      <c r="H60" s="5" t="inlineStr">
        <is>
          <t>Jueves y Viernes Santo (festivos). Línea sin consumo. Excluido del promedio.</t>
        </is>
      </c>
    </row>
    <row r="61">
      <c r="A61" s="4" t="n">
        <v>46116</v>
      </c>
      <c r="B61" s="5" t="inlineStr">
        <is>
          <t>sábado</t>
        </is>
      </c>
      <c r="C61" s="6">
        <f>MONTH(A61)</f>
        <v/>
      </c>
      <c r="D61" s="5" t="inlineStr">
        <is>
          <t>Abr S1</t>
        </is>
      </c>
      <c r="E61" s="7" t="n">
        <v>102.321</v>
      </c>
      <c r="F61" s="5" t="inlineStr">
        <is>
          <t>leído</t>
        </is>
      </c>
      <c r="G61" s="8" t="inlineStr">
        <is>
          <t>Sí</t>
        </is>
      </c>
      <c r="H61" s="5" t="inlineStr"/>
    </row>
    <row r="62">
      <c r="A62" s="4" t="n">
        <v>46118</v>
      </c>
      <c r="B62" s="5" t="inlineStr">
        <is>
          <t>lunes</t>
        </is>
      </c>
      <c r="C62" s="6">
        <f>MONTH(A62)</f>
        <v/>
      </c>
      <c r="D62" s="5" t="inlineStr">
        <is>
          <t>Abr S2</t>
        </is>
      </c>
      <c r="E62" s="7" t="n">
        <v>69.107</v>
      </c>
      <c r="F62" s="5" t="inlineStr">
        <is>
          <t>leído</t>
        </is>
      </c>
      <c r="G62" s="8" t="inlineStr">
        <is>
          <t>Sí</t>
        </is>
      </c>
      <c r="H62" s="5" t="inlineStr"/>
    </row>
    <row r="63">
      <c r="A63" s="4" t="n">
        <v>46119</v>
      </c>
      <c r="B63" s="5" t="inlineStr">
        <is>
          <t>martes</t>
        </is>
      </c>
      <c r="C63" s="6">
        <f>MONTH(A63)</f>
        <v/>
      </c>
      <c r="D63" s="5" t="inlineStr">
        <is>
          <t>Abr S2</t>
        </is>
      </c>
      <c r="E63" s="7" t="n">
        <v>78.193</v>
      </c>
      <c r="F63" s="5" t="inlineStr">
        <is>
          <t>leído</t>
        </is>
      </c>
      <c r="G63" s="8" t="inlineStr">
        <is>
          <t>Sí</t>
        </is>
      </c>
      <c r="H63" s="5" t="inlineStr"/>
    </row>
    <row r="64">
      <c r="A64" s="4" t="n">
        <v>46120</v>
      </c>
      <c r="B64" s="5" t="inlineStr">
        <is>
          <t>miércoles</t>
        </is>
      </c>
      <c r="C64" s="6">
        <f>MONTH(A64)</f>
        <v/>
      </c>
      <c r="D64" s="5" t="inlineStr">
        <is>
          <t>Abr S2</t>
        </is>
      </c>
      <c r="E64" s="7" t="n">
        <v>88.541</v>
      </c>
      <c r="F64" s="5" t="inlineStr">
        <is>
          <t>leído</t>
        </is>
      </c>
      <c r="G64" s="8" t="inlineStr">
        <is>
          <t>Sí</t>
        </is>
      </c>
      <c r="H64" s="5" t="inlineStr"/>
    </row>
    <row r="65">
      <c r="A65" s="4" t="n">
        <v>46121</v>
      </c>
      <c r="B65" s="5" t="inlineStr">
        <is>
          <t>jueves</t>
        </is>
      </c>
      <c r="C65" s="6">
        <f>MONTH(A65)</f>
        <v/>
      </c>
      <c r="D65" s="5" t="inlineStr">
        <is>
          <t>Abr S2</t>
        </is>
      </c>
      <c r="E65" s="7" t="n">
        <v>85.529</v>
      </c>
      <c r="F65" s="5" t="inlineStr">
        <is>
          <t>leído</t>
        </is>
      </c>
      <c r="G65" s="8" t="inlineStr">
        <is>
          <t>Sí</t>
        </is>
      </c>
      <c r="H65" s="5" t="inlineStr"/>
    </row>
    <row r="66">
      <c r="A66" s="4" t="n">
        <v>46122</v>
      </c>
      <c r="B66" s="5" t="inlineStr">
        <is>
          <t>viernes</t>
        </is>
      </c>
      <c r="C66" s="6">
        <f>MONTH(A66)</f>
        <v/>
      </c>
      <c r="D66" s="5" t="inlineStr">
        <is>
          <t>Abr S2</t>
        </is>
      </c>
      <c r="E66" s="7" t="n">
        <v>73.75</v>
      </c>
      <c r="F66" s="5" t="inlineStr">
        <is>
          <t>leído</t>
        </is>
      </c>
      <c r="G66" s="8" t="inlineStr">
        <is>
          <t>Sí</t>
        </is>
      </c>
      <c r="H66" s="5" t="inlineStr"/>
    </row>
    <row r="67">
      <c r="A67" s="4" t="n">
        <v>46123</v>
      </c>
      <c r="B67" s="5" t="inlineStr">
        <is>
          <t>sábado</t>
        </is>
      </c>
      <c r="C67" s="6">
        <f>MONTH(A67)</f>
        <v/>
      </c>
      <c r="D67" s="5" t="inlineStr">
        <is>
          <t>Abr S2</t>
        </is>
      </c>
      <c r="E67" s="7" t="n">
        <v>73.471</v>
      </c>
      <c r="F67" s="5" t="inlineStr">
        <is>
          <t>leído</t>
        </is>
      </c>
      <c r="G67" s="8" t="inlineStr">
        <is>
          <t>Sí</t>
        </is>
      </c>
      <c r="H67" s="5" t="inlineStr"/>
    </row>
    <row r="68">
      <c r="A68" s="4" t="n">
        <v>46125</v>
      </c>
      <c r="B68" s="5" t="inlineStr">
        <is>
          <t>lunes</t>
        </is>
      </c>
      <c r="C68" s="6">
        <f>MONTH(A68)</f>
        <v/>
      </c>
      <c r="D68" s="5" t="inlineStr">
        <is>
          <t>Abr S3</t>
        </is>
      </c>
      <c r="E68" s="7" t="n">
        <v>107.514</v>
      </c>
      <c r="F68" s="5" t="inlineStr">
        <is>
          <t>leído</t>
        </is>
      </c>
      <c r="G68" s="8" t="inlineStr">
        <is>
          <t>Sí</t>
        </is>
      </c>
      <c r="H68" s="5" t="inlineStr"/>
    </row>
    <row r="69">
      <c r="A69" s="4" t="n">
        <v>46126</v>
      </c>
      <c r="B69" s="5" t="inlineStr">
        <is>
          <t>martes</t>
        </is>
      </c>
      <c r="C69" s="6">
        <f>MONTH(A69)</f>
        <v/>
      </c>
      <c r="D69" s="5" t="inlineStr">
        <is>
          <t>Abr S3</t>
        </is>
      </c>
      <c r="E69" s="7" t="n">
        <v>50.84</v>
      </c>
      <c r="F69" s="5" t="inlineStr">
        <is>
          <t>leído</t>
        </is>
      </c>
      <c r="G69" s="8" t="inlineStr">
        <is>
          <t>Sí</t>
        </is>
      </c>
      <c r="H69" s="5" t="inlineStr"/>
    </row>
    <row r="70">
      <c r="A70" s="4" t="n">
        <v>46127</v>
      </c>
      <c r="B70" s="5" t="inlineStr">
        <is>
          <t>miércoles</t>
        </is>
      </c>
      <c r="C70" s="6">
        <f>MONTH(A70)</f>
        <v/>
      </c>
      <c r="D70" s="5" t="inlineStr">
        <is>
          <t>Abr S3</t>
        </is>
      </c>
      <c r="E70" s="7" t="n">
        <v>52.928</v>
      </c>
      <c r="F70" s="5" t="inlineStr">
        <is>
          <t>leído</t>
        </is>
      </c>
      <c r="G70" s="8" t="inlineStr">
        <is>
          <t>Sí</t>
        </is>
      </c>
      <c r="H70" s="5" t="inlineStr"/>
    </row>
    <row r="71">
      <c r="A71" s="4" t="n">
        <v>46128</v>
      </c>
      <c r="B71" s="5" t="inlineStr">
        <is>
          <t>jueves</t>
        </is>
      </c>
      <c r="C71" s="6">
        <f>MONTH(A71)</f>
        <v/>
      </c>
      <c r="D71" s="5" t="inlineStr">
        <is>
          <t>Abr S3</t>
        </is>
      </c>
      <c r="E71" s="7" t="n">
        <v>49.888</v>
      </c>
      <c r="F71" s="5" t="inlineStr">
        <is>
          <t>leído</t>
        </is>
      </c>
      <c r="G71" s="8" t="inlineStr">
        <is>
          <t>Sí</t>
        </is>
      </c>
      <c r="H71" s="5" t="inlineStr"/>
    </row>
    <row r="72">
      <c r="A72" s="4" t="n">
        <v>46129</v>
      </c>
      <c r="B72" s="5" t="inlineStr">
        <is>
          <t>viernes</t>
        </is>
      </c>
      <c r="C72" s="6">
        <f>MONTH(A72)</f>
        <v/>
      </c>
      <c r="D72" s="5" t="inlineStr">
        <is>
          <t>Abr S3</t>
        </is>
      </c>
      <c r="E72" s="7" t="n">
        <v>51.702</v>
      </c>
      <c r="F72" s="5" t="inlineStr">
        <is>
          <t>leído</t>
        </is>
      </c>
      <c r="G72" s="8" t="inlineStr">
        <is>
          <t>Sí</t>
        </is>
      </c>
      <c r="H72" s="5" t="inlineStr"/>
    </row>
    <row r="73">
      <c r="A73" s="4" t="n">
        <v>46130</v>
      </c>
      <c r="B73" s="5" t="inlineStr">
        <is>
          <t>sábado</t>
        </is>
      </c>
      <c r="C73" s="6">
        <f>MONTH(A73)</f>
        <v/>
      </c>
      <c r="D73" s="5" t="inlineStr">
        <is>
          <t>Abr S3</t>
        </is>
      </c>
      <c r="E73" s="7" t="n">
        <v>26.608</v>
      </c>
      <c r="F73" s="5" t="inlineStr">
        <is>
          <t>leído</t>
        </is>
      </c>
      <c r="G73" s="8" t="inlineStr">
        <is>
          <t>Sí</t>
        </is>
      </c>
      <c r="H73" s="5" t="inlineStr"/>
    </row>
    <row r="74">
      <c r="A74" s="4" t="n">
        <v>46132</v>
      </c>
      <c r="B74" s="5" t="inlineStr">
        <is>
          <t>lunes</t>
        </is>
      </c>
      <c r="C74" s="6">
        <f>MONTH(A74)</f>
        <v/>
      </c>
      <c r="D74" s="5" t="inlineStr">
        <is>
          <t>Abr S4</t>
        </is>
      </c>
      <c r="E74" s="7" t="n">
        <v>97.386</v>
      </c>
      <c r="F74" s="5" t="inlineStr">
        <is>
          <t>leído</t>
        </is>
      </c>
      <c r="G74" s="8" t="inlineStr">
        <is>
          <t>Sí</t>
        </is>
      </c>
      <c r="H74" s="5" t="inlineStr"/>
    </row>
    <row r="75">
      <c r="A75" s="4" t="n">
        <v>46133</v>
      </c>
      <c r="B75" s="5" t="inlineStr">
        <is>
          <t>martes</t>
        </is>
      </c>
      <c r="C75" s="6">
        <f>MONTH(A75)</f>
        <v/>
      </c>
      <c r="D75" s="5" t="inlineStr">
        <is>
          <t>Abr S4</t>
        </is>
      </c>
      <c r="E75" s="7" t="n">
        <v>114.672</v>
      </c>
      <c r="F75" s="5" t="inlineStr">
        <is>
          <t>leído</t>
        </is>
      </c>
      <c r="G75" s="8" t="inlineStr">
        <is>
          <t>Sí</t>
        </is>
      </c>
      <c r="H75" s="5" t="inlineStr"/>
    </row>
    <row r="76">
      <c r="A76" s="4" t="n">
        <v>46134</v>
      </c>
      <c r="B76" s="5" t="inlineStr">
        <is>
          <t>miércoles</t>
        </is>
      </c>
      <c r="C76" s="6">
        <f>MONTH(A76)</f>
        <v/>
      </c>
      <c r="D76" s="5" t="inlineStr">
        <is>
          <t>Abr S4</t>
        </is>
      </c>
      <c r="E76" s="7" t="n">
        <v>131.706</v>
      </c>
      <c r="F76" s="5" t="inlineStr">
        <is>
          <t>leído</t>
        </is>
      </c>
      <c r="G76" s="8" t="inlineStr">
        <is>
          <t>Sí</t>
        </is>
      </c>
      <c r="H76" s="5" t="inlineStr"/>
    </row>
    <row r="77">
      <c r="A77" s="4" t="n">
        <v>46135</v>
      </c>
      <c r="B77" s="5" t="inlineStr">
        <is>
          <t>jueves</t>
        </is>
      </c>
      <c r="C77" s="6">
        <f>MONTH(A77)</f>
        <v/>
      </c>
      <c r="D77" s="5" t="inlineStr">
        <is>
          <t>Abr S4</t>
        </is>
      </c>
      <c r="E77" s="9" t="n">
        <v>3.604</v>
      </c>
      <c r="F77" s="5" t="inlineStr">
        <is>
          <t>parcial</t>
        </is>
      </c>
      <c r="G77" s="8" t="inlineStr">
        <is>
          <t>No</t>
        </is>
      </c>
      <c r="H77" s="5" t="inlineStr">
        <is>
          <t>Último dato antes del corte; día incompleto. Excluido.</t>
        </is>
      </c>
    </row>
    <row r="78">
      <c r="A78" s="4" t="n">
        <v>46153</v>
      </c>
      <c r="B78" s="5" t="inlineStr">
        <is>
          <t>lunes</t>
        </is>
      </c>
      <c r="C78" s="6">
        <f>MONTH(A78)</f>
        <v/>
      </c>
      <c r="D78" s="5" t="inlineStr">
        <is>
          <t>May S2</t>
        </is>
      </c>
      <c r="E78" s="7" t="n">
        <v>92.739</v>
      </c>
      <c r="F78" s="5" t="inlineStr">
        <is>
          <t>leído</t>
        </is>
      </c>
      <c r="G78" s="8" t="inlineStr">
        <is>
          <t>Sí</t>
        </is>
      </c>
      <c r="H78" s="5" t="inlineStr"/>
    </row>
    <row r="79">
      <c r="A79" s="4" t="n">
        <v>46154</v>
      </c>
      <c r="B79" s="5" t="inlineStr">
        <is>
          <t>martes</t>
        </is>
      </c>
      <c r="C79" s="6">
        <f>MONTH(A79)</f>
        <v/>
      </c>
      <c r="D79" s="5" t="inlineStr">
        <is>
          <t>May S2</t>
        </is>
      </c>
      <c r="E79" s="7" t="n">
        <v>110.993</v>
      </c>
      <c r="F79" s="5" t="inlineStr">
        <is>
          <t>leído</t>
        </is>
      </c>
      <c r="G79" s="8" t="inlineStr">
        <is>
          <t>Sí</t>
        </is>
      </c>
      <c r="H79" s="5" t="inlineStr"/>
    </row>
    <row r="80">
      <c r="A80" s="4" t="n">
        <v>46155</v>
      </c>
      <c r="B80" s="5" t="inlineStr">
        <is>
          <t>miércoles</t>
        </is>
      </c>
      <c r="C80" s="6">
        <f>MONTH(A80)</f>
        <v/>
      </c>
      <c r="D80" s="5" t="inlineStr">
        <is>
          <t>May S2</t>
        </is>
      </c>
      <c r="E80" s="7" t="n">
        <v>109.833</v>
      </c>
      <c r="F80" s="5" t="inlineStr">
        <is>
          <t>leído</t>
        </is>
      </c>
      <c r="G80" s="8" t="inlineStr">
        <is>
          <t>Sí</t>
        </is>
      </c>
      <c r="H80" s="5" t="inlineStr"/>
    </row>
    <row r="81">
      <c r="A81" s="4" t="n">
        <v>46156</v>
      </c>
      <c r="B81" s="5" t="inlineStr">
        <is>
          <t>jueves</t>
        </is>
      </c>
      <c r="C81" s="6">
        <f>MONTH(A81)</f>
        <v/>
      </c>
      <c r="D81" s="5" t="inlineStr">
        <is>
          <t>May S2</t>
        </is>
      </c>
      <c r="E81" s="7" t="n">
        <v>108.216</v>
      </c>
      <c r="F81" s="5" t="inlineStr">
        <is>
          <t>leído</t>
        </is>
      </c>
      <c r="G81" s="8" t="inlineStr">
        <is>
          <t>Sí</t>
        </is>
      </c>
      <c r="H81" s="5" t="inlineStr"/>
    </row>
    <row r="82">
      <c r="A82" s="4" t="n">
        <v>46157</v>
      </c>
      <c r="B82" s="5" t="inlineStr">
        <is>
          <t>viernes</t>
        </is>
      </c>
      <c r="C82" s="6">
        <f>MONTH(A82)</f>
        <v/>
      </c>
      <c r="D82" s="5" t="inlineStr">
        <is>
          <t>May S2</t>
        </is>
      </c>
      <c r="E82" s="7" t="n">
        <v>121.35</v>
      </c>
      <c r="F82" s="5" t="inlineStr">
        <is>
          <t>leído</t>
        </is>
      </c>
      <c r="G82" s="8" t="inlineStr">
        <is>
          <t>Sí</t>
        </is>
      </c>
      <c r="H82" s="5" t="inlineStr"/>
    </row>
    <row r="83">
      <c r="A83" s="4" t="n">
        <v>46158</v>
      </c>
      <c r="B83" s="5" t="inlineStr">
        <is>
          <t>sábado</t>
        </is>
      </c>
      <c r="C83" s="6">
        <f>MONTH(A83)</f>
        <v/>
      </c>
      <c r="D83" s="5" t="inlineStr">
        <is>
          <t>May S2</t>
        </is>
      </c>
      <c r="E83" s="7" t="n">
        <v>102.928</v>
      </c>
      <c r="F83" s="5" t="inlineStr">
        <is>
          <t>leído</t>
        </is>
      </c>
      <c r="G83" s="8" t="inlineStr">
        <is>
          <t>Sí</t>
        </is>
      </c>
      <c r="H83" s="5" t="inlineStr"/>
    </row>
    <row r="84">
      <c r="A84" s="4" t="n">
        <v>46161</v>
      </c>
      <c r="B84" s="5" t="inlineStr">
        <is>
          <t>martes</t>
        </is>
      </c>
      <c r="C84" s="6">
        <f>MONTH(A84)</f>
        <v/>
      </c>
      <c r="D84" s="5" t="inlineStr">
        <is>
          <t>May S3</t>
        </is>
      </c>
      <c r="E84" s="7" t="n">
        <v>106.546</v>
      </c>
      <c r="F84" s="5" t="inlineStr">
        <is>
          <t>leído</t>
        </is>
      </c>
      <c r="G84" s="8" t="inlineStr">
        <is>
          <t>Sí</t>
        </is>
      </c>
      <c r="H84" s="5" t="inlineStr"/>
    </row>
    <row r="85">
      <c r="A85" s="4" t="n">
        <v>46162</v>
      </c>
      <c r="B85" s="5" t="inlineStr">
        <is>
          <t>miércoles</t>
        </is>
      </c>
      <c r="C85" s="6">
        <f>MONTH(A85)</f>
        <v/>
      </c>
      <c r="D85" s="5" t="inlineStr">
        <is>
          <t>May S3</t>
        </is>
      </c>
      <c r="E85" s="7" t="n">
        <v>117.963</v>
      </c>
      <c r="F85" s="5" t="inlineStr">
        <is>
          <t>leído</t>
        </is>
      </c>
      <c r="G85" s="8" t="inlineStr">
        <is>
          <t>Sí</t>
        </is>
      </c>
      <c r="H85" s="5" t="inlineStr"/>
    </row>
    <row r="86">
      <c r="A86" s="4" t="n">
        <v>46163</v>
      </c>
      <c r="B86" s="5" t="inlineStr">
        <is>
          <t>jueves</t>
        </is>
      </c>
      <c r="C86" s="6">
        <f>MONTH(A86)</f>
        <v/>
      </c>
      <c r="D86" s="5" t="inlineStr">
        <is>
          <t>May S3</t>
        </is>
      </c>
      <c r="E86" s="7" t="n">
        <v>118.206</v>
      </c>
      <c r="F86" s="5" t="inlineStr">
        <is>
          <t>leído</t>
        </is>
      </c>
      <c r="G86" s="8" t="inlineStr">
        <is>
          <t>Sí</t>
        </is>
      </c>
      <c r="H86" s="5" t="inlineStr"/>
    </row>
    <row r="87">
      <c r="A87" s="4" t="n">
        <v>46164</v>
      </c>
      <c r="B87" s="5" t="inlineStr">
        <is>
          <t>viernes</t>
        </is>
      </c>
      <c r="C87" s="6">
        <f>MONTH(A87)</f>
        <v/>
      </c>
      <c r="D87" s="5" t="inlineStr">
        <is>
          <t>May S3</t>
        </is>
      </c>
      <c r="E87" s="7" t="n">
        <v>117.576</v>
      </c>
      <c r="F87" s="5" t="inlineStr">
        <is>
          <t>leído</t>
        </is>
      </c>
      <c r="G87" s="8" t="inlineStr">
        <is>
          <t>Sí</t>
        </is>
      </c>
      <c r="H87" s="5" t="inlineStr"/>
    </row>
    <row r="88">
      <c r="A88" s="4" t="n">
        <v>46165</v>
      </c>
      <c r="B88" s="5" t="inlineStr">
        <is>
          <t>sábado</t>
        </is>
      </c>
      <c r="C88" s="6">
        <f>MONTH(A88)</f>
        <v/>
      </c>
      <c r="D88" s="5" t="inlineStr">
        <is>
          <t>May S3</t>
        </is>
      </c>
      <c r="E88" s="7" t="n">
        <v>90.333</v>
      </c>
      <c r="F88" s="5" t="inlineStr">
        <is>
          <t>leído</t>
        </is>
      </c>
      <c r="G88" s="8" t="inlineStr">
        <is>
          <t>Sí</t>
        </is>
      </c>
      <c r="H88" s="5" t="inlineStr"/>
    </row>
    <row r="89">
      <c r="A89" s="4" t="n">
        <v>46167</v>
      </c>
      <c r="B89" s="5" t="inlineStr">
        <is>
          <t>lunes</t>
        </is>
      </c>
      <c r="C89" s="6">
        <f>MONTH(A89)</f>
        <v/>
      </c>
      <c r="D89" s="5" t="inlineStr">
        <is>
          <t>May S4</t>
        </is>
      </c>
      <c r="E89" s="9" t="n">
        <v>61.6</v>
      </c>
      <c r="F89" s="5" t="inlineStr">
        <is>
          <t>estimado</t>
        </is>
      </c>
      <c r="G89" s="8" t="inlineStr">
        <is>
          <t>Sí</t>
        </is>
      </c>
      <c r="H89" s="5" t="inlineStr">
        <is>
          <t>El gráfico no muestra etiquetas; valor leído del eje (±1 kWh).</t>
        </is>
      </c>
    </row>
    <row r="90">
      <c r="A90" s="4" t="n">
        <v>46168</v>
      </c>
      <c r="B90" s="5" t="inlineStr">
        <is>
          <t>martes</t>
        </is>
      </c>
      <c r="C90" s="6">
        <f>MONTH(A90)</f>
        <v/>
      </c>
      <c r="D90" s="5" t="inlineStr">
        <is>
          <t>May S4</t>
        </is>
      </c>
      <c r="E90" s="9" t="n">
        <v>72.8</v>
      </c>
      <c r="F90" s="5" t="inlineStr">
        <is>
          <t>estimado</t>
        </is>
      </c>
      <c r="G90" s="8" t="inlineStr">
        <is>
          <t>Sí</t>
        </is>
      </c>
      <c r="H90" s="5" t="inlineStr">
        <is>
          <t>El gráfico no muestra etiquetas; valor leído del eje (±1 kWh).</t>
        </is>
      </c>
    </row>
    <row r="91">
      <c r="A91" s="4" t="n">
        <v>46169</v>
      </c>
      <c r="B91" s="5" t="inlineStr">
        <is>
          <t>miércoles</t>
        </is>
      </c>
      <c r="C91" s="6">
        <f>MONTH(A91)</f>
        <v/>
      </c>
      <c r="D91" s="5" t="inlineStr">
        <is>
          <t>May S4</t>
        </is>
      </c>
      <c r="E91" s="9" t="n">
        <v>73.5</v>
      </c>
      <c r="F91" s="5" t="inlineStr">
        <is>
          <t>estimado</t>
        </is>
      </c>
      <c r="G91" s="8" t="inlineStr">
        <is>
          <t>Sí</t>
        </is>
      </c>
      <c r="H91" s="5" t="inlineStr">
        <is>
          <t>El gráfico no muestra etiquetas; valor leído del eje (±1 kWh).</t>
        </is>
      </c>
    </row>
    <row r="92">
      <c r="A92" s="4" t="n">
        <v>46170</v>
      </c>
      <c r="B92" s="5" t="inlineStr">
        <is>
          <t>jueves</t>
        </is>
      </c>
      <c r="C92" s="6">
        <f>MONTH(A92)</f>
        <v/>
      </c>
      <c r="D92" s="5" t="inlineStr">
        <is>
          <t>May S4</t>
        </is>
      </c>
      <c r="E92" s="9" t="n">
        <v>112.5</v>
      </c>
      <c r="F92" s="5" t="inlineStr">
        <is>
          <t>estimado</t>
        </is>
      </c>
      <c r="G92" s="8" t="inlineStr">
        <is>
          <t>Sí</t>
        </is>
      </c>
      <c r="H92" s="5" t="inlineStr">
        <is>
          <t>El gráfico no muestra etiquetas; valor leído del eje (±1 kWh).</t>
        </is>
      </c>
    </row>
    <row r="93">
      <c r="A93" s="4" t="n">
        <v>46171</v>
      </c>
      <c r="B93" s="5" t="inlineStr">
        <is>
          <t>viernes</t>
        </is>
      </c>
      <c r="C93" s="6">
        <f>MONTH(A93)</f>
        <v/>
      </c>
      <c r="D93" s="5" t="inlineStr">
        <is>
          <t>May S4</t>
        </is>
      </c>
      <c r="E93" s="9" t="n">
        <v>115.5</v>
      </c>
      <c r="F93" s="5" t="inlineStr">
        <is>
          <t>estimado</t>
        </is>
      </c>
      <c r="G93" s="8" t="inlineStr">
        <is>
          <t>Sí</t>
        </is>
      </c>
      <c r="H93" s="5" t="inlineStr">
        <is>
          <t>El gráfico no muestra etiquetas; valor leído del eje (±1 kWh).</t>
        </is>
      </c>
    </row>
    <row r="94">
      <c r="A94" s="4" t="n">
        <v>46172</v>
      </c>
      <c r="B94" s="5" t="inlineStr">
        <is>
          <t>sábado</t>
        </is>
      </c>
      <c r="C94" s="6">
        <f>MONTH(A94)</f>
        <v/>
      </c>
      <c r="D94" s="5" t="inlineStr">
        <is>
          <t>May S4</t>
        </is>
      </c>
      <c r="E94" s="9" t="n">
        <v>25.6</v>
      </c>
      <c r="F94" s="5" t="inlineStr">
        <is>
          <t>estimado</t>
        </is>
      </c>
      <c r="G94" s="8" t="inlineStr">
        <is>
          <t>Sí</t>
        </is>
      </c>
      <c r="H94" s="5" t="inlineStr">
        <is>
          <t>El gráfico no muestra etiquetas; valor leído del eje (±1 kWh).</t>
        </is>
      </c>
    </row>
    <row r="95">
      <c r="A95" s="4" t="n">
        <v>46174</v>
      </c>
      <c r="B95" s="5" t="inlineStr">
        <is>
          <t>lunes</t>
        </is>
      </c>
      <c r="C95" s="6">
        <f>MONTH(A95)</f>
        <v/>
      </c>
      <c r="D95" s="5" t="inlineStr">
        <is>
          <t>Jun S1</t>
        </is>
      </c>
      <c r="E95" s="7" t="n">
        <v>76.907</v>
      </c>
      <c r="F95" s="5" t="inlineStr">
        <is>
          <t>leído</t>
        </is>
      </c>
      <c r="G95" s="8" t="inlineStr">
        <is>
          <t>Sí</t>
        </is>
      </c>
      <c r="H95" s="5" t="inlineStr"/>
    </row>
    <row r="96">
      <c r="A96" s="4" t="n">
        <v>46175</v>
      </c>
      <c r="B96" s="5" t="inlineStr">
        <is>
          <t>martes</t>
        </is>
      </c>
      <c r="C96" s="6">
        <f>MONTH(A96)</f>
        <v/>
      </c>
      <c r="D96" s="5" t="inlineStr">
        <is>
          <t>Jun S1</t>
        </is>
      </c>
      <c r="E96" s="7" t="n">
        <v>106</v>
      </c>
      <c r="F96" s="5" t="inlineStr">
        <is>
          <t>leído</t>
        </is>
      </c>
      <c r="G96" s="8" t="inlineStr">
        <is>
          <t>Sí</t>
        </is>
      </c>
      <c r="H96" s="5" t="inlineStr"/>
    </row>
    <row r="97">
      <c r="A97" s="4" t="n">
        <v>46176</v>
      </c>
      <c r="B97" s="5" t="inlineStr">
        <is>
          <t>miércoles</t>
        </is>
      </c>
      <c r="C97" s="6">
        <f>MONTH(A97)</f>
        <v/>
      </c>
      <c r="D97" s="5" t="inlineStr">
        <is>
          <t>Jun S1</t>
        </is>
      </c>
      <c r="E97" s="7" t="n">
        <v>115.267</v>
      </c>
      <c r="F97" s="5" t="inlineStr">
        <is>
          <t>leído</t>
        </is>
      </c>
      <c r="G97" s="8" t="inlineStr">
        <is>
          <t>Sí</t>
        </is>
      </c>
      <c r="H97" s="5" t="inlineStr"/>
    </row>
    <row r="98">
      <c r="A98" s="4" t="n">
        <v>46177</v>
      </c>
      <c r="B98" s="5" t="inlineStr">
        <is>
          <t>jueves</t>
        </is>
      </c>
      <c r="C98" s="6">
        <f>MONTH(A98)</f>
        <v/>
      </c>
      <c r="D98" s="5" t="inlineStr">
        <is>
          <t>Jun S1</t>
        </is>
      </c>
      <c r="E98" s="7" t="n">
        <v>96.462</v>
      </c>
      <c r="F98" s="5" t="inlineStr">
        <is>
          <t>leído</t>
        </is>
      </c>
      <c r="G98" s="8" t="inlineStr">
        <is>
          <t>Sí</t>
        </is>
      </c>
      <c r="H98" s="5" t="inlineStr"/>
    </row>
    <row r="99">
      <c r="A99" s="4" t="n">
        <v>46178</v>
      </c>
      <c r="B99" s="5" t="inlineStr">
        <is>
          <t>viernes</t>
        </is>
      </c>
      <c r="C99" s="6">
        <f>MONTH(A99)</f>
        <v/>
      </c>
      <c r="D99" s="5" t="inlineStr">
        <is>
          <t>Jun S1</t>
        </is>
      </c>
      <c r="E99" s="7" t="n">
        <v>105.275</v>
      </c>
      <c r="F99" s="5" t="inlineStr">
        <is>
          <t>leído</t>
        </is>
      </c>
      <c r="G99" s="8" t="inlineStr">
        <is>
          <t>Sí</t>
        </is>
      </c>
      <c r="H99" s="5" t="inlineStr"/>
    </row>
    <row r="100">
      <c r="A100" s="4" t="n">
        <v>46179</v>
      </c>
      <c r="B100" s="5" t="inlineStr">
        <is>
          <t>sábado</t>
        </is>
      </c>
      <c r="C100" s="6">
        <f>MONTH(A100)</f>
        <v/>
      </c>
      <c r="D100" s="5" t="inlineStr">
        <is>
          <t>Jun S1</t>
        </is>
      </c>
      <c r="E100" s="7" t="n">
        <v>89.349</v>
      </c>
      <c r="F100" s="5" t="inlineStr">
        <is>
          <t>leído</t>
        </is>
      </c>
      <c r="G100" s="8" t="inlineStr">
        <is>
          <t>Sí</t>
        </is>
      </c>
      <c r="H100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6" customWidth="1" min="3" max="3"/>
    <col width="80" customWidth="1" min="4" max="4"/>
  </cols>
  <sheetData>
    <row r="1">
      <c r="A1" s="1" t="inlineStr">
        <is>
          <t>Resumen de consumo · Línea 22</t>
        </is>
      </c>
    </row>
    <row r="2">
      <c r="A2" s="2" t="inlineStr">
        <is>
          <t>Calculado solo con días marcados 'Sí' en la hoja Diario (excluye atípico, festivos en cero y día parcial).</t>
        </is>
      </c>
    </row>
    <row r="4" ht="30" customHeight="1">
      <c r="A4" s="3" t="inlineStr">
        <is>
          <t>Indicador</t>
        </is>
      </c>
      <c r="B4" s="3" t="inlineStr">
        <is>
          <t>Valor</t>
        </is>
      </c>
      <c r="C4" s="3" t="inlineStr">
        <is>
          <t>Unidad</t>
        </is>
      </c>
    </row>
    <row r="5">
      <c r="A5" s="5" t="inlineStr">
        <is>
          <t>Días con dato válido</t>
        </is>
      </c>
      <c r="B5" s="6">
        <f>COUNTIFS(Diario!$G$5:$G$100,"Sí")</f>
        <v/>
      </c>
      <c r="C5" s="5" t="inlineStr">
        <is>
          <t>días</t>
        </is>
      </c>
    </row>
    <row r="6">
      <c r="A6" s="5" t="inlineStr">
        <is>
          <t>Consumo total medido (días válidos)</t>
        </is>
      </c>
      <c r="B6" s="10">
        <f>SUMIFS(Diario!$E$5:$E$100,Diario!$G$5:$G$100,"Sí")</f>
        <v/>
      </c>
      <c r="C6" s="5" t="inlineStr">
        <is>
          <t>kWh</t>
        </is>
      </c>
    </row>
    <row r="7">
      <c r="A7" s="5" t="inlineStr">
        <is>
          <t>Consumo promedio diario</t>
        </is>
      </c>
      <c r="B7" s="10">
        <f>IFERROR(B6/B5,0)</f>
        <v/>
      </c>
      <c r="C7" s="5" t="inlineStr">
        <is>
          <t>kWh/día</t>
        </is>
      </c>
    </row>
    <row r="8">
      <c r="A8" s="5" t="inlineStr">
        <is>
          <t>Promedio lunes a viernes</t>
        </is>
      </c>
      <c r="B8" s="10">
        <f>IFERROR(AVERAGEIFS(Diario!$E$5:$E$100,Diario!$G$5:$G$100,"Sí",Diario!$B$5:$B$100,"&lt;&gt;sábado"),0)</f>
        <v/>
      </c>
      <c r="C8" s="5" t="inlineStr">
        <is>
          <t>kWh/día</t>
        </is>
      </c>
    </row>
    <row r="9">
      <c r="A9" s="5" t="inlineStr">
        <is>
          <t>Promedio sábados</t>
        </is>
      </c>
      <c r="B9" s="10">
        <f>IFERROR(AVERAGEIFS(Diario!$E$5:$E$100,Diario!$G$5:$G$100,"Sí",Diario!$B$5:$B$100,"sábado"),0)</f>
        <v/>
      </c>
      <c r="C9" s="5" t="inlineStr">
        <is>
          <t>kWh/día</t>
        </is>
      </c>
    </row>
    <row r="10">
      <c r="A10" s="5" t="inlineStr">
        <is>
          <t>Consumo semanal típico (5 × L-V + sábado)</t>
        </is>
      </c>
      <c r="B10" s="10">
        <f>B8*5+B9</f>
        <v/>
      </c>
      <c r="C10" s="5" t="inlineStr">
        <is>
          <t>kWh/semana</t>
        </is>
      </c>
    </row>
    <row r="11">
      <c r="A11" s="5" t="inlineStr">
        <is>
          <t>Consumo mensual estimado (×52/12)</t>
        </is>
      </c>
      <c r="B11" s="10">
        <f>B10*52/12</f>
        <v/>
      </c>
      <c r="C11" s="5" t="inlineStr">
        <is>
          <t>kWh/mes</t>
        </is>
      </c>
    </row>
    <row r="12">
      <c r="A12" s="5" t="inlineStr">
        <is>
          <t>Consumo anual estimado</t>
        </is>
      </c>
      <c r="B12" s="10">
        <f>B10*52</f>
        <v/>
      </c>
      <c r="C12" s="5" t="inlineStr">
        <is>
          <t>kWh/año</t>
        </is>
      </c>
    </row>
    <row r="13">
      <c r="A13" s="5" t="inlineStr">
        <is>
          <t>Participación del aire comprimido (dato del informe, planta)</t>
        </is>
      </c>
      <c r="B13" s="11" t="n">
        <v>0.2382</v>
      </c>
      <c r="C13" s="5" t="inlineStr">
        <is>
          <t>%</t>
        </is>
      </c>
      <c r="D13" s="2" t="inlineStr">
        <is>
          <t>El informe da 23,82% para el conjunto de líneas; no reporta el aire de la L22 por separado.</t>
        </is>
      </c>
    </row>
    <row r="14">
      <c r="A14" s="5" t="inlineStr">
        <is>
          <t>Consumo anual estimado incluyendo aire comprimido</t>
        </is>
      </c>
      <c r="B14" s="10">
        <f>IFERROR(B12/(1-B13),0)</f>
        <v/>
      </c>
      <c r="C14" s="5" t="inlineStr">
        <is>
          <t>kWh/año</t>
        </is>
      </c>
    </row>
    <row r="17">
      <c r="A17" s="12" t="inlineStr">
        <is>
          <t>Mes</t>
        </is>
      </c>
      <c r="B17" s="12" t="inlineStr">
        <is>
          <t>Días válidos</t>
        </is>
      </c>
      <c r="C17" s="12" t="inlineStr">
        <is>
          <t>kWh</t>
        </is>
      </c>
      <c r="D17" s="12" t="inlineStr">
        <is>
          <t>Promedio kWh/día</t>
        </is>
      </c>
    </row>
    <row r="18">
      <c r="A18" s="5" t="inlineStr">
        <is>
          <t>Enero (solo S4)</t>
        </is>
      </c>
      <c r="B18" s="6">
        <f>COUNTIFS(Diario!$C$5:$C$100,1,Diario!$G$5:$G$100,"Sí")</f>
        <v/>
      </c>
      <c r="C18" s="10">
        <f>SUMIFS(Diario!$E$5:$E$100,Diario!$C$5:$C$100,1,Diario!$G$5:$G$100,"Sí")</f>
        <v/>
      </c>
      <c r="D18" s="10">
        <f>IFERROR(C18/B18,0)</f>
        <v/>
      </c>
    </row>
    <row r="19">
      <c r="A19" s="5" t="inlineStr">
        <is>
          <t>Febrero</t>
        </is>
      </c>
      <c r="B19" s="6">
        <f>COUNTIFS(Diario!$C$5:$C$100,2,Diario!$G$5:$G$100,"Sí")</f>
        <v/>
      </c>
      <c r="C19" s="10">
        <f>SUMIFS(Diario!$E$5:$E$100,Diario!$C$5:$C$100,2,Diario!$G$5:$G$100,"Sí")</f>
        <v/>
      </c>
      <c r="D19" s="10">
        <f>IFERROR(C19/B19,0)</f>
        <v/>
      </c>
    </row>
    <row r="20">
      <c r="A20" s="5" t="inlineStr">
        <is>
          <t>Marzo</t>
        </is>
      </c>
      <c r="B20" s="6">
        <f>COUNTIFS(Diario!$C$5:$C$100,3,Diario!$G$5:$G$100,"Sí")</f>
        <v/>
      </c>
      <c r="C20" s="10">
        <f>SUMIFS(Diario!$E$5:$E$100,Diario!$C$5:$C$100,3,Diario!$G$5:$G$100,"Sí")</f>
        <v/>
      </c>
      <c r="D20" s="10">
        <f>IFERROR(C20/B20,0)</f>
        <v/>
      </c>
    </row>
    <row r="21">
      <c r="A21" s="5" t="inlineStr">
        <is>
          <t>Abril</t>
        </is>
      </c>
      <c r="B21" s="6">
        <f>COUNTIFS(Diario!$C$5:$C$100,4,Diario!$G$5:$G$100,"Sí")</f>
        <v/>
      </c>
      <c r="C21" s="10">
        <f>SUMIFS(Diario!$E$5:$E$100,Diario!$C$5:$C$100,4,Diario!$G$5:$G$100,"Sí")</f>
        <v/>
      </c>
      <c r="D21" s="10">
        <f>IFERROR(C21/B21,0)</f>
        <v/>
      </c>
    </row>
    <row r="22">
      <c r="A22" s="5" t="inlineStr">
        <is>
          <t>Mayo (sin S1)</t>
        </is>
      </c>
      <c r="B22" s="6">
        <f>COUNTIFS(Diario!$C$5:$C$100,5,Diario!$G$5:$G$100,"Sí")</f>
        <v/>
      </c>
      <c r="C22" s="10">
        <f>SUMIFS(Diario!$E$5:$E$100,Diario!$C$5:$C$100,5,Diario!$G$5:$G$100,"Sí")</f>
        <v/>
      </c>
      <c r="D22" s="10">
        <f>IFERROR(C22/B22,0)</f>
        <v/>
      </c>
    </row>
    <row r="23">
      <c r="A23" s="5" t="inlineStr">
        <is>
          <t>Junio (solo S1)</t>
        </is>
      </c>
      <c r="B23" s="6">
        <f>COUNTIFS(Diario!$C$5:$C$100,6,Diario!$G$5:$G$100,"Sí")</f>
        <v/>
      </c>
      <c r="C23" s="10">
        <f>SUMIFS(Diario!$E$5:$E$100,Diario!$C$5:$C$100,6,Diario!$G$5:$G$100,"Sí")</f>
        <v/>
      </c>
      <c r="D23" s="10">
        <f>IFERROR(C23/B23,0)</f>
        <v/>
      </c>
    </row>
    <row r="24">
      <c r="A24" s="13" t="inlineStr">
        <is>
          <t>Total</t>
        </is>
      </c>
      <c r="B24" s="14">
        <f>SUM(B18:B23)</f>
        <v/>
      </c>
      <c r="C24" s="15">
        <f>SUM(C18:C23)</f>
        <v/>
      </c>
      <c r="D24" s="15">
        <f>IFERROR(C24/B24,0)</f>
        <v/>
      </c>
    </row>
    <row r="27">
      <c r="A27" s="12" t="inlineStr">
        <is>
          <t>Semana</t>
        </is>
      </c>
      <c r="B27" s="12" t="inlineStr">
        <is>
          <t>Días válidos</t>
        </is>
      </c>
      <c r="C27" s="12" t="inlineStr">
        <is>
          <t>kWh</t>
        </is>
      </c>
      <c r="D27" s="12" t="inlineStr">
        <is>
          <t>Promedio kWh/día</t>
        </is>
      </c>
    </row>
    <row r="28">
      <c r="A28" s="5" t="inlineStr">
        <is>
          <t>Ene S4</t>
        </is>
      </c>
      <c r="B28" s="6">
        <f>COUNTIFS(Diario!$D$5:$D$100,A28,Diario!$G$5:$G$100,"Sí")</f>
        <v/>
      </c>
      <c r="C28" s="10">
        <f>SUMIFS(Diario!$E$5:$E$100,Diario!$D$5:$D$100,A28,Diario!$G$5:$G$100,"Sí")</f>
        <v/>
      </c>
      <c r="D28" s="10">
        <f>IFERROR(C28/B28,0)</f>
        <v/>
      </c>
    </row>
    <row r="29">
      <c r="A29" s="5" t="inlineStr">
        <is>
          <t>Feb S1</t>
        </is>
      </c>
      <c r="B29" s="6">
        <f>COUNTIFS(Diario!$D$5:$D$100,A29,Diario!$G$5:$G$100,"Sí")</f>
        <v/>
      </c>
      <c r="C29" s="10">
        <f>SUMIFS(Diario!$E$5:$E$100,Diario!$D$5:$D$100,A29,Diario!$G$5:$G$100,"Sí")</f>
        <v/>
      </c>
      <c r="D29" s="10">
        <f>IFERROR(C29/B29,0)</f>
        <v/>
      </c>
    </row>
    <row r="30">
      <c r="A30" s="5" t="inlineStr">
        <is>
          <t>Feb S2</t>
        </is>
      </c>
      <c r="B30" s="6">
        <f>COUNTIFS(Diario!$D$5:$D$100,A30,Diario!$G$5:$G$100,"Sí")</f>
        <v/>
      </c>
      <c r="C30" s="10">
        <f>SUMIFS(Diario!$E$5:$E$100,Diario!$D$5:$D$100,A30,Diario!$G$5:$G$100,"Sí")</f>
        <v/>
      </c>
      <c r="D30" s="10">
        <f>IFERROR(C30/B30,0)</f>
        <v/>
      </c>
    </row>
    <row r="31">
      <c r="A31" s="5" t="inlineStr">
        <is>
          <t>Feb S3</t>
        </is>
      </c>
      <c r="B31" s="6">
        <f>COUNTIFS(Diario!$D$5:$D$100,A31,Diario!$G$5:$G$100,"Sí")</f>
        <v/>
      </c>
      <c r="C31" s="10">
        <f>SUMIFS(Diario!$E$5:$E$100,Diario!$D$5:$D$100,A31,Diario!$G$5:$G$100,"Sí")</f>
        <v/>
      </c>
      <c r="D31" s="10">
        <f>IFERROR(C31/B31,0)</f>
        <v/>
      </c>
    </row>
    <row r="32">
      <c r="A32" s="5" t="inlineStr">
        <is>
          <t>Feb S4</t>
        </is>
      </c>
      <c r="B32" s="6">
        <f>COUNTIFS(Diario!$D$5:$D$100,A32,Diario!$G$5:$G$100,"Sí")</f>
        <v/>
      </c>
      <c r="C32" s="10">
        <f>SUMIFS(Diario!$E$5:$E$100,Diario!$D$5:$D$100,A32,Diario!$G$5:$G$100,"Sí")</f>
        <v/>
      </c>
      <c r="D32" s="10">
        <f>IFERROR(C32/B32,0)</f>
        <v/>
      </c>
    </row>
    <row r="33">
      <c r="A33" s="5" t="inlineStr">
        <is>
          <t>Mar S1</t>
        </is>
      </c>
      <c r="B33" s="6">
        <f>COUNTIFS(Diario!$D$5:$D$100,A33,Diario!$G$5:$G$100,"Sí")</f>
        <v/>
      </c>
      <c r="C33" s="10">
        <f>SUMIFS(Diario!$E$5:$E$100,Diario!$D$5:$D$100,A33,Diario!$G$5:$G$100,"Sí")</f>
        <v/>
      </c>
      <c r="D33" s="10">
        <f>IFERROR(C33/B33,0)</f>
        <v/>
      </c>
    </row>
    <row r="34">
      <c r="A34" s="5" t="inlineStr">
        <is>
          <t>Mar S2</t>
        </is>
      </c>
      <c r="B34" s="6">
        <f>COUNTIFS(Diario!$D$5:$D$100,A34,Diario!$G$5:$G$100,"Sí")</f>
        <v/>
      </c>
      <c r="C34" s="10">
        <f>SUMIFS(Diario!$E$5:$E$100,Diario!$D$5:$D$100,A34,Diario!$G$5:$G$100,"Sí")</f>
        <v/>
      </c>
      <c r="D34" s="10">
        <f>IFERROR(C34/B34,0)</f>
        <v/>
      </c>
    </row>
    <row r="35">
      <c r="A35" s="5" t="inlineStr">
        <is>
          <t>Mar S3</t>
        </is>
      </c>
      <c r="B35" s="6">
        <f>COUNTIFS(Diario!$D$5:$D$100,A35,Diario!$G$5:$G$100,"Sí")</f>
        <v/>
      </c>
      <c r="C35" s="10">
        <f>SUMIFS(Diario!$E$5:$E$100,Diario!$D$5:$D$100,A35,Diario!$G$5:$G$100,"Sí")</f>
        <v/>
      </c>
      <c r="D35" s="10">
        <f>IFERROR(C35/B35,0)</f>
        <v/>
      </c>
    </row>
    <row r="36">
      <c r="A36" s="5" t="inlineStr">
        <is>
          <t>Mar S4</t>
        </is>
      </c>
      <c r="B36" s="6">
        <f>COUNTIFS(Diario!$D$5:$D$100,A36,Diario!$G$5:$G$100,"Sí")</f>
        <v/>
      </c>
      <c r="C36" s="10">
        <f>SUMIFS(Diario!$E$5:$E$100,Diario!$D$5:$D$100,A36,Diario!$G$5:$G$100,"Sí")</f>
        <v/>
      </c>
      <c r="D36" s="10">
        <f>IFERROR(C36/B36,0)</f>
        <v/>
      </c>
    </row>
    <row r="37">
      <c r="A37" s="5" t="inlineStr">
        <is>
          <t>Abr S1</t>
        </is>
      </c>
      <c r="B37" s="6">
        <f>COUNTIFS(Diario!$D$5:$D$100,A37,Diario!$G$5:$G$100,"Sí")</f>
        <v/>
      </c>
      <c r="C37" s="10">
        <f>SUMIFS(Diario!$E$5:$E$100,Diario!$D$5:$D$100,A37,Diario!$G$5:$G$100,"Sí")</f>
        <v/>
      </c>
      <c r="D37" s="10">
        <f>IFERROR(C37/B37,0)</f>
        <v/>
      </c>
    </row>
    <row r="38">
      <c r="A38" s="5" t="inlineStr">
        <is>
          <t>Abr S2</t>
        </is>
      </c>
      <c r="B38" s="6">
        <f>COUNTIFS(Diario!$D$5:$D$100,A38,Diario!$G$5:$G$100,"Sí")</f>
        <v/>
      </c>
      <c r="C38" s="10">
        <f>SUMIFS(Diario!$E$5:$E$100,Diario!$D$5:$D$100,A38,Diario!$G$5:$G$100,"Sí")</f>
        <v/>
      </c>
      <c r="D38" s="10">
        <f>IFERROR(C38/B38,0)</f>
        <v/>
      </c>
    </row>
    <row r="39">
      <c r="A39" s="5" t="inlineStr">
        <is>
          <t>Abr S3</t>
        </is>
      </c>
      <c r="B39" s="6">
        <f>COUNTIFS(Diario!$D$5:$D$100,A39,Diario!$G$5:$G$100,"Sí")</f>
        <v/>
      </c>
      <c r="C39" s="10">
        <f>SUMIFS(Diario!$E$5:$E$100,Diario!$D$5:$D$100,A39,Diario!$G$5:$G$100,"Sí")</f>
        <v/>
      </c>
      <c r="D39" s="10">
        <f>IFERROR(C39/B39,0)</f>
        <v/>
      </c>
    </row>
    <row r="40">
      <c r="A40" s="5" t="inlineStr">
        <is>
          <t>Abr S4</t>
        </is>
      </c>
      <c r="B40" s="6">
        <f>COUNTIFS(Diario!$D$5:$D$100,A40,Diario!$G$5:$G$100,"Sí")</f>
        <v/>
      </c>
      <c r="C40" s="10">
        <f>SUMIFS(Diario!$E$5:$E$100,Diario!$D$5:$D$100,A40,Diario!$G$5:$G$100,"Sí")</f>
        <v/>
      </c>
      <c r="D40" s="10">
        <f>IFERROR(C40/B40,0)</f>
        <v/>
      </c>
    </row>
    <row r="41">
      <c r="A41" s="5" t="inlineStr">
        <is>
          <t>May S2</t>
        </is>
      </c>
      <c r="B41" s="6">
        <f>COUNTIFS(Diario!$D$5:$D$100,A41,Diario!$G$5:$G$100,"Sí")</f>
        <v/>
      </c>
      <c r="C41" s="10">
        <f>SUMIFS(Diario!$E$5:$E$100,Diario!$D$5:$D$100,A41,Diario!$G$5:$G$100,"Sí")</f>
        <v/>
      </c>
      <c r="D41" s="10">
        <f>IFERROR(C41/B41,0)</f>
        <v/>
      </c>
    </row>
    <row r="42">
      <c r="A42" s="5" t="inlineStr">
        <is>
          <t>May S3</t>
        </is>
      </c>
      <c r="B42" s="6">
        <f>COUNTIFS(Diario!$D$5:$D$100,A42,Diario!$G$5:$G$100,"Sí")</f>
        <v/>
      </c>
      <c r="C42" s="10">
        <f>SUMIFS(Diario!$E$5:$E$100,Diario!$D$5:$D$100,A42,Diario!$G$5:$G$100,"Sí")</f>
        <v/>
      </c>
      <c r="D42" s="10">
        <f>IFERROR(C42/B42,0)</f>
        <v/>
      </c>
    </row>
    <row r="43">
      <c r="A43" s="5" t="inlineStr">
        <is>
          <t>May S4</t>
        </is>
      </c>
      <c r="B43" s="6">
        <f>COUNTIFS(Diario!$D$5:$D$100,A43,Diario!$G$5:$G$100,"Sí")</f>
        <v/>
      </c>
      <c r="C43" s="10">
        <f>SUMIFS(Diario!$E$5:$E$100,Diario!$D$5:$D$100,A43,Diario!$G$5:$G$100,"Sí")</f>
        <v/>
      </c>
      <c r="D43" s="10">
        <f>IFERROR(C43/B43,0)</f>
        <v/>
      </c>
    </row>
    <row r="44">
      <c r="A44" s="5" t="inlineStr">
        <is>
          <t>Jun S1</t>
        </is>
      </c>
      <c r="B44" s="6">
        <f>COUNTIFS(Diario!$D$5:$D$100,A44,Diario!$G$5:$G$100,"Sí")</f>
        <v/>
      </c>
      <c r="C44" s="10">
        <f>SUMIFS(Diario!$E$5:$E$100,Diario!$D$5:$D$100,A44,Diario!$G$5:$G$100,"Sí")</f>
        <v/>
      </c>
      <c r="D44" s="10">
        <f>IFERROR(C44/B44,0)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</cols>
  <sheetData>
    <row r="1">
      <c r="A1" s="1" t="inlineStr">
        <is>
          <t>Índice de consumo energético (ICE) · Línea 22</t>
        </is>
      </c>
    </row>
    <row r="2">
      <c r="A2" s="2" t="inlineStr">
        <is>
          <t>Fuente: págs. 78-86. kWh (electricidad + aire) por tonelada. Solo hay ICE de marzo y semana 2 de abril.</t>
        </is>
      </c>
    </row>
    <row r="4" ht="30" customHeight="1">
      <c r="A4" s="3" t="inlineStr">
        <is>
          <t>Fecha</t>
        </is>
      </c>
      <c r="B4" s="3" t="inlineStr">
        <is>
          <t>ICE (kWh/t)</t>
        </is>
      </c>
      <c r="C4" s="3" t="inlineStr">
        <is>
          <t>Nivel según informe</t>
        </is>
      </c>
    </row>
    <row r="5">
      <c r="A5" s="4" t="n">
        <v>46083</v>
      </c>
      <c r="B5" s="16" t="n">
        <v>5.701</v>
      </c>
      <c r="C5" s="5">
        <f>IF(B5&lt;6,"Muy eficiente",IF(B5&lt;12,"Intermedio",IF(B5&lt;20,"Baja eficiencia","Ineficiente")))</f>
        <v/>
      </c>
    </row>
    <row r="6">
      <c r="A6" s="4" t="n">
        <v>46084</v>
      </c>
      <c r="B6" s="16" t="n">
        <v>6.165</v>
      </c>
      <c r="C6" s="5">
        <f>IF(B6&lt;6,"Muy eficiente",IF(B6&lt;12,"Intermedio",IF(B6&lt;20,"Baja eficiencia","Ineficiente")))</f>
        <v/>
      </c>
    </row>
    <row r="7">
      <c r="A7" s="4" t="n">
        <v>46085</v>
      </c>
      <c r="B7" s="16" t="n">
        <v>9</v>
      </c>
      <c r="C7" s="5">
        <f>IF(B7&lt;6,"Muy eficiente",IF(B7&lt;12,"Intermedio",IF(B7&lt;20,"Baja eficiencia","Ineficiente")))</f>
        <v/>
      </c>
    </row>
    <row r="8">
      <c r="A8" s="4" t="n">
        <v>46086</v>
      </c>
      <c r="B8" s="16" t="n">
        <v>11.109</v>
      </c>
      <c r="C8" s="5">
        <f>IF(B8&lt;6,"Muy eficiente",IF(B8&lt;12,"Intermedio",IF(B8&lt;20,"Baja eficiencia","Ineficiente")))</f>
        <v/>
      </c>
    </row>
    <row r="9">
      <c r="A9" s="4" t="n">
        <v>46087</v>
      </c>
      <c r="B9" s="16" t="n">
        <v>11.975</v>
      </c>
      <c r="C9" s="5">
        <f>IF(B9&lt;6,"Muy eficiente",IF(B9&lt;12,"Intermedio",IF(B9&lt;20,"Baja eficiencia","Ineficiente")))</f>
        <v/>
      </c>
    </row>
    <row r="10">
      <c r="A10" s="4" t="n">
        <v>46088</v>
      </c>
      <c r="B10" s="16" t="n">
        <v>10.754</v>
      </c>
      <c r="C10" s="5">
        <f>IF(B10&lt;6,"Muy eficiente",IF(B10&lt;12,"Intermedio",IF(B10&lt;20,"Baja eficiencia","Ineficiente")))</f>
        <v/>
      </c>
    </row>
    <row r="11">
      <c r="A11" s="4" t="n">
        <v>46090</v>
      </c>
      <c r="B11" s="16" t="n">
        <v>12.023</v>
      </c>
      <c r="C11" s="5">
        <f>IF(B11&lt;6,"Muy eficiente",IF(B11&lt;12,"Intermedio",IF(B11&lt;20,"Baja eficiencia","Ineficiente")))</f>
        <v/>
      </c>
    </row>
    <row r="12">
      <c r="A12" s="4" t="n">
        <v>46093</v>
      </c>
      <c r="B12" s="16" t="n">
        <v>28.89</v>
      </c>
      <c r="C12" s="5">
        <f>IF(B12&lt;6,"Muy eficiente",IF(B12&lt;12,"Intermedio",IF(B12&lt;20,"Baja eficiencia","Ineficiente")))</f>
        <v/>
      </c>
    </row>
    <row r="13">
      <c r="A13" s="4" t="n">
        <v>46094</v>
      </c>
      <c r="B13" s="16" t="n">
        <v>18.94</v>
      </c>
      <c r="C13" s="5">
        <f>IF(B13&lt;6,"Muy eficiente",IF(B13&lt;12,"Intermedio",IF(B13&lt;20,"Baja eficiencia","Ineficiente")))</f>
        <v/>
      </c>
    </row>
    <row r="14">
      <c r="A14" s="4" t="n">
        <v>46095</v>
      </c>
      <c r="B14" s="16" t="n">
        <v>31.95</v>
      </c>
      <c r="C14" s="5">
        <f>IF(B14&lt;6,"Muy eficiente",IF(B14&lt;12,"Intermedio",IF(B14&lt;20,"Baja eficiencia","Ineficiente")))</f>
        <v/>
      </c>
    </row>
    <row r="15">
      <c r="A15" s="4" t="n">
        <v>46097</v>
      </c>
      <c r="B15" s="16" t="n">
        <v>16.45</v>
      </c>
      <c r="C15" s="5">
        <f>IF(B15&lt;6,"Muy eficiente",IF(B15&lt;12,"Intermedio",IF(B15&lt;20,"Baja eficiencia","Ineficiente")))</f>
        <v/>
      </c>
    </row>
    <row r="16">
      <c r="A16" s="4" t="n">
        <v>46098</v>
      </c>
      <c r="B16" s="16" t="n">
        <v>16.01</v>
      </c>
      <c r="C16" s="5">
        <f>IF(B16&lt;6,"Muy eficiente",IF(B16&lt;12,"Intermedio",IF(B16&lt;20,"Baja eficiencia","Ineficiente")))</f>
        <v/>
      </c>
    </row>
    <row r="17">
      <c r="A17" s="4" t="n">
        <v>46099</v>
      </c>
      <c r="B17" s="16" t="n">
        <v>19.25</v>
      </c>
      <c r="C17" s="5">
        <f>IF(B17&lt;6,"Muy eficiente",IF(B17&lt;12,"Intermedio",IF(B17&lt;20,"Baja eficiencia","Ineficiente")))</f>
        <v/>
      </c>
    </row>
    <row r="18">
      <c r="A18" s="4" t="n">
        <v>46100</v>
      </c>
      <c r="B18" s="16" t="n">
        <v>20.57</v>
      </c>
      <c r="C18" s="5">
        <f>IF(B18&lt;6,"Muy eficiente",IF(B18&lt;12,"Intermedio",IF(B18&lt;20,"Baja eficiencia","Ineficiente")))</f>
        <v/>
      </c>
    </row>
    <row r="19">
      <c r="A19" s="4" t="n">
        <v>46101</v>
      </c>
      <c r="B19" s="16" t="n">
        <v>7.42</v>
      </c>
      <c r="C19" s="5">
        <f>IF(B19&lt;6,"Muy eficiente",IF(B19&lt;12,"Intermedio",IF(B19&lt;20,"Baja eficiencia","Ineficiente")))</f>
        <v/>
      </c>
    </row>
    <row r="20">
      <c r="A20" s="4" t="n">
        <v>46102</v>
      </c>
      <c r="B20" s="16" t="n">
        <v>7.31</v>
      </c>
      <c r="C20" s="5">
        <f>IF(B20&lt;6,"Muy eficiente",IF(B20&lt;12,"Intermedio",IF(B20&lt;20,"Baja eficiencia","Ineficiente")))</f>
        <v/>
      </c>
    </row>
    <row r="21">
      <c r="A21" s="4" t="n">
        <v>46106</v>
      </c>
      <c r="B21" s="16" t="n">
        <v>8.420999999999999</v>
      </c>
      <c r="C21" s="5">
        <f>IF(B21&lt;6,"Muy eficiente",IF(B21&lt;12,"Intermedio",IF(B21&lt;20,"Baja eficiencia","Ineficiente")))</f>
        <v/>
      </c>
    </row>
    <row r="22">
      <c r="A22" s="4" t="n">
        <v>46107</v>
      </c>
      <c r="B22" s="16" t="n">
        <v>9.954000000000001</v>
      </c>
      <c r="C22" s="5">
        <f>IF(B22&lt;6,"Muy eficiente",IF(B22&lt;12,"Intermedio",IF(B22&lt;20,"Baja eficiencia","Ineficiente")))</f>
        <v/>
      </c>
    </row>
    <row r="23">
      <c r="A23" s="4" t="n">
        <v>46108</v>
      </c>
      <c r="B23" s="16" t="n">
        <v>8.954000000000001</v>
      </c>
      <c r="C23" s="5">
        <f>IF(B23&lt;6,"Muy eficiente",IF(B23&lt;12,"Intermedio",IF(B23&lt;20,"Baja eficiencia","Ineficiente")))</f>
        <v/>
      </c>
    </row>
    <row r="24">
      <c r="A24" s="4" t="n">
        <v>46109</v>
      </c>
      <c r="B24" s="16" t="n">
        <v>5.919</v>
      </c>
      <c r="C24" s="5">
        <f>IF(B24&lt;6,"Muy eficiente",IF(B24&lt;12,"Intermedio",IF(B24&lt;20,"Baja eficiencia","Ineficiente")))</f>
        <v/>
      </c>
    </row>
    <row r="25">
      <c r="A25" s="4" t="n">
        <v>46118</v>
      </c>
      <c r="B25" s="16" t="n">
        <v>13.461</v>
      </c>
      <c r="C25" s="5">
        <f>IF(B25&lt;6,"Muy eficiente",IF(B25&lt;12,"Intermedio",IF(B25&lt;20,"Baja eficiencia","Ineficiente")))</f>
        <v/>
      </c>
    </row>
    <row r="26">
      <c r="A26" s="4" t="n">
        <v>46119</v>
      </c>
      <c r="B26" s="16" t="n">
        <v>14.346</v>
      </c>
      <c r="C26" s="5">
        <f>IF(B26&lt;6,"Muy eficiente",IF(B26&lt;12,"Intermedio",IF(B26&lt;20,"Baja eficiencia","Ineficiente")))</f>
        <v/>
      </c>
    </row>
    <row r="27">
      <c r="A27" s="4" t="n">
        <v>46120</v>
      </c>
      <c r="B27" s="16" t="n">
        <v>15.636</v>
      </c>
      <c r="C27" s="5">
        <f>IF(B27&lt;6,"Muy eficiente",IF(B27&lt;12,"Intermedio",IF(B27&lt;20,"Baja eficiencia","Ineficiente")))</f>
        <v/>
      </c>
    </row>
    <row r="28">
      <c r="A28" s="4" t="n">
        <v>46121</v>
      </c>
      <c r="B28" s="16" t="n">
        <v>13.831</v>
      </c>
      <c r="C28" s="5">
        <f>IF(B28&lt;6,"Muy eficiente",IF(B28&lt;12,"Intermedio",IF(B28&lt;20,"Baja eficiencia","Ineficiente")))</f>
        <v/>
      </c>
    </row>
    <row r="29">
      <c r="A29" s="4" t="n">
        <v>46122</v>
      </c>
      <c r="B29" s="16" t="n">
        <v>13.971</v>
      </c>
      <c r="C29" s="5">
        <f>IF(B29&lt;6,"Muy eficiente",IF(B29&lt;12,"Intermedio",IF(B29&lt;20,"Baja eficiencia","Ineficiente")))</f>
        <v/>
      </c>
    </row>
    <row r="30">
      <c r="A30" s="4" t="n">
        <v>46123</v>
      </c>
      <c r="B30" s="16" t="n">
        <v>15.435</v>
      </c>
      <c r="C30" s="5">
        <f>IF(B30&lt;6,"Muy eficiente",IF(B30&lt;12,"Intermedio",IF(B30&lt;20,"Baja eficiencia","Ineficiente")))</f>
        <v/>
      </c>
    </row>
    <row r="31">
      <c r="A31" s="13" t="inlineStr">
        <is>
          <t>Promedio</t>
        </is>
      </c>
      <c r="B31" s="17">
        <f>AVERAGE(B5:B30)</f>
        <v/>
      </c>
      <c r="C31" s="13">
        <f>IF(B31&lt;6,"Muy eficiente",IF(B31&lt;12,"Intermedio",IF(B31&lt;20,"Baja eficiencia","Ineficiente")))</f>
        <v/>
      </c>
    </row>
    <row r="32">
      <c r="A32" s="18" t="inlineStr">
        <is>
          <t>Días ≥ 12</t>
        </is>
      </c>
      <c r="B32" s="19">
        <f>COUNTIF(B5:B30,"&gt;=12")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2026-10-05T14:46:57Z</dcterms:created>
  <dcterms:modified xsi:type="dcterms:W3CDTF">2026-10-05T14:46:57Z</dcterms:modified>
</cp:coreProperties>
</file>