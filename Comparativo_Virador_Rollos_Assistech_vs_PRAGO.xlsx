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ativ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<sst xmlns="http://schemas.openxmlformats.org/spreadsheetml/2006/main" count="123" uniqueCount="114">
  <si>
    <t xml:space="preserve">Comparativo de cotizaciones – Equipo virador / manipulador de rollos</t>
  </si>
  <si>
    <t xml:space="preserve">Reckitt Benckiser – Planta Cali · Solicitado por: Mauricio Cruz Ochoa · Fecha: 16/10/2026 · Valores en COP</t>
  </si>
  <si>
    <t xml:space="preserve">Texto azul = dato tomado de la cotización/correo · Fondo amarillo = supuesto editable · Texto negro = fórmula</t>
  </si>
  <si>
    <t xml:space="preserve">Criterio</t>
  </si>
  <si>
    <t xml:space="preserve">ASSISTECH
Hovmand IMPACT200 + EG6</t>
  </si>
  <si>
    <t xml:space="preserve">PRAGO IS
TAWI PRO200MESE</t>
  </si>
  <si>
    <t xml:space="preserve">Mejor opción</t>
  </si>
  <si>
    <t xml:space="preserve">Fuente / observación</t>
  </si>
  <si>
    <t xml:space="preserve">1. COSTO DEL EQUIPO</t>
  </si>
  <si>
    <t xml:space="preserve">Valor del equipo</t>
  </si>
  <si>
    <t xml:space="preserve">Assistech: Cotización EST02-0004972 V.3 (13/10/2026). PRAGO: Cotización 26043-2026-1 (15/10/2026), incluye enchufe US.</t>
  </si>
  <si>
    <t xml:space="preserve">Flete nacional y capacitación</t>
  </si>
  <si>
    <t xml:space="preserve">Assistech: incluido (entrega en planta + capacitación según forma de pago). PRAGO: ítem separado en la cotización.</t>
  </si>
  <si>
    <t xml:space="preserve">Envío aéreo (por avión) – PRAGO</t>
  </si>
  <si>
    <t xml:space="preserve">Correo G. Navarro 14/10/2026: 'El despacho aéreo tendría un costo adicional estimado de COP $8.000.000'. Se suma al equipo según instrucción de M. Cruz. Assistech no aplica.</t>
  </si>
  <si>
    <t xml:space="preserve">Subtotal antes de IVA</t>
  </si>
  <si>
    <t xml:space="preserve">Base comparable entre ambos proveedores.</t>
  </si>
  <si>
    <t xml:space="preserve">Tarifa IVA</t>
  </si>
  <si>
    <t xml:space="preserve">Supuesto: la cotización de PRAGO no indica IVA; se asume que NO lo incluye (su cláusula de cancelación habla de 'valor antes de IVA'). CONFIRMAR con PRAGO.</t>
  </si>
  <si>
    <t xml:space="preserve">IVA</t>
  </si>
  <si>
    <t xml:space="preserve">Assistech: IVA 19% = $21.502.205 según su cotización.</t>
  </si>
  <si>
    <t xml:space="preserve">TOTAL CON IVA</t>
  </si>
  <si>
    <t xml:space="preserve">Diferencia PRAGO vs Assistech (total con IVA)</t>
  </si>
  <si>
    <t xml:space="preserve">Positivo = PRAGO es más costoso.</t>
  </si>
  <si>
    <t xml:space="preserve">Diferencia %</t>
  </si>
  <si>
    <t xml:space="preserve">2. TIEMPO DE ENTREGA</t>
  </si>
  <si>
    <t xml:space="preserve">Fecha supuesta de emisión de OC</t>
  </si>
  <si>
    <t xml:space="preserve">Supuesto editable. PRAGO condiciona su plazo a recibir la OC antes del 16/10/2026.</t>
  </si>
  <si>
    <t xml:space="preserve">Plazo ofertado</t>
  </si>
  <si>
    <t xml:space="preserve">3 a 5 semanas</t>
  </si>
  <si>
    <t xml:space="preserve">10 a 12 semanas (envío aéreo desde Suecia)</t>
  </si>
  <si>
    <t xml:space="preserve">Assistech: cotización V.3 'Antes del 15 de Diciembre'. PRAGO: cotización y correo 14/10; despacho desde Suecia programado ~18/12/2026.</t>
  </si>
  <si>
    <t xml:space="preserve">Semanas mínimas</t>
  </si>
  <si>
    <t xml:space="preserve">Semanas máximas</t>
  </si>
  <si>
    <t xml:space="preserve">Llegada estimada – mejor caso</t>
  </si>
  <si>
    <t xml:space="preserve">Llegada estimada – peor caso</t>
  </si>
  <si>
    <t xml:space="preserve">Fecha requerida en planta</t>
  </si>
  <si>
    <t xml:space="preserve">Requerimiento de Reckitt (correo R. Garduno 12/10/2026).</t>
  </si>
  <si>
    <t xml:space="preserve">¿Cumple la fecha requerida (peor caso)?</t>
  </si>
  <si>
    <t xml:space="preserve">PRAGO no llega antes del 15/12 ni en el mejor caso: su propio correo indica despacho desde Suecia el 18/12.</t>
  </si>
  <si>
    <t xml:space="preserve">3. REPUESTOS Y MANTENIMIENTO</t>
  </si>
  <si>
    <t xml:space="preserve">Rueda trasera (por unidad)</t>
  </si>
  <si>
    <t xml:space="preserve">No cotizado</t>
  </si>
  <si>
    <t xml:space="preserve">Assistech: correo C. Sanclemente 13/10/2026. PRAGO: solo menciona ruedas como consumible, sin precio.</t>
  </si>
  <si>
    <t xml:space="preserve">Rueda delantera (por unidad)</t>
  </si>
  <si>
    <t xml:space="preserve">Ídem.</t>
  </si>
  <si>
    <t xml:space="preserve">Kit de baterías de gel</t>
  </si>
  <si>
    <t xml:space="preserve">PRAGO: menciona 'kit adicional de baterías' sin precio.</t>
  </si>
  <si>
    <t xml:space="preserve">Gomas de gripper / siliconas de agarre (por unidad)</t>
  </si>
  <si>
    <t xml:space="preserve">Assistech: 16 unidades por equipo.</t>
  </si>
  <si>
    <t xml:space="preserve">Cantidad de gomas por equipo</t>
  </si>
  <si>
    <t xml:space="preserve">Juego completo de gomas</t>
  </si>
  <si>
    <t xml:space="preserve">Otros consumibles mencionados</t>
  </si>
  <si>
    <t xml:space="preserve">—</t>
  </si>
  <si>
    <t xml:space="preserve">Correa dentada</t>
  </si>
  <si>
    <t xml:space="preserve">PRAGO: sin precio.</t>
  </si>
  <si>
    <t xml:space="preserve">Mantenimiento preventivo anual</t>
  </si>
  <si>
    <t xml:space="preserve">Assistech: no incluye repuestos. PRAGO: valor aproximado.</t>
  </si>
  <si>
    <t xml:space="preserve">Stock local de repuestos</t>
  </si>
  <si>
    <t xml:space="preserve">Sí – repuestos críticos</t>
  </si>
  <si>
    <t xml:space="preserve">Sí – inventario habitual de consumibles</t>
  </si>
  <si>
    <t xml:space="preserve">Igual</t>
  </si>
  <si>
    <t xml:space="preserve">Tiempo de respuesta soporte técnico</t>
  </si>
  <si>
    <t xml:space="preserve">1 día hábil (mismo día sujeto a disponibilidad)</t>
  </si>
  <si>
    <t xml:space="preserve">Remoto inmediato; presencial máx. 3 días</t>
  </si>
  <si>
    <t xml:space="preserve">Assistech</t>
  </si>
  <si>
    <t xml:space="preserve">4. TÉRMINOS DE PAGO</t>
  </si>
  <si>
    <t xml:space="preserve">Días de pago de la factura</t>
  </si>
  <si>
    <t xml:space="preserve">No especificado – aceptó la forma de pago de Reckitt (facturas 'conforme a los términos de pago acordados con Reckitt')</t>
  </si>
  <si>
    <t xml:space="preserve">30 días (crédito)</t>
  </si>
  <si>
    <t xml:space="preserve">Assistech: correo 13/10 indica 'aceptación de la forma de pago propuesta'. CONFIRMAR número de días. PRAGO: correo 14/10.</t>
  </si>
  <si>
    <t xml:space="preserve">Hitos de pago</t>
  </si>
  <si>
    <t xml:space="preserve">30% OC · 20% aprobación planos · 30% despacho/FAT · 20% entrega y capacitación</t>
  </si>
  <si>
    <t xml:space="preserve">50% anticipo OC · 30% confirmación despacho · 20% entrega y capacitación</t>
  </si>
  <si>
    <t xml:space="preserve">PRAGO: la cotización PDF dice 30/30/40; el correo posterior (14/10) ofrece 50/30/20. Prevalece el correo.</t>
  </si>
  <si>
    <t xml:space="preserve">Anticipo con la OC</t>
  </si>
  <si>
    <t xml:space="preserve">Menor anticipo = menor riesgo para Reckitt.</t>
  </si>
  <si>
    <t xml:space="preserve">Póliza de buen manejo de anticipo</t>
  </si>
  <si>
    <t xml:space="preserve">No mencionada</t>
  </si>
  <si>
    <t xml:space="preserve">Sí</t>
  </si>
  <si>
    <t xml:space="preserve">PRAGO</t>
  </si>
  <si>
    <t xml:space="preserve">Aprobación de planos de fabricación</t>
  </si>
  <si>
    <t xml:space="preserve">Sí (hito de pago)</t>
  </si>
  <si>
    <t xml:space="preserve">No aplica – equipo estándar</t>
  </si>
  <si>
    <t xml:space="preserve">5. OTRAS CONDICIONES</t>
  </si>
  <si>
    <t xml:space="preserve">Capacidad de carga</t>
  </si>
  <si>
    <t xml:space="preserve">150 kg (giro de rollo)</t>
  </si>
  <si>
    <t xml:space="preserve">150 kg (SWL)</t>
  </si>
  <si>
    <t xml:space="preserve">Altura máxima de elevación</t>
  </si>
  <si>
    <t xml:space="preserve">1.611 mm</t>
  </si>
  <si>
    <t xml:space="preserve">1.646 mm</t>
  </si>
  <si>
    <t xml:space="preserve">Garantía</t>
  </si>
  <si>
    <t xml:space="preserve">12 meses desde fecha de envío</t>
  </si>
  <si>
    <t xml:space="preserve">12 meses desde la entrega</t>
  </si>
  <si>
    <t xml:space="preserve">Validez de la oferta</t>
  </si>
  <si>
    <t xml:space="preserve">Hasta 30/10/2026</t>
  </si>
  <si>
    <t xml:space="preserve">45 días (desde 15/10/2026)</t>
  </si>
  <si>
    <t xml:space="preserve">Cancelación de la OC</t>
  </si>
  <si>
    <t xml:space="preserve">No cancelable una vez aceptada</t>
  </si>
  <si>
    <t xml:space="preserve">Penalidad 25% (en producción) / 35% (en importación)</t>
  </si>
  <si>
    <t xml:space="preserve">Requerimiento eléctrico</t>
  </si>
  <si>
    <t xml:space="preserve">Acometida 110 V</t>
  </si>
  <si>
    <t xml:space="preserve">100–240 VAC; enchufe US incluido</t>
  </si>
  <si>
    <t xml:space="preserve">PRAGO: la ficha técnica dice 'Power Plug: EU' y el texto de instalación menciona 230V/3Ph para bomba de vacío. Validar que aplique.</t>
  </si>
  <si>
    <t xml:space="preserve">Proveedor registrado en Reckitt</t>
  </si>
  <si>
    <t xml:space="preserve">No indicado</t>
  </si>
  <si>
    <t xml:space="preserve">Observación</t>
  </si>
  <si>
    <t xml:space="preserve">Versión actualizada del equipo que la planta ya usa</t>
  </si>
  <si>
    <t xml:space="preserve">PUNTOS PENDIENTES POR CONFIRMAR</t>
  </si>
  <si>
    <t xml:space="preserve">1. PRAGO: ¿el valor de $120.700.000 incluye IVA? (el comparativo asume que no).</t>
  </si>
  <si>
    <t xml:space="preserve">2. PRAGO: la cotización ya menciona 'flete aéreo'; confirmar que los $8.000.000 del correo no estén duplicados.</t>
  </si>
  <si>
    <t xml:space="preserve">3. PRAGO: precios de repuestos/consumibles (ruedas, baterías, siliconas de agarre, correa dentada).</t>
  </si>
  <si>
    <t xml:space="preserve">4. Assistech: número de días de pago de la factura.</t>
  </si>
  <si>
    <t xml:space="preserve">5. PRAGO: con despacho desde Suecia el 18/12 no cumple la fecha requerida del 15/12/2026.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</si>
</sst>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%"/>
    <numFmt numFmtId="167" formatCode="0.0%"/>
    <numFmt numFmtId="168" formatCode="dd/mm/yyyy"/>
    <numFmt numFmtId="169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34"/>
    <col collapsed="false" customWidth="true" hidden="false" outlineLevel="0" max="4" min="4" style="0" width="20"/>
    <col collapsed="false" customWidth="true" hidden="false" outlineLevel="0" max="5" min="5" style="0" width="5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31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15" hidden="false" customHeight="false" outlineLevel="0" collapsed="false">
      <c r="A6" s="5" t="s">
        <v>8</v>
      </c>
      <c r="B6" s="5"/>
      <c r="C6" s="5"/>
      <c r="D6" s="5"/>
      <c r="E6" s="5"/>
    </row>
    <row r="7" customFormat="false" ht="22.35" hidden="false" customHeight="false" outlineLevel="0" collapsed="false">
      <c r="A7" s="6" t="s">
        <v>9</v>
      </c>
      <c r="B7" s="7" t="n">
        <v>113169500</v>
      </c>
      <c r="C7" s="7" t="n">
        <v>118200000</v>
      </c>
      <c r="D7" s="8" t="str">
        <f aca="false">IF(AND(ISNUMBER(B7),ISNUMBER(C7)),IF(B7&lt;C7,"Assistech",IF(C7&lt;B7,"PRAGO","Igual")),"")</f>
        <v>Assistech</v>
      </c>
      <c r="E7" s="9" t="s">
        <v>10</v>
      </c>
    </row>
    <row r="8" customFormat="false" ht="22.35" hidden="false" customHeight="false" outlineLevel="0" collapsed="false">
      <c r="A8" s="6" t="s">
        <v>11</v>
      </c>
      <c r="B8" s="7" t="n">
        <v>0</v>
      </c>
      <c r="C8" s="7" t="n">
        <v>2500000</v>
      </c>
      <c r="D8" s="8"/>
      <c r="E8" s="9" t="s">
        <v>12</v>
      </c>
    </row>
    <row r="9" customFormat="false" ht="32.8" hidden="false" customHeight="false" outlineLevel="0" collapsed="false">
      <c r="A9" s="6" t="s">
        <v>13</v>
      </c>
      <c r="B9" s="7" t="n">
        <v>0</v>
      </c>
      <c r="C9" s="7" t="n">
        <v>8000000</v>
      </c>
      <c r="D9" s="8"/>
      <c r="E9" s="9" t="s">
        <v>14</v>
      </c>
    </row>
    <row r="10" customFormat="false" ht="15" hidden="false" customHeight="false" outlineLevel="0" collapsed="false">
      <c r="A10" s="10" t="s">
        <v>15</v>
      </c>
      <c r="B10" s="11" t="n">
        <f aca="false">SUM(B7:B9)</f>
        <v>113169500</v>
      </c>
      <c r="C10" s="11" t="n">
        <f aca="false">SUM(C7:C9)</f>
        <v>128700000</v>
      </c>
      <c r="D10" s="12" t="str">
        <f aca="false">IF(AND(ISNUMBER(B10),ISNUMBER(C10)),IF(B10&lt;C10,"Assistech",IF(C10&lt;B10,"PRAGO","Igual")),"")</f>
        <v>Assistech</v>
      </c>
      <c r="E10" s="13" t="s">
        <v>16</v>
      </c>
    </row>
    <row r="11" customFormat="false" ht="32.8" hidden="false" customHeight="false" outlineLevel="0" collapsed="false">
      <c r="A11" s="6" t="s">
        <v>17</v>
      </c>
      <c r="B11" s="14" t="n">
        <v>0.19</v>
      </c>
      <c r="C11" s="14" t="n">
        <v>0.19</v>
      </c>
      <c r="D11" s="8"/>
      <c r="E11" s="9" t="s">
        <v>18</v>
      </c>
    </row>
    <row r="12" customFormat="false" ht="15" hidden="false" customHeight="false" outlineLevel="0" collapsed="false">
      <c r="A12" s="6" t="s">
        <v>19</v>
      </c>
      <c r="B12" s="15" t="n">
        <f aca="false">B10*B11</f>
        <v>21502205</v>
      </c>
      <c r="C12" s="15" t="n">
        <f aca="false">C10*C11</f>
        <v>24453000</v>
      </c>
      <c r="D12" s="8"/>
      <c r="E12" s="9" t="s">
        <v>20</v>
      </c>
    </row>
    <row r="13" customFormat="false" ht="15" hidden="false" customHeight="false" outlineLevel="0" collapsed="false">
      <c r="A13" s="10" t="s">
        <v>21</v>
      </c>
      <c r="B13" s="11" t="n">
        <f aca="false">B10+B12</f>
        <v>134671705</v>
      </c>
      <c r="C13" s="11" t="n">
        <f aca="false">C10+C12</f>
        <v>153153000</v>
      </c>
      <c r="D13" s="12" t="str">
        <f aca="false">IF(AND(ISNUMBER(B13),ISNUMBER(C13)),IF(B13&lt;C13,"Assistech",IF(C13&lt;B13,"PRAGO","Igual")),"")</f>
        <v>Assistech</v>
      </c>
      <c r="E13" s="13"/>
    </row>
    <row r="14" customFormat="false" ht="23.85" hidden="false" customHeight="false" outlineLevel="0" collapsed="false">
      <c r="A14" s="16" t="s">
        <v>22</v>
      </c>
      <c r="B14" s="17"/>
      <c r="C14" s="18" t="n">
        <f aca="false">C13-B13</f>
        <v>18481295</v>
      </c>
      <c r="D14" s="8"/>
      <c r="E14" s="19" t="s">
        <v>23</v>
      </c>
    </row>
    <row r="15" customFormat="false" ht="15" hidden="false" customHeight="false" outlineLevel="0" collapsed="false">
      <c r="A15" s="6" t="s">
        <v>24</v>
      </c>
      <c r="B15" s="20"/>
      <c r="C15" s="21" t="n">
        <f aca="false">IF(B13=0,0,C14/B13)</f>
        <v>0.13723220479016</v>
      </c>
      <c r="D15" s="8"/>
      <c r="E15" s="9"/>
    </row>
    <row r="16" customFormat="false" ht="15" hidden="false" customHeight="false" outlineLevel="0" collapsed="false">
      <c r="A16" s="5" t="s">
        <v>25</v>
      </c>
      <c r="B16" s="5"/>
      <c r="C16" s="5"/>
      <c r="D16" s="5"/>
      <c r="E16" s="5"/>
    </row>
    <row r="17" customFormat="false" ht="22.35" hidden="false" customHeight="false" outlineLevel="0" collapsed="false">
      <c r="A17" s="6" t="s">
        <v>26</v>
      </c>
      <c r="B17" s="22" t="n">
        <v>46311</v>
      </c>
      <c r="C17" s="22" t="n">
        <v>46311</v>
      </c>
      <c r="D17" s="8"/>
      <c r="E17" s="9" t="s">
        <v>27</v>
      </c>
    </row>
    <row r="18" customFormat="false" ht="23.85" hidden="false" customHeight="false" outlineLevel="0" collapsed="false">
      <c r="A18" s="6" t="s">
        <v>28</v>
      </c>
      <c r="B18" s="23" t="s">
        <v>29</v>
      </c>
      <c r="C18" s="23" t="s">
        <v>30</v>
      </c>
      <c r="D18" s="8"/>
      <c r="E18" s="9" t="s">
        <v>31</v>
      </c>
    </row>
    <row r="19" customFormat="false" ht="15" hidden="false" customHeight="false" outlineLevel="0" collapsed="false">
      <c r="A19" s="6" t="s">
        <v>32</v>
      </c>
      <c r="B19" s="24" t="n">
        <v>3</v>
      </c>
      <c r="C19" s="24" t="n">
        <v>10</v>
      </c>
      <c r="D19" s="8"/>
      <c r="E19" s="9"/>
    </row>
    <row r="20" customFormat="false" ht="15" hidden="false" customHeight="false" outlineLevel="0" collapsed="false">
      <c r="A20" s="6" t="s">
        <v>33</v>
      </c>
      <c r="B20" s="24" t="n">
        <v>5</v>
      </c>
      <c r="C20" s="24" t="n">
        <v>12</v>
      </c>
      <c r="D20" s="8" t="str">
        <f aca="false">IF(AND(ISNUMBER(B20),ISNUMBER(C20)),IF(B20&lt;C20,"Assistech",IF(C20&lt;B20,"PRAGO","Igual")),"")</f>
        <v>Assistech</v>
      </c>
      <c r="E20" s="9"/>
    </row>
    <row r="21" customFormat="false" ht="15" hidden="false" customHeight="false" outlineLevel="0" collapsed="false">
      <c r="A21" s="6" t="s">
        <v>34</v>
      </c>
      <c r="B21" s="25" t="n">
        <f aca="false">B17+7*B19</f>
        <v>46332</v>
      </c>
      <c r="C21" s="25" t="n">
        <f aca="false">C17+7*C19</f>
        <v>46381</v>
      </c>
      <c r="D21" s="8"/>
      <c r="E21" s="9"/>
    </row>
    <row r="22" customFormat="false" ht="15" hidden="false" customHeight="false" outlineLevel="0" collapsed="false">
      <c r="A22" s="6" t="s">
        <v>35</v>
      </c>
      <c r="B22" s="25" t="n">
        <f aca="false">B17+7*B20</f>
        <v>46346</v>
      </c>
      <c r="C22" s="25" t="n">
        <f aca="false">C17+7*C20</f>
        <v>46395</v>
      </c>
      <c r="D22" s="8"/>
      <c r="E22" s="9"/>
    </row>
    <row r="23" customFormat="false" ht="15" hidden="false" customHeight="false" outlineLevel="0" collapsed="false">
      <c r="A23" s="6" t="s">
        <v>36</v>
      </c>
      <c r="B23" s="26" t="n">
        <v>46371</v>
      </c>
      <c r="C23" s="26" t="n">
        <v>46371</v>
      </c>
      <c r="D23" s="8"/>
      <c r="E23" s="9" t="s">
        <v>37</v>
      </c>
    </row>
    <row r="24" customFormat="false" ht="22.35" hidden="false" customHeight="false" outlineLevel="0" collapsed="false">
      <c r="A24" s="16" t="s">
        <v>38</v>
      </c>
      <c r="B24" s="8" t="str">
        <f aca="false">IF(B22&lt;=B23,"Sí","No")</f>
        <v>Sí</v>
      </c>
      <c r="C24" s="8" t="str">
        <f aca="false">IF(C22&lt;=C23,"Sí","No")</f>
        <v>No</v>
      </c>
      <c r="D24" s="8"/>
      <c r="E24" s="19" t="s">
        <v>39</v>
      </c>
    </row>
    <row r="25" customFormat="false" ht="15" hidden="false" customHeight="false" outlineLevel="0" collapsed="false">
      <c r="A25" s="5" t="s">
        <v>40</v>
      </c>
      <c r="B25" s="5"/>
      <c r="C25" s="5"/>
      <c r="D25" s="5"/>
      <c r="E25" s="5"/>
    </row>
    <row r="26" customFormat="false" ht="22.35" hidden="false" customHeight="false" outlineLevel="0" collapsed="false">
      <c r="A26" s="6" t="s">
        <v>41</v>
      </c>
      <c r="B26" s="7" t="n">
        <v>850000</v>
      </c>
      <c r="C26" s="7" t="s">
        <v>42</v>
      </c>
      <c r="D26" s="8"/>
      <c r="E26" s="9" t="s">
        <v>43</v>
      </c>
    </row>
    <row r="27" customFormat="false" ht="15" hidden="false" customHeight="false" outlineLevel="0" collapsed="false">
      <c r="A27" s="6" t="s">
        <v>44</v>
      </c>
      <c r="B27" s="7" t="n">
        <v>300156</v>
      </c>
      <c r="C27" s="7" t="s">
        <v>42</v>
      </c>
      <c r="D27" s="8"/>
      <c r="E27" s="9" t="s">
        <v>45</v>
      </c>
    </row>
    <row r="28" customFormat="false" ht="15" hidden="false" customHeight="false" outlineLevel="0" collapsed="false">
      <c r="A28" s="6" t="s">
        <v>46</v>
      </c>
      <c r="B28" s="7" t="n">
        <v>3444000</v>
      </c>
      <c r="C28" s="7" t="s">
        <v>42</v>
      </c>
      <c r="D28" s="8"/>
      <c r="E28" s="9" t="s">
        <v>47</v>
      </c>
    </row>
    <row r="29" customFormat="false" ht="23.85" hidden="false" customHeight="false" outlineLevel="0" collapsed="false">
      <c r="A29" s="6" t="s">
        <v>48</v>
      </c>
      <c r="B29" s="7" t="n">
        <v>50000</v>
      </c>
      <c r="C29" s="7" t="s">
        <v>42</v>
      </c>
      <c r="D29" s="8"/>
      <c r="E29" s="9" t="s">
        <v>49</v>
      </c>
    </row>
    <row r="30" customFormat="false" ht="15" hidden="false" customHeight="false" outlineLevel="0" collapsed="false">
      <c r="A30" s="6" t="s">
        <v>50</v>
      </c>
      <c r="B30" s="24" t="n">
        <v>16</v>
      </c>
      <c r="C30" s="24" t="s">
        <v>42</v>
      </c>
      <c r="D30" s="8"/>
      <c r="E30" s="9"/>
    </row>
    <row r="31" customFormat="false" ht="15" hidden="false" customHeight="false" outlineLevel="0" collapsed="false">
      <c r="A31" s="6" t="s">
        <v>51</v>
      </c>
      <c r="B31" s="15" t="n">
        <f aca="false">B29*B30</f>
        <v>800000</v>
      </c>
      <c r="C31" s="7" t="s">
        <v>42</v>
      </c>
      <c r="D31" s="8"/>
      <c r="E31" s="9"/>
    </row>
    <row r="32" customFormat="false" ht="15" hidden="false" customHeight="false" outlineLevel="0" collapsed="false">
      <c r="A32" s="6" t="s">
        <v>52</v>
      </c>
      <c r="B32" s="23" t="s">
        <v>53</v>
      </c>
      <c r="C32" s="23" t="s">
        <v>54</v>
      </c>
      <c r="D32" s="8"/>
      <c r="E32" s="9" t="s">
        <v>55</v>
      </c>
    </row>
    <row r="33" customFormat="false" ht="15" hidden="false" customHeight="false" outlineLevel="0" collapsed="false">
      <c r="A33" s="16" t="s">
        <v>56</v>
      </c>
      <c r="B33" s="17" t="n">
        <v>1600000</v>
      </c>
      <c r="C33" s="17" t="n">
        <v>1800000</v>
      </c>
      <c r="D33" s="8" t="str">
        <f aca="false">IF(AND(ISNUMBER(B33),ISNUMBER(C33)),IF(B33&lt;C33,"Assistech",IF(C33&lt;B33,"PRAGO","Igual")),"")</f>
        <v>Assistech</v>
      </c>
      <c r="E33" s="19" t="s">
        <v>57</v>
      </c>
    </row>
    <row r="34" customFormat="false" ht="15" hidden="false" customHeight="false" outlineLevel="0" collapsed="false">
      <c r="A34" s="6" t="s">
        <v>58</v>
      </c>
      <c r="B34" s="23" t="s">
        <v>59</v>
      </c>
      <c r="C34" s="23" t="s">
        <v>60</v>
      </c>
      <c r="D34" s="8" t="s">
        <v>61</v>
      </c>
      <c r="E34" s="9"/>
    </row>
    <row r="35" customFormat="false" ht="23.85" hidden="false" customHeight="false" outlineLevel="0" collapsed="false">
      <c r="A35" s="6" t="s">
        <v>62</v>
      </c>
      <c r="B35" s="23" t="s">
        <v>63</v>
      </c>
      <c r="C35" s="23" t="s">
        <v>64</v>
      </c>
      <c r="D35" s="8" t="s">
        <v>65</v>
      </c>
      <c r="E35" s="9"/>
    </row>
    <row r="36" customFormat="false" ht="15" hidden="false" customHeight="false" outlineLevel="0" collapsed="false">
      <c r="A36" s="5" t="s">
        <v>66</v>
      </c>
      <c r="B36" s="5"/>
      <c r="C36" s="5"/>
      <c r="D36" s="5"/>
      <c r="E36" s="5"/>
    </row>
    <row r="37" customFormat="false" ht="35.05" hidden="false" customHeight="false" outlineLevel="0" collapsed="false">
      <c r="A37" s="6" t="s">
        <v>67</v>
      </c>
      <c r="B37" s="27" t="s">
        <v>68</v>
      </c>
      <c r="C37" s="23" t="s">
        <v>69</v>
      </c>
      <c r="D37" s="8"/>
      <c r="E37" s="9" t="s">
        <v>70</v>
      </c>
    </row>
    <row r="38" customFormat="false" ht="35.05" hidden="false" customHeight="false" outlineLevel="0" collapsed="false">
      <c r="A38" s="6" t="s">
        <v>71</v>
      </c>
      <c r="B38" s="23" t="s">
        <v>72</v>
      </c>
      <c r="C38" s="23" t="s">
        <v>73</v>
      </c>
      <c r="D38" s="8"/>
      <c r="E38" s="9" t="s">
        <v>74</v>
      </c>
    </row>
    <row r="39" customFormat="false" ht="15" hidden="false" customHeight="false" outlineLevel="0" collapsed="false">
      <c r="A39" s="6" t="s">
        <v>75</v>
      </c>
      <c r="B39" s="28" t="n">
        <v>0.3</v>
      </c>
      <c r="C39" s="28" t="n">
        <v>0.5</v>
      </c>
      <c r="D39" s="8" t="str">
        <f aca="false">IF(AND(ISNUMBER(B39),ISNUMBER(C39)),IF(B39&lt;C39,"Assistech",IF(C39&lt;B39,"PRAGO","Igual")),"")</f>
        <v>Assistech</v>
      </c>
      <c r="E39" s="9" t="s">
        <v>76</v>
      </c>
    </row>
    <row r="40" customFormat="false" ht="15" hidden="false" customHeight="false" outlineLevel="0" collapsed="false">
      <c r="A40" s="6" t="s">
        <v>77</v>
      </c>
      <c r="B40" s="23" t="s">
        <v>78</v>
      </c>
      <c r="C40" s="23" t="s">
        <v>79</v>
      </c>
      <c r="D40" s="8" t="s">
        <v>80</v>
      </c>
      <c r="E40" s="9"/>
    </row>
    <row r="41" customFormat="false" ht="15" hidden="false" customHeight="false" outlineLevel="0" collapsed="false">
      <c r="A41" s="6" t="s">
        <v>81</v>
      </c>
      <c r="B41" s="23" t="s">
        <v>82</v>
      </c>
      <c r="C41" s="23" t="s">
        <v>83</v>
      </c>
      <c r="D41" s="8"/>
      <c r="E41" s="9"/>
    </row>
    <row r="42" customFormat="false" ht="15" hidden="false" customHeight="false" outlineLevel="0" collapsed="false">
      <c r="A42" s="5" t="s">
        <v>84</v>
      </c>
      <c r="B42" s="5"/>
      <c r="C42" s="5"/>
      <c r="D42" s="5"/>
      <c r="E42" s="5"/>
    </row>
    <row r="43" customFormat="false" ht="15" hidden="false" customHeight="false" outlineLevel="0" collapsed="false">
      <c r="A43" s="6" t="s">
        <v>85</v>
      </c>
      <c r="B43" s="23" t="s">
        <v>86</v>
      </c>
      <c r="C43" s="23" t="s">
        <v>87</v>
      </c>
      <c r="D43" s="8" t="s">
        <v>61</v>
      </c>
      <c r="E43" s="9"/>
    </row>
    <row r="44" customFormat="false" ht="15" hidden="false" customHeight="false" outlineLevel="0" collapsed="false">
      <c r="A44" s="6" t="s">
        <v>88</v>
      </c>
      <c r="B44" s="23" t="s">
        <v>89</v>
      </c>
      <c r="C44" s="23" t="s">
        <v>90</v>
      </c>
      <c r="D44" s="8"/>
      <c r="E44" s="9"/>
    </row>
    <row r="45" customFormat="false" ht="15" hidden="false" customHeight="false" outlineLevel="0" collapsed="false">
      <c r="A45" s="6" t="s">
        <v>91</v>
      </c>
      <c r="B45" s="23" t="s">
        <v>92</v>
      </c>
      <c r="C45" s="23" t="s">
        <v>93</v>
      </c>
      <c r="D45" s="8" t="s">
        <v>61</v>
      </c>
      <c r="E45" s="9"/>
    </row>
    <row r="46" customFormat="false" ht="15" hidden="false" customHeight="false" outlineLevel="0" collapsed="false">
      <c r="A46" s="6" t="s">
        <v>94</v>
      </c>
      <c r="B46" s="23" t="s">
        <v>95</v>
      </c>
      <c r="C46" s="23" t="s">
        <v>96</v>
      </c>
      <c r="D46" s="8"/>
      <c r="E46" s="9"/>
    </row>
    <row r="47" customFormat="false" ht="23.85" hidden="false" customHeight="false" outlineLevel="0" collapsed="false">
      <c r="A47" s="6" t="s">
        <v>97</v>
      </c>
      <c r="B47" s="23" t="s">
        <v>98</v>
      </c>
      <c r="C47" s="23" t="s">
        <v>99</v>
      </c>
      <c r="D47" s="8"/>
      <c r="E47" s="9"/>
    </row>
    <row r="48" customFormat="false" ht="22.35" hidden="false" customHeight="false" outlineLevel="0" collapsed="false">
      <c r="A48" s="6" t="s">
        <v>100</v>
      </c>
      <c r="B48" s="23" t="s">
        <v>101</v>
      </c>
      <c r="C48" s="23" t="s">
        <v>102</v>
      </c>
      <c r="D48" s="8"/>
      <c r="E48" s="9" t="s">
        <v>103</v>
      </c>
    </row>
    <row r="49" customFormat="false" ht="15" hidden="false" customHeight="false" outlineLevel="0" collapsed="false">
      <c r="A49" s="6" t="s">
        <v>104</v>
      </c>
      <c r="B49" s="23" t="s">
        <v>105</v>
      </c>
      <c r="C49" s="23" t="s">
        <v>79</v>
      </c>
      <c r="D49" s="8"/>
      <c r="E49" s="9"/>
    </row>
    <row r="50" customFormat="false" ht="23.85" hidden="false" customHeight="false" outlineLevel="0" collapsed="false">
      <c r="A50" s="6" t="s">
        <v>106</v>
      </c>
      <c r="B50" s="23" t="s">
        <v>53</v>
      </c>
      <c r="C50" s="23" t="s">
        <v>107</v>
      </c>
      <c r="D50" s="8"/>
      <c r="E50" s="9"/>
    </row>
    <row r="52" customFormat="false" ht="15" hidden="false" customHeight="false" outlineLevel="0" collapsed="false">
      <c r="A52" s="29" t="s">
        <v>108</v>
      </c>
      <c r="B52" s="29"/>
      <c r="C52" s="29"/>
      <c r="D52" s="29"/>
      <c r="E52" s="29"/>
    </row>
    <row r="53" customFormat="false" ht="15" hidden="false" customHeight="false" outlineLevel="0" collapsed="false">
      <c r="A53" s="30" t="s">
        <v>109</v>
      </c>
      <c r="B53" s="30"/>
      <c r="C53" s="30"/>
      <c r="D53" s="30"/>
      <c r="E53" s="30"/>
    </row>
    <row r="54" customFormat="false" ht="15" hidden="false" customHeight="false" outlineLevel="0" collapsed="false">
      <c r="A54" s="30" t="s">
        <v>110</v>
      </c>
      <c r="B54" s="30"/>
      <c r="C54" s="30"/>
      <c r="D54" s="30"/>
      <c r="E54" s="30"/>
    </row>
    <row r="55" customFormat="false" ht="15" hidden="false" customHeight="false" outlineLevel="0" collapsed="false">
      <c r="A55" s="30" t="s">
        <v>111</v>
      </c>
      <c r="B55" s="30"/>
      <c r="C55" s="30"/>
      <c r="D55" s="30"/>
      <c r="E55" s="30"/>
    </row>
    <row r="56" customFormat="false" ht="15" hidden="false" customHeight="false" outlineLevel="0" collapsed="false">
      <c r="A56" s="30" t="s">
        <v>112</v>
      </c>
      <c r="B56" s="30"/>
      <c r="C56" s="30"/>
      <c r="D56" s="30"/>
      <c r="E56" s="30"/>
    </row>
    <row r="57" customFormat="false" ht="15" hidden="false" customHeight="false" outlineLevel="0" collapsed="false">
      <c r="A57" s="30" t="s">
        <v>113</v>
      </c>
      <c r="B57" s="30"/>
      <c r="C57" s="30"/>
      <c r="D57" s="30"/>
      <c r="E57" s="30"/>
    </row>
  </sheetData>
  <mergeCells count="11">
    <mergeCell ref="A6:E6"/>
    <mergeCell ref="A16:E16"/>
    <mergeCell ref="A25:E25"/>
    <mergeCell ref="A36:E36"/>
    <mergeCell ref="A42:E42"/>
    <mergeCell ref="A52:E52"/>
    <mergeCell ref="A53:E53"/>
    <mergeCell ref="A54:E54"/>
    <mergeCell ref="A55:E55"/>
    <mergeCell ref="A56:E56"/>
    <mergeCell ref="A57:E57"/>
  </mergeCells>
  <conditionalFormatting sqref="B24:C24">
    <cfRule type="expression" priority="2" aboveAverage="0" equalAverage="0" bottom="0" percent="0" rank="0" text="" dxfId="0">
      <formula>B24="Sí"</formula>
    </cfRule>
    <cfRule type="expression" priority="3" aboveAverage="0" equalAverage="0" bottom="0" percent="0" rank="0" text="" dxfId="1">
      <formula>B24="No"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2026-10-16T12:28:44Z</dcterms:created>
  <dc:creator>openpyxl</dc:creator>
  <dc:description/>
  <dc:language>en-US</dc:language>
  <cp:lastModifiedBy/>
  <dcterms:modified xsi:type="dcterms:W3CDTF">2026-10-16T12:28:44Z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