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allas repetitivas" sheetId="2" state="visible" r:id="rId4"/>
    <sheet name="Datos" sheetId="3" state="visible" r:id="rId5"/>
    <sheet name="Eventos" sheetId="4" state="visible" r:id="rId6"/>
    <sheet name="Top 3 por mes" sheetId="5" state="visible" r:id="rId7"/>
    <sheet name="Top 3 líneas" sheetId="6" state="visible" r:id="rId8"/>
    <sheet name="Calidad de datos" sheetId="7" state="visible" r:id="rId9"/>
  </sheets>
  <definedNames>
    <definedName function="false" hidden="true" localSheetId="2" name="_xlnm._FilterDatabase" vbProcedure="false">Datos!$A$1:$S$319</definedName>
    <definedName function="false" hidden="true" localSheetId="3" name="_xlnm._FilterDatabase" vbProcedure="false">Eventos!$B$4:$M$189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<sst xmlns="http://schemas.openxmlformats.org/spreadsheetml/2006/main" count="6392" uniqueCount="957">
  <si>
    <t xml:space="preserve">DASHBOARD DE PARADAS NO PLANEADAS · MANTENIMIENTO 2026</t>
  </si>
  <si>
    <t xml:space="preserve">Meses: Enero, Mayo, Junio y Julio · Fuente: IMPACTOS.xlsx · Todo se calcula con fórmulas sobre la hoja Datos</t>
  </si>
  <si>
    <t xml:space="preserve">Minutos parados</t>
  </si>
  <si>
    <t xml:space="preserve">Horas paradas</t>
  </si>
  <si>
    <t xml:space="preserve">N° de paradas</t>
  </si>
  <si>
    <t xml:space="preserve">Promedio por parada (min)</t>
  </si>
  <si>
    <t xml:space="preserve">Parada más larga (min)</t>
  </si>
  <si>
    <t xml:space="preserve">Registros a revisar</t>
  </si>
  <si>
    <t xml:space="preserve">Minutos por mes</t>
  </si>
  <si>
    <t xml:space="preserve">Mes</t>
  </si>
  <si>
    <t xml:space="preserve">Paradas</t>
  </si>
  <si>
    <t xml:space="preserve">Minutos</t>
  </si>
  <si>
    <t xml:space="preserve">Horas</t>
  </si>
  <si>
    <t xml:space="preserve">Enero</t>
  </si>
  <si>
    <t xml:space="preserve">Mayo</t>
  </si>
  <si>
    <t xml:space="preserve">Junio</t>
  </si>
  <si>
    <t xml:space="preserve">Julio</t>
  </si>
  <si>
    <t xml:space="preserve">Minutos por línea</t>
  </si>
  <si>
    <t xml:space="preserve">Línea</t>
  </si>
  <si>
    <t xml:space="preserve">Total</t>
  </si>
  <si>
    <t xml:space="preserve">LINEA 16</t>
  </si>
  <si>
    <t xml:space="preserve">LINEA 02</t>
  </si>
  <si>
    <t xml:space="preserve">LINEA 18</t>
  </si>
  <si>
    <t xml:space="preserve">LINEA 10</t>
  </si>
  <si>
    <t xml:space="preserve">LINEA 14</t>
  </si>
  <si>
    <t xml:space="preserve">LINEA 22</t>
  </si>
  <si>
    <t xml:space="preserve">LINEA 20</t>
  </si>
  <si>
    <t xml:space="preserve">LINEA 19</t>
  </si>
  <si>
    <t xml:space="preserve">LINEA 11</t>
  </si>
  <si>
    <t xml:space="preserve">LINEA 03</t>
  </si>
  <si>
    <t xml:space="preserve">LINEA 07</t>
  </si>
  <si>
    <t xml:space="preserve">Top 10 equipos (minutos)</t>
  </si>
  <si>
    <t xml:space="preserve">Equipo</t>
  </si>
  <si>
    <t xml:space="preserve">% total</t>
  </si>
  <si>
    <t xml:space="preserve">LLENADORA</t>
  </si>
  <si>
    <t xml:space="preserve">SERVO MOTOR</t>
  </si>
  <si>
    <t xml:space="preserve">BANDA TRANSPORTADORA</t>
  </si>
  <si>
    <t xml:space="preserve">ENCINTADORA</t>
  </si>
  <si>
    <t xml:space="preserve">TIJERA</t>
  </si>
  <si>
    <t xml:space="preserve">MORDAZA SUPERIOR</t>
  </si>
  <si>
    <t xml:space="preserve">ENCAJADORA</t>
  </si>
  <si>
    <t xml:space="preserve">SISTEMA SUCCION - OGA</t>
  </si>
  <si>
    <t xml:space="preserve">FECHADOR</t>
  </si>
  <si>
    <t xml:space="preserve">DESBOBINADOR</t>
  </si>
  <si>
    <t xml:space="preserve">Las 3 paradas más largas de cada mes (eventos agrupados)</t>
  </si>
  <si>
    <t xml:space="preserve">#</t>
  </si>
  <si>
    <t xml:space="preserve">Fecha</t>
  </si>
  <si>
    <t xml:space="preserve">Qué pasó</t>
  </si>
  <si>
    <t xml:space="preserve">Hallazgos clave</t>
  </si>
  <si>
    <t xml:space="preserve">• Línea 16 es la más crítica: #1 en mayo y junio; su problema repetido es el arrastre del laminado (servo motor / encoder / llenadora). Solo el 22 y 23 de mayo perdió más de 1.100 min.</t>
  </si>
  <si>
    <t xml:space="preserve">• La llenadora es el equipo que más afecta: ~40% del tiempo total y aparece en 7 de los 12 eventos más largos.</t>
  </si>
  <si>
    <t xml:space="preserve">• Las fallas largas se registran en bloques de 60 min (uno por hora); por eso se agrupan por día + línea + equipo para ver el tiempo real.</t>
  </si>
  <si>
    <t xml:space="preserve">• Mayo fue el peor mes y julio el mejor: la tendencia desde mayo va bajando.</t>
  </si>
  <si>
    <t xml:space="preserve">• Hay registros donde el tiempo no coincide con el horario o sin observación: ver hoja 'Calidad de datos'.</t>
  </si>
  <si>
    <t xml:space="preserve">FALLAS QUE MÁS SE REPITEN</t>
  </si>
  <si>
    <t xml:space="preserve">Cada registro se clasificó en un tipo de falla según su observación (columna S de Datos). Ordenado por número de veces que se repite.</t>
  </si>
  <si>
    <t xml:space="preserve">Tipo de falla</t>
  </si>
  <si>
    <t xml:space="preserve">Veces</t>
  </si>
  <si>
    <t xml:space="preserve">Prom. min/vez</t>
  </si>
  <si>
    <t xml:space="preserve">Días con la falla</t>
  </si>
  <si>
    <t xml:space="preserve">Líneas afectadas (veces)</t>
  </si>
  <si>
    <t xml:space="preserve">Meses</t>
  </si>
  <si>
    <t xml:space="preserve">Equipos</t>
  </si>
  <si>
    <t xml:space="preserve">Servo de arrastre / encoder (falla de arrastre)</t>
  </si>
  <si>
    <t xml:space="preserve">L16 (50), L19 (2), L18 (1), L02 (1)</t>
  </si>
  <si>
    <t xml:space="preserve">Enero, Mayo, Junio, Julio</t>
  </si>
  <si>
    <t xml:space="preserve">Llenadora, Servo Motor, Banda Transportadora</t>
  </si>
  <si>
    <t xml:space="preserve">Bandas, correas y cadenas (se frenan / descarrilan)</t>
  </si>
  <si>
    <t xml:space="preserve">L10 (8), L22 (6), L19 (5), L02 (5), L20 (4), L14 (2)</t>
  </si>
  <si>
    <t xml:space="preserve">Banda Transportadora, Encintadora, Alimentador Tapa</t>
  </si>
  <si>
    <t xml:space="preserve">Boquillas de llenado (goteo, fugas, conos)</t>
  </si>
  <si>
    <t xml:space="preserve">L02 (10), L18 (6), L03 (5), L19 (1), L22 (1)</t>
  </si>
  <si>
    <t xml:space="preserve">Llenadora, Perdida De Velocidad</t>
  </si>
  <si>
    <t xml:space="preserve">PLC, programa, drives y tarjetas electrónicas</t>
  </si>
  <si>
    <t xml:space="preserve">L10 (4), L02 (4), L20 (4), L14 (3), L22 (3), L11 (1), L18 (1)</t>
  </si>
  <si>
    <t xml:space="preserve">Llenadora, Mordaza Vertical, Tapadora</t>
  </si>
  <si>
    <t xml:space="preserve">Tornillos, pines y piezas partidas</t>
  </si>
  <si>
    <t xml:space="preserve">L02 (5), L20 (3), L14 (3), L16 (2), L10 (2), L11 (1), L18 (1), L19 (1), L07 (1)</t>
  </si>
  <si>
    <t xml:space="preserve">Llenadora, Mordaza Superior, Servo Motor</t>
  </si>
  <si>
    <t xml:space="preserve">Resistencias / temperatura de mordazas</t>
  </si>
  <si>
    <t xml:space="preserve">L14 (10), L18 (6), L16 (1)</t>
  </si>
  <si>
    <t xml:space="preserve">Enero, Mayo, Junio</t>
  </si>
  <si>
    <t xml:space="preserve">Mordaza Superior, Mordazas</t>
  </si>
  <si>
    <t xml:space="preserve">Fotoceldas y sensores</t>
  </si>
  <si>
    <t xml:space="preserve">L18 (9), L03 (3), L16 (2), L19 (1), L02 (1)</t>
  </si>
  <si>
    <t xml:space="preserve">Llenadora, Fotocelula, Encajadora</t>
  </si>
  <si>
    <t xml:space="preserve">Ristras rotas / sello de laminado</t>
  </si>
  <si>
    <t xml:space="preserve">L16 (6), L18 (5), L20 (1)</t>
  </si>
  <si>
    <t xml:space="preserve">Servo Motor, Desbobinador, Llenadora</t>
  </si>
  <si>
    <t xml:space="preserve">Electroválvulas, racores y fugas de aire</t>
  </si>
  <si>
    <t xml:space="preserve">L18 (4), L14 (2), L10 (2), L02 (1), L03 (1), L22 (1)</t>
  </si>
  <si>
    <t xml:space="preserve">Mayo, Junio, Julio</t>
  </si>
  <si>
    <t xml:space="preserve">Llenadora, Encajadora, Mordaza Superior</t>
  </si>
  <si>
    <t xml:space="preserve">Tijera y cuchillas (cambio / calibración)</t>
  </si>
  <si>
    <t xml:space="preserve">L22 (4), L19 (3), L14 (2), L20 (1)</t>
  </si>
  <si>
    <t xml:space="preserve">Tijera</t>
  </si>
  <si>
    <t xml:space="preserve">Codificador / fechador</t>
  </si>
  <si>
    <t xml:space="preserve">L03 (2), L10 (2), L02 (2), L20 (1), L19 (1), L18 (1), L22 (1)</t>
  </si>
  <si>
    <t xml:space="preserve">Fechador</t>
  </si>
  <si>
    <t xml:space="preserve">Clapet del tapón</t>
  </si>
  <si>
    <t xml:space="preserve">L14 (7), L22 (1), L19 (1)</t>
  </si>
  <si>
    <t xml:space="preserve">Llenadora, Alimentador Tapon, Alimentador Tapa</t>
  </si>
  <si>
    <t xml:space="preserve">Bombas (llenado / trasiego)</t>
  </si>
  <si>
    <t xml:space="preserve">L10 (4), L18 (3), L14 (1), L03 (1)</t>
  </si>
  <si>
    <t xml:space="preserve">Llenadora, Falta De Mezcla</t>
  </si>
  <si>
    <t xml:space="preserve">Tolva tapada / ajuste de tolva</t>
  </si>
  <si>
    <t xml:space="preserve">L20 (4), L16 (3), L10 (1)</t>
  </si>
  <si>
    <t xml:space="preserve">Enero, Mayo, Julio</t>
  </si>
  <si>
    <t xml:space="preserve">Llenadora, Alimentador Tapa</t>
  </si>
  <si>
    <t xml:space="preserve">Válvula de admisión sistema OGA / succión</t>
  </si>
  <si>
    <t xml:space="preserve">L11 (7), L20 (1)</t>
  </si>
  <si>
    <t xml:space="preserve">Sistema Succion - Oga</t>
  </si>
  <si>
    <t xml:space="preserve">Máquina / mordazas apagadas (espera de calentamiento)</t>
  </si>
  <si>
    <t xml:space="preserve">L16 (2), L18 (2), L20 (1), L02 (1)</t>
  </si>
  <si>
    <t xml:space="preserve">Mordazas, Llenadora</t>
  </si>
  <si>
    <t xml:space="preserve">Coronas de perforadores</t>
  </si>
  <si>
    <t xml:space="preserve">L22 (6)</t>
  </si>
  <si>
    <t xml:space="preserve">Desbobinador, Llenadora</t>
  </si>
  <si>
    <t xml:space="preserve">Falta de servicios (vapor / aire)</t>
  </si>
  <si>
    <t xml:space="preserve">L02 (2), L14 (1), L18 (1)</t>
  </si>
  <si>
    <t xml:space="preserve">Enero, Junio</t>
  </si>
  <si>
    <t xml:space="preserve">Falta De Vapor, Parada Menor, Falta De Aire Comprimido</t>
  </si>
  <si>
    <t xml:space="preserve">Motores y motorreductores</t>
  </si>
  <si>
    <t xml:space="preserve">L14 (1), L22 (1), L03 (1)</t>
  </si>
  <si>
    <t xml:space="preserve">Encintadora, Mordaza Vertical, Alimentador De Fondos/Envase</t>
  </si>
  <si>
    <t xml:space="preserve">Frenos</t>
  </si>
  <si>
    <t xml:space="preserve">L10 (2), L18 (1)</t>
  </si>
  <si>
    <t xml:space="preserve">Mayo, Julio</t>
  </si>
  <si>
    <t xml:space="preserve">Encajadora, Desbobinador</t>
  </si>
  <si>
    <t xml:space="preserve">Falta de técnico / EPP</t>
  </si>
  <si>
    <t xml:space="preserve">L22 (2), L10 (1)</t>
  </si>
  <si>
    <t xml:space="preserve">Mayo, Junio</t>
  </si>
  <si>
    <t xml:space="preserve">Falta Personal, Tijera</t>
  </si>
  <si>
    <t xml:space="preserve">Celda de carga / báscula</t>
  </si>
  <si>
    <t xml:space="preserve">L11 (3)</t>
  </si>
  <si>
    <t xml:space="preserve">Llenadora</t>
  </si>
  <si>
    <t xml:space="preserve">Virador de rollos dañado</t>
  </si>
  <si>
    <t xml:space="preserve">L18 (2), L19 (1)</t>
  </si>
  <si>
    <t xml:space="preserve">Enero, Julio</t>
  </si>
  <si>
    <t xml:space="preserve">Desbobinador, Cambio De Rollo, Cambio De Lote</t>
  </si>
  <si>
    <t xml:space="preserve">Enfajadora fuera de servicio</t>
  </si>
  <si>
    <t xml:space="preserve">L02 (2)</t>
  </si>
  <si>
    <t xml:space="preserve">Enfajadora</t>
  </si>
  <si>
    <t xml:space="preserve">Placa de rebote</t>
  </si>
  <si>
    <t xml:space="preserve">L16 (2)</t>
  </si>
  <si>
    <t xml:space="preserve">Espera de permiso EHS (trabajo en caliente)</t>
  </si>
  <si>
    <t xml:space="preserve">Ehs</t>
  </si>
  <si>
    <t xml:space="preserve">Sin observación</t>
  </si>
  <si>
    <t xml:space="preserve">Otras fallas</t>
  </si>
  <si>
    <t xml:space="preserve">TOTAL</t>
  </si>
  <si>
    <t xml:space="preserve">Las 5 filas resaltadas son las fallas más repetitivas. "Días con la falla", líneas, meses y equipos se calcularon al crear el archivo.</t>
  </si>
  <si>
    <t xml:space="preserve">Veces por mes (para ver si la falla es constante)</t>
  </si>
  <si>
    <t xml:space="preserve">Fallas crónicas: misma falla repetida en la misma línea (top 10)</t>
  </si>
  <si>
    <t xml:space="preserve">Días</t>
  </si>
  <si>
    <t xml:space="preserve">Ejemplo de observación</t>
  </si>
  <si>
    <t xml:space="preserve">Falla de arrastre</t>
  </si>
  <si>
    <t xml:space="preserve">Enero, Mayo</t>
  </si>
  <si>
    <t xml:space="preserve">Hace corto seristencia quemando esta</t>
  </si>
  <si>
    <t xml:space="preserve">Se interviene la boquilla 6 por fuga de betun</t>
  </si>
  <si>
    <t xml:space="preserve">Coninuas paradas reaizando ajustes para evitar parada por falla en lectura de fotocelda desbobinador</t>
  </si>
  <si>
    <t xml:space="preserve">Espera entega de mtto banda ttransporte tapa wollite hacia tapadora</t>
  </si>
  <si>
    <t xml:space="preserve">Falla en clapet</t>
  </si>
  <si>
    <t xml:space="preserve">Falla en valvula admision sistema oga</t>
  </si>
  <si>
    <t xml:space="preserve">Se frena banda de salida llenadora</t>
  </si>
  <si>
    <t xml:space="preserve">Ajuste de laminado</t>
  </si>
  <si>
    <t xml:space="preserve">Temperatura</t>
  </si>
  <si>
    <t xml:space="preserve">MES</t>
  </si>
  <si>
    <t xml:space="preserve">Id</t>
  </si>
  <si>
    <t xml:space="preserve">FECHA</t>
  </si>
  <si>
    <t xml:space="preserve">LINEA</t>
  </si>
  <si>
    <t xml:space="preserve">TURNO</t>
  </si>
  <si>
    <t xml:space="preserve">SKU</t>
  </si>
  <si>
    <t xml:space="preserve">DESCRIPCION</t>
  </si>
  <si>
    <t xml:space="preserve">PARADA</t>
  </si>
  <si>
    <t xml:space="preserve">STOPPAGE CODE</t>
  </si>
  <si>
    <t xml:space="preserve">CLUSTER</t>
  </si>
  <si>
    <t xml:space="preserve">INICIO</t>
  </si>
  <si>
    <t xml:space="preserve">FIN</t>
  </si>
  <si>
    <t xml:space="preserve">TIEMPO PARADA</t>
  </si>
  <si>
    <t xml:space="preserve">MIN SEGUN HORARIO</t>
  </si>
  <si>
    <t xml:space="preserve">DIFERENCIA</t>
  </si>
  <si>
    <t xml:space="preserve">OBSERVACION PARADA</t>
  </si>
  <si>
    <t xml:space="preserve">USUARIO</t>
  </si>
  <si>
    <t xml:space="preserve">Justificacion</t>
  </si>
  <si>
    <t xml:space="preserve">TIPO DE FALLA</t>
  </si>
  <si>
    <t xml:space="preserve">1</t>
  </si>
  <si>
    <t xml:space="preserve">3251821</t>
  </si>
  <si>
    <t xml:space="preserve">VANSH,CO,800ML WHITEX12</t>
  </si>
  <si>
    <t xml:space="preserve">MS</t>
  </si>
  <si>
    <t xml:space="preserve">Adjustment + Breakdown</t>
  </si>
  <si>
    <t xml:space="preserve">07:10</t>
  </si>
  <si>
    <t xml:space="preserve">08:00</t>
  </si>
  <si>
    <t xml:space="preserve">se suelta dado del sin fin de las bandas de la selladora electrica</t>
  </si>
  <si>
    <t xml:space="preserve">u suario</t>
  </si>
  <si>
    <t xml:space="preserve">No</t>
  </si>
  <si>
    <t xml:space="preserve">3317524</t>
  </si>
  <si>
    <t xml:space="preserve">VANSH,AR,BLANCO TARRO 450GRX12</t>
  </si>
  <si>
    <t xml:space="preserve">TAPADORA</t>
  </si>
  <si>
    <t xml:space="preserve">MT</t>
  </si>
  <si>
    <t xml:space="preserve">13:00</t>
  </si>
  <si>
    <t xml:space="preserve">13:15</t>
  </si>
  <si>
    <t xml:space="preserve">se fractura cable conexion electrica potenciometro rodillos  tapadora</t>
  </si>
  <si>
    <t xml:space="preserve">Jhonier Rincon</t>
  </si>
  <si>
    <t xml:space="preserve">3303200</t>
  </si>
  <si>
    <t xml:space="preserve">VANSH,CO,POLVO BLANCO 100GRX24</t>
  </si>
  <si>
    <t xml:space="preserve">ML</t>
  </si>
  <si>
    <t xml:space="preserve">07:50</t>
  </si>
  <si>
    <t xml:space="preserve">daño banda de salida de la llenadora</t>
  </si>
  <si>
    <t xml:space="preserve">Marcos Saez</t>
  </si>
  <si>
    <t xml:space="preserve">08:25</t>
  </si>
  <si>
    <t xml:space="preserve">09:10</t>
  </si>
  <si>
    <t xml:space="preserve">09:45</t>
  </si>
  <si>
    <t xml:space="preserve">cambio de seguidor</t>
  </si>
  <si>
    <t xml:space="preserve">CARRO MOVIL</t>
  </si>
  <si>
    <t xml:space="preserve">MCM</t>
  </si>
  <si>
    <t xml:space="preserve">09:24</t>
  </si>
  <si>
    <t xml:space="preserve">09:50</t>
  </si>
  <si>
    <t xml:space="preserve">cambio de pinza frontal por desgaste y se pide en almacen silicona para pinza.</t>
  </si>
  <si>
    <t xml:space="preserve">Jordan Dawkins</t>
  </si>
  <si>
    <t xml:space="preserve">3251825</t>
  </si>
  <si>
    <t xml:space="preserve">VANSH,CO,300ML PINKX48</t>
  </si>
  <si>
    <t xml:space="preserve">MOS</t>
  </si>
  <si>
    <t xml:space="preserve">09:25</t>
  </si>
  <si>
    <t xml:space="preserve">10:00</t>
  </si>
  <si>
    <t xml:space="preserve">hace corto seristencia quemando esta</t>
  </si>
  <si>
    <t xml:space="preserve">Cristian Santacruz</t>
  </si>
  <si>
    <t xml:space="preserve">11:00</t>
  </si>
  <si>
    <t xml:space="preserve">cambio de resistencias</t>
  </si>
  <si>
    <t xml:space="preserve">12:00</t>
  </si>
  <si>
    <t xml:space="preserve">se hace cambio de resistencias</t>
  </si>
  <si>
    <t xml:space="preserve">3303201</t>
  </si>
  <si>
    <t xml:space="preserve">VANSH,CO,POLVO ROSA 100GRX24</t>
  </si>
  <si>
    <t xml:space="preserve">PARADA MENOR</t>
  </si>
  <si>
    <t xml:space="preserve">PM</t>
  </si>
  <si>
    <t xml:space="preserve">Minor Stops</t>
  </si>
  <si>
    <t xml:space="preserve">10:04</t>
  </si>
  <si>
    <t xml:space="preserve">LUBRICACION DE LEVAS CON OKS</t>
  </si>
  <si>
    <t xml:space="preserve">Andrés Escobar</t>
  </si>
  <si>
    <t xml:space="preserve">3097733</t>
  </si>
  <si>
    <t xml:space="preserve">VANSH,CR,GEL PINK 100ML CAM</t>
  </si>
  <si>
    <t xml:space="preserve">07:35</t>
  </si>
  <si>
    <t xml:space="preserve">07:45</t>
  </si>
  <si>
    <t xml:space="preserve">continuas paradas por filtracion ristra  3 y 4</t>
  </si>
  <si>
    <t xml:space="preserve">Adriana Vasquez</t>
  </si>
  <si>
    <t xml:space="preserve">08:24</t>
  </si>
  <si>
    <t xml:space="preserve">08:44</t>
  </si>
  <si>
    <t xml:space="preserve">filtracion en boquilla 3 y 4 generando continuas paradas</t>
  </si>
  <si>
    <t xml:space="preserve">09:42</t>
  </si>
  <si>
    <t xml:space="preserve">se abre laminado en boquilla 2 ocasionando derrame</t>
  </si>
  <si>
    <t xml:space="preserve">DSB</t>
  </si>
  <si>
    <t xml:space="preserve">12:32</t>
  </si>
  <si>
    <t xml:space="preserve">continuas paradas por falla en el deslizamineto de laminado desbobinador</t>
  </si>
  <si>
    <t xml:space="preserve">11:32</t>
  </si>
  <si>
    <t xml:space="preserve">13:12</t>
  </si>
  <si>
    <t xml:space="preserve">13:30</t>
  </si>
  <si>
    <t xml:space="preserve">07:00</t>
  </si>
  <si>
    <t xml:space="preserve">15:00</t>
  </si>
  <si>
    <t xml:space="preserve">Arranque con acompañamiento de proyectos</t>
  </si>
  <si>
    <t xml:space="preserve">2</t>
  </si>
  <si>
    <t xml:space="preserve">3162876</t>
  </si>
  <si>
    <t xml:space="preserve">SANPC,CO,VAINILLA 200ML DP</t>
  </si>
  <si>
    <t xml:space="preserve">16:40</t>
  </si>
  <si>
    <t xml:space="preserve">16:50</t>
  </si>
  <si>
    <t xml:space="preserve">falla en perforadores</t>
  </si>
  <si>
    <t xml:space="preserve">3251822</t>
  </si>
  <si>
    <t xml:space="preserve">VANSH,CO,800ML PINKX12</t>
  </si>
  <si>
    <t xml:space="preserve">07:56</t>
  </si>
  <si>
    <t xml:space="preserve">birador de rollo</t>
  </si>
  <si>
    <t xml:space="preserve">DC</t>
  </si>
  <si>
    <t xml:space="preserve">10:26</t>
  </si>
  <si>
    <t xml:space="preserve">se ajusta lamina que traslada las ristras, para que las ristras no golpen al entrar</t>
  </si>
  <si>
    <t xml:space="preserve">10:07</t>
  </si>
  <si>
    <t xml:space="preserve">10:17</t>
  </si>
  <si>
    <t xml:space="preserve">coninuas paradas reaizando ajustes para evitar parada por falla en lectura de fotocelda desbobinador</t>
  </si>
  <si>
    <t xml:space="preserve">FOTOCELULA</t>
  </si>
  <si>
    <t xml:space="preserve">FT</t>
  </si>
  <si>
    <t xml:space="preserve">11:42</t>
  </si>
  <si>
    <t xml:space="preserve">se calibra fotocelda de desbobinador</t>
  </si>
  <si>
    <t xml:space="preserve">09:39</t>
  </si>
  <si>
    <t xml:space="preserve">continuas paradas realizando ajustes en parametros de fotocelda de desbobinador</t>
  </si>
  <si>
    <t xml:space="preserve">12:24</t>
  </si>
  <si>
    <t xml:space="preserve">error en fotocelda de desbobinador</t>
  </si>
  <si>
    <t xml:space="preserve">Sí</t>
  </si>
  <si>
    <t xml:space="preserve">14:00</t>
  </si>
  <si>
    <t xml:space="preserve">runion para reaizar plan para eliminar fallo en fotocelda de desbobinador</t>
  </si>
  <si>
    <t xml:space="preserve">14:18</t>
  </si>
  <si>
    <t xml:space="preserve">los tecnicos hacen ajusts en el servo</t>
  </si>
  <si>
    <t xml:space="preserve">3251826</t>
  </si>
  <si>
    <t xml:space="preserve">VANSH,CO,300MLX48 WHITE</t>
  </si>
  <si>
    <t xml:space="preserve">19:48</t>
  </si>
  <si>
    <t xml:space="preserve">20:00</t>
  </si>
  <si>
    <t xml:space="preserve">falla resistencia superior trasera</t>
  </si>
  <si>
    <t xml:space="preserve">20:50</t>
  </si>
  <si>
    <t xml:space="preserve">falla en resistencia superior trasera</t>
  </si>
  <si>
    <t xml:space="preserve">08:52</t>
  </si>
  <si>
    <t xml:space="preserve">09:00</t>
  </si>
  <si>
    <t xml:space="preserve">paradas por falla en el drive de boquilla se hace seguimiento</t>
  </si>
  <si>
    <t xml:space="preserve">09:40</t>
  </si>
  <si>
    <t xml:space="preserve">se ajusta eje y mordaza para que no pegue en soporte</t>
  </si>
  <si>
    <t xml:space="preserve">10:54</t>
  </si>
  <si>
    <t xml:space="preserve">pruebas por parte de personal en el drive y plc</t>
  </si>
  <si>
    <t xml:space="preserve">11:30</t>
  </si>
  <si>
    <t xml:space="preserve">11:44</t>
  </si>
  <si>
    <t xml:space="preserve">falla de variador drive boquilas, se hacen ajustes</t>
  </si>
  <si>
    <t xml:space="preserve">12:22</t>
  </si>
  <si>
    <t xml:space="preserve">continuas paradas por falla en el drive de boquillas de llenado</t>
  </si>
  <si>
    <t xml:space="preserve">14:31</t>
  </si>
  <si>
    <t xml:space="preserve">14:47</t>
  </si>
  <si>
    <t xml:space="preserve">continuas paradas por falla en el drive de boquillas</t>
  </si>
  <si>
    <t xml:space="preserve">06:00</t>
  </si>
  <si>
    <t xml:space="preserve">06:15</t>
  </si>
  <si>
    <t xml:space="preserve">la gramec presenta falla en el sensor de salida de corrugado y nbo rearma.</t>
  </si>
  <si>
    <t xml:space="preserve">07:20</t>
  </si>
  <si>
    <t xml:space="preserve">se calibra fotocelda que lee empalme de bobina y se ajusta posicion</t>
  </si>
  <si>
    <t xml:space="preserve">3153282</t>
  </si>
  <si>
    <t xml:space="preserve">SANPC,CO,2000ML X 6 VAINILLA</t>
  </si>
  <si>
    <t xml:space="preserve">08:15</t>
  </si>
  <si>
    <t xml:space="preserve">falla en correas laterales se cambian</t>
  </si>
  <si>
    <t xml:space="preserve">3251824</t>
  </si>
  <si>
    <t xml:space="preserve">VANSH,CO,450ML WHITEX24</t>
  </si>
  <si>
    <t xml:space="preserve">Cambio de moto reductor banda entrada encintadora</t>
  </si>
  <si>
    <t xml:space="preserve">3303107</t>
  </si>
  <si>
    <t xml:space="preserve">VANSH,AR,POLVO BLANCO 120GRX24</t>
  </si>
  <si>
    <t xml:space="preserve">MK</t>
  </si>
  <si>
    <t xml:space="preserve">falla de copilo solo imprime la mitad</t>
  </si>
  <si>
    <t xml:space="preserve">3065105</t>
  </si>
  <si>
    <t xml:space="preserve">VANSH,CO,100MLX72 PINK GOLD</t>
  </si>
  <si>
    <t xml:space="preserve">13:50</t>
  </si>
  <si>
    <t xml:space="preserve">continuas paradas por fallo en la fotocelda del desbobinador</t>
  </si>
  <si>
    <t xml:space="preserve">3295333</t>
  </si>
  <si>
    <t xml:space="preserve">VANISH WHITE GALÓN X4</t>
  </si>
  <si>
    <t xml:space="preserve">MD</t>
  </si>
  <si>
    <t xml:space="preserve">16:00</t>
  </si>
  <si>
    <t xml:space="preserve">espera entega de mtto banda ttransporte tapa wollite hacia tapadora</t>
  </si>
  <si>
    <t xml:space="preserve">Hector Valencia</t>
  </si>
  <si>
    <t xml:space="preserve">17:00</t>
  </si>
  <si>
    <t xml:space="preserve">mtto ajusyta banda para empezar proceso</t>
  </si>
  <si>
    <t xml:space="preserve">17:15</t>
  </si>
  <si>
    <t xml:space="preserve">17:30</t>
  </si>
  <si>
    <t xml:space="preserve">cambio de direccion banda elevador de tapa</t>
  </si>
  <si>
    <t xml:space="preserve">3</t>
  </si>
  <si>
    <t xml:space="preserve">21138</t>
  </si>
  <si>
    <t xml:space="preserve">ESYOF,CO,QTG,DP,LIM,EXP,500ML</t>
  </si>
  <si>
    <t xml:space="preserve">Se pone motor cabezal superior</t>
  </si>
  <si>
    <t xml:space="preserve">17:50</t>
  </si>
  <si>
    <t xml:space="preserve">ajuste en traslape paso banda salida de llenadora</t>
  </si>
  <si>
    <t xml:space="preserve">maquina con temperaturas apagadas</t>
  </si>
  <si>
    <t xml:space="preserve">3303199</t>
  </si>
  <si>
    <t xml:space="preserve">VANISH POL PINK SAC 144X30GM</t>
  </si>
  <si>
    <t xml:space="preserve">MORDAZAS</t>
  </si>
  <si>
    <t xml:space="preserve">MO</t>
  </si>
  <si>
    <t xml:space="preserve">07:06</t>
  </si>
  <si>
    <t xml:space="preserve">mordazas apagadas</t>
  </si>
  <si>
    <t xml:space="preserve">3251827</t>
  </si>
  <si>
    <t xml:space="preserve">VANSH,CO,130 ML WHITE X64 </t>
  </si>
  <si>
    <t xml:space="preserve">VENTOSAS</t>
  </si>
  <si>
    <t xml:space="preserve">VE</t>
  </si>
  <si>
    <t xml:space="preserve">17:10</t>
  </si>
  <si>
    <t xml:space="preserve">se ajusta desde la parte mecanica de apertura del sobre</t>
  </si>
  <si>
    <t xml:space="preserve">Diego Garcia</t>
  </si>
  <si>
    <t xml:space="preserve">08:07</t>
  </si>
  <si>
    <t xml:space="preserve">08:30</t>
  </si>
  <si>
    <t xml:space="preserve">falla en brazo encintadora</t>
  </si>
  <si>
    <t xml:space="preserve">12:47</t>
  </si>
  <si>
    <t xml:space="preserve">12:56</t>
  </si>
  <si>
    <t xml:space="preserve">ajuste banda de salidad</t>
  </si>
  <si>
    <t xml:space="preserve">Jose Reina</t>
  </si>
  <si>
    <t xml:space="preserve">20382</t>
  </si>
  <si>
    <t xml:space="preserve">MANSN,CO,DOYPACK TCOLOR500ML</t>
  </si>
  <si>
    <t xml:space="preserve">08:40</t>
  </si>
  <si>
    <t xml:space="preserve">personal de mtto realiza intervencion  en maquina por falla en programacion para operacion de maquina con jog</t>
  </si>
  <si>
    <t xml:space="preserve">10:06</t>
  </si>
  <si>
    <t xml:space="preserve">11:12</t>
  </si>
  <si>
    <t xml:space="preserve">13:45</t>
  </si>
  <si>
    <t xml:space="preserve">cambio resistencia</t>
  </si>
  <si>
    <t xml:space="preserve">limpieza en el sistema mecanico de la maquina por filtracion de agua</t>
  </si>
  <si>
    <t xml:space="preserve">10:43</t>
  </si>
  <si>
    <t xml:space="preserve">10:49</t>
  </si>
  <si>
    <t xml:space="preserve">falta aire comprimido</t>
  </si>
  <si>
    <t xml:space="preserve">10:36</t>
  </si>
  <si>
    <t xml:space="preserve">3097734</t>
  </si>
  <si>
    <t xml:space="preserve"> VANSH,CR,GEL BLANCO 100ML CAM</t>
  </si>
  <si>
    <t xml:space="preserve">FALTA DE AIRE COMPRIMIDO</t>
  </si>
  <si>
    <t xml:space="preserve">SD</t>
  </si>
  <si>
    <t xml:space="preserve">Lack of Resources</t>
  </si>
  <si>
    <t xml:space="preserve">10:38</t>
  </si>
  <si>
    <t xml:space="preserve">3058645</t>
  </si>
  <si>
    <t xml:space="preserve">SANPC,CO,HERBAL DP 445 ML</t>
  </si>
  <si>
    <t xml:space="preserve">14:30</t>
  </si>
  <si>
    <t xml:space="preserve">falla resistencia superio trasera</t>
  </si>
  <si>
    <t xml:space="preserve">3058100</t>
  </si>
  <si>
    <t xml:space="preserve">LYSOL,CR,LAVENDER GALLON X 4</t>
  </si>
  <si>
    <t xml:space="preserve">ALIMENTADOR TAPA</t>
  </si>
  <si>
    <t xml:space="preserve">MR</t>
  </si>
  <si>
    <t xml:space="preserve">22:10</t>
  </si>
  <si>
    <t xml:space="preserve">23:00</t>
  </si>
  <si>
    <t xml:space="preserve">a las 22.10 mtto recibe maquina para instalacion de motor tolva alimentadora de tapa</t>
  </si>
  <si>
    <t xml:space="preserve">3282079</t>
  </si>
  <si>
    <t xml:space="preserve">VANSH,CO, 1800ML BLANCO X6 DP</t>
  </si>
  <si>
    <t xml:space="preserve">06:30</t>
  </si>
  <si>
    <t xml:space="preserve">06:52</t>
  </si>
  <si>
    <t xml:space="preserve">falla en copilot se pega sticker manual</t>
  </si>
  <si>
    <t xml:space="preserve">07:40</t>
  </si>
  <si>
    <t xml:space="preserve">falla arrastre cadena banda azul entrada selladora</t>
  </si>
  <si>
    <t xml:space="preserve">3251828</t>
  </si>
  <si>
    <t xml:space="preserve">VANSH,CO,130 ML PINK X64 </t>
  </si>
  <si>
    <t xml:space="preserve">MORDAZA VERTICAL</t>
  </si>
  <si>
    <t xml:space="preserve">MOV</t>
  </si>
  <si>
    <t xml:space="preserve">Daño en motor de placa mordazas</t>
  </si>
  <si>
    <t xml:space="preserve">Daño en tarjeta motos correccion de placa mordazas</t>
  </si>
  <si>
    <t xml:space="preserve">Daño tarjeta correccion placa mordazas</t>
  </si>
  <si>
    <t xml:space="preserve">3251823</t>
  </si>
  <si>
    <t xml:space="preserve">VANSH,CO,450ML PINKX24</t>
  </si>
  <si>
    <t xml:space="preserve">16:30</t>
  </si>
  <si>
    <t xml:space="preserve">problema tarjeta triangulo formador</t>
  </si>
  <si>
    <t xml:space="preserve">TJ</t>
  </si>
  <si>
    <t xml:space="preserve">18:00</t>
  </si>
  <si>
    <t xml:space="preserve">18:40</t>
  </si>
  <si>
    <t xml:space="preserve">cambio de cuchillas</t>
  </si>
  <si>
    <t xml:space="preserve">3282078</t>
  </si>
  <si>
    <t xml:space="preserve">VANSH,CO,VANISH PINK 1.8LX6 DP</t>
  </si>
  <si>
    <t xml:space="preserve">08:20</t>
  </si>
  <si>
    <t xml:space="preserve">por falla en sensor fin de bobina se desenebra el rollo.</t>
  </si>
  <si>
    <t xml:space="preserve">11:07</t>
  </si>
  <si>
    <t xml:space="preserve">se revienta correa lateral encintadora.</t>
  </si>
  <si>
    <t xml:space="preserve">12:52</t>
  </si>
  <si>
    <t xml:space="preserve">cambio de correa encintadora</t>
  </si>
  <si>
    <t xml:space="preserve">3159500</t>
  </si>
  <si>
    <t xml:space="preserve">MANSN,CO,DP BI 800ML X 12</t>
  </si>
  <si>
    <t xml:space="preserve">personal de mtto baa bomba de llenadora por fallas</t>
  </si>
  <si>
    <t xml:space="preserve">22900</t>
  </si>
  <si>
    <t xml:space="preserve">ESYOF,CO,HORNOS CORRIENTE</t>
  </si>
  <si>
    <t xml:space="preserve">Intervencion a bomba de llenado mezcla</t>
  </si>
  <si>
    <t xml:space="preserve">Yeison Rojas</t>
  </si>
  <si>
    <t xml:space="preserve">3303243</t>
  </si>
  <si>
    <t xml:space="preserve">VANSH,CO,POLVO BLANCO 850GRX6</t>
  </si>
  <si>
    <t xml:space="preserve">cambio de tijera, se debe realizar bloqueo en la maquina, para realizar el cambio</t>
  </si>
  <si>
    <t xml:space="preserve">Carlos Rodriguez</t>
  </si>
  <si>
    <t xml:space="preserve">3206376</t>
  </si>
  <si>
    <t xml:space="preserve">WLITE,CO,900ML X 12 BEBE</t>
  </si>
  <si>
    <t xml:space="preserve">3252560</t>
  </si>
  <si>
    <t xml:space="preserve">VANSH,CO,1800ML PINKX6 DP</t>
  </si>
  <si>
    <t xml:space="preserve">12:31</t>
  </si>
  <si>
    <t xml:space="preserve">se descarrila cadena del pinon arrastre banda azul</t>
  </si>
  <si>
    <t xml:space="preserve">13:14</t>
  </si>
  <si>
    <t xml:space="preserve">3340335</t>
  </si>
  <si>
    <t xml:space="preserve">CHERR,CO,NEGRO 12G X 96 SPIR</t>
  </si>
  <si>
    <t xml:space="preserve">se interviene la boquilla 6 por fuga de betun</t>
  </si>
  <si>
    <t xml:space="preserve">Edward Gomez</t>
  </si>
  <si>
    <t xml:space="preserve">se habilitan las 2 boquilla 1,2</t>
  </si>
  <si>
    <t xml:space="preserve">14:46</t>
  </si>
  <si>
    <t xml:space="preserve">Ajustes en llenadora</t>
  </si>
  <si>
    <t xml:space="preserve">17:25</t>
  </si>
  <si>
    <t xml:space="preserve">Falla temperaturas</t>
  </si>
  <si>
    <t xml:space="preserve">3303245</t>
  </si>
  <si>
    <t xml:space="preserve">VANSH,CO,POLVO BLANCO 900GRX6</t>
  </si>
  <si>
    <t xml:space="preserve">SS</t>
  </si>
  <si>
    <t xml:space="preserve">falla en vavlvula admision silo sistema oga</t>
  </si>
  <si>
    <t xml:space="preserve">19:30</t>
  </si>
  <si>
    <t xml:space="preserve">falla en valvula admision sistema oga</t>
  </si>
  <si>
    <t xml:space="preserve">21:00</t>
  </si>
  <si>
    <t xml:space="preserve">22:00</t>
  </si>
  <si>
    <t xml:space="preserve">19:00</t>
  </si>
  <si>
    <t xml:space="preserve">17:27</t>
  </si>
  <si>
    <t xml:space="preserve">22:16</t>
  </si>
  <si>
    <t xml:space="preserve">15:25</t>
  </si>
  <si>
    <t xml:space="preserve">la temperatura se encuentra apagada se espera que suba. la temperatura de la inferior delantera 1 se demora mas que las otras en alcanzar el setpoint</t>
  </si>
  <si>
    <t xml:space="preserve">16:36</t>
  </si>
  <si>
    <t xml:space="preserve">Ajustes en valvulas llenadora, filtracion de agua.</t>
  </si>
  <si>
    <t xml:space="preserve">18:19</t>
  </si>
  <si>
    <t xml:space="preserve">18:35</t>
  </si>
  <si>
    <t xml:space="preserve">Cambio de coronas de perforadores</t>
  </si>
  <si>
    <t xml:space="preserve">19:38</t>
  </si>
  <si>
    <t xml:space="preserve">la temperatura de la mordaza horizontal delantera 1 presenta variacion y para la maquina.</t>
  </si>
  <si>
    <t xml:space="preserve">20:24</t>
  </si>
  <si>
    <t xml:space="preserve">falla en temperatura mordaza delantera 1. lo cual genera continuas paradas</t>
  </si>
  <si>
    <t xml:space="preserve">21:40</t>
  </si>
  <si>
    <t xml:space="preserve">Se enderaza formato tapadora</t>
  </si>
  <si>
    <t xml:space="preserve">el codificador laser deja de marcar.</t>
  </si>
  <si>
    <t xml:space="preserve">3348658</t>
  </si>
  <si>
    <t xml:space="preserve">NUGET,CO,CAMEXNEG72X12G</t>
  </si>
  <si>
    <t xml:space="preserve">se parte pin del introdutor</t>
  </si>
  <si>
    <t xml:space="preserve">entrega areglada del pin</t>
  </si>
  <si>
    <t xml:space="preserve">15:16</t>
  </si>
  <si>
    <t xml:space="preserve">se espera que suba temperatura ya que se encuentra apagada.  la mordaza delantera 1 se demora mas que las otras en subir</t>
  </si>
  <si>
    <t xml:space="preserve">ETIQUETADORA</t>
  </si>
  <si>
    <t xml:space="preserve">ME</t>
  </si>
  <si>
    <t xml:space="preserve">18:16</t>
  </si>
  <si>
    <t xml:space="preserve">18:32</t>
  </si>
  <si>
    <t xml:space="preserve">se rectifica rosca de tornillo que sostiene platina salida de etiqueta</t>
  </si>
  <si>
    <t xml:space="preserve">Se da;a sensor de fibra en llenadora</t>
  </si>
  <si>
    <t xml:space="preserve">11:15</t>
  </si>
  <si>
    <t xml:space="preserve">falla en mordaza</t>
  </si>
  <si>
    <t xml:space="preserve">3295334</t>
  </si>
  <si>
    <t xml:space="preserve">WOOLITE BLACK GALÓN X4</t>
  </si>
  <si>
    <t xml:space="preserve">12:10</t>
  </si>
  <si>
    <t xml:space="preserve">12:30</t>
  </si>
  <si>
    <t xml:space="preserve">se frena correa transporte de tapa</t>
  </si>
  <si>
    <t xml:space="preserve">SR</t>
  </si>
  <si>
    <t xml:space="preserve">08:43</t>
  </si>
  <si>
    <t xml:space="preserve">se dispara guardamotor</t>
  </si>
  <si>
    <t xml:space="preserve">Carolina Pelaez</t>
  </si>
  <si>
    <t xml:space="preserve">07:30</t>
  </si>
  <si>
    <t xml:space="preserve">falla comunicacion en bomba producto.</t>
  </si>
  <si>
    <t xml:space="preserve">09:15</t>
  </si>
  <si>
    <t xml:space="preserve">se parte muelle de placa trasera</t>
  </si>
  <si>
    <t xml:space="preserve">ajuste de laminado</t>
  </si>
  <si>
    <t xml:space="preserve">14:15</t>
  </si>
  <si>
    <t xml:space="preserve">se parte tornillo mordaza placa de rebote</t>
  </si>
  <si>
    <t xml:space="preserve">13:10</t>
  </si>
  <si>
    <t xml:space="preserve">13:44</t>
  </si>
  <si>
    <t xml:space="preserve">se cae platina sujetadora de cinta</t>
  </si>
  <si>
    <t xml:space="preserve">Ajuste placa de rebote</t>
  </si>
  <si>
    <t xml:space="preserve">Luis Candelo</t>
  </si>
  <si>
    <t xml:space="preserve">16:17</t>
  </si>
  <si>
    <t xml:space="preserve">17:17</t>
  </si>
  <si>
    <t xml:space="preserve">Ajuste placa rebote</t>
  </si>
  <si>
    <t xml:space="preserve">falla comunicacion bomba</t>
  </si>
  <si>
    <t xml:space="preserve">falla en bomba trasiego</t>
  </si>
  <si>
    <t xml:space="preserve">acople de encoder</t>
  </si>
  <si>
    <t xml:space="preserve">3340848</t>
  </si>
  <si>
    <t xml:space="preserve">NUGET,CO,NEGRO 36G X 72 SPIR</t>
  </si>
  <si>
    <t xml:space="preserve">ALIMENTADOR DE FONDOS/ENVASE</t>
  </si>
  <si>
    <t xml:space="preserve">MQ</t>
  </si>
  <si>
    <t xml:space="preserve">15:39</t>
  </si>
  <si>
    <t xml:space="preserve">SE PARTE PIN</t>
  </si>
  <si>
    <t xml:space="preserve">3295335</t>
  </si>
  <si>
    <t xml:space="preserve">WOOLITE P&amp;C GALÓN X4</t>
  </si>
  <si>
    <t xml:space="preserve">08:21</t>
  </si>
  <si>
    <t xml:space="preserve">08:35</t>
  </si>
  <si>
    <t xml:space="preserve">18:08</t>
  </si>
  <si>
    <t xml:space="preserve">se aja cono de bq 6</t>
  </si>
  <si>
    <t xml:space="preserve">06:14</t>
  </si>
  <si>
    <t xml:space="preserve">06:44</t>
  </si>
  <si>
    <t xml:space="preserve">Calentamiento de equipos se encuentran todos los equipos apagados, enfajadora sin calentar, llenadora apagada.</t>
  </si>
  <si>
    <t xml:space="preserve">3303204</t>
  </si>
  <si>
    <t xml:space="preserve">VANSH,CO,POLVO ROSA 120GRX24</t>
  </si>
  <si>
    <t xml:space="preserve">09:30</t>
  </si>
  <si>
    <t xml:space="preserve">09:56</t>
  </si>
  <si>
    <t xml:space="preserve">Falla en barrido por fuga de aire</t>
  </si>
  <si>
    <t xml:space="preserve">3303202</t>
  </si>
  <si>
    <t xml:space="preserve">VANSH,CO,POLVO BLANCO 30GRX144</t>
  </si>
  <si>
    <t xml:space="preserve">10:50</t>
  </si>
  <si>
    <t xml:space="preserve">encoder</t>
  </si>
  <si>
    <t xml:space="preserve">falla en encoder</t>
  </si>
  <si>
    <t xml:space="preserve">falla encoder</t>
  </si>
  <si>
    <t xml:space="preserve">ender</t>
  </si>
  <si>
    <t xml:space="preserve">18:12</t>
  </si>
  <si>
    <t xml:space="preserve">FALTA PERSONAL</t>
  </si>
  <si>
    <t xml:space="preserve">S4</t>
  </si>
  <si>
    <t xml:space="preserve">10:22</t>
  </si>
  <si>
    <t xml:space="preserve">cambio de resistencia mordaza superior trasera</t>
  </si>
  <si>
    <t xml:space="preserve">07:39</t>
  </si>
  <si>
    <t xml:space="preserve">falla de arrastre</t>
  </si>
  <si>
    <t xml:space="preserve">09:49</t>
  </si>
  <si>
    <t xml:space="preserve">se dispara servomotor</t>
  </si>
  <si>
    <t xml:space="preserve">12:35</t>
  </si>
  <si>
    <t xml:space="preserve">13:19</t>
  </si>
  <si>
    <t xml:space="preserve">14:45</t>
  </si>
  <si>
    <t xml:space="preserve">3264491</t>
  </si>
  <si>
    <t xml:space="preserve">POLIF,CO,CUBRERASGUNOS 200ML</t>
  </si>
  <si>
    <t xml:space="preserve">20:45</t>
  </si>
  <si>
    <t xml:space="preserve">Ajuste en boquilla #1 presentaba fuga de producto</t>
  </si>
  <si>
    <t xml:space="preserve">FALTA DE MEZCLA</t>
  </si>
  <si>
    <t xml:space="preserve">SM</t>
  </si>
  <si>
    <t xml:space="preserve">08:12</t>
  </si>
  <si>
    <t xml:space="preserve">11:46</t>
  </si>
  <si>
    <t xml:space="preserve">cambio de valvula tanque</t>
  </si>
  <si>
    <t xml:space="preserve">11:39</t>
  </si>
  <si>
    <t xml:space="preserve">paradas constantes por ristra rota parte lateral</t>
  </si>
  <si>
    <t xml:space="preserve">12:38</t>
  </si>
  <si>
    <t xml:space="preserve">ristra rota partre lateral ajuste de mordaza</t>
  </si>
  <si>
    <t xml:space="preserve">13:29</t>
  </si>
  <si>
    <t xml:space="preserve">ristra 1 sale con el sello de selle corte en falso , se ajustan boquillas de llenado y se calibra sensor</t>
  </si>
  <si>
    <t xml:space="preserve">09:32</t>
  </si>
  <si>
    <t xml:space="preserve">falla servo arrastre</t>
  </si>
  <si>
    <t xml:space="preserve">10:35</t>
  </si>
  <si>
    <t xml:space="preserve">paradas continuas por ristras abiertas mordaza selle corte</t>
  </si>
  <si>
    <t xml:space="preserve">19:50</t>
  </si>
  <si>
    <t xml:space="preserve">falla servo mde arrastre se dispara la maquina constantemente no deja trabaja</t>
  </si>
  <si>
    <t xml:space="preserve">falla cervo de rrastre</t>
  </si>
  <si>
    <t xml:space="preserve">21:22</t>
  </si>
  <si>
    <t xml:space="preserve">continua el problema del servo de arrastre para donde no debe parar</t>
  </si>
  <si>
    <t xml:space="preserve">falla del servo de arrastre</t>
  </si>
  <si>
    <t xml:space="preserve">3295332</t>
  </si>
  <si>
    <t xml:space="preserve">VANISH PINK GALON X4</t>
  </si>
  <si>
    <t xml:space="preserve">falla se dispara</t>
  </si>
  <si>
    <t xml:space="preserve">10:05</t>
  </si>
  <si>
    <t xml:space="preserve">10:20</t>
  </si>
  <si>
    <t xml:space="preserve">fuga racor cilindro elevador de cajas</t>
  </si>
  <si>
    <t xml:space="preserve">ARMADORA DE CAJAS</t>
  </si>
  <si>
    <t xml:space="preserve">ADC</t>
  </si>
  <si>
    <t xml:space="preserve">10:55</t>
  </si>
  <si>
    <t xml:space="preserve">se descarrila correa lateral.</t>
  </si>
  <si>
    <t xml:space="preserve">Intervencion por mantenimiento
ajuste de tolva de llenado</t>
  </si>
  <si>
    <t xml:space="preserve">intervencion por manteimiento 
ajuste tolva de llenado</t>
  </si>
  <si>
    <t xml:space="preserve">17:35</t>
  </si>
  <si>
    <t xml:space="preserve">ajuste tolva de llenado mantenimiento</t>
  </si>
  <si>
    <t xml:space="preserve">se floja censor del encoer esto jenera que la maquina se estrelle bruscamente causando daño alos seguidores de leva se informa al personal de mantenimiento y se hace el cambio del seguidor de leva dañado</t>
  </si>
  <si>
    <t xml:space="preserve">se floja censor del encoder generando estrellada de la maquina el laminado no se pudo alinear despues del daño</t>
  </si>
  <si>
    <t xml:space="preserve">20:31</t>
  </si>
  <si>
    <t xml:space="preserve">se floja cesor del encoder causando estrellada de la maquina
se daña seguidor de leva
laminado no alinea despus del daño</t>
  </si>
  <si>
    <t xml:space="preserve">3348660</t>
  </si>
  <si>
    <t xml:space="preserve">NUGET,US,S/PLSH BLK 48/40ML</t>
  </si>
  <si>
    <t xml:space="preserve">BANDA INCLINADA</t>
  </si>
  <si>
    <t xml:space="preserve">BI</t>
  </si>
  <si>
    <t xml:space="preserve">se frena banda inclinda</t>
  </si>
  <si>
    <t xml:space="preserve">banda frenada</t>
  </si>
  <si>
    <t xml:space="preserve">06:20</t>
  </si>
  <si>
    <t xml:space="preserve">falla en servo</t>
  </si>
  <si>
    <t xml:space="preserve">15:50</t>
  </si>
  <si>
    <t xml:space="preserve">Banda parada mtto  baja motor de banda</t>
  </si>
  <si>
    <t xml:space="preserve">Camibio de los dos juegos de tijeras</t>
  </si>
  <si>
    <t xml:space="preserve">3249026</t>
  </si>
  <si>
    <t xml:space="preserve">VANSH,CO,VANSH PIST 500MLX12</t>
  </si>
  <si>
    <t xml:space="preserve">13:46</t>
  </si>
  <si>
    <t xml:space="preserve">13:56</t>
  </si>
  <si>
    <t xml:space="preserve">Falla codificacdor de unidades se dispara alarma constantemente.</t>
  </si>
  <si>
    <t xml:space="preserve">14:24</t>
  </si>
  <si>
    <t xml:space="preserve">limpieza y calibracion codificador</t>
  </si>
  <si>
    <t xml:space="preserve">Revision de mantenimiento por goteo en boquilla #13</t>
  </si>
  <si>
    <t xml:space="preserve">3245286</t>
  </si>
  <si>
    <t xml:space="preserve">SANPC,CO,SANPIC VAINILLA 3L X4</t>
  </si>
  <si>
    <t xml:space="preserve">arreglo en plato alimentador de tapa.</t>
  </si>
  <si>
    <t xml:space="preserve">3303241</t>
  </si>
  <si>
    <t xml:space="preserve">Ajuste en celda de carga A1</t>
  </si>
  <si>
    <t xml:space="preserve">08:16</t>
  </si>
  <si>
    <t xml:space="preserve">se baja freno elevador de cajas.</t>
  </si>
  <si>
    <t xml:space="preserve">arreglo de pieza freno se cambioan ´piezas en taller.</t>
  </si>
  <si>
    <t xml:space="preserve">varia temperatura en mordaza verticales</t>
  </si>
  <si>
    <t xml:space="preserve">11:27</t>
  </si>
  <si>
    <t xml:space="preserve">filtracion mordaza selle corte</t>
  </si>
  <si>
    <t xml:space="preserve">3065104</t>
  </si>
  <si>
    <t xml:space="preserve">VANSH,CO,100MLX72 WHITE GOLD</t>
  </si>
  <si>
    <t xml:space="preserve">13:49</t>
  </si>
  <si>
    <t xml:space="preserve">se parte tornillo que sostiene platina que traslada la ristra 3 y 4</t>
  </si>
  <si>
    <t xml:space="preserve">08:28</t>
  </si>
  <si>
    <t xml:space="preserve">se baja boqilla 8 por falla y se revisa cono</t>
  </si>
  <si>
    <t xml:space="preserve">3331346</t>
  </si>
  <si>
    <t xml:space="preserve">SANPC,CO,OASIS DE LAVANDA 5L</t>
  </si>
  <si>
    <t xml:space="preserve">09:35</t>
  </si>
  <si>
    <t xml:space="preserve">se realiza mtto en copilot por contratista</t>
  </si>
  <si>
    <t xml:space="preserve">12:44</t>
  </si>
  <si>
    <t xml:space="preserve">se cambia tornillo rodado compuerta descarga por desgate.</t>
  </si>
  <si>
    <t xml:space="preserve">3055603</t>
  </si>
  <si>
    <t xml:space="preserve">LYSOL,CR,LAVANDA DP 800 ML</t>
  </si>
  <si>
    <t xml:space="preserve">16:42</t>
  </si>
  <si>
    <t xml:space="preserve">cambio de tijera</t>
  </si>
  <si>
    <t xml:space="preserve">07:51</t>
  </si>
  <si>
    <t xml:space="preserve">Pruebas en celda de carga báscula 1</t>
  </si>
  <si>
    <t xml:space="preserve">FALTA DE VAPOR</t>
  </si>
  <si>
    <t xml:space="preserve">FV</t>
  </si>
  <si>
    <t xml:space="preserve">Falta de vapor caldera</t>
  </si>
  <si>
    <t xml:space="preserve">Falta d e vapor caldera</t>
  </si>
  <si>
    <t xml:space="preserve">3249027</t>
  </si>
  <si>
    <t xml:space="preserve">ESYOF,CO,EOB VIDRIOS 500ML X12</t>
  </si>
  <si>
    <t xml:space="preserve">08:33</t>
  </si>
  <si>
    <t xml:space="preserve">falla en sensor  salida envaces</t>
  </si>
  <si>
    <t xml:space="preserve">3340438</t>
  </si>
  <si>
    <t xml:space="preserve">COBRA,CO,CAFE 30G X 72 SPIR</t>
  </si>
  <si>
    <t xml:space="preserve">averia  codificador</t>
  </si>
  <si>
    <t xml:space="preserve">Averia codificador</t>
  </si>
  <si>
    <t xml:space="preserve">08:10</t>
  </si>
  <si>
    <t xml:space="preserve">falla en sensor salida</t>
  </si>
  <si>
    <t xml:space="preserve">09:46</t>
  </si>
  <si>
    <t xml:space="preserve">falla sensor salida</t>
  </si>
  <si>
    <t xml:space="preserve">falla de electrobalvula</t>
  </si>
  <si>
    <t xml:space="preserve">Jhon Basto</t>
  </si>
  <si>
    <t xml:space="preserve">3162877</t>
  </si>
  <si>
    <t xml:space="preserve">SANPC,,CANELA MANZANA 200ML</t>
  </si>
  <si>
    <t xml:space="preserve">10:10</t>
  </si>
  <si>
    <t xml:space="preserve">cambio de coronas perforador delanteras</t>
  </si>
  <si>
    <t xml:space="preserve">se desconecta conector de la resistencia mordaza 1 con rtd</t>
  </si>
  <si>
    <t xml:space="preserve">3249025</t>
  </si>
  <si>
    <t xml:space="preserve">ESYOF,CO,EOB QUITGRS 500ML X12</t>
  </si>
  <si>
    <t xml:space="preserve">falla llenado boquilla# 3</t>
  </si>
  <si>
    <t xml:space="preserve">se cancela boquilla #3</t>
  </si>
  <si>
    <t xml:space="preserve">07:27</t>
  </si>
  <si>
    <t xml:space="preserve">se cambia unidad de mantenimiento de la gramec la cual el vaso presentaba fuga de aire</t>
  </si>
  <si>
    <t xml:space="preserve">13:24</t>
  </si>
  <si>
    <t xml:space="preserve">Daño en espigo boquilla #4 se cambia</t>
  </si>
  <si>
    <t xml:space="preserve">15:40</t>
  </si>
  <si>
    <t xml:space="preserve">Ajustes y ensayo llenadora post mantenimiento</t>
  </si>
  <si>
    <t xml:space="preserve">calibracion de tijera</t>
  </si>
  <si>
    <t xml:space="preserve">3252381</t>
  </si>
  <si>
    <t xml:space="preserve">VANSH,CO,1800ML WHITEX6</t>
  </si>
  <si>
    <t xml:space="preserve">21:02</t>
  </si>
  <si>
    <t xml:space="preserve">daño en piñon banda curva numero 4</t>
  </si>
  <si>
    <t xml:space="preserve">21:25</t>
  </si>
  <si>
    <t xml:space="preserve">Se parte tornillo sin fin</t>
  </si>
  <si>
    <t xml:space="preserve">derrame de producto en llenadora por desgaste de empaque</t>
  </si>
  <si>
    <t xml:space="preserve">ajuste de acople en lenadora</t>
  </si>
  <si>
    <t xml:space="preserve">cambio de racon en boquilla 2 en llenadora</t>
  </si>
  <si>
    <t xml:space="preserve">intervencion bandas.</t>
  </si>
  <si>
    <t xml:space="preserve">22:25</t>
  </si>
  <si>
    <t xml:space="preserve">se  daña tornillo eje de botellas mordazas verticales</t>
  </si>
  <si>
    <t xml:space="preserve">3331339</t>
  </si>
  <si>
    <t xml:space="preserve">SANPC,CO,MANZANA VERDE  200ML</t>
  </si>
  <si>
    <t xml:space="preserve">Se queda pegado cilindro de coificcion sobre derecho se realiza luricacion</t>
  </si>
  <si>
    <t xml:space="preserve">09:37</t>
  </si>
  <si>
    <t xml:space="preserve">falla en unidad de mantenimiento de la gramec</t>
  </si>
  <si>
    <t xml:space="preserve">falla en unidad  de mantenimiento de gramec</t>
  </si>
  <si>
    <t xml:space="preserve">14:16</t>
  </si>
  <si>
    <t xml:space="preserve">Mal funcionamiento boquilla #4 por goteo, se baja la boquilla</t>
  </si>
  <si>
    <t xml:space="preserve">15:42</t>
  </si>
  <si>
    <t xml:space="preserve">Intervencion en boquilla 4</t>
  </si>
  <si>
    <t xml:space="preserve">falla de arrastre de laminado</t>
  </si>
  <si>
    <t xml:space="preserve">PERDIDA DE VELOCIDAD</t>
  </si>
  <si>
    <t xml:space="preserve">PV</t>
  </si>
  <si>
    <t xml:space="preserve">Reduced Speed</t>
  </si>
  <si>
    <t xml:space="preserve">08:39</t>
  </si>
  <si>
    <t xml:space="preserve">se trabaja con una boquilla menos</t>
  </si>
  <si>
    <t xml:space="preserve">09:33</t>
  </si>
  <si>
    <t xml:space="preserve">se trabaa  con una boquilla menos</t>
  </si>
  <si>
    <t xml:space="preserve">10:32</t>
  </si>
  <si>
    <t xml:space="preserve">10:45</t>
  </si>
  <si>
    <t xml:space="preserve">falta de boquilla 4</t>
  </si>
  <si>
    <t xml:space="preserve">07:15</t>
  </si>
  <si>
    <t xml:space="preserve">07:37</t>
  </si>
  <si>
    <t xml:space="preserve">problema de programa de ciclo de llenado</t>
  </si>
  <si>
    <t xml:space="preserve">08:32</t>
  </si>
  <si>
    <t xml:space="preserve">problema  en programa ciclo de llenado</t>
  </si>
  <si>
    <t xml:space="preserve">250306</t>
  </si>
  <si>
    <t xml:space="preserve">BRASSO BRILLAMETAL 70 GRS</t>
  </si>
  <si>
    <t xml:space="preserve">10:18</t>
  </si>
  <si>
    <t xml:space="preserve">se parte soporte de tobogan</t>
  </si>
  <si>
    <t xml:space="preserve">06:31</t>
  </si>
  <si>
    <t xml:space="preserve">08:45</t>
  </si>
  <si>
    <t xml:space="preserve">faklla de arrastre</t>
  </si>
  <si>
    <t xml:space="preserve">Tecnico no cuenta con los epp, mangas y guantes anticorte</t>
  </si>
  <si>
    <t xml:space="preserve">Falta de tecnico</t>
  </si>
  <si>
    <t xml:space="preserve">10:40</t>
  </si>
  <si>
    <t xml:space="preserve">se montaron 3 juegos de tijeras</t>
  </si>
  <si>
    <t xml:space="preserve">3303106</t>
  </si>
  <si>
    <t xml:space="preserve">VANSH,AR,ROSA DP 450GRX12</t>
  </si>
  <si>
    <t xml:space="preserve">CAMBIO DE TENSOR DE MORDAZA DE REPISE (FRIO)</t>
  </si>
  <si>
    <t xml:space="preserve">3340446</t>
  </si>
  <si>
    <t xml:space="preserve">NUGET,CO,NEGRO 65G X 144 SPIR</t>
  </si>
  <si>
    <t xml:space="preserve">falla en plc</t>
  </si>
  <si>
    <t xml:space="preserve">11:35</t>
  </si>
  <si>
    <t xml:space="preserve">11:45</t>
  </si>
  <si>
    <t xml:space="preserve">falla plc</t>
  </si>
  <si>
    <t xml:space="preserve">3303238</t>
  </si>
  <si>
    <t xml:space="preserve">VANSH,CO,ROSA DP 450GRX12</t>
  </si>
  <si>
    <t xml:space="preserve">se parte tensor de mordaza superior</t>
  </si>
  <si>
    <t xml:space="preserve">15:30</t>
  </si>
  <si>
    <t xml:space="preserve">falla electrica</t>
  </si>
  <si>
    <t xml:space="preserve">ajuste de rif por falta de tencion en el laminado</t>
  </si>
  <si>
    <t xml:space="preserve">19:55</t>
  </si>
  <si>
    <t xml:space="preserve">falla variador desbobinador zipper</t>
  </si>
  <si>
    <t xml:space="preserve">19:53</t>
  </si>
  <si>
    <t xml:space="preserve">falla de varioador desbobinador zipper</t>
  </si>
  <si>
    <t xml:space="preserve">daño en banda lateral</t>
  </si>
  <si>
    <t xml:space="preserve">12:36</t>
  </si>
  <si>
    <t xml:space="preserve">se daña selle de bomba de llenado causando que la mezcla se pierda por el drenaje</t>
  </si>
  <si>
    <t xml:space="preserve">se cambia selle de la bomba de llenado</t>
  </si>
  <si>
    <t xml:space="preserve">12:39</t>
  </si>
  <si>
    <t xml:space="preserve">se estrella torniloo sinfin</t>
  </si>
  <si>
    <t xml:space="preserve">14:10</t>
  </si>
  <si>
    <t xml:space="preserve">se espera que abran valvula desde mezcla y se prueba bomba</t>
  </si>
  <si>
    <t xml:space="preserve">11:25</t>
  </si>
  <si>
    <t xml:space="preserve">Falla en motor del elevador</t>
  </si>
  <si>
    <t xml:space="preserve">15:10</t>
  </si>
  <si>
    <t xml:space="preserve">15:20</t>
  </si>
  <si>
    <t xml:space="preserve">bandas fginal de linea en falla</t>
  </si>
  <si>
    <t xml:space="preserve">CHILLER</t>
  </si>
  <si>
    <t xml:space="preserve">CH</t>
  </si>
  <si>
    <t xml:space="preserve">08:55</t>
  </si>
  <si>
    <t xml:space="preserve">falla electrovalvula aspirador de espuma y cambio de racor</t>
  </si>
  <si>
    <t xml:space="preserve">12:50</t>
  </si>
  <si>
    <t xml:space="preserve">se frena servomotor</t>
  </si>
  <si>
    <t xml:space="preserve">EHS</t>
  </si>
  <si>
    <t xml:space="preserve">se espera la siso para para protocolos de intervencion trabajo en caliente</t>
  </si>
  <si>
    <t xml:space="preserve">intervencion en caliente</t>
  </si>
  <si>
    <t xml:space="preserve">12:25</t>
  </si>
  <si>
    <t xml:space="preserve">entregan base de guitarra</t>
  </si>
  <si>
    <t xml:space="preserve">ALIMENTADOR TAPON</t>
  </si>
  <si>
    <t xml:space="preserve">12:05</t>
  </si>
  <si>
    <t xml:space="preserve">Se bajo el clape del sistema de tapon para montarlo en la linea doyack 1</t>
  </si>
  <si>
    <t xml:space="preserve">3303244</t>
  </si>
  <si>
    <t xml:space="preserve">VANSH,CO,POLVO ROSA 900GRX6</t>
  </si>
  <si>
    <t xml:space="preserve">ajuste de celda de carga bascula A1</t>
  </si>
  <si>
    <t xml:space="preserve">3101150</t>
  </si>
  <si>
    <t xml:space="preserve">SANPC,CO,450 ML X 24 VAINILLA</t>
  </si>
  <si>
    <t xml:space="preserve">se daña clapet no hay repuesto</t>
  </si>
  <si>
    <t xml:space="preserve">se realiza montaje del clapet y ajuste de tiempos de sincronismo</t>
  </si>
  <si>
    <t xml:space="preserve">se rectifica rosca de cilindro de la pinza de sujeccion tapon</t>
  </si>
  <si>
    <t xml:space="preserve">07:33</t>
  </si>
  <si>
    <t xml:space="preserve">intervencion en el introductor</t>
  </si>
  <si>
    <t xml:space="preserve">07:38</t>
  </si>
  <si>
    <t xml:space="preserve">falta de tecnico de mantenimiento se frena banda de la selladora electrica</t>
  </si>
  <si>
    <t xml:space="preserve">Se frena banda de salida</t>
  </si>
  <si>
    <t xml:space="preserve">12:20</t>
  </si>
  <si>
    <t xml:space="preserve">Cambio de corona</t>
  </si>
  <si>
    <t xml:space="preserve">13:06</t>
  </si>
  <si>
    <t xml:space="preserve">21:15</t>
  </si>
  <si>
    <t xml:space="preserve">cambio de corona perforador delantera derecha</t>
  </si>
  <si>
    <t xml:space="preserve">SE RE UBICA CABLE DE SENSOR</t>
  </si>
  <si>
    <t xml:space="preserve">11:10</t>
  </si>
  <si>
    <t xml:space="preserve">SE UBICA CABLE DE SENSOR A PLC</t>
  </si>
  <si>
    <t xml:space="preserve">15:08</t>
  </si>
  <si>
    <t xml:space="preserve">sensor de la plataforma presenta falla y no rearma maquina</t>
  </si>
  <si>
    <t xml:space="preserve">3331340</t>
  </si>
  <si>
    <t xml:space="preserve">SANPC,CO,OASIS DE LAVAND 200ML</t>
  </si>
  <si>
    <t xml:space="preserve">07:26</t>
  </si>
  <si>
    <t xml:space="preserve">07:48</t>
  </si>
  <si>
    <t xml:space="preserve">la boquilla 6 se encuentra con el cono alrevez interviene mant.</t>
  </si>
  <si>
    <t xml:space="preserve">12:48</t>
  </si>
  <si>
    <t xml:space="preserve">ganchos del empalme banda reventados se descarrila</t>
  </si>
  <si>
    <t xml:space="preserve">14:40</t>
  </si>
  <si>
    <t xml:space="preserve">se pega banda</t>
  </si>
  <si>
    <t xml:space="preserve">3331250</t>
  </si>
  <si>
    <t xml:space="preserve">SANPC,CO,OASIS DE LAVAND 450ML</t>
  </si>
  <si>
    <t xml:space="preserve">clapet se pega, se revisa y se lubrica, se acomoda posicion</t>
  </si>
  <si>
    <t xml:space="preserve">mordaza de frio no cierra, se revisa electrovalvulas, el soplado de ventosas  de apertura tapon no funciona, se revisa electrovalvula</t>
  </si>
  <si>
    <t xml:space="preserve">16:10</t>
  </si>
  <si>
    <t xml:space="preserve">se daña valvula antirretorno del cilindro del freno</t>
  </si>
  <si>
    <t xml:space="preserve">CAMBIO DE ROLLO</t>
  </si>
  <si>
    <t xml:space="preserve">S2</t>
  </si>
  <si>
    <t xml:space="preserve">Adjustment</t>
  </si>
  <si>
    <t xml:space="preserve">el virador de rollos se encuentra dañado lo que causa demora en el cambio de rollo</t>
  </si>
  <si>
    <t xml:space="preserve">MORDAZA TAPON</t>
  </si>
  <si>
    <t xml:space="preserve">MOT</t>
  </si>
  <si>
    <t xml:space="preserve">14:52</t>
  </si>
  <si>
    <t xml:space="preserve">se baja clapex del tapon.</t>
  </si>
  <si>
    <t xml:space="preserve">20:20</t>
  </si>
  <si>
    <t xml:space="preserve">20:52</t>
  </si>
  <si>
    <t xml:space="preserve">falla corte</t>
  </si>
  <si>
    <t xml:space="preserve">CAMBIO DE LOTE</t>
  </si>
  <si>
    <t xml:space="preserve">CL</t>
  </si>
  <si>
    <t xml:space="preserve">el virador de rollos se encuentra dañado.</t>
  </si>
  <si>
    <t xml:space="preserve">3331341</t>
  </si>
  <si>
    <t xml:space="preserve">SANPC,CO,MANZANA VERDE 450ML</t>
  </si>
  <si>
    <t xml:space="preserve">09:19</t>
  </si>
  <si>
    <t xml:space="preserve">Falla en Clapet</t>
  </si>
  <si>
    <t xml:space="preserve">10:30</t>
  </si>
  <si>
    <t xml:space="preserve">Cambio de cilindro Clapet tapón</t>
  </si>
  <si>
    <t xml:space="preserve">3331343</t>
  </si>
  <si>
    <t xml:space="preserve">SANPC,CO,MANZANA VERDE 1000ML</t>
  </si>
  <si>
    <t xml:space="preserve">3340343</t>
  </si>
  <si>
    <t xml:space="preserve">CHERR,CO,NEGRO 30G X 72 SPIR</t>
  </si>
  <si>
    <t xml:space="preserve">ENFAJADORA</t>
  </si>
  <si>
    <t xml:space="preserve">MF</t>
  </si>
  <si>
    <t xml:space="preserve">la enfajadora no funciona</t>
  </si>
  <si>
    <t xml:space="preserve">el freno del desbobinador no libera laminado</t>
  </si>
  <si>
    <t xml:space="preserve">17:42</t>
  </si>
  <si>
    <t xml:space="preserve">Cambio de boquilla 2</t>
  </si>
  <si>
    <t xml:space="preserve">3340349</t>
  </si>
  <si>
    <t xml:space="preserve">COBRA,CO,NEGRO 30G X 72 SPIR</t>
  </si>
  <si>
    <t xml:space="preserve">entrega de enfajadora</t>
  </si>
  <si>
    <t xml:space="preserve">mordaza apagadas</t>
  </si>
  <si>
    <t xml:space="preserve">3300824</t>
  </si>
  <si>
    <t xml:space="preserve">WOOLITE BLACK 2L X6</t>
  </si>
  <si>
    <t xml:space="preserve">Falla de comunicacion</t>
  </si>
  <si>
    <t xml:space="preserve">Falla de comunicacion modulo #1</t>
  </si>
  <si>
    <t xml:space="preserve">Daño en racor entrada de aire presurizacion tanque.</t>
  </si>
  <si>
    <t xml:space="preserve">09:20</t>
  </si>
  <si>
    <t xml:space="preserve">09:34</t>
  </si>
  <si>
    <t xml:space="preserve">se dispara variador motor</t>
  </si>
  <si>
    <t xml:space="preserve">3276519</t>
  </si>
  <si>
    <t xml:space="preserve">FINSH,CO,POWDER DP 1KGX8</t>
  </si>
  <si>
    <t xml:space="preserve">18:30</t>
  </si>
  <si>
    <t xml:space="preserve">Lado izquierdo de tolva tapado.</t>
  </si>
  <si>
    <t xml:space="preserve">Salomon Cardona</t>
  </si>
  <si>
    <t xml:space="preserve">Lado izquierdo de tolva tapado</t>
  </si>
  <si>
    <t xml:space="preserve">21:30</t>
  </si>
  <si>
    <t xml:space="preserve">12:43</t>
  </si>
  <si>
    <t xml:space="preserve">20:25</t>
  </si>
  <si>
    <t xml:space="preserve">Se frena banda lateral de encintadora</t>
  </si>
  <si>
    <t xml:space="preserve">ZIPPER</t>
  </si>
  <si>
    <t xml:space="preserve">ZP</t>
  </si>
  <si>
    <t xml:space="preserve">se parte tornillo de mordaza punteo 1 zipper</t>
  </si>
  <si>
    <t xml:space="preserve">Eventos de parada agrupados</t>
  </si>
  <si>
    <t xml:space="preserve">Junta los registros del mismo día, la misma línea y el mismo equipo (fallas largas registradas hora por hora). Los minutos se calculan con SUMIFS sobre la hoja Datos.</t>
  </si>
  <si>
    <t xml:space="preserve">Ranking en el mes</t>
  </si>
  <si>
    <t xml:space="preserve">Turno</t>
  </si>
  <si>
    <t xml:space="preserve">Registros</t>
  </si>
  <si>
    <t xml:space="preserve">Inicio</t>
  </si>
  <si>
    <t xml:space="preserve">Fin</t>
  </si>
  <si>
    <t xml:space="preserve">Qué pasó (observaciones)</t>
  </si>
  <si>
    <t xml:space="preserve">Daño en motor de placa mordazas / Daño en tarjeta motos correccion de placa mordazas / Daño tarjeta correccion placa mordazas</t>
  </si>
  <si>
    <t xml:space="preserve">se calibra fotocelda de desbobinador / continuas paradas realizando ajustes en parametros de fotocelda de desbobinador / error en fotocelda de desbobinador / runion para reaizar plan para eliminar fallo en fotocelda de desbobinador / los tecnicos hacen ajusts en el servo</t>
  </si>
  <si>
    <t xml:space="preserve">hace corto seristencia quemando esta / cambio de resistencias / se hace cambio de resistencias</t>
  </si>
  <si>
    <t xml:space="preserve">espera entega de mtto banda ttransporte tapa wollite hacia tapadora / mtto ajusyta banda para empezar proceso / cambio de direccion banda elevador de tapa / ajuste en traslape paso banda salida de llenadora</t>
  </si>
  <si>
    <t xml:space="preserve">paradas por falla en el drive de boquilla se hace seguimiento / falla de variador drive boquilas, se hacen ajustes / continuas paradas por falla en el drive de boquillas de llenado / continuas paradas por falla en el drive de boquillas</t>
  </si>
  <si>
    <t xml:space="preserve">se revienta correa lateral encintadora. / cambio de correa encintadora</t>
  </si>
  <si>
    <t xml:space="preserve">daño banda de salida de la llenadora / cambio de seguidor</t>
  </si>
  <si>
    <t xml:space="preserve">falla resistencia superior trasera / falla en resistencia superior trasera</t>
  </si>
  <si>
    <t xml:space="preserve">continuas paradas por filtracion ristra  3 y 4 / filtracion en boquilla 3 y 4 generando continuas paradas / se abre laminado en boquilla 2 ocasionando derrame</t>
  </si>
  <si>
    <t xml:space="preserve">(sin observación)</t>
  </si>
  <si>
    <t xml:space="preserve">falla encoder / encoder / ender</t>
  </si>
  <si>
    <t xml:space="preserve">falla en vavlvula admision silo sistema oga / falla en valvula admision sistema oga</t>
  </si>
  <si>
    <t xml:space="preserve">Intervencion por mantenimiento
ajuste de tolva de llenado / intervencion por manteimiento 
ajuste tolva de llenado / ajuste tolva de llenado mantenimiento / se floja censor del encoer esto jenera que la maquina se estrelle bruscamente causando daño alos seguidores de leva se informa al personal de mantenimiento y se hace el cambio del seguidor de leva dañado / se floja censor del encoder generando estrellada de la maquina el laminado no se pudo alinear despues del daño / se floja cesor del encoder causando estrellada de la maquina
se daña seguidor de leva
laminado no alinea despus del daño</t>
  </si>
  <si>
    <t xml:space="preserve">falla servo mde arrastre se dispara la maquina constantemente no deja trabaja / falla cervo de rrastre / continua el problema del servo de arrastre para donde no debe parar / falla del servo de arrastre</t>
  </si>
  <si>
    <t xml:space="preserve">falla de arrastre / se dispara servomotor</t>
  </si>
  <si>
    <t xml:space="preserve">se frena banda inclinda / banda frenada</t>
  </si>
  <si>
    <t xml:space="preserve">se baja freno elevador de cajas. / arreglo de pieza freno se cambioan ´piezas en taller.</t>
  </si>
  <si>
    <t xml:space="preserve">encoder / falla en encoder</t>
  </si>
  <si>
    <t xml:space="preserve">Ajuste placa de rebote / Ajuste placa rebote</t>
  </si>
  <si>
    <t xml:space="preserve">1, 2</t>
  </si>
  <si>
    <t xml:space="preserve">se parte pin del introdutor / entrega areglada del pin / Se da;a sensor de fibra en llenadora</t>
  </si>
  <si>
    <t xml:space="preserve">se interviene la boquilla 6 por fuga de betun / se habilitan las 2 boquilla 1,2 / Ajustes en llenadora</t>
  </si>
  <si>
    <t xml:space="preserve">la temperatura se encuentra apagada se espera que suba. la temperatura de la inferior delantera 1 se demora mas que las otras en alcanzar el setpoint / la temperatura de la mordaza horizontal delantera 1 presenta variacion y para la maquina. / falla en temperatura mordaza delantera 1. lo cual genera continuas paradas</t>
  </si>
  <si>
    <t xml:space="preserve">se parte muelle de placa trasera / se parte tornillo mordaza placa de rebote</t>
  </si>
  <si>
    <t xml:space="preserve">falla comunicacion bomba / falla en bomba trasiego</t>
  </si>
  <si>
    <t xml:space="preserve">paradas constantes por ristra rota parte lateral / ristra rota partre lateral ajuste de mordaza / ristra 1 sale con el sello de selle corte en falso , se ajustan boquillas de llenado y se calibra sensor</t>
  </si>
  <si>
    <t xml:space="preserve">falla servo arrastre / paradas continuas por ristras abiertas mordaza selle corte</t>
  </si>
  <si>
    <t xml:space="preserve">varia temperatura en mordaza verticales / filtracion mordaza selle corte</t>
  </si>
  <si>
    <t xml:space="preserve">Temperatura / Falla temperaturas</t>
  </si>
  <si>
    <t xml:space="preserve">Falla codificacdor de unidades se dispara alarma constantemente. / limpieza y calibracion codificador</t>
  </si>
  <si>
    <t xml:space="preserve">falla de arrastre / faklla de arrastre</t>
  </si>
  <si>
    <t xml:space="preserve">falla electrica / ajuste de rif por falta de tencion en el laminado / falla variador desbobinador zipper / falla de varioador desbobinador zipper</t>
  </si>
  <si>
    <t xml:space="preserve">calibracion de tijera / cambio de tijera</t>
  </si>
  <si>
    <t xml:space="preserve">falla de arrastre de laminado / falla de arrastre</t>
  </si>
  <si>
    <t xml:space="preserve">Falta de vapor caldera / Falta d e vapor caldera</t>
  </si>
  <si>
    <t xml:space="preserve">averia  codificador / Averia codificador</t>
  </si>
  <si>
    <t xml:space="preserve">se daña selle de bomba de llenado causando que la mezcla se pierda por el drenaje / se cambia selle de la bomba de llenado / se espera que abran valvula desde mezcla y se prueba bomba</t>
  </si>
  <si>
    <t xml:space="preserve">Tecnico no cuenta con los epp, mangas y guantes anticorte / se montaron 3 juegos de tijeras</t>
  </si>
  <si>
    <t xml:space="preserve">derrame de producto en llenadora por desgaste de empaque / ajuste de acople en lenadora / cambio de racon en boquilla 2 en llenadora</t>
  </si>
  <si>
    <t xml:space="preserve">Mal funcionamiento boquilla #4 por goteo, se baja la boquilla / Intervencion en boquilla 4</t>
  </si>
  <si>
    <t xml:space="preserve">falla llenado boquilla# 3 / se cancela boquilla #3</t>
  </si>
  <si>
    <t xml:space="preserve">falla en sensor salida / falla sensor salida / falla de electrobalvula</t>
  </si>
  <si>
    <t xml:space="preserve">problema de programa de ciclo de llenado / problema  en programa ciclo de llenado</t>
  </si>
  <si>
    <t xml:space="preserve">se trabaja con una boquilla menos / se trabaa  con una boquilla menos / falta de boquilla 4</t>
  </si>
  <si>
    <t xml:space="preserve">falla en unidad de mantenimiento de la gramec / falla en unidad  de mantenimiento de gramec</t>
  </si>
  <si>
    <t xml:space="preserve">falla en plc / falla plc</t>
  </si>
  <si>
    <t xml:space="preserve">Lado izquierdo de tolva tapado. / Lado izquierdo de tolva tapado</t>
  </si>
  <si>
    <t xml:space="preserve">Falla en Clapet / Cambio de cilindro Clapet tapón</t>
  </si>
  <si>
    <t xml:space="preserve">se espera la siso para para protocolos de intervencion trabajo en caliente / intervencion en caliente</t>
  </si>
  <si>
    <t xml:space="preserve">se realiza montaje del clapet y ajuste de tiempos de sincronismo / se rectifica rosca de cilindro de la pinza de sujeccion tapon</t>
  </si>
  <si>
    <t xml:space="preserve">Falla de comunicacion / Falla de comunicacion modulo #1 / Daño en racor entrada de aire presurizacion tanque.</t>
  </si>
  <si>
    <t xml:space="preserve">se baja clapex del tapon. / falla corte</t>
  </si>
  <si>
    <t xml:space="preserve">SE RE UBICA CABLE DE SENSOR / SE UBICA CABLE DE SENSOR A PLC</t>
  </si>
  <si>
    <t xml:space="preserve">ganchos del empalme banda reventados se descarrila / se pega banda</t>
  </si>
  <si>
    <t xml:space="preserve">Las 3 paradas más largas de cada mes</t>
  </si>
  <si>
    <t xml:space="preserve">Eventos agrupados (mismo día, línea y equipo). En julio hay empate en el 3er lugar (90 min), por eso aparecen 4.</t>
  </si>
  <si>
    <t xml:space="preserve">ENERO</t>
  </si>
  <si>
    <t xml:space="preserve">% del mes</t>
  </si>
  <si>
    <t xml:space="preserve">MAYO</t>
  </si>
  <si>
    <t xml:space="preserve">JUNIO</t>
  </si>
  <si>
    <t xml:space="preserve">JULIO</t>
  </si>
  <si>
    <t xml:space="preserve">Las 3 líneas con más tiempo parado por mes</t>
  </si>
  <si>
    <t xml:space="preserve">Con el equipo que más tiempo le quitó y lo que más se repitió.</t>
  </si>
  <si>
    <t xml:space="preserve">Equipo principal</t>
  </si>
  <si>
    <t xml:space="preserve">Min. equipo</t>
  </si>
  <si>
    <t xml:space="preserve">Causa más repetida</t>
  </si>
  <si>
    <t xml:space="preserve">Cambio de resistencias</t>
  </si>
  <si>
    <t xml:space="preserve">Se parte pin del introdutor</t>
  </si>
  <si>
    <t xml:space="preserve">Arreglo de pieza freno se cambioan ´piezas en taller.</t>
  </si>
  <si>
    <t xml:space="preserve">Intervencion bandas.</t>
  </si>
  <si>
    <t xml:space="preserve">La enfajadora no funciona</t>
  </si>
  <si>
    <t xml:space="preserve">Filas donde el TIEMPO PARADA no coincide con INICIO–FIN, o que no tienen observación.</t>
  </si>
  <si>
    <t xml:space="preserve">Tiempo registrado</t>
  </si>
  <si>
    <t xml:space="preserve">Min. según horario</t>
  </si>
  <si>
    <t xml:space="preserve">Problema</t>
  </si>
  <si>
    <t xml:space="preserve">Tiempo no coincide con el horario</t>
  </si>
  <si>
    <t xml:space="preserve">Tiempo en 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</si>
</sst>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"/>
    <numFmt numFmtId="167" formatCode="0.0"/>
    <numFmt numFmtId="168" formatCode="#,##0;\-#,##0;\-"/>
    <numFmt numFmtId="169" formatCode="0.0%"/>
    <numFmt numFmtId="170" formatCode="General"/>
    <numFmt numFmtId="171" formatCode="dd/mm/yyyy"/>
    <numFmt numFmtId="172" formatCode="0;\-0;\-"/>
    <numFmt numFmtId="173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FAADC"/>
      <rgbColor rgb="FF993366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CE4D6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Minutos parados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Dashboard!D9</c:f>
              <c:strCache>
                <c:ptCount val="1"/>
                <c:pt idx="0">
                  <c:v>Minutos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Dashboard!$B$10:$B$13</c:f>
              <c:strCache>
                <c:ptCount val="4"/>
                <c:pt idx="0">
                  <c:v>Enero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</c:strCache>
            </c:strRef>
          </c:cat>
          <c:val>
            <c:numRef>
              <c:f>Dashboard!$D$10:$D$13</c:f>
              <c:numCache>
                <c:formatCode>#,##0</c:formatCode>
                <c:ptCount val="4"/>
                <c:pt idx="0">
                  <c:v>2782</c:v>
                </c:pt>
                <c:pt idx="1">
                  <c:v>4534</c:v>
                </c:pt>
                <c:pt idx="2">
                  <c:v>2908</c:v>
                </c:pt>
                <c:pt idx="3">
                  <c:v>1774</c:v>
                </c:pt>
              </c:numCache>
            </c:numRef>
          </c:val>
        </c:ser>
        <c:gapWidth val="150"/>
        <c:overlap val="0"/>
        <c:axId val="33945482"/>
        <c:axId val="43747219"/>
      </c:barChart>
      <c:catAx>
        <c:axId val="339454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47219"/>
        <c:crosses val="autoZero"/>
        <c:auto val="1"/>
        <c:lblAlgn val="ctr"/>
        <c:lblOffset val="100"/>
        <c:noMultiLvlLbl val="0"/>
      </c:catAx>
      <c:valAx>
        <c:axId val="43747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454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Minutos por línea y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Dashboard!C25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Dashboard!$B$26:$B$36</c:f>
              <c:strCache>
                <c:ptCount val="11"/>
                <c:pt idx="0">
                  <c:v>LINEA 16</c:v>
                </c:pt>
                <c:pt idx="1">
                  <c:v>LINEA 02</c:v>
                </c:pt>
                <c:pt idx="2">
                  <c:v>LINEA 18</c:v>
                </c:pt>
                <c:pt idx="3">
                  <c:v>LINEA 10</c:v>
                </c:pt>
                <c:pt idx="4">
                  <c:v>LINEA 14</c:v>
                </c:pt>
                <c:pt idx="5">
                  <c:v>LINEA 22</c:v>
                </c:pt>
                <c:pt idx="6">
                  <c:v>LINEA 20</c:v>
                </c:pt>
                <c:pt idx="7">
                  <c:v>LINEA 19</c:v>
                </c:pt>
                <c:pt idx="8">
                  <c:v>LINEA 11</c:v>
                </c:pt>
                <c:pt idx="9">
                  <c:v>LINEA 03</c:v>
                </c:pt>
                <c:pt idx="10">
                  <c:v>LINEA 07</c:v>
                </c:pt>
              </c:strCache>
            </c:strRef>
          </c:cat>
          <c:val>
            <c:numRef>
              <c:f>Dashboard!$C$26:$C$36</c:f>
              <c:numCache>
                <c:formatCode>#,##0;\-#,##0;\-</c:formatCode>
                <c:ptCount val="11"/>
                <c:pt idx="0">
                  <c:v>6</c:v>
                </c:pt>
                <c:pt idx="1">
                  <c:v>0</c:v>
                </c:pt>
                <c:pt idx="2">
                  <c:v>945</c:v>
                </c:pt>
                <c:pt idx="3">
                  <c:v>228</c:v>
                </c:pt>
                <c:pt idx="4">
                  <c:v>599</c:v>
                </c:pt>
                <c:pt idx="5">
                  <c:v>489</c:v>
                </c:pt>
                <c:pt idx="6">
                  <c:v>154</c:v>
                </c:pt>
                <c:pt idx="7">
                  <c:v>334</c:v>
                </c:pt>
                <c:pt idx="8">
                  <c:v>15</c:v>
                </c:pt>
                <c:pt idx="9">
                  <c:v>12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Dashboard!D25</c:f>
              <c:strCache>
                <c:ptCount val="1"/>
                <c:pt idx="0">
                  <c:v>Mayo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Dashboard!$B$26:$B$36</c:f>
              <c:strCache>
                <c:ptCount val="11"/>
                <c:pt idx="0">
                  <c:v>LINEA 16</c:v>
                </c:pt>
                <c:pt idx="1">
                  <c:v>LINEA 02</c:v>
                </c:pt>
                <c:pt idx="2">
                  <c:v>LINEA 18</c:v>
                </c:pt>
                <c:pt idx="3">
                  <c:v>LINEA 10</c:v>
                </c:pt>
                <c:pt idx="4">
                  <c:v>LINEA 14</c:v>
                </c:pt>
                <c:pt idx="5">
                  <c:v>LINEA 22</c:v>
                </c:pt>
                <c:pt idx="6">
                  <c:v>LINEA 20</c:v>
                </c:pt>
                <c:pt idx="7">
                  <c:v>LINEA 19</c:v>
                </c:pt>
                <c:pt idx="8">
                  <c:v>LINEA 11</c:v>
                </c:pt>
                <c:pt idx="9">
                  <c:v>LINEA 03</c:v>
                </c:pt>
                <c:pt idx="10">
                  <c:v>LINEA 07</c:v>
                </c:pt>
              </c:strCache>
            </c:strRef>
          </c:cat>
          <c:val>
            <c:numRef>
              <c:f>Dashboard!$D$26:$D$36</c:f>
              <c:numCache>
                <c:formatCode>#,##0;\-#,##0;\-</c:formatCode>
                <c:ptCount val="11"/>
                <c:pt idx="0">
                  <c:v>2458</c:v>
                </c:pt>
                <c:pt idx="1">
                  <c:v>692</c:v>
                </c:pt>
                <c:pt idx="2">
                  <c:v>210</c:v>
                </c:pt>
                <c:pt idx="3">
                  <c:v>549</c:v>
                </c:pt>
                <c:pt idx="4">
                  <c:v>111</c:v>
                </c:pt>
                <c:pt idx="5">
                  <c:v>76</c:v>
                </c:pt>
                <c:pt idx="6">
                  <c:v>26</c:v>
                </c:pt>
                <c:pt idx="7">
                  <c:v>0</c:v>
                </c:pt>
                <c:pt idx="8">
                  <c:v>334</c:v>
                </c:pt>
                <c:pt idx="9">
                  <c:v>78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Dashboard!E25</c:f>
              <c:strCache>
                <c:ptCount val="1"/>
                <c:pt idx="0">
                  <c:v>Junio</c:v>
                </c:pt>
              </c:strCache>
            </c:strRef>
          </c:tx>
          <c:spPr>
            <a:solidFill>
              <a:srgbClr val="8faad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Dashboard!$B$26:$B$36</c:f>
              <c:strCache>
                <c:ptCount val="11"/>
                <c:pt idx="0">
                  <c:v>LINEA 16</c:v>
                </c:pt>
                <c:pt idx="1">
                  <c:v>LINEA 02</c:v>
                </c:pt>
                <c:pt idx="2">
                  <c:v>LINEA 18</c:v>
                </c:pt>
                <c:pt idx="3">
                  <c:v>LINEA 10</c:v>
                </c:pt>
                <c:pt idx="4">
                  <c:v>LINEA 14</c:v>
                </c:pt>
                <c:pt idx="5">
                  <c:v>LINEA 22</c:v>
                </c:pt>
                <c:pt idx="6">
                  <c:v>LINEA 20</c:v>
                </c:pt>
                <c:pt idx="7">
                  <c:v>LINEA 19</c:v>
                </c:pt>
                <c:pt idx="8">
                  <c:v>LINEA 11</c:v>
                </c:pt>
                <c:pt idx="9">
                  <c:v>LINEA 03</c:v>
                </c:pt>
                <c:pt idx="10">
                  <c:v>LINEA 07</c:v>
                </c:pt>
              </c:strCache>
            </c:strRef>
          </c:cat>
          <c:val>
            <c:numRef>
              <c:f>Dashboard!$E$26:$E$36</c:f>
              <c:numCache>
                <c:formatCode>#,##0;\-#,##0;\-</c:formatCode>
                <c:ptCount val="11"/>
                <c:pt idx="0">
                  <c:v>774</c:v>
                </c:pt>
                <c:pt idx="1">
                  <c:v>483</c:v>
                </c:pt>
                <c:pt idx="2">
                  <c:v>164</c:v>
                </c:pt>
                <c:pt idx="3">
                  <c:v>498</c:v>
                </c:pt>
                <c:pt idx="4">
                  <c:v>45</c:v>
                </c:pt>
                <c:pt idx="5">
                  <c:v>125</c:v>
                </c:pt>
                <c:pt idx="6">
                  <c:v>270</c:v>
                </c:pt>
                <c:pt idx="7">
                  <c:v>241</c:v>
                </c:pt>
                <c:pt idx="8">
                  <c:v>21</c:v>
                </c:pt>
                <c:pt idx="9">
                  <c:v>245</c:v>
                </c:pt>
                <c:pt idx="10">
                  <c:v>42</c:v>
                </c:pt>
              </c:numCache>
            </c:numRef>
          </c:val>
        </c:ser>
        <c:ser>
          <c:idx val="3"/>
          <c:order val="3"/>
          <c:tx>
            <c:strRef>
              <c:f>Dashboard!F25</c:f>
              <c:strCache>
                <c:ptCount val="1"/>
                <c:pt idx="0">
                  <c:v>Julio</c:v>
                </c:pt>
              </c:strCache>
            </c:strRef>
          </c:tx>
          <c:spPr>
            <a:solidFill>
              <a:srgbClr val="f4b1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Dashboard!$B$26:$B$36</c:f>
              <c:strCache>
                <c:ptCount val="11"/>
                <c:pt idx="0">
                  <c:v>LINEA 16</c:v>
                </c:pt>
                <c:pt idx="1">
                  <c:v>LINEA 02</c:v>
                </c:pt>
                <c:pt idx="2">
                  <c:v>LINEA 18</c:v>
                </c:pt>
                <c:pt idx="3">
                  <c:v>LINEA 10</c:v>
                </c:pt>
                <c:pt idx="4">
                  <c:v>LINEA 14</c:v>
                </c:pt>
                <c:pt idx="5">
                  <c:v>LINEA 22</c:v>
                </c:pt>
                <c:pt idx="6">
                  <c:v>LINEA 20</c:v>
                </c:pt>
                <c:pt idx="7">
                  <c:v>LINEA 19</c:v>
                </c:pt>
                <c:pt idx="8">
                  <c:v>LINEA 11</c:v>
                </c:pt>
                <c:pt idx="9">
                  <c:v>LINEA 03</c:v>
                </c:pt>
                <c:pt idx="10">
                  <c:v>LINEA 07</c:v>
                </c:pt>
              </c:strCache>
            </c:strRef>
          </c:cat>
          <c:val>
            <c:numRef>
              <c:f>Dashboard!$F$26:$F$36</c:f>
              <c:numCache>
                <c:formatCode>#,##0;\-#,##0;\-</c:formatCode>
                <c:ptCount val="11"/>
                <c:pt idx="0">
                  <c:v>100</c:v>
                </c:pt>
                <c:pt idx="1">
                  <c:v>398</c:v>
                </c:pt>
                <c:pt idx="2">
                  <c:v>152</c:v>
                </c:pt>
                <c:pt idx="3">
                  <c:v>90</c:v>
                </c:pt>
                <c:pt idx="4">
                  <c:v>438</c:v>
                </c:pt>
                <c:pt idx="5">
                  <c:v>183</c:v>
                </c:pt>
                <c:pt idx="6">
                  <c:v>312</c:v>
                </c:pt>
                <c:pt idx="7">
                  <c:v>76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100"/>
        <c:axId val="36324441"/>
        <c:axId val="53447399"/>
      </c:barChart>
      <c:catAx>
        <c:axId val="3632444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47399"/>
        <c:crosses val="autoZero"/>
        <c:auto val="1"/>
        <c:lblAlgn val="ctr"/>
        <c:lblOffset val="100"/>
        <c:noMultiLvlLbl val="0"/>
      </c:catAx>
      <c:valAx>
        <c:axId val="53447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244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equipos por minutos parados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Dashboard!E41</c:f>
              <c:strCache>
                <c:ptCount val="1"/>
                <c:pt idx="0">
                  <c:v>Minutos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Dashboard!$B$42:$B$51</c:f>
              <c:strCache>
                <c:ptCount val="10"/>
                <c:pt idx="0">
                  <c:v>LLENADORA</c:v>
                </c:pt>
                <c:pt idx="1">
                  <c:v>SERVO MOTOR</c:v>
                </c:pt>
                <c:pt idx="2">
                  <c:v>BANDA TRANSPORTADORA</c:v>
                </c:pt>
                <c:pt idx="3">
                  <c:v>ENCINTADORA</c:v>
                </c:pt>
                <c:pt idx="4">
                  <c:v>TIJERA</c:v>
                </c:pt>
                <c:pt idx="5">
                  <c:v>MORDAZA SUPERIOR</c:v>
                </c:pt>
                <c:pt idx="6">
                  <c:v>ENCAJADORA</c:v>
                </c:pt>
                <c:pt idx="7">
                  <c:v>SISTEMA SUCCION - OGA</c:v>
                </c:pt>
                <c:pt idx="8">
                  <c:v>FECHADOR</c:v>
                </c:pt>
                <c:pt idx="9">
                  <c:v>DESBOBINADOR</c:v>
                </c:pt>
              </c:strCache>
            </c:strRef>
          </c:cat>
          <c:val>
            <c:numRef>
              <c:f>Dashboard!$E$42:$E$51</c:f>
              <c:numCache>
                <c:formatCode>#,##0</c:formatCode>
                <c:ptCount val="10"/>
                <c:pt idx="0">
                  <c:v>4798</c:v>
                </c:pt>
                <c:pt idx="1">
                  <c:v>1417</c:v>
                </c:pt>
                <c:pt idx="2">
                  <c:v>772</c:v>
                </c:pt>
                <c:pt idx="3">
                  <c:v>581</c:v>
                </c:pt>
                <c:pt idx="4">
                  <c:v>537</c:v>
                </c:pt>
                <c:pt idx="5">
                  <c:v>486</c:v>
                </c:pt>
                <c:pt idx="6">
                  <c:v>363</c:v>
                </c:pt>
                <c:pt idx="7">
                  <c:v>324</c:v>
                </c:pt>
                <c:pt idx="8">
                  <c:v>307</c:v>
                </c:pt>
                <c:pt idx="9">
                  <c:v>269</c:v>
                </c:pt>
              </c:numCache>
            </c:numRef>
          </c:val>
        </c:ser>
        <c:gapWidth val="150"/>
        <c:overlap val="0"/>
        <c:axId val="51653074"/>
        <c:axId val="43229812"/>
      </c:barChart>
      <c:catAx>
        <c:axId val="516530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29812"/>
        <c:crosses val="autoZero"/>
        <c:auto val="1"/>
        <c:lblAlgn val="ctr"/>
        <c:lblOffset val="100"/>
        <c:noMultiLvlLbl val="0"/>
      </c:catAx>
      <c:valAx>
        <c:axId val="43229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53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fallas que más se repiten (veces)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'Fallas repetitivas'!D4</c:f>
              <c:strCache>
                <c:ptCount val="1"/>
                <c:pt idx="0">
                  <c:v>Veces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'Fallas repetitivas'!$C$5:$C$14</c:f>
              <c:strCache>
                <c:ptCount val="10"/>
                <c:pt idx="0">
                  <c:v>Servo de arrastre / encoder (falla de arrastre)</c:v>
                </c:pt>
                <c:pt idx="1">
                  <c:v>Bandas, correas y cadenas (se frenan / descarrilan)</c:v>
                </c:pt>
                <c:pt idx="2">
                  <c:v>Boquillas de llenado (goteo, fugas, conos)</c:v>
                </c:pt>
                <c:pt idx="3">
                  <c:v>PLC, programa, drives y tarjetas electrónicas</c:v>
                </c:pt>
                <c:pt idx="4">
                  <c:v>Tornillos, pines y piezas partidas</c:v>
                </c:pt>
                <c:pt idx="5">
                  <c:v>Resistencias / temperatura de mordazas</c:v>
                </c:pt>
                <c:pt idx="6">
                  <c:v>Fotoceldas y sensores</c:v>
                </c:pt>
                <c:pt idx="7">
                  <c:v>Ristras rotas / sello de laminado</c:v>
                </c:pt>
                <c:pt idx="8">
                  <c:v>Electroválvulas, racores y fugas de aire</c:v>
                </c:pt>
                <c:pt idx="9">
                  <c:v>Tijera y cuchillas (cambio / calibración)</c:v>
                </c:pt>
              </c:strCache>
            </c:strRef>
          </c:cat>
          <c:val>
            <c:numRef>
              <c:f>'Fallas repetitivas'!$D$5:$D$14</c:f>
              <c:numCache>
                <c:formatCode>General</c:formatCode>
                <c:ptCount val="10"/>
                <c:pt idx="0">
                  <c:v>54</c:v>
                </c:pt>
                <c:pt idx="1">
                  <c:v>30</c:v>
                </c:pt>
                <c:pt idx="2">
                  <c:v>23</c:v>
                </c:pt>
                <c:pt idx="3">
                  <c:v>20</c:v>
                </c:pt>
                <c:pt idx="4">
                  <c:v>19</c:v>
                </c:pt>
                <c:pt idx="5">
                  <c:v>17</c:v>
                </c:pt>
                <c:pt idx="6">
                  <c:v>16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</c:ser>
        <c:gapWidth val="150"/>
        <c:overlap val="0"/>
        <c:axId val="67966443"/>
        <c:axId val="8941192"/>
      </c:barChart>
      <c:catAx>
        <c:axId val="679664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1192"/>
        <c:crosses val="autoZero"/>
        <c:auto val="1"/>
        <c:lblAlgn val="ctr"/>
        <c:lblOffset val="100"/>
        <c:noMultiLvlLbl val="0"/>
      </c:catAx>
      <c:valAx>
        <c:axId val="8941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664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fallas: minutos perdidos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'Fallas repetitivas'!E4</c:f>
              <c:strCache>
                <c:ptCount val="1"/>
                <c:pt idx="0">
                  <c:v>Minutos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'Fallas repetitivas'!$C$5:$C$14</c:f>
              <c:strCache>
                <c:ptCount val="10"/>
                <c:pt idx="0">
                  <c:v>Servo de arrastre / encoder (falla de arrastre)</c:v>
                </c:pt>
                <c:pt idx="1">
                  <c:v>Bandas, correas y cadenas (se frenan / descarrilan)</c:v>
                </c:pt>
                <c:pt idx="2">
                  <c:v>Boquillas de llenado (goteo, fugas, conos)</c:v>
                </c:pt>
                <c:pt idx="3">
                  <c:v>PLC, programa, drives y tarjetas electrónicas</c:v>
                </c:pt>
                <c:pt idx="4">
                  <c:v>Tornillos, pines y piezas partidas</c:v>
                </c:pt>
                <c:pt idx="5">
                  <c:v>Resistencias / temperatura de mordazas</c:v>
                </c:pt>
                <c:pt idx="6">
                  <c:v>Fotoceldas y sensores</c:v>
                </c:pt>
                <c:pt idx="7">
                  <c:v>Ristras rotas / sello de laminado</c:v>
                </c:pt>
                <c:pt idx="8">
                  <c:v>Electroválvulas, racores y fugas de aire</c:v>
                </c:pt>
                <c:pt idx="9">
                  <c:v>Tijera y cuchillas (cambio / calibración)</c:v>
                </c:pt>
              </c:strCache>
            </c:strRef>
          </c:cat>
          <c:val>
            <c:numRef>
              <c:f>'Fallas repetitivas'!$E$5:$E$14</c:f>
              <c:numCache>
                <c:formatCode>#,##0</c:formatCode>
                <c:ptCount val="10"/>
                <c:pt idx="0">
                  <c:v>2844</c:v>
                </c:pt>
                <c:pt idx="1">
                  <c:v>1593</c:v>
                </c:pt>
                <c:pt idx="2">
                  <c:v>533</c:v>
                </c:pt>
                <c:pt idx="3">
                  <c:v>472</c:v>
                </c:pt>
                <c:pt idx="4">
                  <c:v>610</c:v>
                </c:pt>
                <c:pt idx="5">
                  <c:v>492</c:v>
                </c:pt>
                <c:pt idx="6">
                  <c:v>406</c:v>
                </c:pt>
                <c:pt idx="7">
                  <c:v>285</c:v>
                </c:pt>
                <c:pt idx="8">
                  <c:v>275</c:v>
                </c:pt>
                <c:pt idx="9">
                  <c:v>487</c:v>
                </c:pt>
              </c:numCache>
            </c:numRef>
          </c:val>
        </c:ser>
        <c:gapWidth val="150"/>
        <c:overlap val="0"/>
        <c:axId val="15863063"/>
        <c:axId val="80610394"/>
      </c:barChart>
      <c:catAx>
        <c:axId val="1586306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10394"/>
        <c:crosses val="autoZero"/>
        <c:auto val="1"/>
        <c:lblAlgn val="ctr"/>
        <c:lblOffset val="100"/>
        <c:noMultiLvlLbl val="0"/>
      </c:catAx>
      <c:valAx>
        <c:axId val="80610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630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100800</xdr:rowOff>
    </xdr:from>
    <xdr:to>
      <xdr:col>12</xdr:col>
      <xdr:colOff>27720</xdr:colOff>
      <xdr:row>20</xdr:row>
      <xdr:rowOff>133560</xdr:rowOff>
    </xdr:to>
    <xdr:graphicFrame>
      <xdr:nvGraphicFramePr>
        <xdr:cNvPr id="0" name="Chart 1"/>
        <xdr:cNvGraphicFramePr/>
      </xdr:nvGraphicFramePr>
      <xdr:xfrm>
        <a:off x="4017600" y="1333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101160</xdr:rowOff>
    </xdr:from>
    <xdr:to>
      <xdr:col>15</xdr:col>
      <xdr:colOff>747360</xdr:colOff>
      <xdr:row>37</xdr:row>
      <xdr:rowOff>51120</xdr:rowOff>
    </xdr:to>
    <xdr:graphicFrame>
      <xdr:nvGraphicFramePr>
        <xdr:cNvPr id="1" name="Chart 2"/>
        <xdr:cNvGraphicFramePr/>
      </xdr:nvGraphicFramePr>
      <xdr:xfrm>
        <a:off x="6343560" y="4381560"/>
        <a:ext cx="539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38</xdr:row>
      <xdr:rowOff>101160</xdr:rowOff>
    </xdr:from>
    <xdr:to>
      <xdr:col>15</xdr:col>
      <xdr:colOff>747360</xdr:colOff>
      <xdr:row>53</xdr:row>
      <xdr:rowOff>51120</xdr:rowOff>
    </xdr:to>
    <xdr:graphicFrame>
      <xdr:nvGraphicFramePr>
        <xdr:cNvPr id="2" name="Chart 3"/>
        <xdr:cNvGraphicFramePr/>
      </xdr:nvGraphicFramePr>
      <xdr:xfrm>
        <a:off x="6343560" y="7429680"/>
        <a:ext cx="539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131040</xdr:rowOff>
    </xdr:from>
    <xdr:to>
      <xdr:col>22</xdr:col>
      <xdr:colOff>364680</xdr:colOff>
      <xdr:row>15</xdr:row>
      <xdr:rowOff>276840</xdr:rowOff>
    </xdr:to>
    <xdr:graphicFrame>
      <xdr:nvGraphicFramePr>
        <xdr:cNvPr id="3" name="Chart 1"/>
        <xdr:cNvGraphicFramePr/>
      </xdr:nvGraphicFramePr>
      <xdr:xfrm>
        <a:off x="1365120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183960</xdr:rowOff>
    </xdr:from>
    <xdr:to>
      <xdr:col>22</xdr:col>
      <xdr:colOff>364680</xdr:colOff>
      <xdr:row>37</xdr:row>
      <xdr:rowOff>17640</xdr:rowOff>
    </xdr:to>
    <xdr:graphicFrame>
      <xdr:nvGraphicFramePr>
        <xdr:cNvPr id="4" name="Chart 2"/>
        <xdr:cNvGraphicFramePr/>
      </xdr:nvGraphicFramePr>
      <xdr:xfrm>
        <a:off x="13651200" y="4952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9" min="2" style="0" width="11"/>
  </cols>
  <sheetData>
    <row r="1" customFormat="false" ht="22.0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4" t="s">
        <v>2</v>
      </c>
      <c r="C4" s="4"/>
      <c r="D4" s="1"/>
      <c r="E4" s="4" t="s">
        <v>3</v>
      </c>
      <c r="F4" s="4"/>
      <c r="G4" s="1"/>
      <c r="H4" s="4" t="s">
        <v>4</v>
      </c>
      <c r="I4" s="4"/>
      <c r="J4" s="1"/>
      <c r="K4" s="4" t="s">
        <v>5</v>
      </c>
      <c r="L4" s="4"/>
      <c r="M4" s="1"/>
      <c r="N4" s="4" t="s">
        <v>6</v>
      </c>
      <c r="O4" s="4"/>
      <c r="P4" s="1"/>
      <c r="Q4" s="4" t="s">
        <v>7</v>
      </c>
      <c r="R4" s="4"/>
    </row>
    <row r="5" customFormat="false" ht="15" hidden="false" customHeight="false" outlineLevel="0" collapsed="false">
      <c r="A5" s="1"/>
      <c r="B5" s="5" t="n">
        <f aca="false">SUM(Datos!$M$2:$M$319)</f>
        <v>11998</v>
      </c>
      <c r="C5" s="5"/>
      <c r="D5" s="1"/>
      <c r="E5" s="6" t="n">
        <f aca="false">SUM(Datos!$M$2:$M$319)/60</f>
        <v>199.966666666667</v>
      </c>
      <c r="F5" s="6"/>
      <c r="G5" s="1"/>
      <c r="H5" s="5" t="n">
        <f aca="false">COUNTA(Datos!$B$2:$B$319)</f>
        <v>318</v>
      </c>
      <c r="I5" s="5"/>
      <c r="J5" s="1"/>
      <c r="K5" s="7" t="n">
        <f aca="false">AVERAGE(Datos!$M$2:$M$319)</f>
        <v>37.7295597484277</v>
      </c>
      <c r="L5" s="7"/>
      <c r="M5" s="1"/>
      <c r="N5" s="5" t="n">
        <f aca="false">MAX(Datos!$M$2:$M$319)</f>
        <v>480</v>
      </c>
      <c r="O5" s="5"/>
      <c r="P5" s="1"/>
      <c r="Q5" s="5" t="n">
        <f aca="false">COUNTA('Calidad de datos'!C5:C42)</f>
        <v>38</v>
      </c>
      <c r="R5" s="5"/>
    </row>
    <row r="6" customFormat="false" ht="15" hidden="false" customHeight="false" outlineLevel="0" collapsed="false">
      <c r="A6" s="1"/>
      <c r="B6" s="5"/>
      <c r="C6" s="5"/>
      <c r="D6" s="1"/>
      <c r="E6" s="6"/>
      <c r="F6" s="6"/>
      <c r="G6" s="1"/>
      <c r="H6" s="5"/>
      <c r="I6" s="5"/>
      <c r="J6" s="1"/>
      <c r="K6" s="7"/>
      <c r="L6" s="7"/>
      <c r="M6" s="1"/>
      <c r="N6" s="5"/>
      <c r="O6" s="5"/>
      <c r="P6" s="1"/>
      <c r="Q6" s="5"/>
      <c r="R6" s="5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Format="false" ht="15" hidden="false" customHeight="false" outlineLevel="0" collapsed="false">
      <c r="A8" s="1"/>
      <c r="B8" s="8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Format="false" ht="15" hidden="false" customHeight="false" outlineLevel="0" collapsed="false">
      <c r="A9" s="1"/>
      <c r="B9" s="9" t="s">
        <v>9</v>
      </c>
      <c r="C9" s="9" t="s">
        <v>10</v>
      </c>
      <c r="D9" s="9" t="s">
        <v>11</v>
      </c>
      <c r="E9" s="9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Format="false" ht="15" hidden="false" customHeight="false" outlineLevel="0" collapsed="false">
      <c r="A10" s="1"/>
      <c r="B10" s="10" t="s">
        <v>13</v>
      </c>
      <c r="C10" s="11" t="n">
        <f aca="false">COUNTIFS(Datos!$A$2:$A$319,B10)</f>
        <v>78</v>
      </c>
      <c r="D10" s="11" t="n">
        <f aca="false">SUMIFS(Datos!$M$2:$M$319,Datos!$A$2:$A$319,B10)</f>
        <v>2782</v>
      </c>
      <c r="E10" s="12" t="n">
        <f aca="false">D10/60</f>
        <v>46.3666666666667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1"/>
      <c r="B11" s="10" t="s">
        <v>14</v>
      </c>
      <c r="C11" s="11" t="n">
        <f aca="false">COUNTIFS(Datos!$A$2:$A$319,B11)</f>
        <v>112</v>
      </c>
      <c r="D11" s="11" t="n">
        <f aca="false">SUMIFS(Datos!$M$2:$M$319,Datos!$A$2:$A$319,B11)</f>
        <v>4534</v>
      </c>
      <c r="E11" s="12" t="n">
        <f aca="false">D11/60</f>
        <v>75.5666666666667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10" t="s">
        <v>15</v>
      </c>
      <c r="C12" s="11" t="n">
        <f aca="false">COUNTIFS(Datos!$A$2:$A$319,B12)</f>
        <v>73</v>
      </c>
      <c r="D12" s="11" t="n">
        <f aca="false">SUMIFS(Datos!$M$2:$M$319,Datos!$A$2:$A$319,B12)</f>
        <v>2908</v>
      </c>
      <c r="E12" s="12" t="n">
        <f aca="false">D12/60</f>
        <v>48.4666666666667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1"/>
      <c r="B13" s="10" t="s">
        <v>16</v>
      </c>
      <c r="C13" s="11" t="n">
        <f aca="false">COUNTIFS(Datos!$A$2:$A$319,B13)</f>
        <v>55</v>
      </c>
      <c r="D13" s="11" t="n">
        <f aca="false">SUMIFS(Datos!$M$2:$M$319,Datos!$A$2:$A$319,B13)</f>
        <v>1774</v>
      </c>
      <c r="E13" s="12" t="n">
        <f aca="false">D13/60</f>
        <v>29.5666666666667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8" t="s">
        <v>17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9" t="s">
        <v>18</v>
      </c>
      <c r="C25" s="9" t="s">
        <v>13</v>
      </c>
      <c r="D25" s="9" t="s">
        <v>14</v>
      </c>
      <c r="E25" s="9" t="s">
        <v>15</v>
      </c>
      <c r="F25" s="9" t="s">
        <v>16</v>
      </c>
      <c r="G25" s="9" t="s">
        <v>19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0" t="s">
        <v>20</v>
      </c>
      <c r="C26" s="13" t="n">
        <f aca="false">SUMIFS(Datos!$M$2:$M$319,Datos!$D$2:$D$319,$B26,Datos!$A$2:$A$319,"Enero")</f>
        <v>6</v>
      </c>
      <c r="D26" s="13" t="n">
        <f aca="false">SUMIFS(Datos!$M$2:$M$319,Datos!$D$2:$D$319,$B26,Datos!$A$2:$A$319,"Mayo")</f>
        <v>2458</v>
      </c>
      <c r="E26" s="13" t="n">
        <f aca="false">SUMIFS(Datos!$M$2:$M$319,Datos!$D$2:$D$319,$B26,Datos!$A$2:$A$319,"Junio")</f>
        <v>774</v>
      </c>
      <c r="F26" s="13" t="n">
        <f aca="false">SUMIFS(Datos!$M$2:$M$319,Datos!$D$2:$D$319,$B26,Datos!$A$2:$A$319,"Julio")</f>
        <v>100</v>
      </c>
      <c r="G26" s="11" t="n">
        <f aca="false">SUM(C26:F26)</f>
        <v>3338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0" t="s">
        <v>21</v>
      </c>
      <c r="C27" s="13" t="n">
        <f aca="false">SUMIFS(Datos!$M$2:$M$319,Datos!$D$2:$D$319,$B27,Datos!$A$2:$A$319,"Enero")</f>
        <v>0</v>
      </c>
      <c r="D27" s="13" t="n">
        <f aca="false">SUMIFS(Datos!$M$2:$M$319,Datos!$D$2:$D$319,$B27,Datos!$A$2:$A$319,"Mayo")</f>
        <v>692</v>
      </c>
      <c r="E27" s="13" t="n">
        <f aca="false">SUMIFS(Datos!$M$2:$M$319,Datos!$D$2:$D$319,$B27,Datos!$A$2:$A$319,"Junio")</f>
        <v>483</v>
      </c>
      <c r="F27" s="13" t="n">
        <f aca="false">SUMIFS(Datos!$M$2:$M$319,Datos!$D$2:$D$319,$B27,Datos!$A$2:$A$319,"Julio")</f>
        <v>398</v>
      </c>
      <c r="G27" s="11" t="n">
        <f aca="false">SUM(C27:F27)</f>
        <v>1573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0" t="s">
        <v>22</v>
      </c>
      <c r="C28" s="13" t="n">
        <f aca="false">SUMIFS(Datos!$M$2:$M$319,Datos!$D$2:$D$319,$B28,Datos!$A$2:$A$319,"Enero")</f>
        <v>945</v>
      </c>
      <c r="D28" s="13" t="n">
        <f aca="false">SUMIFS(Datos!$M$2:$M$319,Datos!$D$2:$D$319,$B28,Datos!$A$2:$A$319,"Mayo")</f>
        <v>210</v>
      </c>
      <c r="E28" s="13" t="n">
        <f aca="false">SUMIFS(Datos!$M$2:$M$319,Datos!$D$2:$D$319,$B28,Datos!$A$2:$A$319,"Junio")</f>
        <v>164</v>
      </c>
      <c r="F28" s="13" t="n">
        <f aca="false">SUMIFS(Datos!$M$2:$M$319,Datos!$D$2:$D$319,$B28,Datos!$A$2:$A$319,"Julio")</f>
        <v>152</v>
      </c>
      <c r="G28" s="11" t="n">
        <f aca="false">SUM(C28:F28)</f>
        <v>1471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0" t="s">
        <v>23</v>
      </c>
      <c r="C29" s="13" t="n">
        <f aca="false">SUMIFS(Datos!$M$2:$M$319,Datos!$D$2:$D$319,$B29,Datos!$A$2:$A$319,"Enero")</f>
        <v>228</v>
      </c>
      <c r="D29" s="13" t="n">
        <f aca="false">SUMIFS(Datos!$M$2:$M$319,Datos!$D$2:$D$319,$B29,Datos!$A$2:$A$319,"Mayo")</f>
        <v>549</v>
      </c>
      <c r="E29" s="13" t="n">
        <f aca="false">SUMIFS(Datos!$M$2:$M$319,Datos!$D$2:$D$319,$B29,Datos!$A$2:$A$319,"Junio")</f>
        <v>498</v>
      </c>
      <c r="F29" s="13" t="n">
        <f aca="false">SUMIFS(Datos!$M$2:$M$319,Datos!$D$2:$D$319,$B29,Datos!$A$2:$A$319,"Julio")</f>
        <v>90</v>
      </c>
      <c r="G29" s="11" t="n">
        <f aca="false">SUM(C29:F29)</f>
        <v>1365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0" t="s">
        <v>24</v>
      </c>
      <c r="C30" s="13" t="n">
        <f aca="false">SUMIFS(Datos!$M$2:$M$319,Datos!$D$2:$D$319,$B30,Datos!$A$2:$A$319,"Enero")</f>
        <v>599</v>
      </c>
      <c r="D30" s="13" t="n">
        <f aca="false">SUMIFS(Datos!$M$2:$M$319,Datos!$D$2:$D$319,$B30,Datos!$A$2:$A$319,"Mayo")</f>
        <v>111</v>
      </c>
      <c r="E30" s="13" t="n">
        <f aca="false">SUMIFS(Datos!$M$2:$M$319,Datos!$D$2:$D$319,$B30,Datos!$A$2:$A$319,"Junio")</f>
        <v>45</v>
      </c>
      <c r="F30" s="13" t="n">
        <f aca="false">SUMIFS(Datos!$M$2:$M$319,Datos!$D$2:$D$319,$B30,Datos!$A$2:$A$319,"Julio")</f>
        <v>438</v>
      </c>
      <c r="G30" s="11" t="n">
        <f aca="false">SUM(C30:F30)</f>
        <v>1193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0" t="s">
        <v>25</v>
      </c>
      <c r="C31" s="13" t="n">
        <f aca="false">SUMIFS(Datos!$M$2:$M$319,Datos!$D$2:$D$319,$B31,Datos!$A$2:$A$319,"Enero")</f>
        <v>489</v>
      </c>
      <c r="D31" s="13" t="n">
        <f aca="false">SUMIFS(Datos!$M$2:$M$319,Datos!$D$2:$D$319,$B31,Datos!$A$2:$A$319,"Mayo")</f>
        <v>76</v>
      </c>
      <c r="E31" s="13" t="n">
        <f aca="false">SUMIFS(Datos!$M$2:$M$319,Datos!$D$2:$D$319,$B31,Datos!$A$2:$A$319,"Junio")</f>
        <v>125</v>
      </c>
      <c r="F31" s="13" t="n">
        <f aca="false">SUMIFS(Datos!$M$2:$M$319,Datos!$D$2:$D$319,$B31,Datos!$A$2:$A$319,"Julio")</f>
        <v>183</v>
      </c>
      <c r="G31" s="11" t="n">
        <f aca="false">SUM(C31:F31)</f>
        <v>873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0" t="s">
        <v>26</v>
      </c>
      <c r="C32" s="13" t="n">
        <f aca="false">SUMIFS(Datos!$M$2:$M$319,Datos!$D$2:$D$319,$B32,Datos!$A$2:$A$319,"Enero")</f>
        <v>154</v>
      </c>
      <c r="D32" s="13" t="n">
        <f aca="false">SUMIFS(Datos!$M$2:$M$319,Datos!$D$2:$D$319,$B32,Datos!$A$2:$A$319,"Mayo")</f>
        <v>26</v>
      </c>
      <c r="E32" s="13" t="n">
        <f aca="false">SUMIFS(Datos!$M$2:$M$319,Datos!$D$2:$D$319,$B32,Datos!$A$2:$A$319,"Junio")</f>
        <v>270</v>
      </c>
      <c r="F32" s="13" t="n">
        <f aca="false">SUMIFS(Datos!$M$2:$M$319,Datos!$D$2:$D$319,$B32,Datos!$A$2:$A$319,"Julio")</f>
        <v>312</v>
      </c>
      <c r="G32" s="11" t="n">
        <f aca="false">SUM(C32:F32)</f>
        <v>762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0" t="s">
        <v>27</v>
      </c>
      <c r="C33" s="13" t="n">
        <f aca="false">SUMIFS(Datos!$M$2:$M$319,Datos!$D$2:$D$319,$B33,Datos!$A$2:$A$319,"Enero")</f>
        <v>334</v>
      </c>
      <c r="D33" s="13" t="n">
        <f aca="false">SUMIFS(Datos!$M$2:$M$319,Datos!$D$2:$D$319,$B33,Datos!$A$2:$A$319,"Mayo")</f>
        <v>0</v>
      </c>
      <c r="E33" s="13" t="n">
        <f aca="false">SUMIFS(Datos!$M$2:$M$319,Datos!$D$2:$D$319,$B33,Datos!$A$2:$A$319,"Junio")</f>
        <v>241</v>
      </c>
      <c r="F33" s="13" t="n">
        <f aca="false">SUMIFS(Datos!$M$2:$M$319,Datos!$D$2:$D$319,$B33,Datos!$A$2:$A$319,"Julio")</f>
        <v>76</v>
      </c>
      <c r="G33" s="11" t="n">
        <f aca="false">SUM(C33:F33)</f>
        <v>651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0" t="s">
        <v>28</v>
      </c>
      <c r="C34" s="13" t="n">
        <f aca="false">SUMIFS(Datos!$M$2:$M$319,Datos!$D$2:$D$319,$B34,Datos!$A$2:$A$319,"Enero")</f>
        <v>15</v>
      </c>
      <c r="D34" s="13" t="n">
        <f aca="false">SUMIFS(Datos!$M$2:$M$319,Datos!$D$2:$D$319,$B34,Datos!$A$2:$A$319,"Mayo")</f>
        <v>334</v>
      </c>
      <c r="E34" s="13" t="n">
        <f aca="false">SUMIFS(Datos!$M$2:$M$319,Datos!$D$2:$D$319,$B34,Datos!$A$2:$A$319,"Junio")</f>
        <v>21</v>
      </c>
      <c r="F34" s="13" t="n">
        <f aca="false">SUMIFS(Datos!$M$2:$M$319,Datos!$D$2:$D$319,$B34,Datos!$A$2:$A$319,"Julio")</f>
        <v>25</v>
      </c>
      <c r="G34" s="11" t="n">
        <f aca="false">SUM(C34:F34)</f>
        <v>395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0" t="s">
        <v>29</v>
      </c>
      <c r="C35" s="13" t="n">
        <f aca="false">SUMIFS(Datos!$M$2:$M$319,Datos!$D$2:$D$319,$B35,Datos!$A$2:$A$319,"Enero")</f>
        <v>12</v>
      </c>
      <c r="D35" s="13" t="n">
        <f aca="false">SUMIFS(Datos!$M$2:$M$319,Datos!$D$2:$D$319,$B35,Datos!$A$2:$A$319,"Mayo")</f>
        <v>78</v>
      </c>
      <c r="E35" s="13" t="n">
        <f aca="false">SUMIFS(Datos!$M$2:$M$319,Datos!$D$2:$D$319,$B35,Datos!$A$2:$A$319,"Junio")</f>
        <v>245</v>
      </c>
      <c r="F35" s="13" t="n">
        <f aca="false">SUMIFS(Datos!$M$2:$M$319,Datos!$D$2:$D$319,$B35,Datos!$A$2:$A$319,"Julio")</f>
        <v>0</v>
      </c>
      <c r="G35" s="11" t="n">
        <f aca="false">SUM(C35:F35)</f>
        <v>335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0" t="s">
        <v>30</v>
      </c>
      <c r="C36" s="13" t="n">
        <f aca="false">SUMIFS(Datos!$M$2:$M$319,Datos!$D$2:$D$319,$B36,Datos!$A$2:$A$319,"Enero")</f>
        <v>0</v>
      </c>
      <c r="D36" s="13" t="n">
        <f aca="false">SUMIFS(Datos!$M$2:$M$319,Datos!$D$2:$D$319,$B36,Datos!$A$2:$A$319,"Mayo")</f>
        <v>0</v>
      </c>
      <c r="E36" s="13" t="n">
        <f aca="false">SUMIFS(Datos!$M$2:$M$319,Datos!$D$2:$D$319,$B36,Datos!$A$2:$A$319,"Junio")</f>
        <v>42</v>
      </c>
      <c r="F36" s="13" t="n">
        <f aca="false">SUMIFS(Datos!$M$2:$M$319,Datos!$D$2:$D$319,$B36,Datos!$A$2:$A$319,"Julio")</f>
        <v>0</v>
      </c>
      <c r="G36" s="11" t="n">
        <f aca="false">SUM(C36:F36)</f>
        <v>42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8" t="s">
        <v>31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true" outlineLevel="0" collapsed="false">
      <c r="A41" s="1"/>
      <c r="B41" s="9" t="s">
        <v>32</v>
      </c>
      <c r="C41" s="9"/>
      <c r="D41" s="9" t="s">
        <v>10</v>
      </c>
      <c r="E41" s="9" t="s">
        <v>11</v>
      </c>
      <c r="F41" s="9" t="s">
        <v>33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0" t="s">
        <v>34</v>
      </c>
      <c r="C42" s="10"/>
      <c r="D42" s="11" t="n">
        <f aca="false">COUNTIFS(Datos!$H$2:$H$319,B42)</f>
        <v>124</v>
      </c>
      <c r="E42" s="11" t="n">
        <f aca="false">SUMIFS(Datos!$M$2:$M$319,Datos!$H$2:$H$319,B42)</f>
        <v>4798</v>
      </c>
      <c r="F42" s="14" t="n">
        <f aca="false">E42/SUM(Datos!$M$2:$M$319)</f>
        <v>0.399899983330555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0" t="s">
        <v>35</v>
      </c>
      <c r="C43" s="10"/>
      <c r="D43" s="11" t="n">
        <f aca="false">COUNTIFS(Datos!$H$2:$H$319,B43)</f>
        <v>28</v>
      </c>
      <c r="E43" s="11" t="n">
        <f aca="false">SUMIFS(Datos!$M$2:$M$319,Datos!$H$2:$H$319,B43)</f>
        <v>1417</v>
      </c>
      <c r="F43" s="14" t="n">
        <f aca="false">E43/SUM(Datos!$M$2:$M$319)</f>
        <v>0.118103017169528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0" t="s">
        <v>36</v>
      </c>
      <c r="C44" s="10"/>
      <c r="D44" s="11" t="n">
        <f aca="false">COUNTIFS(Datos!$H$2:$H$319,B44)</f>
        <v>15</v>
      </c>
      <c r="E44" s="11" t="n">
        <f aca="false">SUMIFS(Datos!$M$2:$M$319,Datos!$H$2:$H$319,B44)</f>
        <v>772</v>
      </c>
      <c r="F44" s="14" t="n">
        <f aca="false">E44/SUM(Datos!$M$2:$M$319)</f>
        <v>0.0643440573428905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0" t="s">
        <v>37</v>
      </c>
      <c r="C45" s="10"/>
      <c r="D45" s="11" t="n">
        <f aca="false">COUNTIFS(Datos!$H$2:$H$319,B45)</f>
        <v>12</v>
      </c>
      <c r="E45" s="11" t="n">
        <f aca="false">SUMIFS(Datos!$M$2:$M$319,Datos!$H$2:$H$319,B45)</f>
        <v>581</v>
      </c>
      <c r="F45" s="14" t="n">
        <f aca="false">E45/SUM(Datos!$M$2:$M$319)</f>
        <v>0.0484247374562427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0" t="s">
        <v>38</v>
      </c>
      <c r="C46" s="10"/>
      <c r="D46" s="11" t="n">
        <f aca="false">COUNTIFS(Datos!$H$2:$H$319,B46)</f>
        <v>11</v>
      </c>
      <c r="E46" s="11" t="n">
        <f aca="false">SUMIFS(Datos!$M$2:$M$319,Datos!$H$2:$H$319,B46)</f>
        <v>537</v>
      </c>
      <c r="F46" s="14" t="n">
        <f aca="false">E46/SUM(Datos!$M$2:$M$319)</f>
        <v>0.0447574595765961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0" t="s">
        <v>39</v>
      </c>
      <c r="C47" s="10"/>
      <c r="D47" s="11" t="n">
        <f aca="false">COUNTIFS(Datos!$H$2:$H$319,B47)</f>
        <v>15</v>
      </c>
      <c r="E47" s="11" t="n">
        <f aca="false">SUMIFS(Datos!$M$2:$M$319,Datos!$H$2:$H$319,B47)</f>
        <v>486</v>
      </c>
      <c r="F47" s="14" t="n">
        <f aca="false">E47/SUM(Datos!$M$2:$M$319)</f>
        <v>0.0405067511251875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0" t="s">
        <v>40</v>
      </c>
      <c r="C48" s="10"/>
      <c r="D48" s="11" t="n">
        <f aca="false">COUNTIFS(Datos!$H$2:$H$319,B48)</f>
        <v>13</v>
      </c>
      <c r="E48" s="11" t="n">
        <f aca="false">SUMIFS(Datos!$M$2:$M$319,Datos!$H$2:$H$319,B48)</f>
        <v>363</v>
      </c>
      <c r="F48" s="14" t="n">
        <f aca="false">E48/SUM(Datos!$M$2:$M$319)</f>
        <v>0.0302550425070845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0" t="s">
        <v>41</v>
      </c>
      <c r="C49" s="10"/>
      <c r="D49" s="11" t="n">
        <f aca="false">COUNTIFS(Datos!$H$2:$H$319,B49)</f>
        <v>8</v>
      </c>
      <c r="E49" s="11" t="n">
        <f aca="false">SUMIFS(Datos!$M$2:$M$319,Datos!$H$2:$H$319,B49)</f>
        <v>324</v>
      </c>
      <c r="F49" s="14" t="n">
        <f aca="false">E49/SUM(Datos!$M$2:$M$319)</f>
        <v>0.027004500750125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0" t="s">
        <v>42</v>
      </c>
      <c r="C50" s="10"/>
      <c r="D50" s="11" t="n">
        <f aca="false">COUNTIFS(Datos!$H$2:$H$319,B50)</f>
        <v>10</v>
      </c>
      <c r="E50" s="11" t="n">
        <f aca="false">SUMIFS(Datos!$M$2:$M$319,Datos!$H$2:$H$319,B50)</f>
        <v>307</v>
      </c>
      <c r="F50" s="14" t="n">
        <f aca="false">E50/SUM(Datos!$M$2:$M$319)</f>
        <v>0.0255875979329888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0" t="s">
        <v>43</v>
      </c>
      <c r="C51" s="10"/>
      <c r="D51" s="11" t="n">
        <f aca="false">COUNTIFS(Datos!$H$2:$H$319,B51)</f>
        <v>12</v>
      </c>
      <c r="E51" s="11" t="n">
        <f aca="false">SUMIFS(Datos!$M$2:$M$319,Datos!$H$2:$H$319,B51)</f>
        <v>269</v>
      </c>
      <c r="F51" s="14" t="n">
        <f aca="false">E51/SUM(Datos!$M$2:$M$319)</f>
        <v>0.0224204034005668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8" t="s">
        <v>44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true" outlineLevel="0" collapsed="false">
      <c r="A58" s="1"/>
      <c r="B58" s="9" t="s">
        <v>9</v>
      </c>
      <c r="C58" s="9" t="s">
        <v>45</v>
      </c>
      <c r="D58" s="9" t="s">
        <v>46</v>
      </c>
      <c r="E58" s="9" t="s">
        <v>18</v>
      </c>
      <c r="F58" s="9" t="s">
        <v>32</v>
      </c>
      <c r="G58" s="9"/>
      <c r="H58" s="9" t="s">
        <v>11</v>
      </c>
      <c r="I58" s="9" t="s">
        <v>47</v>
      </c>
      <c r="J58" s="9"/>
      <c r="K58" s="9"/>
      <c r="L58" s="9"/>
      <c r="M58" s="9"/>
      <c r="N58" s="9"/>
      <c r="O58" s="9"/>
      <c r="P58" s="9"/>
      <c r="Q58" s="9"/>
      <c r="R58" s="9"/>
    </row>
    <row r="59" customFormat="false" ht="30" hidden="false" customHeight="true" outlineLevel="0" collapsed="false">
      <c r="A59" s="1"/>
      <c r="B59" s="15" t="s">
        <v>13</v>
      </c>
      <c r="C59" s="16" t="n">
        <f aca="false">'Top 3 por mes'!B6</f>
        <v>1</v>
      </c>
      <c r="D59" s="17" t="n">
        <f aca="false">'Top 3 por mes'!C6</f>
        <v>46035</v>
      </c>
      <c r="E59" s="10" t="str">
        <f aca="false">'Top 3 por mes'!D6</f>
        <v>LINEA 18</v>
      </c>
      <c r="F59" s="10" t="str">
        <f aca="false">'Top 3 por mes'!E6</f>
        <v>LLENADORA</v>
      </c>
      <c r="G59" s="10"/>
      <c r="H59" s="11" t="n">
        <f aca="false">'Top 3 por mes'!G6</f>
        <v>480</v>
      </c>
      <c r="I59" s="18" t="str">
        <f aca="false">'Top 3 por mes'!J6</f>
        <v>Arranque con acompañamiento de proyectos</v>
      </c>
      <c r="J59" s="18"/>
      <c r="K59" s="18"/>
      <c r="L59" s="18"/>
      <c r="M59" s="18"/>
      <c r="N59" s="18"/>
      <c r="O59" s="18"/>
      <c r="P59" s="18"/>
      <c r="Q59" s="18"/>
      <c r="R59" s="18"/>
    </row>
    <row r="60" customFormat="false" ht="30" hidden="false" customHeight="true" outlineLevel="0" collapsed="false">
      <c r="A60" s="1"/>
      <c r="B60" s="15"/>
      <c r="C60" s="16" t="n">
        <f aca="false">'Top 3 por mes'!B7</f>
        <v>2</v>
      </c>
      <c r="D60" s="17" t="n">
        <f aca="false">'Top 3 por mes'!C7</f>
        <v>46048</v>
      </c>
      <c r="E60" s="10" t="str">
        <f aca="false">'Top 3 por mes'!D7</f>
        <v>LINEA 22</v>
      </c>
      <c r="F60" s="10" t="str">
        <f aca="false">'Top 3 por mes'!E7</f>
        <v>MORDAZA VERTICAL</v>
      </c>
      <c r="G60" s="10"/>
      <c r="H60" s="11" t="n">
        <f aca="false">'Top 3 por mes'!G7</f>
        <v>200</v>
      </c>
      <c r="I60" s="18" t="str">
        <f aca="false">'Top 3 por mes'!J7</f>
        <v>Daño en motor de placa mordazas / Daño en tarjeta motos correccion de placa mordazas / Daño tarjeta correccion placa mordazas</v>
      </c>
      <c r="J60" s="18"/>
      <c r="K60" s="18"/>
      <c r="L60" s="18"/>
      <c r="M60" s="18"/>
      <c r="N60" s="18"/>
      <c r="O60" s="18"/>
      <c r="P60" s="18"/>
      <c r="Q60" s="18"/>
      <c r="R60" s="18"/>
    </row>
    <row r="61" customFormat="false" ht="30" hidden="false" customHeight="true" outlineLevel="0" collapsed="false">
      <c r="A61" s="1"/>
      <c r="B61" s="15"/>
      <c r="C61" s="16" t="n">
        <f aca="false">'Top 3 por mes'!B8</f>
        <v>3</v>
      </c>
      <c r="D61" s="17" t="n">
        <f aca="false">'Top 3 por mes'!C8</f>
        <v>46024</v>
      </c>
      <c r="E61" s="10" t="str">
        <f aca="false">'Top 3 por mes'!D8</f>
        <v>LINEA 22</v>
      </c>
      <c r="F61" s="10" t="str">
        <f aca="false">'Top 3 por mes'!E8</f>
        <v>ENCINTADORA</v>
      </c>
      <c r="G61" s="10"/>
      <c r="H61" s="11" t="n">
        <f aca="false">'Top 3 por mes'!G8</f>
        <v>180</v>
      </c>
      <c r="I61" s="18" t="str">
        <f aca="false">'Top 3 por mes'!J8</f>
        <v>Cambio de moto reductor banda entrada encintadora</v>
      </c>
      <c r="J61" s="18"/>
      <c r="K61" s="18"/>
      <c r="L61" s="18"/>
      <c r="M61" s="18"/>
      <c r="N61" s="18"/>
      <c r="O61" s="18"/>
      <c r="P61" s="18"/>
      <c r="Q61" s="18"/>
      <c r="R61" s="18"/>
    </row>
    <row r="62" customFormat="false" ht="30" hidden="false" customHeight="true" outlineLevel="0" collapsed="false">
      <c r="A62" s="1"/>
      <c r="B62" s="19" t="s">
        <v>14</v>
      </c>
      <c r="C62" s="20" t="n">
        <f aca="false">'Top 3 por mes'!B12</f>
        <v>1</v>
      </c>
      <c r="D62" s="21" t="n">
        <f aca="false">'Top 3 por mes'!C12</f>
        <v>46164</v>
      </c>
      <c r="E62" s="22" t="str">
        <f aca="false">'Top 3 por mes'!D12</f>
        <v>LINEA 16</v>
      </c>
      <c r="F62" s="22" t="str">
        <f aca="false">'Top 3 por mes'!E12</f>
        <v>SERVO MOTOR</v>
      </c>
      <c r="G62" s="22"/>
      <c r="H62" s="23" t="n">
        <f aca="false">'Top 3 por mes'!G12</f>
        <v>420</v>
      </c>
      <c r="I62" s="24" t="str">
        <f aca="false">'Top 3 por mes'!J12</f>
        <v>(sin observación)</v>
      </c>
      <c r="J62" s="24"/>
      <c r="K62" s="24"/>
      <c r="L62" s="24"/>
      <c r="M62" s="24"/>
      <c r="N62" s="24"/>
      <c r="O62" s="24"/>
      <c r="P62" s="24"/>
      <c r="Q62" s="24"/>
      <c r="R62" s="24"/>
    </row>
    <row r="63" customFormat="false" ht="30" hidden="false" customHeight="true" outlineLevel="0" collapsed="false">
      <c r="A63" s="1"/>
      <c r="B63" s="19"/>
      <c r="C63" s="20" t="n">
        <f aca="false">'Top 3 por mes'!B13</f>
        <v>2</v>
      </c>
      <c r="D63" s="21" t="n">
        <f aca="false">'Top 3 por mes'!C13</f>
        <v>46165</v>
      </c>
      <c r="E63" s="22" t="str">
        <f aca="false">'Top 3 por mes'!D13</f>
        <v>LINEA 16</v>
      </c>
      <c r="F63" s="22" t="str">
        <f aca="false">'Top 3 por mes'!E13</f>
        <v>SERVO MOTOR</v>
      </c>
      <c r="G63" s="22"/>
      <c r="H63" s="23" t="n">
        <f aca="false">'Top 3 por mes'!G13</f>
        <v>400</v>
      </c>
      <c r="I63" s="24" t="str">
        <f aca="false">'Top 3 por mes'!J13</f>
        <v>falla en servo</v>
      </c>
      <c r="J63" s="24"/>
      <c r="K63" s="24"/>
      <c r="L63" s="24"/>
      <c r="M63" s="24"/>
      <c r="N63" s="24"/>
      <c r="O63" s="24"/>
      <c r="P63" s="24"/>
      <c r="Q63" s="24"/>
      <c r="R63" s="24"/>
    </row>
    <row r="64" customFormat="false" ht="30" hidden="false" customHeight="true" outlineLevel="0" collapsed="false">
      <c r="A64" s="1"/>
      <c r="B64" s="19"/>
      <c r="C64" s="20" t="n">
        <f aca="false">'Top 3 por mes'!B14</f>
        <v>3</v>
      </c>
      <c r="D64" s="21" t="n">
        <f aca="false">'Top 3 por mes'!C14</f>
        <v>46158</v>
      </c>
      <c r="E64" s="22" t="str">
        <f aca="false">'Top 3 por mes'!D14</f>
        <v>LINEA 16</v>
      </c>
      <c r="F64" s="22" t="str">
        <f aca="false">'Top 3 por mes'!E14</f>
        <v>LLENADORA</v>
      </c>
      <c r="G64" s="22"/>
      <c r="H64" s="23" t="n">
        <f aca="false">'Top 3 por mes'!G14</f>
        <v>348</v>
      </c>
      <c r="I64" s="24" t="str">
        <f aca="false">'Top 3 por mes'!J14</f>
        <v>falla encoder / encoder / ender</v>
      </c>
      <c r="J64" s="24"/>
      <c r="K64" s="24"/>
      <c r="L64" s="24"/>
      <c r="M64" s="24"/>
      <c r="N64" s="24"/>
      <c r="O64" s="24"/>
      <c r="P64" s="24"/>
      <c r="Q64" s="24"/>
      <c r="R64" s="24"/>
    </row>
    <row r="65" customFormat="false" ht="30" hidden="false" customHeight="true" outlineLevel="0" collapsed="false">
      <c r="A65" s="1"/>
      <c r="B65" s="15" t="s">
        <v>15</v>
      </c>
      <c r="C65" s="16" t="n">
        <f aca="false">'Top 3 por mes'!B18</f>
        <v>1</v>
      </c>
      <c r="D65" s="17" t="n">
        <f aca="false">'Top 3 por mes'!C18</f>
        <v>46184</v>
      </c>
      <c r="E65" s="10" t="str">
        <f aca="false">'Top 3 por mes'!D18</f>
        <v>LINEA 10</v>
      </c>
      <c r="F65" s="10" t="str">
        <f aca="false">'Top 3 por mes'!E18</f>
        <v>BANDA TRANSPORTADORA</v>
      </c>
      <c r="G65" s="10"/>
      <c r="H65" s="11" t="n">
        <f aca="false">'Top 3 por mes'!G18</f>
        <v>440</v>
      </c>
      <c r="I65" s="18" t="str">
        <f aca="false">'Top 3 por mes'!J18</f>
        <v>intervencion bandas.</v>
      </c>
      <c r="J65" s="18"/>
      <c r="K65" s="18"/>
      <c r="L65" s="18"/>
      <c r="M65" s="18"/>
      <c r="N65" s="18"/>
      <c r="O65" s="18"/>
      <c r="P65" s="18"/>
      <c r="Q65" s="18"/>
      <c r="R65" s="18"/>
    </row>
    <row r="66" customFormat="false" ht="30" hidden="false" customHeight="true" outlineLevel="0" collapsed="false">
      <c r="A66" s="1"/>
      <c r="B66" s="15"/>
      <c r="C66" s="16" t="n">
        <f aca="false">'Top 3 por mes'!B19</f>
        <v>2</v>
      </c>
      <c r="D66" s="17" t="n">
        <f aca="false">'Top 3 por mes'!C19</f>
        <v>46193</v>
      </c>
      <c r="E66" s="10" t="str">
        <f aca="false">'Top 3 por mes'!D19</f>
        <v>LINEA 16</v>
      </c>
      <c r="F66" s="10" t="str">
        <f aca="false">'Top 3 por mes'!E19</f>
        <v>LLENADORA</v>
      </c>
      <c r="G66" s="10"/>
      <c r="H66" s="11" t="n">
        <f aca="false">'Top 3 por mes'!G19</f>
        <v>334</v>
      </c>
      <c r="I66" s="18" t="str">
        <f aca="false">'Top 3 por mes'!J19</f>
        <v>falla de arrastre / faklla de arrastre</v>
      </c>
      <c r="J66" s="18"/>
      <c r="K66" s="18"/>
      <c r="L66" s="18"/>
      <c r="M66" s="18"/>
      <c r="N66" s="18"/>
      <c r="O66" s="18"/>
      <c r="P66" s="18"/>
      <c r="Q66" s="18"/>
      <c r="R66" s="18"/>
    </row>
    <row r="67" customFormat="false" ht="30" hidden="false" customHeight="true" outlineLevel="0" collapsed="false">
      <c r="A67" s="1"/>
      <c r="B67" s="15"/>
      <c r="C67" s="16" t="n">
        <f aca="false">'Top 3 por mes'!B20</f>
        <v>3</v>
      </c>
      <c r="D67" s="17" t="n">
        <f aca="false">'Top 3 por mes'!C20</f>
        <v>46198</v>
      </c>
      <c r="E67" s="10" t="str">
        <f aca="false">'Top 3 por mes'!D20</f>
        <v>LINEA 20</v>
      </c>
      <c r="F67" s="10" t="str">
        <f aca="false">'Top 3 por mes'!E20</f>
        <v>LLENADORA</v>
      </c>
      <c r="G67" s="10"/>
      <c r="H67" s="11" t="n">
        <f aca="false">'Top 3 por mes'!G20</f>
        <v>230</v>
      </c>
      <c r="I67" s="18" t="str">
        <f aca="false">'Top 3 por mes'!J20</f>
        <v>falla electrica / ajuste de rif por falta de tencion en el laminado / falla variador desbobinador zipper / falla de varioador desbobinador zipper</v>
      </c>
      <c r="J67" s="18"/>
      <c r="K67" s="18"/>
      <c r="L67" s="18"/>
      <c r="M67" s="18"/>
      <c r="N67" s="18"/>
      <c r="O67" s="18"/>
      <c r="P67" s="18"/>
      <c r="Q67" s="18"/>
      <c r="R67" s="18"/>
    </row>
    <row r="68" customFormat="false" ht="30" hidden="false" customHeight="true" outlineLevel="0" collapsed="false">
      <c r="A68" s="1"/>
      <c r="B68" s="19" t="s">
        <v>16</v>
      </c>
      <c r="C68" s="20" t="n">
        <f aca="false">'Top 3 por mes'!B24</f>
        <v>1</v>
      </c>
      <c r="D68" s="21" t="n">
        <f aca="false">'Top 3 por mes'!C24</f>
        <v>46231</v>
      </c>
      <c r="E68" s="22" t="str">
        <f aca="false">'Top 3 por mes'!D24</f>
        <v>LINEA 20</v>
      </c>
      <c r="F68" s="22" t="str">
        <f aca="false">'Top 3 por mes'!E24</f>
        <v>LLENADORA</v>
      </c>
      <c r="G68" s="22"/>
      <c r="H68" s="23" t="n">
        <f aca="false">'Top 3 por mes'!G24</f>
        <v>270</v>
      </c>
      <c r="I68" s="24" t="str">
        <f aca="false">'Top 3 por mes'!J24</f>
        <v>Lado izquierdo de tolva tapado. / Lado izquierdo de tolva tapado</v>
      </c>
      <c r="J68" s="24"/>
      <c r="K68" s="24"/>
      <c r="L68" s="24"/>
      <c r="M68" s="24"/>
      <c r="N68" s="24"/>
      <c r="O68" s="24"/>
      <c r="P68" s="24"/>
      <c r="Q68" s="24"/>
      <c r="R68" s="24"/>
    </row>
    <row r="69" customFormat="false" ht="30" hidden="false" customHeight="true" outlineLevel="0" collapsed="false">
      <c r="A69" s="1"/>
      <c r="B69" s="19"/>
      <c r="C69" s="20" t="n">
        <f aca="false">'Top 3 por mes'!B25</f>
        <v>2</v>
      </c>
      <c r="D69" s="21" t="n">
        <f aca="false">'Top 3 por mes'!C25</f>
        <v>46218</v>
      </c>
      <c r="E69" s="22" t="str">
        <f aca="false">'Top 3 por mes'!D25</f>
        <v>LINEA 14</v>
      </c>
      <c r="F69" s="22" t="str">
        <f aca="false">'Top 3 por mes'!E25</f>
        <v>LLENADORA</v>
      </c>
      <c r="G69" s="22"/>
      <c r="H69" s="23" t="n">
        <f aca="false">'Top 3 por mes'!G25</f>
        <v>191</v>
      </c>
      <c r="I69" s="24" t="str">
        <f aca="false">'Top 3 por mes'!J25</f>
        <v>Falla en Clapet / Cambio de cilindro Clapet tapón</v>
      </c>
      <c r="J69" s="24"/>
      <c r="K69" s="24"/>
      <c r="L69" s="24"/>
      <c r="M69" s="24"/>
      <c r="N69" s="24"/>
      <c r="O69" s="24"/>
      <c r="P69" s="24"/>
      <c r="Q69" s="24"/>
      <c r="R69" s="24"/>
    </row>
    <row r="70" customFormat="false" ht="30" hidden="false" customHeight="true" outlineLevel="0" collapsed="false">
      <c r="A70" s="1"/>
      <c r="B70" s="19"/>
      <c r="C70" s="20" t="n">
        <f aca="false">'Top 3 por mes'!B26</f>
        <v>3</v>
      </c>
      <c r="D70" s="21" t="n">
        <f aca="false">'Top 3 por mes'!C26</f>
        <v>46207</v>
      </c>
      <c r="E70" s="22" t="str">
        <f aca="false">'Top 3 por mes'!D26</f>
        <v>LINEA 02</v>
      </c>
      <c r="F70" s="22" t="str">
        <f aca="false">'Top 3 por mes'!E26</f>
        <v>EHS</v>
      </c>
      <c r="G70" s="22"/>
      <c r="H70" s="23" t="n">
        <f aca="false">'Top 3 por mes'!G26</f>
        <v>90</v>
      </c>
      <c r="I70" s="24" t="str">
        <f aca="false">'Top 3 por mes'!J26</f>
        <v>se espera la siso para para protocolos de intervencion trabajo en caliente / intervencion en caliente</v>
      </c>
      <c r="J70" s="24"/>
      <c r="K70" s="24"/>
      <c r="L70" s="24"/>
      <c r="M70" s="24"/>
      <c r="N70" s="24"/>
      <c r="O70" s="24"/>
      <c r="P70" s="24"/>
      <c r="Q70" s="24"/>
      <c r="R70" s="24"/>
    </row>
    <row r="71" customFormat="false" ht="30" hidden="false" customHeight="true" outlineLevel="0" collapsed="false">
      <c r="A71" s="1"/>
      <c r="B71" s="19"/>
      <c r="C71" s="20" t="n">
        <f aca="false">'Top 3 por mes'!B27</f>
        <v>3</v>
      </c>
      <c r="D71" s="21" t="n">
        <f aca="false">'Top 3 por mes'!C27</f>
        <v>46209</v>
      </c>
      <c r="E71" s="22" t="str">
        <f aca="false">'Top 3 por mes'!D27</f>
        <v>LINEA 14</v>
      </c>
      <c r="F71" s="22" t="str">
        <f aca="false">'Top 3 por mes'!E27</f>
        <v>ALIMENTADOR TAPON</v>
      </c>
      <c r="G71" s="22"/>
      <c r="H71" s="23" t="n">
        <f aca="false">'Top 3 por mes'!G27</f>
        <v>90</v>
      </c>
      <c r="I71" s="24" t="str">
        <f aca="false">'Top 3 por mes'!J27</f>
        <v>se realiza montaje del clapet y ajuste de tiempos de sincronismo / se rectifica rosca de cilindro de la pinza de sujeccion tapon</v>
      </c>
      <c r="J71" s="24"/>
      <c r="K71" s="24"/>
      <c r="L71" s="24"/>
      <c r="M71" s="24"/>
      <c r="N71" s="24"/>
      <c r="O71" s="24"/>
      <c r="P71" s="24"/>
      <c r="Q71" s="24"/>
      <c r="R71" s="24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5" hidden="false" customHeight="false" outlineLevel="0" collapsed="false">
      <c r="A73" s="1"/>
      <c r="B73" s="8" t="s">
        <v>48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27.75" hidden="false" customHeight="true" outlineLevel="0" collapsed="false">
      <c r="A74" s="1"/>
      <c r="B74" s="25" t="s">
        <v>49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customFormat="false" ht="27.75" hidden="false" customHeight="true" outlineLevel="0" collapsed="false">
      <c r="A75" s="1"/>
      <c r="B75" s="25" t="s">
        <v>50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customFormat="false" ht="27.75" hidden="false" customHeight="true" outlineLevel="0" collapsed="false">
      <c r="A76" s="1"/>
      <c r="B76" s="25" t="s">
        <v>51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customFormat="false" ht="27.75" hidden="false" customHeight="true" outlineLevel="0" collapsed="false">
      <c r="A77" s="1"/>
      <c r="B77" s="25" t="s">
        <v>52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customFormat="false" ht="27.75" hidden="false" customHeight="true" outlineLevel="0" collapsed="false">
      <c r="A78" s="1"/>
      <c r="B78" s="25" t="s">
        <v>53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</sheetData>
  <mergeCells count="56">
    <mergeCell ref="B4:C4"/>
    <mergeCell ref="E4:F4"/>
    <mergeCell ref="H4:I4"/>
    <mergeCell ref="K4:L4"/>
    <mergeCell ref="N4:O4"/>
    <mergeCell ref="Q4:R4"/>
    <mergeCell ref="B5:C6"/>
    <mergeCell ref="E5:F6"/>
    <mergeCell ref="H5:I6"/>
    <mergeCell ref="K5:L6"/>
    <mergeCell ref="N5:O6"/>
    <mergeCell ref="Q5:R6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F58:G58"/>
    <mergeCell ref="I58:R58"/>
    <mergeCell ref="F59:G59"/>
    <mergeCell ref="I59:R59"/>
    <mergeCell ref="F60:G60"/>
    <mergeCell ref="I60:R60"/>
    <mergeCell ref="F61:G61"/>
    <mergeCell ref="I61:R61"/>
    <mergeCell ref="F62:G62"/>
    <mergeCell ref="I62:R62"/>
    <mergeCell ref="F63:G63"/>
    <mergeCell ref="I63:R63"/>
    <mergeCell ref="F64:G64"/>
    <mergeCell ref="I64:R64"/>
    <mergeCell ref="F65:G65"/>
    <mergeCell ref="I65:R65"/>
    <mergeCell ref="F66:G66"/>
    <mergeCell ref="I66:R66"/>
    <mergeCell ref="F67:G67"/>
    <mergeCell ref="I67:R67"/>
    <mergeCell ref="F68:G68"/>
    <mergeCell ref="I68:R68"/>
    <mergeCell ref="F69:G69"/>
    <mergeCell ref="I69:R69"/>
    <mergeCell ref="F70:G70"/>
    <mergeCell ref="I70:R70"/>
    <mergeCell ref="F71:G71"/>
    <mergeCell ref="I71:R71"/>
    <mergeCell ref="B74:R74"/>
    <mergeCell ref="B75:R75"/>
    <mergeCell ref="B76:R76"/>
    <mergeCell ref="B77:R77"/>
    <mergeCell ref="B78:R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4"/>
    <col collapsed="false" customWidth="true" hidden="false" outlineLevel="0" max="10" min="10" style="0" width="22"/>
    <col collapsed="false" customWidth="true" hidden="false" outlineLevel="0" max="11" min="11" style="0" width="34"/>
  </cols>
  <sheetData>
    <row r="1" customFormat="false" ht="19.7" hidden="false" customHeight="false" outlineLevel="0" collapsed="false">
      <c r="A1" s="1"/>
      <c r="B1" s="26" t="s">
        <v>54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3" t="s">
        <v>55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0" hidden="false" customHeight="true" outlineLevel="0" collapsed="false">
      <c r="A4" s="1"/>
      <c r="B4" s="9" t="s">
        <v>45</v>
      </c>
      <c r="C4" s="9" t="s">
        <v>56</v>
      </c>
      <c r="D4" s="9" t="s">
        <v>57</v>
      </c>
      <c r="E4" s="9" t="s">
        <v>11</v>
      </c>
      <c r="F4" s="9" t="s">
        <v>12</v>
      </c>
      <c r="G4" s="9" t="s">
        <v>58</v>
      </c>
      <c r="H4" s="9" t="s">
        <v>59</v>
      </c>
      <c r="I4" s="9" t="s">
        <v>60</v>
      </c>
      <c r="J4" s="9" t="s">
        <v>61</v>
      </c>
      <c r="K4" s="9" t="s">
        <v>62</v>
      </c>
    </row>
    <row r="5" customFormat="false" ht="23.85" hidden="false" customHeight="false" outlineLevel="0" collapsed="false">
      <c r="A5" s="1"/>
      <c r="B5" s="27" t="n">
        <v>1</v>
      </c>
      <c r="C5" s="28" t="s">
        <v>63</v>
      </c>
      <c r="D5" s="28" t="n">
        <f aca="false">COUNTIFS(Datos!$S$2:$S$319,C5)</f>
        <v>54</v>
      </c>
      <c r="E5" s="29" t="n">
        <f aca="false">SUMIFS(Datos!$M$2:$M$319,Datos!$S$2:$S$319,C5)</f>
        <v>2844</v>
      </c>
      <c r="F5" s="30" t="n">
        <f aca="false">E5/60</f>
        <v>47.4</v>
      </c>
      <c r="G5" s="30" t="n">
        <f aca="false">IFERROR(E5/D5,0)</f>
        <v>52.6666666666667</v>
      </c>
      <c r="H5" s="27" t="n">
        <v>15</v>
      </c>
      <c r="I5" s="31" t="s">
        <v>64</v>
      </c>
      <c r="J5" s="31" t="s">
        <v>65</v>
      </c>
      <c r="K5" s="31" t="s">
        <v>66</v>
      </c>
    </row>
    <row r="6" customFormat="false" ht="23.85" hidden="false" customHeight="false" outlineLevel="0" collapsed="false">
      <c r="A6" s="1"/>
      <c r="B6" s="27" t="n">
        <v>2</v>
      </c>
      <c r="C6" s="28" t="s">
        <v>67</v>
      </c>
      <c r="D6" s="28" t="n">
        <f aca="false">COUNTIFS(Datos!$S$2:$S$319,C6)</f>
        <v>30</v>
      </c>
      <c r="E6" s="29" t="n">
        <f aca="false">SUMIFS(Datos!$M$2:$M$319,Datos!$S$2:$S$319,C6)</f>
        <v>1593</v>
      </c>
      <c r="F6" s="30" t="n">
        <f aca="false">E6/60</f>
        <v>26.55</v>
      </c>
      <c r="G6" s="30" t="n">
        <f aca="false">IFERROR(E6/D6,0)</f>
        <v>53.1</v>
      </c>
      <c r="H6" s="27" t="n">
        <v>18</v>
      </c>
      <c r="I6" s="31" t="s">
        <v>68</v>
      </c>
      <c r="J6" s="31" t="s">
        <v>65</v>
      </c>
      <c r="K6" s="31" t="s">
        <v>69</v>
      </c>
    </row>
    <row r="7" customFormat="false" ht="23.85" hidden="false" customHeight="false" outlineLevel="0" collapsed="false">
      <c r="A7" s="1"/>
      <c r="B7" s="27" t="n">
        <v>3</v>
      </c>
      <c r="C7" s="28" t="s">
        <v>70</v>
      </c>
      <c r="D7" s="28" t="n">
        <f aca="false">COUNTIFS(Datos!$S$2:$S$319,C7)</f>
        <v>23</v>
      </c>
      <c r="E7" s="29" t="n">
        <f aca="false">SUMIFS(Datos!$M$2:$M$319,Datos!$S$2:$S$319,C7)</f>
        <v>533</v>
      </c>
      <c r="F7" s="30" t="n">
        <f aca="false">E7/60</f>
        <v>8.88333333333333</v>
      </c>
      <c r="G7" s="30" t="n">
        <f aca="false">IFERROR(E7/D7,0)</f>
        <v>23.1739130434783</v>
      </c>
      <c r="H7" s="27" t="n">
        <v>14</v>
      </c>
      <c r="I7" s="31" t="s">
        <v>71</v>
      </c>
      <c r="J7" s="31" t="s">
        <v>65</v>
      </c>
      <c r="K7" s="31" t="s">
        <v>72</v>
      </c>
    </row>
    <row r="8" customFormat="false" ht="23.85" hidden="false" customHeight="false" outlineLevel="0" collapsed="false">
      <c r="A8" s="1"/>
      <c r="B8" s="27" t="n">
        <v>4</v>
      </c>
      <c r="C8" s="28" t="s">
        <v>73</v>
      </c>
      <c r="D8" s="28" t="n">
        <f aca="false">COUNTIFS(Datos!$S$2:$S$319,C8)</f>
        <v>20</v>
      </c>
      <c r="E8" s="29" t="n">
        <f aca="false">SUMIFS(Datos!$M$2:$M$319,Datos!$S$2:$S$319,C8)</f>
        <v>472</v>
      </c>
      <c r="F8" s="30" t="n">
        <f aca="false">E8/60</f>
        <v>7.86666666666667</v>
      </c>
      <c r="G8" s="30" t="n">
        <f aca="false">IFERROR(E8/D8,0)</f>
        <v>23.6</v>
      </c>
      <c r="H8" s="27" t="n">
        <v>8</v>
      </c>
      <c r="I8" s="31" t="s">
        <v>74</v>
      </c>
      <c r="J8" s="31" t="s">
        <v>65</v>
      </c>
      <c r="K8" s="31" t="s">
        <v>75</v>
      </c>
    </row>
    <row r="9" customFormat="false" ht="23.85" hidden="false" customHeight="false" outlineLevel="0" collapsed="false">
      <c r="A9" s="1"/>
      <c r="B9" s="27" t="n">
        <v>5</v>
      </c>
      <c r="C9" s="28" t="s">
        <v>76</v>
      </c>
      <c r="D9" s="28" t="n">
        <f aca="false">COUNTIFS(Datos!$S$2:$S$319,C9)</f>
        <v>19</v>
      </c>
      <c r="E9" s="29" t="n">
        <f aca="false">SUMIFS(Datos!$M$2:$M$319,Datos!$S$2:$S$319,C9)</f>
        <v>610</v>
      </c>
      <c r="F9" s="30" t="n">
        <f aca="false">E9/60</f>
        <v>10.1666666666667</v>
      </c>
      <c r="G9" s="30" t="n">
        <f aca="false">IFERROR(E9/D9,0)</f>
        <v>32.1052631578947</v>
      </c>
      <c r="H9" s="27" t="n">
        <v>14</v>
      </c>
      <c r="I9" s="31" t="s">
        <v>77</v>
      </c>
      <c r="J9" s="31" t="s">
        <v>65</v>
      </c>
      <c r="K9" s="31" t="s">
        <v>78</v>
      </c>
    </row>
    <row r="10" customFormat="false" ht="15" hidden="false" customHeight="false" outlineLevel="0" collapsed="false">
      <c r="A10" s="1"/>
      <c r="B10" s="10" t="n">
        <v>6</v>
      </c>
      <c r="C10" s="32" t="s">
        <v>79</v>
      </c>
      <c r="D10" s="32" t="n">
        <f aca="false">COUNTIFS(Datos!$S$2:$S$319,C10)</f>
        <v>17</v>
      </c>
      <c r="E10" s="11" t="n">
        <f aca="false">SUMIFS(Datos!$M$2:$M$319,Datos!$S$2:$S$319,C10)</f>
        <v>492</v>
      </c>
      <c r="F10" s="12" t="n">
        <f aca="false">E10/60</f>
        <v>8.2</v>
      </c>
      <c r="G10" s="12" t="n">
        <f aca="false">IFERROR(E10/D10,0)</f>
        <v>28.9411764705882</v>
      </c>
      <c r="H10" s="10" t="n">
        <v>9</v>
      </c>
      <c r="I10" s="18" t="s">
        <v>80</v>
      </c>
      <c r="J10" s="18" t="s">
        <v>81</v>
      </c>
      <c r="K10" s="18" t="s">
        <v>82</v>
      </c>
    </row>
    <row r="11" customFormat="false" ht="15" hidden="false" customHeight="false" outlineLevel="0" collapsed="false">
      <c r="A11" s="1"/>
      <c r="B11" s="10" t="n">
        <v>7</v>
      </c>
      <c r="C11" s="32" t="s">
        <v>83</v>
      </c>
      <c r="D11" s="32" t="n">
        <f aca="false">COUNTIFS(Datos!$S$2:$S$319,C11)</f>
        <v>16</v>
      </c>
      <c r="E11" s="11" t="n">
        <f aca="false">SUMIFS(Datos!$M$2:$M$319,Datos!$S$2:$S$319,C11)</f>
        <v>406</v>
      </c>
      <c r="F11" s="12" t="n">
        <f aca="false">E11/60</f>
        <v>6.76666666666667</v>
      </c>
      <c r="G11" s="12" t="n">
        <f aca="false">IFERROR(E11/D11,0)</f>
        <v>25.375</v>
      </c>
      <c r="H11" s="10" t="n">
        <v>8</v>
      </c>
      <c r="I11" s="18" t="s">
        <v>84</v>
      </c>
      <c r="J11" s="18" t="s">
        <v>65</v>
      </c>
      <c r="K11" s="18" t="s">
        <v>85</v>
      </c>
    </row>
    <row r="12" customFormat="false" ht="15" hidden="false" customHeight="false" outlineLevel="0" collapsed="false">
      <c r="A12" s="1"/>
      <c r="B12" s="10" t="n">
        <v>8</v>
      </c>
      <c r="C12" s="32" t="s">
        <v>86</v>
      </c>
      <c r="D12" s="32" t="n">
        <f aca="false">COUNTIFS(Datos!$S$2:$S$319,C12)</f>
        <v>12</v>
      </c>
      <c r="E12" s="11" t="n">
        <f aca="false">SUMIFS(Datos!$M$2:$M$319,Datos!$S$2:$S$319,C12)</f>
        <v>285</v>
      </c>
      <c r="F12" s="12" t="n">
        <f aca="false">E12/60</f>
        <v>4.75</v>
      </c>
      <c r="G12" s="12" t="n">
        <f aca="false">IFERROR(E12/D12,0)</f>
        <v>23.75</v>
      </c>
      <c r="H12" s="10" t="n">
        <v>7</v>
      </c>
      <c r="I12" s="18" t="s">
        <v>87</v>
      </c>
      <c r="J12" s="18" t="s">
        <v>81</v>
      </c>
      <c r="K12" s="18" t="s">
        <v>88</v>
      </c>
    </row>
    <row r="13" customFormat="false" ht="23.85" hidden="false" customHeight="false" outlineLevel="0" collapsed="false">
      <c r="A13" s="1"/>
      <c r="B13" s="10" t="n">
        <v>9</v>
      </c>
      <c r="C13" s="32" t="s">
        <v>89</v>
      </c>
      <c r="D13" s="32" t="n">
        <f aca="false">COUNTIFS(Datos!$S$2:$S$319,C13)</f>
        <v>11</v>
      </c>
      <c r="E13" s="11" t="n">
        <f aca="false">SUMIFS(Datos!$M$2:$M$319,Datos!$S$2:$S$319,C13)</f>
        <v>275</v>
      </c>
      <c r="F13" s="12" t="n">
        <f aca="false">E13/60</f>
        <v>4.58333333333333</v>
      </c>
      <c r="G13" s="12" t="n">
        <f aca="false">IFERROR(E13/D13,0)</f>
        <v>25</v>
      </c>
      <c r="H13" s="10" t="n">
        <v>9</v>
      </c>
      <c r="I13" s="18" t="s">
        <v>90</v>
      </c>
      <c r="J13" s="18" t="s">
        <v>91</v>
      </c>
      <c r="K13" s="18" t="s">
        <v>92</v>
      </c>
    </row>
    <row r="14" customFormat="false" ht="15" hidden="false" customHeight="false" outlineLevel="0" collapsed="false">
      <c r="A14" s="1"/>
      <c r="B14" s="10" t="n">
        <v>10</v>
      </c>
      <c r="C14" s="32" t="s">
        <v>93</v>
      </c>
      <c r="D14" s="32" t="n">
        <f aca="false">COUNTIFS(Datos!$S$2:$S$319,C14)</f>
        <v>10</v>
      </c>
      <c r="E14" s="11" t="n">
        <f aca="false">SUMIFS(Datos!$M$2:$M$319,Datos!$S$2:$S$319,C14)</f>
        <v>487</v>
      </c>
      <c r="F14" s="12" t="n">
        <f aca="false">E14/60</f>
        <v>8.11666666666667</v>
      </c>
      <c r="G14" s="12" t="n">
        <f aca="false">IFERROR(E14/D14,0)</f>
        <v>48.7</v>
      </c>
      <c r="H14" s="10" t="n">
        <v>8</v>
      </c>
      <c r="I14" s="18" t="s">
        <v>94</v>
      </c>
      <c r="J14" s="18" t="s">
        <v>65</v>
      </c>
      <c r="K14" s="18" t="s">
        <v>95</v>
      </c>
    </row>
    <row r="15" customFormat="false" ht="23.85" hidden="false" customHeight="false" outlineLevel="0" collapsed="false">
      <c r="A15" s="1"/>
      <c r="B15" s="10" t="n">
        <v>11</v>
      </c>
      <c r="C15" s="32" t="s">
        <v>96</v>
      </c>
      <c r="D15" s="32" t="n">
        <f aca="false">COUNTIFS(Datos!$S$2:$S$319,C15)</f>
        <v>10</v>
      </c>
      <c r="E15" s="11" t="n">
        <f aca="false">SUMIFS(Datos!$M$2:$M$319,Datos!$S$2:$S$319,C15)</f>
        <v>307</v>
      </c>
      <c r="F15" s="12" t="n">
        <f aca="false">E15/60</f>
        <v>5.11666666666667</v>
      </c>
      <c r="G15" s="12" t="n">
        <f aca="false">IFERROR(E15/D15,0)</f>
        <v>30.7</v>
      </c>
      <c r="H15" s="10" t="n">
        <v>7</v>
      </c>
      <c r="I15" s="18" t="s">
        <v>97</v>
      </c>
      <c r="J15" s="18" t="s">
        <v>81</v>
      </c>
      <c r="K15" s="18" t="s">
        <v>98</v>
      </c>
    </row>
    <row r="16" customFormat="false" ht="23.85" hidden="false" customHeight="false" outlineLevel="0" collapsed="false">
      <c r="A16" s="1"/>
      <c r="B16" s="10" t="n">
        <v>12</v>
      </c>
      <c r="C16" s="32" t="s">
        <v>99</v>
      </c>
      <c r="D16" s="32" t="n">
        <f aca="false">COUNTIFS(Datos!$S$2:$S$319,C16)</f>
        <v>9</v>
      </c>
      <c r="E16" s="11" t="n">
        <f aca="false">SUMIFS(Datos!$M$2:$M$319,Datos!$S$2:$S$319,C16)</f>
        <v>349</v>
      </c>
      <c r="F16" s="12" t="n">
        <f aca="false">E16/60</f>
        <v>5.81666666666667</v>
      </c>
      <c r="G16" s="12" t="n">
        <f aca="false">IFERROR(E16/D16,0)</f>
        <v>38.7777777777778</v>
      </c>
      <c r="H16" s="10" t="n">
        <v>4</v>
      </c>
      <c r="I16" s="18" t="s">
        <v>100</v>
      </c>
      <c r="J16" s="18" t="s">
        <v>16</v>
      </c>
      <c r="K16" s="18" t="s">
        <v>101</v>
      </c>
    </row>
    <row r="17" customFormat="false" ht="15" hidden="false" customHeight="false" outlineLevel="0" collapsed="false">
      <c r="A17" s="1"/>
      <c r="B17" s="10" t="n">
        <v>13</v>
      </c>
      <c r="C17" s="32" t="s">
        <v>102</v>
      </c>
      <c r="D17" s="32" t="n">
        <f aca="false">COUNTIFS(Datos!$S$2:$S$319,C17)</f>
        <v>9</v>
      </c>
      <c r="E17" s="11" t="n">
        <f aca="false">SUMIFS(Datos!$M$2:$M$319,Datos!$S$2:$S$319,C17)</f>
        <v>263</v>
      </c>
      <c r="F17" s="12" t="n">
        <f aca="false">E17/60</f>
        <v>4.38333333333333</v>
      </c>
      <c r="G17" s="12" t="n">
        <f aca="false">IFERROR(E17/D17,0)</f>
        <v>29.2222222222222</v>
      </c>
      <c r="H17" s="10" t="n">
        <v>6</v>
      </c>
      <c r="I17" s="18" t="s">
        <v>103</v>
      </c>
      <c r="J17" s="18" t="s">
        <v>81</v>
      </c>
      <c r="K17" s="18" t="s">
        <v>104</v>
      </c>
    </row>
    <row r="18" customFormat="false" ht="15" hidden="false" customHeight="false" outlineLevel="0" collapsed="false">
      <c r="A18" s="1"/>
      <c r="B18" s="10" t="n">
        <v>14</v>
      </c>
      <c r="C18" s="32" t="s">
        <v>105</v>
      </c>
      <c r="D18" s="32" t="n">
        <f aca="false">COUNTIFS(Datos!$S$2:$S$319,C18)</f>
        <v>8</v>
      </c>
      <c r="E18" s="11" t="n">
        <f aca="false">SUMIFS(Datos!$M$2:$M$319,Datos!$S$2:$S$319,C18)</f>
        <v>465</v>
      </c>
      <c r="F18" s="12" t="n">
        <f aca="false">E18/60</f>
        <v>7.75</v>
      </c>
      <c r="G18" s="12" t="n">
        <f aca="false">IFERROR(E18/D18,0)</f>
        <v>58.125</v>
      </c>
      <c r="H18" s="10" t="n">
        <v>3</v>
      </c>
      <c r="I18" s="18" t="s">
        <v>106</v>
      </c>
      <c r="J18" s="18" t="s">
        <v>107</v>
      </c>
      <c r="K18" s="18" t="s">
        <v>108</v>
      </c>
    </row>
    <row r="19" customFormat="false" ht="15" hidden="false" customHeight="false" outlineLevel="0" collapsed="false">
      <c r="A19" s="1"/>
      <c r="B19" s="10" t="n">
        <v>15</v>
      </c>
      <c r="C19" s="32" t="s">
        <v>109</v>
      </c>
      <c r="D19" s="32" t="n">
        <f aca="false">COUNTIFS(Datos!$S$2:$S$319,C19)</f>
        <v>8</v>
      </c>
      <c r="E19" s="11" t="n">
        <f aca="false">SUMIFS(Datos!$M$2:$M$319,Datos!$S$2:$S$319,C19)</f>
        <v>324</v>
      </c>
      <c r="F19" s="12" t="n">
        <f aca="false">E19/60</f>
        <v>5.4</v>
      </c>
      <c r="G19" s="12" t="n">
        <f aca="false">IFERROR(E19/D19,0)</f>
        <v>40.5</v>
      </c>
      <c r="H19" s="10" t="n">
        <v>2</v>
      </c>
      <c r="I19" s="18" t="s">
        <v>110</v>
      </c>
      <c r="J19" s="18" t="s">
        <v>14</v>
      </c>
      <c r="K19" s="18" t="s">
        <v>111</v>
      </c>
    </row>
    <row r="20" customFormat="false" ht="15" hidden="false" customHeight="false" outlineLevel="0" collapsed="false">
      <c r="A20" s="1"/>
      <c r="B20" s="10" t="n">
        <v>16</v>
      </c>
      <c r="C20" s="32" t="s">
        <v>112</v>
      </c>
      <c r="D20" s="32" t="n">
        <f aca="false">COUNTIFS(Datos!$S$2:$S$319,C20)</f>
        <v>6</v>
      </c>
      <c r="E20" s="11" t="n">
        <f aca="false">SUMIFS(Datos!$M$2:$M$319,Datos!$S$2:$S$319,C20)</f>
        <v>117</v>
      </c>
      <c r="F20" s="12" t="n">
        <f aca="false">E20/60</f>
        <v>1.95</v>
      </c>
      <c r="G20" s="12" t="n">
        <f aca="false">IFERROR(E20/D20,0)</f>
        <v>19.5</v>
      </c>
      <c r="H20" s="10" t="n">
        <v>5</v>
      </c>
      <c r="I20" s="18" t="s">
        <v>113</v>
      </c>
      <c r="J20" s="18" t="s">
        <v>107</v>
      </c>
      <c r="K20" s="18" t="s">
        <v>114</v>
      </c>
    </row>
    <row r="21" customFormat="false" ht="15" hidden="false" customHeight="false" outlineLevel="0" collapsed="false">
      <c r="A21" s="1"/>
      <c r="B21" s="10" t="n">
        <v>17</v>
      </c>
      <c r="C21" s="32" t="s">
        <v>115</v>
      </c>
      <c r="D21" s="32" t="n">
        <f aca="false">COUNTIFS(Datos!$S$2:$S$319,C21)</f>
        <v>6</v>
      </c>
      <c r="E21" s="11" t="n">
        <f aca="false">SUMIFS(Datos!$M$2:$M$319,Datos!$S$2:$S$319,C21)</f>
        <v>85</v>
      </c>
      <c r="F21" s="12" t="n">
        <f aca="false">E21/60</f>
        <v>1.41666666666667</v>
      </c>
      <c r="G21" s="12" t="n">
        <f aca="false">IFERROR(E21/D21,0)</f>
        <v>14.1666666666667</v>
      </c>
      <c r="H21" s="10" t="n">
        <v>4</v>
      </c>
      <c r="I21" s="18" t="s">
        <v>116</v>
      </c>
      <c r="J21" s="18" t="s">
        <v>65</v>
      </c>
      <c r="K21" s="18" t="s">
        <v>117</v>
      </c>
    </row>
    <row r="22" customFormat="false" ht="23.85" hidden="false" customHeight="false" outlineLevel="0" collapsed="false">
      <c r="A22" s="1"/>
      <c r="B22" s="10" t="n">
        <v>18</v>
      </c>
      <c r="C22" s="32" t="s">
        <v>118</v>
      </c>
      <c r="D22" s="32" t="n">
        <f aca="false">COUNTIFS(Datos!$S$2:$S$319,C22)</f>
        <v>4</v>
      </c>
      <c r="E22" s="11" t="n">
        <f aca="false">SUMIFS(Datos!$M$2:$M$319,Datos!$S$2:$S$319,C22)</f>
        <v>131</v>
      </c>
      <c r="F22" s="12" t="n">
        <f aca="false">E22/60</f>
        <v>2.18333333333333</v>
      </c>
      <c r="G22" s="12" t="n">
        <f aca="false">IFERROR(E22/D22,0)</f>
        <v>32.75</v>
      </c>
      <c r="H22" s="10" t="n">
        <v>2</v>
      </c>
      <c r="I22" s="18" t="s">
        <v>119</v>
      </c>
      <c r="J22" s="18" t="s">
        <v>120</v>
      </c>
      <c r="K22" s="18" t="s">
        <v>121</v>
      </c>
    </row>
    <row r="23" customFormat="false" ht="23.85" hidden="false" customHeight="false" outlineLevel="0" collapsed="false">
      <c r="A23" s="1"/>
      <c r="B23" s="10" t="n">
        <v>19</v>
      </c>
      <c r="C23" s="32" t="s">
        <v>122</v>
      </c>
      <c r="D23" s="32" t="n">
        <f aca="false">COUNTIFS(Datos!$S$2:$S$319,C23)</f>
        <v>3</v>
      </c>
      <c r="E23" s="11" t="n">
        <f aca="false">SUMIFS(Datos!$M$2:$M$319,Datos!$S$2:$S$319,C23)</f>
        <v>205</v>
      </c>
      <c r="F23" s="12" t="n">
        <f aca="false">E23/60</f>
        <v>3.41666666666667</v>
      </c>
      <c r="G23" s="12" t="n">
        <f aca="false">IFERROR(E23/D23,0)</f>
        <v>68.3333333333333</v>
      </c>
      <c r="H23" s="10" t="n">
        <v>3</v>
      </c>
      <c r="I23" s="18" t="s">
        <v>123</v>
      </c>
      <c r="J23" s="18" t="s">
        <v>120</v>
      </c>
      <c r="K23" s="18" t="s">
        <v>124</v>
      </c>
    </row>
    <row r="24" customFormat="false" ht="15" hidden="false" customHeight="false" outlineLevel="0" collapsed="false">
      <c r="A24" s="1"/>
      <c r="B24" s="10" t="n">
        <v>20</v>
      </c>
      <c r="C24" s="32" t="s">
        <v>125</v>
      </c>
      <c r="D24" s="32" t="n">
        <f aca="false">COUNTIFS(Datos!$S$2:$S$319,C24)</f>
        <v>3</v>
      </c>
      <c r="E24" s="11" t="n">
        <f aca="false">SUMIFS(Datos!$M$2:$M$319,Datos!$S$2:$S$319,C24)</f>
        <v>116</v>
      </c>
      <c r="F24" s="12" t="n">
        <f aca="false">E24/60</f>
        <v>1.93333333333333</v>
      </c>
      <c r="G24" s="12" t="n">
        <f aca="false">IFERROR(E24/D24,0)</f>
        <v>38.6666666666667</v>
      </c>
      <c r="H24" s="10" t="n">
        <v>2</v>
      </c>
      <c r="I24" s="18" t="s">
        <v>126</v>
      </c>
      <c r="J24" s="18" t="s">
        <v>127</v>
      </c>
      <c r="K24" s="18" t="s">
        <v>128</v>
      </c>
    </row>
    <row r="25" customFormat="false" ht="15" hidden="false" customHeight="false" outlineLevel="0" collapsed="false">
      <c r="A25" s="1"/>
      <c r="B25" s="10" t="n">
        <v>21</v>
      </c>
      <c r="C25" s="32" t="s">
        <v>129</v>
      </c>
      <c r="D25" s="32" t="n">
        <f aca="false">COUNTIFS(Datos!$S$2:$S$319,C25)</f>
        <v>3</v>
      </c>
      <c r="E25" s="11" t="n">
        <f aca="false">SUMIFS(Datos!$M$2:$M$319,Datos!$S$2:$S$319,C25)</f>
        <v>81</v>
      </c>
      <c r="F25" s="12" t="n">
        <f aca="false">E25/60</f>
        <v>1.35</v>
      </c>
      <c r="G25" s="12" t="n">
        <f aca="false">IFERROR(E25/D25,0)</f>
        <v>27</v>
      </c>
      <c r="H25" s="10" t="n">
        <v>2</v>
      </c>
      <c r="I25" s="18" t="s">
        <v>130</v>
      </c>
      <c r="J25" s="18" t="s">
        <v>131</v>
      </c>
      <c r="K25" s="18" t="s">
        <v>132</v>
      </c>
    </row>
    <row r="26" customFormat="false" ht="15" hidden="false" customHeight="false" outlineLevel="0" collapsed="false">
      <c r="A26" s="1"/>
      <c r="B26" s="10" t="n">
        <v>22</v>
      </c>
      <c r="C26" s="32" t="s">
        <v>133</v>
      </c>
      <c r="D26" s="32" t="n">
        <f aca="false">COUNTIFS(Datos!$S$2:$S$319,C26)</f>
        <v>3</v>
      </c>
      <c r="E26" s="11" t="n">
        <f aca="false">SUMIFS(Datos!$M$2:$M$319,Datos!$S$2:$S$319,C26)</f>
        <v>66</v>
      </c>
      <c r="F26" s="12" t="n">
        <f aca="false">E26/60</f>
        <v>1.1</v>
      </c>
      <c r="G26" s="12" t="n">
        <f aca="false">IFERROR(E26/D26,0)</f>
        <v>22</v>
      </c>
      <c r="H26" s="10" t="n">
        <v>3</v>
      </c>
      <c r="I26" s="18" t="s">
        <v>134</v>
      </c>
      <c r="J26" s="18" t="s">
        <v>91</v>
      </c>
      <c r="K26" s="18" t="s">
        <v>135</v>
      </c>
    </row>
    <row r="27" customFormat="false" ht="23.85" hidden="false" customHeight="false" outlineLevel="0" collapsed="false">
      <c r="A27" s="1"/>
      <c r="B27" s="10" t="n">
        <v>23</v>
      </c>
      <c r="C27" s="32" t="s">
        <v>136</v>
      </c>
      <c r="D27" s="32" t="n">
        <f aca="false">COUNTIFS(Datos!$S$2:$S$319,C27)</f>
        <v>3</v>
      </c>
      <c r="E27" s="11" t="n">
        <f aca="false">SUMIFS(Datos!$M$2:$M$319,Datos!$S$2:$S$319,C27)</f>
        <v>62</v>
      </c>
      <c r="F27" s="12" t="n">
        <f aca="false">E27/60</f>
        <v>1.03333333333333</v>
      </c>
      <c r="G27" s="12" t="n">
        <f aca="false">IFERROR(E27/D27,0)</f>
        <v>20.6666666666667</v>
      </c>
      <c r="H27" s="10" t="n">
        <v>3</v>
      </c>
      <c r="I27" s="18" t="s">
        <v>137</v>
      </c>
      <c r="J27" s="18" t="s">
        <v>138</v>
      </c>
      <c r="K27" s="18" t="s">
        <v>139</v>
      </c>
    </row>
    <row r="28" customFormat="false" ht="15" hidden="false" customHeight="false" outlineLevel="0" collapsed="false">
      <c r="A28" s="1"/>
      <c r="B28" s="10" t="n">
        <v>24</v>
      </c>
      <c r="C28" s="32" t="s">
        <v>140</v>
      </c>
      <c r="D28" s="32" t="n">
        <f aca="false">COUNTIFS(Datos!$S$2:$S$319,C28)</f>
        <v>2</v>
      </c>
      <c r="E28" s="11" t="n">
        <f aca="false">SUMIFS(Datos!$M$2:$M$319,Datos!$S$2:$S$319,C28)</f>
        <v>120</v>
      </c>
      <c r="F28" s="12" t="n">
        <f aca="false">E28/60</f>
        <v>2</v>
      </c>
      <c r="G28" s="12" t="n">
        <f aca="false">IFERROR(E28/D28,0)</f>
        <v>60</v>
      </c>
      <c r="H28" s="10" t="n">
        <v>2</v>
      </c>
      <c r="I28" s="18" t="s">
        <v>141</v>
      </c>
      <c r="J28" s="18" t="s">
        <v>16</v>
      </c>
      <c r="K28" s="18" t="s">
        <v>142</v>
      </c>
    </row>
    <row r="29" customFormat="false" ht="15" hidden="false" customHeight="false" outlineLevel="0" collapsed="false">
      <c r="A29" s="1"/>
      <c r="B29" s="10" t="n">
        <v>25</v>
      </c>
      <c r="C29" s="32" t="s">
        <v>143</v>
      </c>
      <c r="D29" s="32" t="n">
        <f aca="false">COUNTIFS(Datos!$S$2:$S$319,C29)</f>
        <v>2</v>
      </c>
      <c r="E29" s="11" t="n">
        <f aca="false">SUMIFS(Datos!$M$2:$M$319,Datos!$S$2:$S$319,C29)</f>
        <v>120</v>
      </c>
      <c r="F29" s="12" t="n">
        <f aca="false">E29/60</f>
        <v>2</v>
      </c>
      <c r="G29" s="12" t="n">
        <f aca="false">IFERROR(E29/D29,0)</f>
        <v>60</v>
      </c>
      <c r="H29" s="10" t="n">
        <v>1</v>
      </c>
      <c r="I29" s="18" t="s">
        <v>144</v>
      </c>
      <c r="J29" s="18" t="s">
        <v>14</v>
      </c>
      <c r="K29" s="18" t="s">
        <v>135</v>
      </c>
    </row>
    <row r="30" customFormat="false" ht="15" hidden="false" customHeight="false" outlineLevel="0" collapsed="false">
      <c r="A30" s="1"/>
      <c r="B30" s="10" t="n">
        <v>26</v>
      </c>
      <c r="C30" s="32" t="s">
        <v>145</v>
      </c>
      <c r="D30" s="32" t="n">
        <f aca="false">COUNTIFS(Datos!$S$2:$S$319,C30)</f>
        <v>2</v>
      </c>
      <c r="E30" s="11" t="n">
        <f aca="false">SUMIFS(Datos!$M$2:$M$319,Datos!$S$2:$S$319,C30)</f>
        <v>90</v>
      </c>
      <c r="F30" s="12" t="n">
        <f aca="false">E30/60</f>
        <v>1.5</v>
      </c>
      <c r="G30" s="12" t="n">
        <f aca="false">IFERROR(E30/D30,0)</f>
        <v>45</v>
      </c>
      <c r="H30" s="10" t="n">
        <v>1</v>
      </c>
      <c r="I30" s="18" t="s">
        <v>141</v>
      </c>
      <c r="J30" s="18" t="s">
        <v>16</v>
      </c>
      <c r="K30" s="18" t="s">
        <v>146</v>
      </c>
    </row>
    <row r="31" customFormat="false" ht="15" hidden="false" customHeight="false" outlineLevel="0" collapsed="false">
      <c r="A31" s="1"/>
      <c r="B31" s="33"/>
      <c r="C31" s="33" t="s">
        <v>147</v>
      </c>
      <c r="D31" s="33" t="n">
        <f aca="false">COUNTIFS(Datos!$S$2:$S$319,C31)</f>
        <v>9</v>
      </c>
      <c r="E31" s="33" t="n">
        <f aca="false">SUMIFS(Datos!$M$2:$M$319,Datos!$S$2:$S$319,C31)</f>
        <v>297</v>
      </c>
      <c r="F31" s="34" t="n">
        <f aca="false">E31/60</f>
        <v>4.95</v>
      </c>
      <c r="G31" s="34" t="n">
        <f aca="false">IFERROR(E31/D31,0)</f>
        <v>33</v>
      </c>
      <c r="H31" s="1"/>
      <c r="I31" s="1"/>
      <c r="J31" s="1"/>
      <c r="K31" s="1"/>
    </row>
    <row r="32" customFormat="false" ht="15" hidden="false" customHeight="false" outlineLevel="0" collapsed="false">
      <c r="A32" s="1"/>
      <c r="B32" s="33"/>
      <c r="C32" s="33" t="s">
        <v>148</v>
      </c>
      <c r="D32" s="33" t="n">
        <f aca="false">COUNTIFS(Datos!$S$2:$S$319,C32)</f>
        <v>16</v>
      </c>
      <c r="E32" s="33" t="n">
        <f aca="false">SUMIFS(Datos!$M$2:$M$319,Datos!$S$2:$S$319,C32)</f>
        <v>803</v>
      </c>
      <c r="F32" s="34" t="n">
        <f aca="false">E32/60</f>
        <v>13.3833333333333</v>
      </c>
      <c r="G32" s="34" t="n">
        <f aca="false">IFERROR(E32/D32,0)</f>
        <v>50.1875</v>
      </c>
      <c r="H32" s="1"/>
      <c r="I32" s="1"/>
      <c r="J32" s="1"/>
      <c r="K32" s="1"/>
    </row>
    <row r="33" customFormat="false" ht="15" hidden="false" customHeight="false" outlineLevel="0" collapsed="false">
      <c r="A33" s="1"/>
      <c r="B33" s="35"/>
      <c r="C33" s="35" t="s">
        <v>149</v>
      </c>
      <c r="D33" s="35" t="n">
        <f aca="false">SUM(D5:D32)</f>
        <v>318</v>
      </c>
      <c r="E33" s="35" t="n">
        <f aca="false">SUM(E5:E32)</f>
        <v>11998</v>
      </c>
      <c r="F33" s="36" t="n">
        <f aca="false">E33/60</f>
        <v>199.966666666667</v>
      </c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37" t="s">
        <v>150</v>
      </c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8" t="s">
        <v>151</v>
      </c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5" hidden="false" customHeight="false" outlineLevel="0" collapsed="false">
      <c r="A37" s="1"/>
      <c r="B37" s="1"/>
      <c r="C37" s="9" t="s">
        <v>56</v>
      </c>
      <c r="D37" s="9" t="s">
        <v>13</v>
      </c>
      <c r="E37" s="9" t="s">
        <v>14</v>
      </c>
      <c r="F37" s="9" t="s">
        <v>15</v>
      </c>
      <c r="G37" s="9" t="s">
        <v>16</v>
      </c>
      <c r="H37" s="9" t="s">
        <v>19</v>
      </c>
      <c r="I37" s="1"/>
      <c r="J37" s="1"/>
      <c r="K37" s="1"/>
    </row>
    <row r="38" customFormat="false" ht="15" hidden="false" customHeight="false" outlineLevel="0" collapsed="false">
      <c r="A38" s="1"/>
      <c r="B38" s="1"/>
      <c r="C38" s="10" t="str">
        <f aca="false">C5</f>
        <v>Servo de arrastre / encoder (falla de arrastre)</v>
      </c>
      <c r="D38" s="38" t="n">
        <f aca="false">COUNTIFS(Datos!$S$2:$S$319,$C38,Datos!$A$2:$A$319,"Enero")</f>
        <v>3</v>
      </c>
      <c r="E38" s="38" t="n">
        <f aca="false">COUNTIFS(Datos!$S$2:$S$319,$C38,Datos!$A$2:$A$319,"Mayo")</f>
        <v>35</v>
      </c>
      <c r="F38" s="38" t="n">
        <f aca="false">COUNTIFS(Datos!$S$2:$S$319,$C38,Datos!$A$2:$A$319,"Junio")</f>
        <v>15</v>
      </c>
      <c r="G38" s="38" t="n">
        <f aca="false">COUNTIFS(Datos!$S$2:$S$319,$C38,Datos!$A$2:$A$319,"Julio")</f>
        <v>1</v>
      </c>
      <c r="H38" s="39" t="n">
        <f aca="false">SUM(D38:G38)</f>
        <v>54</v>
      </c>
      <c r="I38" s="1"/>
      <c r="J38" s="1"/>
      <c r="K38" s="1"/>
    </row>
    <row r="39" customFormat="false" ht="15" hidden="false" customHeight="false" outlineLevel="0" collapsed="false">
      <c r="A39" s="1"/>
      <c r="B39" s="1"/>
      <c r="C39" s="10" t="str">
        <f aca="false">C6</f>
        <v>Bandas, correas y cadenas (se frenan / descarrilan)</v>
      </c>
      <c r="D39" s="38" t="n">
        <f aca="false">COUNTIFS(Datos!$S$2:$S$319,$C39,Datos!$A$2:$A$319,"Enero")</f>
        <v>13</v>
      </c>
      <c r="E39" s="38" t="n">
        <f aca="false">COUNTIFS(Datos!$S$2:$S$319,$C39,Datos!$A$2:$A$319,"Mayo")</f>
        <v>5</v>
      </c>
      <c r="F39" s="38" t="n">
        <f aca="false">COUNTIFS(Datos!$S$2:$S$319,$C39,Datos!$A$2:$A$319,"Junio")</f>
        <v>4</v>
      </c>
      <c r="G39" s="38" t="n">
        <f aca="false">COUNTIFS(Datos!$S$2:$S$319,$C39,Datos!$A$2:$A$319,"Julio")</f>
        <v>8</v>
      </c>
      <c r="H39" s="39" t="n">
        <f aca="false">SUM(D39:G39)</f>
        <v>30</v>
      </c>
      <c r="I39" s="1"/>
      <c r="J39" s="1"/>
      <c r="K39" s="1"/>
    </row>
    <row r="40" customFormat="false" ht="15" hidden="false" customHeight="false" outlineLevel="0" collapsed="false">
      <c r="A40" s="1"/>
      <c r="B40" s="1"/>
      <c r="C40" s="10" t="str">
        <f aca="false">C7</f>
        <v>Boquillas de llenado (goteo, fugas, conos)</v>
      </c>
      <c r="D40" s="38" t="n">
        <f aca="false">COUNTIFS(Datos!$S$2:$S$319,$C40,Datos!$A$2:$A$319,"Enero")</f>
        <v>6</v>
      </c>
      <c r="E40" s="38" t="n">
        <f aca="false">COUNTIFS(Datos!$S$2:$S$319,$C40,Datos!$A$2:$A$319,"Mayo")</f>
        <v>6</v>
      </c>
      <c r="F40" s="38" t="n">
        <f aca="false">COUNTIFS(Datos!$S$2:$S$319,$C40,Datos!$A$2:$A$319,"Junio")</f>
        <v>9</v>
      </c>
      <c r="G40" s="38" t="n">
        <f aca="false">COUNTIFS(Datos!$S$2:$S$319,$C40,Datos!$A$2:$A$319,"Julio")</f>
        <v>2</v>
      </c>
      <c r="H40" s="39" t="n">
        <f aca="false">SUM(D40:G40)</f>
        <v>23</v>
      </c>
      <c r="I40" s="1"/>
      <c r="J40" s="1"/>
      <c r="K40" s="1"/>
    </row>
    <row r="41" customFormat="false" ht="15" hidden="false" customHeight="false" outlineLevel="0" collapsed="false">
      <c r="A41" s="1"/>
      <c r="B41" s="1"/>
      <c r="C41" s="10" t="str">
        <f aca="false">C8</f>
        <v>PLC, programa, drives y tarjetas electrónicas</v>
      </c>
      <c r="D41" s="38" t="n">
        <f aca="false">COUNTIFS(Datos!$S$2:$S$319,$C41,Datos!$A$2:$A$319,"Enero")</f>
        <v>8</v>
      </c>
      <c r="E41" s="38" t="n">
        <f aca="false">COUNTIFS(Datos!$S$2:$S$319,$C41,Datos!$A$2:$A$319,"Mayo")</f>
        <v>1</v>
      </c>
      <c r="F41" s="38" t="n">
        <f aca="false">COUNTIFS(Datos!$S$2:$S$319,$C41,Datos!$A$2:$A$319,"Junio")</f>
        <v>8</v>
      </c>
      <c r="G41" s="38" t="n">
        <f aca="false">COUNTIFS(Datos!$S$2:$S$319,$C41,Datos!$A$2:$A$319,"Julio")</f>
        <v>3</v>
      </c>
      <c r="H41" s="39" t="n">
        <f aca="false">SUM(D41:G41)</f>
        <v>20</v>
      </c>
      <c r="I41" s="1"/>
      <c r="J41" s="1"/>
      <c r="K41" s="1"/>
    </row>
    <row r="42" customFormat="false" ht="15" hidden="false" customHeight="false" outlineLevel="0" collapsed="false">
      <c r="A42" s="1"/>
      <c r="B42" s="1"/>
      <c r="C42" s="10" t="str">
        <f aca="false">C9</f>
        <v>Tornillos, pines y piezas partidas</v>
      </c>
      <c r="D42" s="38" t="n">
        <f aca="false">COUNTIFS(Datos!$S$2:$S$319,$C42,Datos!$A$2:$A$319,"Enero")</f>
        <v>2</v>
      </c>
      <c r="E42" s="38" t="n">
        <f aca="false">COUNTIFS(Datos!$S$2:$S$319,$C42,Datos!$A$2:$A$319,"Mayo")</f>
        <v>9</v>
      </c>
      <c r="F42" s="38" t="n">
        <f aca="false">COUNTIFS(Datos!$S$2:$S$319,$C42,Datos!$A$2:$A$319,"Junio")</f>
        <v>6</v>
      </c>
      <c r="G42" s="38" t="n">
        <f aca="false">COUNTIFS(Datos!$S$2:$S$319,$C42,Datos!$A$2:$A$319,"Julio")</f>
        <v>2</v>
      </c>
      <c r="H42" s="39" t="n">
        <f aca="false">SUM(D42:G42)</f>
        <v>19</v>
      </c>
      <c r="I42" s="1"/>
      <c r="J42" s="1"/>
      <c r="K42" s="1"/>
    </row>
    <row r="43" customFormat="false" ht="15" hidden="false" customHeight="false" outlineLevel="0" collapsed="false">
      <c r="A43" s="1"/>
      <c r="B43" s="1"/>
      <c r="C43" s="10" t="str">
        <f aca="false">C10</f>
        <v>Resistencias / temperatura de mordazas</v>
      </c>
      <c r="D43" s="38" t="n">
        <f aca="false">COUNTIFS(Datos!$S$2:$S$319,$C43,Datos!$A$2:$A$319,"Enero")</f>
        <v>9</v>
      </c>
      <c r="E43" s="38" t="n">
        <f aca="false">COUNTIFS(Datos!$S$2:$S$319,$C43,Datos!$A$2:$A$319,"Mayo")</f>
        <v>7</v>
      </c>
      <c r="F43" s="38" t="n">
        <f aca="false">COUNTIFS(Datos!$S$2:$S$319,$C43,Datos!$A$2:$A$319,"Junio")</f>
        <v>1</v>
      </c>
      <c r="G43" s="38" t="n">
        <f aca="false">COUNTIFS(Datos!$S$2:$S$319,$C43,Datos!$A$2:$A$319,"Julio")</f>
        <v>0</v>
      </c>
      <c r="H43" s="39" t="n">
        <f aca="false">SUM(D43:G43)</f>
        <v>17</v>
      </c>
      <c r="I43" s="1"/>
      <c r="J43" s="1"/>
      <c r="K43" s="1"/>
    </row>
    <row r="44" customFormat="false" ht="15" hidden="false" customHeight="false" outlineLevel="0" collapsed="false">
      <c r="A44" s="1"/>
      <c r="B44" s="1"/>
      <c r="C44" s="10" t="str">
        <f aca="false">C11</f>
        <v>Fotoceldas y sensores</v>
      </c>
      <c r="D44" s="38" t="n">
        <f aca="false">COUNTIFS(Datos!$S$2:$S$319,$C44,Datos!$A$2:$A$319,"Enero")</f>
        <v>9</v>
      </c>
      <c r="E44" s="38" t="n">
        <f aca="false">COUNTIFS(Datos!$S$2:$S$319,$C44,Datos!$A$2:$A$319,"Mayo")</f>
        <v>1</v>
      </c>
      <c r="F44" s="38" t="n">
        <f aca="false">COUNTIFS(Datos!$S$2:$S$319,$C44,Datos!$A$2:$A$319,"Junio")</f>
        <v>3</v>
      </c>
      <c r="G44" s="38" t="n">
        <f aca="false">COUNTIFS(Datos!$S$2:$S$319,$C44,Datos!$A$2:$A$319,"Julio")</f>
        <v>3</v>
      </c>
      <c r="H44" s="39" t="n">
        <f aca="false">SUM(D44:G44)</f>
        <v>16</v>
      </c>
      <c r="I44" s="1"/>
      <c r="J44" s="1"/>
      <c r="K44" s="1"/>
    </row>
    <row r="45" customFormat="false" ht="15" hidden="false" customHeight="false" outlineLevel="0" collapsed="false">
      <c r="A45" s="1"/>
      <c r="B45" s="1"/>
      <c r="C45" s="10" t="str">
        <f aca="false">C12</f>
        <v>Ristras rotas / sello de laminado</v>
      </c>
      <c r="D45" s="38" t="n">
        <f aca="false">COUNTIFS(Datos!$S$2:$S$319,$C45,Datos!$A$2:$A$319,"Enero")</f>
        <v>5</v>
      </c>
      <c r="E45" s="38" t="n">
        <f aca="false">COUNTIFS(Datos!$S$2:$S$319,$C45,Datos!$A$2:$A$319,"Mayo")</f>
        <v>6</v>
      </c>
      <c r="F45" s="38" t="n">
        <f aca="false">COUNTIFS(Datos!$S$2:$S$319,$C45,Datos!$A$2:$A$319,"Junio")</f>
        <v>1</v>
      </c>
      <c r="G45" s="38" t="n">
        <f aca="false">COUNTIFS(Datos!$S$2:$S$319,$C45,Datos!$A$2:$A$319,"Julio")</f>
        <v>0</v>
      </c>
      <c r="H45" s="39" t="n">
        <f aca="false">SUM(D45:G45)</f>
        <v>12</v>
      </c>
      <c r="I45" s="1"/>
      <c r="J45" s="1"/>
      <c r="K45" s="1"/>
    </row>
    <row r="46" customFormat="false" ht="15" hidden="false" customHeight="false" outlineLevel="0" collapsed="false">
      <c r="A46" s="1"/>
      <c r="B46" s="1"/>
      <c r="C46" s="10" t="str">
        <f aca="false">C13</f>
        <v>Electroválvulas, racores y fugas de aire</v>
      </c>
      <c r="D46" s="38" t="n">
        <f aca="false">COUNTIFS(Datos!$S$2:$S$319,$C46,Datos!$A$2:$A$319,"Enero")</f>
        <v>0</v>
      </c>
      <c r="E46" s="38" t="n">
        <f aca="false">COUNTIFS(Datos!$S$2:$S$319,$C46,Datos!$A$2:$A$319,"Mayo")</f>
        <v>3</v>
      </c>
      <c r="F46" s="38" t="n">
        <f aca="false">COUNTIFS(Datos!$S$2:$S$319,$C46,Datos!$A$2:$A$319,"Junio")</f>
        <v>4</v>
      </c>
      <c r="G46" s="38" t="n">
        <f aca="false">COUNTIFS(Datos!$S$2:$S$319,$C46,Datos!$A$2:$A$319,"Julio")</f>
        <v>4</v>
      </c>
      <c r="H46" s="39" t="n">
        <f aca="false">SUM(D46:G46)</f>
        <v>11</v>
      </c>
      <c r="I46" s="1"/>
      <c r="J46" s="1"/>
      <c r="K46" s="1"/>
    </row>
    <row r="47" customFormat="false" ht="15" hidden="false" customHeight="false" outlineLevel="0" collapsed="false">
      <c r="A47" s="1"/>
      <c r="B47" s="1"/>
      <c r="C47" s="10" t="str">
        <f aca="false">C14</f>
        <v>Tijera y cuchillas (cambio / calibración)</v>
      </c>
      <c r="D47" s="38" t="n">
        <f aca="false">COUNTIFS(Datos!$S$2:$S$319,$C47,Datos!$A$2:$A$319,"Enero")</f>
        <v>2</v>
      </c>
      <c r="E47" s="38" t="n">
        <f aca="false">COUNTIFS(Datos!$S$2:$S$319,$C47,Datos!$A$2:$A$319,"Mayo")</f>
        <v>2</v>
      </c>
      <c r="F47" s="38" t="n">
        <f aca="false">COUNTIFS(Datos!$S$2:$S$319,$C47,Datos!$A$2:$A$319,"Junio")</f>
        <v>4</v>
      </c>
      <c r="G47" s="38" t="n">
        <f aca="false">COUNTIFS(Datos!$S$2:$S$319,$C47,Datos!$A$2:$A$319,"Julio")</f>
        <v>2</v>
      </c>
      <c r="H47" s="39" t="n">
        <f aca="false">SUM(D47:G47)</f>
        <v>10</v>
      </c>
      <c r="I47" s="1"/>
      <c r="J47" s="1"/>
      <c r="K47" s="1"/>
    </row>
    <row r="48" customFormat="false" ht="15" hidden="false" customHeight="false" outlineLevel="0" collapsed="false">
      <c r="A48" s="1"/>
      <c r="B48" s="1"/>
      <c r="C48" s="10" t="str">
        <f aca="false">C15</f>
        <v>Codificador / fechador</v>
      </c>
      <c r="D48" s="38" t="n">
        <f aca="false">COUNTIFS(Datos!$S$2:$S$319,$C48,Datos!$A$2:$A$319,"Enero")</f>
        <v>2</v>
      </c>
      <c r="E48" s="38" t="n">
        <f aca="false">COUNTIFS(Datos!$S$2:$S$319,$C48,Datos!$A$2:$A$319,"Mayo")</f>
        <v>5</v>
      </c>
      <c r="F48" s="38" t="n">
        <f aca="false">COUNTIFS(Datos!$S$2:$S$319,$C48,Datos!$A$2:$A$319,"Junio")</f>
        <v>3</v>
      </c>
      <c r="G48" s="38" t="n">
        <f aca="false">COUNTIFS(Datos!$S$2:$S$319,$C48,Datos!$A$2:$A$319,"Julio")</f>
        <v>0</v>
      </c>
      <c r="H48" s="39" t="n">
        <f aca="false">SUM(D48:G48)</f>
        <v>10</v>
      </c>
      <c r="I48" s="1"/>
      <c r="J48" s="1"/>
      <c r="K48" s="1"/>
    </row>
    <row r="49" customFormat="false" ht="15" hidden="false" customHeight="false" outlineLevel="0" collapsed="false">
      <c r="A49" s="1"/>
      <c r="B49" s="1"/>
      <c r="C49" s="10" t="str">
        <f aca="false">C16</f>
        <v>Clapet del tapón</v>
      </c>
      <c r="D49" s="38" t="n">
        <f aca="false">COUNTIFS(Datos!$S$2:$S$319,$C49,Datos!$A$2:$A$319,"Enero")</f>
        <v>0</v>
      </c>
      <c r="E49" s="38" t="n">
        <f aca="false">COUNTIFS(Datos!$S$2:$S$319,$C49,Datos!$A$2:$A$319,"Mayo")</f>
        <v>0</v>
      </c>
      <c r="F49" s="38" t="n">
        <f aca="false">COUNTIFS(Datos!$S$2:$S$319,$C49,Datos!$A$2:$A$319,"Junio")</f>
        <v>0</v>
      </c>
      <c r="G49" s="38" t="n">
        <f aca="false">COUNTIFS(Datos!$S$2:$S$319,$C49,Datos!$A$2:$A$319,"Julio")</f>
        <v>9</v>
      </c>
      <c r="H49" s="39" t="n">
        <f aca="false">SUM(D49:G49)</f>
        <v>9</v>
      </c>
      <c r="I49" s="1"/>
      <c r="J49" s="1"/>
      <c r="K49" s="1"/>
    </row>
    <row r="50" customFormat="false" ht="15" hidden="false" customHeight="false" outlineLevel="0" collapsed="false">
      <c r="A50" s="1"/>
      <c r="B50" s="1"/>
      <c r="C50" s="10" t="str">
        <f aca="false">C17</f>
        <v>Bombas (llenado / trasiego)</v>
      </c>
      <c r="D50" s="38" t="n">
        <f aca="false">COUNTIFS(Datos!$S$2:$S$319,$C50,Datos!$A$2:$A$319,"Enero")</f>
        <v>2</v>
      </c>
      <c r="E50" s="38" t="n">
        <f aca="false">COUNTIFS(Datos!$S$2:$S$319,$C50,Datos!$A$2:$A$319,"Mayo")</f>
        <v>4</v>
      </c>
      <c r="F50" s="38" t="n">
        <f aca="false">COUNTIFS(Datos!$S$2:$S$319,$C50,Datos!$A$2:$A$319,"Junio")</f>
        <v>3</v>
      </c>
      <c r="G50" s="38" t="n">
        <f aca="false">COUNTIFS(Datos!$S$2:$S$319,$C50,Datos!$A$2:$A$319,"Julio")</f>
        <v>0</v>
      </c>
      <c r="H50" s="39" t="n">
        <f aca="false">SUM(D50:G50)</f>
        <v>9</v>
      </c>
      <c r="I50" s="1"/>
      <c r="J50" s="1"/>
      <c r="K50" s="1"/>
    </row>
    <row r="51" customFormat="false" ht="15" hidden="false" customHeight="false" outlineLevel="0" collapsed="false">
      <c r="A51" s="1"/>
      <c r="B51" s="1"/>
      <c r="C51" s="10" t="str">
        <f aca="false">C18</f>
        <v>Tolva tapada / ajuste de tolva</v>
      </c>
      <c r="D51" s="38" t="n">
        <f aca="false">COUNTIFS(Datos!$S$2:$S$319,$C51,Datos!$A$2:$A$319,"Enero")</f>
        <v>1</v>
      </c>
      <c r="E51" s="38" t="n">
        <f aca="false">COUNTIFS(Datos!$S$2:$S$319,$C51,Datos!$A$2:$A$319,"Mayo")</f>
        <v>3</v>
      </c>
      <c r="F51" s="38" t="n">
        <f aca="false">COUNTIFS(Datos!$S$2:$S$319,$C51,Datos!$A$2:$A$319,"Junio")</f>
        <v>0</v>
      </c>
      <c r="G51" s="38" t="n">
        <f aca="false">COUNTIFS(Datos!$S$2:$S$319,$C51,Datos!$A$2:$A$319,"Julio")</f>
        <v>4</v>
      </c>
      <c r="H51" s="39" t="n">
        <f aca="false">SUM(D51:G51)</f>
        <v>8</v>
      </c>
      <c r="I51" s="1"/>
      <c r="J51" s="1"/>
      <c r="K51" s="1"/>
    </row>
    <row r="52" customFormat="false" ht="15" hidden="false" customHeight="false" outlineLevel="0" collapsed="false">
      <c r="A52" s="1"/>
      <c r="B52" s="1"/>
      <c r="C52" s="10" t="str">
        <f aca="false">C19</f>
        <v>Válvula de admisión sistema OGA / succión</v>
      </c>
      <c r="D52" s="38" t="n">
        <f aca="false">COUNTIFS(Datos!$S$2:$S$319,$C52,Datos!$A$2:$A$319,"Enero")</f>
        <v>0</v>
      </c>
      <c r="E52" s="38" t="n">
        <f aca="false">COUNTIFS(Datos!$S$2:$S$319,$C52,Datos!$A$2:$A$319,"Mayo")</f>
        <v>8</v>
      </c>
      <c r="F52" s="38" t="n">
        <f aca="false">COUNTIFS(Datos!$S$2:$S$319,$C52,Datos!$A$2:$A$319,"Junio")</f>
        <v>0</v>
      </c>
      <c r="G52" s="38" t="n">
        <f aca="false">COUNTIFS(Datos!$S$2:$S$319,$C52,Datos!$A$2:$A$319,"Julio")</f>
        <v>0</v>
      </c>
      <c r="H52" s="39" t="n">
        <f aca="false">SUM(D52:G52)</f>
        <v>8</v>
      </c>
      <c r="I52" s="1"/>
      <c r="J52" s="1"/>
      <c r="K52" s="1"/>
    </row>
    <row r="53" customFormat="false" ht="15" hidden="false" customHeight="false" outlineLevel="0" collapsed="false">
      <c r="A53" s="1"/>
      <c r="B53" s="1"/>
      <c r="C53" s="10" t="str">
        <f aca="false">C20</f>
        <v>Máquina / mordazas apagadas (espera de calentamiento)</v>
      </c>
      <c r="D53" s="38" t="n">
        <f aca="false">COUNTIFS(Datos!$S$2:$S$319,$C53,Datos!$A$2:$A$319,"Enero")</f>
        <v>2</v>
      </c>
      <c r="E53" s="38" t="n">
        <f aca="false">COUNTIFS(Datos!$S$2:$S$319,$C53,Datos!$A$2:$A$319,"Mayo")</f>
        <v>3</v>
      </c>
      <c r="F53" s="38" t="n">
        <f aca="false">COUNTIFS(Datos!$S$2:$S$319,$C53,Datos!$A$2:$A$319,"Junio")</f>
        <v>0</v>
      </c>
      <c r="G53" s="38" t="n">
        <f aca="false">COUNTIFS(Datos!$S$2:$S$319,$C53,Datos!$A$2:$A$319,"Julio")</f>
        <v>1</v>
      </c>
      <c r="H53" s="39" t="n">
        <f aca="false">SUM(D53:G53)</f>
        <v>6</v>
      </c>
      <c r="I53" s="1"/>
      <c r="J53" s="1"/>
      <c r="K53" s="1"/>
    </row>
    <row r="54" customFormat="false" ht="15" hidden="false" customHeight="false" outlineLevel="0" collapsed="false">
      <c r="A54" s="1"/>
      <c r="B54" s="1"/>
      <c r="C54" s="10" t="str">
        <f aca="false">C21</f>
        <v>Coronas de perforadores</v>
      </c>
      <c r="D54" s="38" t="n">
        <f aca="false">COUNTIFS(Datos!$S$2:$S$319,$C54,Datos!$A$2:$A$319,"Enero")</f>
        <v>1</v>
      </c>
      <c r="E54" s="38" t="n">
        <f aca="false">COUNTIFS(Datos!$S$2:$S$319,$C54,Datos!$A$2:$A$319,"Mayo")</f>
        <v>1</v>
      </c>
      <c r="F54" s="38" t="n">
        <f aca="false">COUNTIFS(Datos!$S$2:$S$319,$C54,Datos!$A$2:$A$319,"Junio")</f>
        <v>1</v>
      </c>
      <c r="G54" s="38" t="n">
        <f aca="false">COUNTIFS(Datos!$S$2:$S$319,$C54,Datos!$A$2:$A$319,"Julio")</f>
        <v>3</v>
      </c>
      <c r="H54" s="39" t="n">
        <f aca="false">SUM(D54:G54)</f>
        <v>6</v>
      </c>
      <c r="I54" s="1"/>
      <c r="J54" s="1"/>
      <c r="K54" s="1"/>
    </row>
    <row r="55" customFormat="false" ht="15" hidden="false" customHeight="false" outlineLevel="0" collapsed="false">
      <c r="A55" s="1"/>
      <c r="B55" s="1"/>
      <c r="C55" s="10" t="str">
        <f aca="false">C22</f>
        <v>Falta de servicios (vapor / aire)</v>
      </c>
      <c r="D55" s="38" t="n">
        <f aca="false">COUNTIFS(Datos!$S$2:$S$319,$C55,Datos!$A$2:$A$319,"Enero")</f>
        <v>2</v>
      </c>
      <c r="E55" s="38" t="n">
        <f aca="false">COUNTIFS(Datos!$S$2:$S$319,$C55,Datos!$A$2:$A$319,"Mayo")</f>
        <v>0</v>
      </c>
      <c r="F55" s="38" t="n">
        <f aca="false">COUNTIFS(Datos!$S$2:$S$319,$C55,Datos!$A$2:$A$319,"Junio")</f>
        <v>2</v>
      </c>
      <c r="G55" s="38" t="n">
        <f aca="false">COUNTIFS(Datos!$S$2:$S$319,$C55,Datos!$A$2:$A$319,"Julio")</f>
        <v>0</v>
      </c>
      <c r="H55" s="39" t="n">
        <f aca="false">SUM(D55:G55)</f>
        <v>4</v>
      </c>
      <c r="I55" s="1"/>
      <c r="J55" s="1"/>
      <c r="K55" s="1"/>
    </row>
    <row r="56" customFormat="false" ht="15" hidden="false" customHeight="false" outlineLevel="0" collapsed="false">
      <c r="A56" s="1"/>
      <c r="B56" s="1"/>
      <c r="C56" s="10" t="str">
        <f aca="false">C23</f>
        <v>Motores y motorreductores</v>
      </c>
      <c r="D56" s="38" t="n">
        <f aca="false">COUNTIFS(Datos!$S$2:$S$319,$C56,Datos!$A$2:$A$319,"Enero")</f>
        <v>2</v>
      </c>
      <c r="E56" s="38" t="n">
        <f aca="false">COUNTIFS(Datos!$S$2:$S$319,$C56,Datos!$A$2:$A$319,"Mayo")</f>
        <v>0</v>
      </c>
      <c r="F56" s="38" t="n">
        <f aca="false">COUNTIFS(Datos!$S$2:$S$319,$C56,Datos!$A$2:$A$319,"Junio")</f>
        <v>1</v>
      </c>
      <c r="G56" s="38" t="n">
        <f aca="false">COUNTIFS(Datos!$S$2:$S$319,$C56,Datos!$A$2:$A$319,"Julio")</f>
        <v>0</v>
      </c>
      <c r="H56" s="39" t="n">
        <f aca="false">SUM(D56:G56)</f>
        <v>3</v>
      </c>
      <c r="I56" s="1"/>
      <c r="J56" s="1"/>
      <c r="K56" s="1"/>
    </row>
    <row r="57" customFormat="false" ht="15" hidden="false" customHeight="false" outlineLevel="0" collapsed="false">
      <c r="A57" s="1"/>
      <c r="B57" s="1"/>
      <c r="C57" s="10" t="str">
        <f aca="false">C24</f>
        <v>Frenos</v>
      </c>
      <c r="D57" s="38" t="n">
        <f aca="false">COUNTIFS(Datos!$S$2:$S$319,$C57,Datos!$A$2:$A$319,"Enero")</f>
        <v>0</v>
      </c>
      <c r="E57" s="38" t="n">
        <f aca="false">COUNTIFS(Datos!$S$2:$S$319,$C57,Datos!$A$2:$A$319,"Mayo")</f>
        <v>2</v>
      </c>
      <c r="F57" s="38" t="n">
        <f aca="false">COUNTIFS(Datos!$S$2:$S$319,$C57,Datos!$A$2:$A$319,"Junio")</f>
        <v>0</v>
      </c>
      <c r="G57" s="38" t="n">
        <f aca="false">COUNTIFS(Datos!$S$2:$S$319,$C57,Datos!$A$2:$A$319,"Julio")</f>
        <v>1</v>
      </c>
      <c r="H57" s="39" t="n">
        <f aca="false">SUM(D57:G57)</f>
        <v>3</v>
      </c>
      <c r="I57" s="1"/>
      <c r="J57" s="1"/>
      <c r="K57" s="1"/>
    </row>
    <row r="58" customFormat="false" ht="15" hidden="false" customHeight="false" outlineLevel="0" collapsed="false">
      <c r="A58" s="1"/>
      <c r="B58" s="1"/>
      <c r="C58" s="10" t="str">
        <f aca="false">C25</f>
        <v>Falta de técnico / EPP</v>
      </c>
      <c r="D58" s="38" t="n">
        <f aca="false">COUNTIFS(Datos!$S$2:$S$319,$C58,Datos!$A$2:$A$319,"Enero")</f>
        <v>0</v>
      </c>
      <c r="E58" s="38" t="n">
        <f aca="false">COUNTIFS(Datos!$S$2:$S$319,$C58,Datos!$A$2:$A$319,"Mayo")</f>
        <v>1</v>
      </c>
      <c r="F58" s="38" t="n">
        <f aca="false">COUNTIFS(Datos!$S$2:$S$319,$C58,Datos!$A$2:$A$319,"Junio")</f>
        <v>2</v>
      </c>
      <c r="G58" s="38" t="n">
        <f aca="false">COUNTIFS(Datos!$S$2:$S$319,$C58,Datos!$A$2:$A$319,"Julio")</f>
        <v>0</v>
      </c>
      <c r="H58" s="39" t="n">
        <f aca="false">SUM(D58:G58)</f>
        <v>3</v>
      </c>
      <c r="I58" s="1"/>
      <c r="J58" s="1"/>
      <c r="K58" s="1"/>
    </row>
    <row r="59" customFormat="false" ht="15" hidden="false" customHeight="false" outlineLevel="0" collapsed="false">
      <c r="A59" s="1"/>
      <c r="B59" s="1"/>
      <c r="C59" s="10" t="str">
        <f aca="false">C26</f>
        <v>Celda de carga / báscula</v>
      </c>
      <c r="D59" s="38" t="n">
        <f aca="false">COUNTIFS(Datos!$S$2:$S$319,$C59,Datos!$A$2:$A$319,"Enero")</f>
        <v>0</v>
      </c>
      <c r="E59" s="38" t="n">
        <f aca="false">COUNTIFS(Datos!$S$2:$S$319,$C59,Datos!$A$2:$A$319,"Mayo")</f>
        <v>1</v>
      </c>
      <c r="F59" s="38" t="n">
        <f aca="false">COUNTIFS(Datos!$S$2:$S$319,$C59,Datos!$A$2:$A$319,"Junio")</f>
        <v>1</v>
      </c>
      <c r="G59" s="38" t="n">
        <f aca="false">COUNTIFS(Datos!$S$2:$S$319,$C59,Datos!$A$2:$A$319,"Julio")</f>
        <v>1</v>
      </c>
      <c r="H59" s="39" t="n">
        <f aca="false">SUM(D59:G59)</f>
        <v>3</v>
      </c>
      <c r="I59" s="1"/>
      <c r="J59" s="1"/>
      <c r="K59" s="1"/>
    </row>
    <row r="60" customFormat="false" ht="15" hidden="false" customHeight="false" outlineLevel="0" collapsed="false">
      <c r="A60" s="1"/>
      <c r="B60" s="1"/>
      <c r="C60" s="10" t="str">
        <f aca="false">C27</f>
        <v>Virador de rollos dañado</v>
      </c>
      <c r="D60" s="38" t="n">
        <f aca="false">COUNTIFS(Datos!$S$2:$S$319,$C60,Datos!$A$2:$A$319,"Enero")</f>
        <v>1</v>
      </c>
      <c r="E60" s="38" t="n">
        <f aca="false">COUNTIFS(Datos!$S$2:$S$319,$C60,Datos!$A$2:$A$319,"Mayo")</f>
        <v>0</v>
      </c>
      <c r="F60" s="38" t="n">
        <f aca="false">COUNTIFS(Datos!$S$2:$S$319,$C60,Datos!$A$2:$A$319,"Junio")</f>
        <v>0</v>
      </c>
      <c r="G60" s="38" t="n">
        <f aca="false">COUNTIFS(Datos!$S$2:$S$319,$C60,Datos!$A$2:$A$319,"Julio")</f>
        <v>2</v>
      </c>
      <c r="H60" s="39" t="n">
        <f aca="false">SUM(D60:G60)</f>
        <v>3</v>
      </c>
      <c r="I60" s="1"/>
      <c r="J60" s="1"/>
      <c r="K60" s="1"/>
    </row>
    <row r="61" customFormat="false" ht="15" hidden="false" customHeight="false" outlineLevel="0" collapsed="false">
      <c r="A61" s="1"/>
      <c r="B61" s="1"/>
      <c r="C61" s="10" t="str">
        <f aca="false">C28</f>
        <v>Enfajadora fuera de servicio</v>
      </c>
      <c r="D61" s="38" t="n">
        <f aca="false">COUNTIFS(Datos!$S$2:$S$319,$C61,Datos!$A$2:$A$319,"Enero")</f>
        <v>0</v>
      </c>
      <c r="E61" s="38" t="n">
        <f aca="false">COUNTIFS(Datos!$S$2:$S$319,$C61,Datos!$A$2:$A$319,"Mayo")</f>
        <v>0</v>
      </c>
      <c r="F61" s="38" t="n">
        <f aca="false">COUNTIFS(Datos!$S$2:$S$319,$C61,Datos!$A$2:$A$319,"Junio")</f>
        <v>0</v>
      </c>
      <c r="G61" s="38" t="n">
        <f aca="false">COUNTIFS(Datos!$S$2:$S$319,$C61,Datos!$A$2:$A$319,"Julio")</f>
        <v>2</v>
      </c>
      <c r="H61" s="39" t="n">
        <f aca="false">SUM(D61:G61)</f>
        <v>2</v>
      </c>
      <c r="I61" s="1"/>
      <c r="J61" s="1"/>
      <c r="K61" s="1"/>
    </row>
    <row r="62" customFormat="false" ht="15" hidden="false" customHeight="false" outlineLevel="0" collapsed="false">
      <c r="A62" s="1"/>
      <c r="B62" s="1"/>
      <c r="C62" s="10" t="str">
        <f aca="false">C29</f>
        <v>Placa de rebote</v>
      </c>
      <c r="D62" s="38" t="n">
        <f aca="false">COUNTIFS(Datos!$S$2:$S$319,$C62,Datos!$A$2:$A$319,"Enero")</f>
        <v>0</v>
      </c>
      <c r="E62" s="38" t="n">
        <f aca="false">COUNTIFS(Datos!$S$2:$S$319,$C62,Datos!$A$2:$A$319,"Mayo")</f>
        <v>2</v>
      </c>
      <c r="F62" s="38" t="n">
        <f aca="false">COUNTIFS(Datos!$S$2:$S$319,$C62,Datos!$A$2:$A$319,"Junio")</f>
        <v>0</v>
      </c>
      <c r="G62" s="38" t="n">
        <f aca="false">COUNTIFS(Datos!$S$2:$S$319,$C62,Datos!$A$2:$A$319,"Julio")</f>
        <v>0</v>
      </c>
      <c r="H62" s="39" t="n">
        <f aca="false">SUM(D62:G62)</f>
        <v>2</v>
      </c>
      <c r="I62" s="1"/>
      <c r="J62" s="1"/>
      <c r="K62" s="1"/>
    </row>
    <row r="63" customFormat="false" ht="15" hidden="false" customHeight="false" outlineLevel="0" collapsed="false">
      <c r="A63" s="1"/>
      <c r="B63" s="1"/>
      <c r="C63" s="10" t="str">
        <f aca="false">C30</f>
        <v>Espera de permiso EHS (trabajo en caliente)</v>
      </c>
      <c r="D63" s="38" t="n">
        <f aca="false">COUNTIFS(Datos!$S$2:$S$319,$C63,Datos!$A$2:$A$319,"Enero")</f>
        <v>0</v>
      </c>
      <c r="E63" s="38" t="n">
        <f aca="false">COUNTIFS(Datos!$S$2:$S$319,$C63,Datos!$A$2:$A$319,"Mayo")</f>
        <v>0</v>
      </c>
      <c r="F63" s="38" t="n">
        <f aca="false">COUNTIFS(Datos!$S$2:$S$319,$C63,Datos!$A$2:$A$319,"Junio")</f>
        <v>0</v>
      </c>
      <c r="G63" s="38" t="n">
        <f aca="false">COUNTIFS(Datos!$S$2:$S$319,$C63,Datos!$A$2:$A$319,"Julio")</f>
        <v>2</v>
      </c>
      <c r="H63" s="39" t="n">
        <f aca="false">SUM(D63:G63)</f>
        <v>2</v>
      </c>
      <c r="I63" s="1"/>
      <c r="J63" s="1"/>
      <c r="K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customFormat="false" ht="15" hidden="false" customHeight="false" outlineLevel="0" collapsed="false">
      <c r="A65" s="1"/>
      <c r="B65" s="8" t="s">
        <v>152</v>
      </c>
      <c r="C65" s="1"/>
      <c r="D65" s="1"/>
      <c r="E65" s="1"/>
      <c r="F65" s="1"/>
      <c r="G65" s="1"/>
      <c r="H65" s="1"/>
      <c r="I65" s="1"/>
      <c r="J65" s="1"/>
      <c r="K65" s="1"/>
    </row>
    <row r="66" customFormat="false" ht="15" hidden="false" customHeight="true" outlineLevel="0" collapsed="false">
      <c r="A66" s="1"/>
      <c r="B66" s="9" t="s">
        <v>45</v>
      </c>
      <c r="C66" s="9" t="s">
        <v>56</v>
      </c>
      <c r="D66" s="9" t="s">
        <v>57</v>
      </c>
      <c r="E66" s="9" t="s">
        <v>11</v>
      </c>
      <c r="F66" s="9" t="s">
        <v>12</v>
      </c>
      <c r="G66" s="9" t="s">
        <v>153</v>
      </c>
      <c r="H66" s="9" t="s">
        <v>18</v>
      </c>
      <c r="I66" s="9" t="s">
        <v>61</v>
      </c>
      <c r="J66" s="9" t="s">
        <v>154</v>
      </c>
      <c r="K66" s="9"/>
    </row>
    <row r="67" customFormat="false" ht="27.75" hidden="false" customHeight="true" outlineLevel="0" collapsed="false">
      <c r="A67" s="1"/>
      <c r="B67" s="10" t="n">
        <v>1</v>
      </c>
      <c r="C67" s="10" t="s">
        <v>63</v>
      </c>
      <c r="D67" s="32" t="n">
        <f aca="false">COUNTIFS(Datos!$S$2:$S$319,C67,Datos!$D$2:$D$319,H67)</f>
        <v>50</v>
      </c>
      <c r="E67" s="11" t="n">
        <f aca="false">SUMIFS(Datos!$M$2:$M$319,Datos!$S$2:$S$319,C67,Datos!$D$2:$D$319,H67)</f>
        <v>2722</v>
      </c>
      <c r="F67" s="12" t="n">
        <f aca="false">E67/60</f>
        <v>45.3666666666667</v>
      </c>
      <c r="G67" s="10" t="n">
        <v>11</v>
      </c>
      <c r="H67" s="10" t="s">
        <v>20</v>
      </c>
      <c r="I67" s="10" t="s">
        <v>131</v>
      </c>
      <c r="J67" s="18" t="s">
        <v>155</v>
      </c>
      <c r="K67" s="18"/>
    </row>
    <row r="68" customFormat="false" ht="27.75" hidden="false" customHeight="true" outlineLevel="0" collapsed="false">
      <c r="A68" s="1"/>
      <c r="B68" s="10" t="n">
        <v>2</v>
      </c>
      <c r="C68" s="10" t="s">
        <v>79</v>
      </c>
      <c r="D68" s="32" t="n">
        <f aca="false">COUNTIFS(Datos!$S$2:$S$319,C68,Datos!$D$2:$D$319,H68)</f>
        <v>10</v>
      </c>
      <c r="E68" s="11" t="n">
        <f aca="false">SUMIFS(Datos!$M$2:$M$319,Datos!$S$2:$S$319,C68,Datos!$D$2:$D$319,H68)</f>
        <v>356</v>
      </c>
      <c r="F68" s="12" t="n">
        <f aca="false">E68/60</f>
        <v>5.93333333333333</v>
      </c>
      <c r="G68" s="10" t="n">
        <v>5</v>
      </c>
      <c r="H68" s="10" t="s">
        <v>24</v>
      </c>
      <c r="I68" s="10" t="s">
        <v>156</v>
      </c>
      <c r="J68" s="18" t="s">
        <v>157</v>
      </c>
      <c r="K68" s="18"/>
    </row>
    <row r="69" customFormat="false" ht="27.75" hidden="false" customHeight="true" outlineLevel="0" collapsed="false">
      <c r="A69" s="1"/>
      <c r="B69" s="10" t="n">
        <v>3</v>
      </c>
      <c r="C69" s="10" t="s">
        <v>70</v>
      </c>
      <c r="D69" s="32" t="n">
        <f aca="false">COUNTIFS(Datos!$S$2:$S$319,C69,Datos!$D$2:$D$319,H69)</f>
        <v>10</v>
      </c>
      <c r="E69" s="11" t="n">
        <f aca="false">SUMIFS(Datos!$M$2:$M$319,Datos!$S$2:$S$319,C69,Datos!$D$2:$D$319,H69)</f>
        <v>269</v>
      </c>
      <c r="F69" s="12" t="n">
        <f aca="false">E69/60</f>
        <v>4.48333333333333</v>
      </c>
      <c r="G69" s="10" t="n">
        <v>6</v>
      </c>
      <c r="H69" s="10" t="s">
        <v>21</v>
      </c>
      <c r="I69" s="10" t="s">
        <v>91</v>
      </c>
      <c r="J69" s="18" t="s">
        <v>158</v>
      </c>
      <c r="K69" s="18"/>
    </row>
    <row r="70" customFormat="false" ht="27.75" hidden="false" customHeight="true" outlineLevel="0" collapsed="false">
      <c r="A70" s="1"/>
      <c r="B70" s="10" t="n">
        <v>4</v>
      </c>
      <c r="C70" s="10" t="s">
        <v>83</v>
      </c>
      <c r="D70" s="32" t="n">
        <f aca="false">COUNTIFS(Datos!$S$2:$S$319,C70,Datos!$D$2:$D$319,H70)</f>
        <v>9</v>
      </c>
      <c r="E70" s="11" t="n">
        <f aca="false">SUMIFS(Datos!$M$2:$M$319,Datos!$S$2:$S$319,C70,Datos!$D$2:$D$319,H70)</f>
        <v>212</v>
      </c>
      <c r="F70" s="12" t="n">
        <f aca="false">E70/60</f>
        <v>3.53333333333333</v>
      </c>
      <c r="G70" s="10" t="n">
        <v>4</v>
      </c>
      <c r="H70" s="10" t="s">
        <v>22</v>
      </c>
      <c r="I70" s="10" t="s">
        <v>138</v>
      </c>
      <c r="J70" s="18" t="s">
        <v>159</v>
      </c>
      <c r="K70" s="18"/>
    </row>
    <row r="71" customFormat="false" ht="27.75" hidden="false" customHeight="true" outlineLevel="0" collapsed="false">
      <c r="A71" s="1"/>
      <c r="B71" s="10" t="n">
        <v>5</v>
      </c>
      <c r="C71" s="10" t="s">
        <v>67</v>
      </c>
      <c r="D71" s="32" t="n">
        <f aca="false">COUNTIFS(Datos!$S$2:$S$319,C71,Datos!$D$2:$D$319,H71)</f>
        <v>8</v>
      </c>
      <c r="E71" s="11" t="n">
        <f aca="false">SUMIFS(Datos!$M$2:$M$319,Datos!$S$2:$S$319,C71,Datos!$D$2:$D$319,H71)</f>
        <v>693</v>
      </c>
      <c r="F71" s="12" t="n">
        <f aca="false">E71/60</f>
        <v>11.55</v>
      </c>
      <c r="G71" s="10" t="n">
        <v>5</v>
      </c>
      <c r="H71" s="10" t="s">
        <v>23</v>
      </c>
      <c r="I71" s="10" t="s">
        <v>81</v>
      </c>
      <c r="J71" s="18" t="s">
        <v>160</v>
      </c>
      <c r="K71" s="18"/>
    </row>
    <row r="72" customFormat="false" ht="27.75" hidden="false" customHeight="true" outlineLevel="0" collapsed="false">
      <c r="A72" s="1"/>
      <c r="B72" s="10" t="n">
        <v>6</v>
      </c>
      <c r="C72" s="10" t="s">
        <v>99</v>
      </c>
      <c r="D72" s="32" t="n">
        <f aca="false">COUNTIFS(Datos!$S$2:$S$319,C72,Datos!$D$2:$D$319,H72)</f>
        <v>7</v>
      </c>
      <c r="E72" s="11" t="n">
        <f aca="false">SUMIFS(Datos!$M$2:$M$319,Datos!$S$2:$S$319,C72,Datos!$D$2:$D$319,H72)</f>
        <v>311</v>
      </c>
      <c r="F72" s="12" t="n">
        <f aca="false">E72/60</f>
        <v>5.18333333333333</v>
      </c>
      <c r="G72" s="10" t="n">
        <v>3</v>
      </c>
      <c r="H72" s="10" t="s">
        <v>24</v>
      </c>
      <c r="I72" s="10" t="s">
        <v>16</v>
      </c>
      <c r="J72" s="18" t="s">
        <v>161</v>
      </c>
      <c r="K72" s="18"/>
    </row>
    <row r="73" customFormat="false" ht="27.75" hidden="false" customHeight="true" outlineLevel="0" collapsed="false">
      <c r="A73" s="1"/>
      <c r="B73" s="10" t="n">
        <v>7</v>
      </c>
      <c r="C73" s="10" t="s">
        <v>109</v>
      </c>
      <c r="D73" s="32" t="n">
        <f aca="false">COUNTIFS(Datos!$S$2:$S$319,C73,Datos!$D$2:$D$319,H73)</f>
        <v>7</v>
      </c>
      <c r="E73" s="11" t="n">
        <f aca="false">SUMIFS(Datos!$M$2:$M$319,Datos!$S$2:$S$319,C73,Datos!$D$2:$D$319,H73)</f>
        <v>298</v>
      </c>
      <c r="F73" s="12" t="n">
        <f aca="false">E73/60</f>
        <v>4.96666666666667</v>
      </c>
      <c r="G73" s="10" t="n">
        <v>1</v>
      </c>
      <c r="H73" s="10" t="s">
        <v>28</v>
      </c>
      <c r="I73" s="10" t="s">
        <v>14</v>
      </c>
      <c r="J73" s="18" t="s">
        <v>162</v>
      </c>
      <c r="K73" s="18"/>
    </row>
    <row r="74" customFormat="false" ht="27.75" hidden="false" customHeight="true" outlineLevel="0" collapsed="false">
      <c r="A74" s="1"/>
      <c r="B74" s="10" t="n">
        <v>8</v>
      </c>
      <c r="C74" s="10" t="s">
        <v>67</v>
      </c>
      <c r="D74" s="32" t="n">
        <f aca="false">COUNTIFS(Datos!$S$2:$S$319,C74,Datos!$D$2:$D$319,H74)</f>
        <v>6</v>
      </c>
      <c r="E74" s="11" t="n">
        <f aca="false">SUMIFS(Datos!$M$2:$M$319,Datos!$S$2:$S$319,C74,Datos!$D$2:$D$319,H74)</f>
        <v>226</v>
      </c>
      <c r="F74" s="12" t="n">
        <f aca="false">E74/60</f>
        <v>3.76666666666667</v>
      </c>
      <c r="G74" s="10" t="n">
        <v>5</v>
      </c>
      <c r="H74" s="10" t="s">
        <v>25</v>
      </c>
      <c r="I74" s="10" t="s">
        <v>138</v>
      </c>
      <c r="J74" s="18" t="s">
        <v>163</v>
      </c>
      <c r="K74" s="18"/>
    </row>
    <row r="75" customFormat="false" ht="27.75" hidden="false" customHeight="true" outlineLevel="0" collapsed="false">
      <c r="A75" s="1"/>
      <c r="B75" s="10" t="n">
        <v>9</v>
      </c>
      <c r="C75" s="10" t="s">
        <v>86</v>
      </c>
      <c r="D75" s="32" t="n">
        <f aca="false">COUNTIFS(Datos!$S$2:$S$319,C75,Datos!$D$2:$D$319,H75)</f>
        <v>6</v>
      </c>
      <c r="E75" s="11" t="n">
        <f aca="false">SUMIFS(Datos!$M$2:$M$319,Datos!$S$2:$S$319,C75,Datos!$D$2:$D$319,H75)</f>
        <v>152</v>
      </c>
      <c r="F75" s="12" t="n">
        <f aca="false">E75/60</f>
        <v>2.53333333333333</v>
      </c>
      <c r="G75" s="10" t="n">
        <v>4</v>
      </c>
      <c r="H75" s="10" t="s">
        <v>20</v>
      </c>
      <c r="I75" s="10" t="s">
        <v>14</v>
      </c>
      <c r="J75" s="18" t="s">
        <v>164</v>
      </c>
      <c r="K75" s="18"/>
    </row>
    <row r="76" customFormat="false" ht="27.75" hidden="false" customHeight="true" outlineLevel="0" collapsed="false">
      <c r="A76" s="1"/>
      <c r="B76" s="10" t="n">
        <v>10</v>
      </c>
      <c r="C76" s="10" t="s">
        <v>79</v>
      </c>
      <c r="D76" s="32" t="n">
        <f aca="false">COUNTIFS(Datos!$S$2:$S$319,C76,Datos!$D$2:$D$319,H76)</f>
        <v>6</v>
      </c>
      <c r="E76" s="11" t="n">
        <f aca="false">SUMIFS(Datos!$M$2:$M$319,Datos!$S$2:$S$319,C76,Datos!$D$2:$D$319,H76)</f>
        <v>118</v>
      </c>
      <c r="F76" s="12" t="n">
        <f aca="false">E76/60</f>
        <v>1.96666666666667</v>
      </c>
      <c r="G76" s="10" t="n">
        <v>3</v>
      </c>
      <c r="H76" s="10" t="s">
        <v>22</v>
      </c>
      <c r="I76" s="10" t="s">
        <v>131</v>
      </c>
      <c r="J76" s="18" t="s">
        <v>165</v>
      </c>
      <c r="K76" s="18"/>
    </row>
  </sheetData>
  <mergeCells count="11"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</mergeCells>
  <conditionalFormatting sqref="D38:G63">
    <cfRule type="colorScale" priority="2">
      <colorScale>
        <cfvo type="num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2" min="11" style="0" width="8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60"/>
    <col collapsed="false" customWidth="true" hidden="false" outlineLevel="0" max="17" min="17" style="0" width="18"/>
    <col collapsed="false" customWidth="true" hidden="false" outlineLevel="0" max="18" min="18" style="0" width="9"/>
    <col collapsed="false" customWidth="true" hidden="false" outlineLevel="0" max="19" min="19" style="0" width="42"/>
  </cols>
  <sheetData>
    <row r="1" customFormat="false" ht="46.25" hidden="false" customHeight="false" outlineLevel="0" collapsed="false">
      <c r="A1" s="9" t="s">
        <v>166</v>
      </c>
      <c r="B1" s="9" t="s">
        <v>167</v>
      </c>
      <c r="C1" s="9" t="s">
        <v>168</v>
      </c>
      <c r="D1" s="9" t="s">
        <v>169</v>
      </c>
      <c r="E1" s="9" t="s">
        <v>170</v>
      </c>
      <c r="F1" s="9" t="s">
        <v>171</v>
      </c>
      <c r="G1" s="9" t="s">
        <v>172</v>
      </c>
      <c r="H1" s="9" t="s">
        <v>173</v>
      </c>
      <c r="I1" s="9" t="s">
        <v>174</v>
      </c>
      <c r="J1" s="9" t="s">
        <v>175</v>
      </c>
      <c r="K1" s="9" t="s">
        <v>176</v>
      </c>
      <c r="L1" s="9" t="s">
        <v>177</v>
      </c>
      <c r="M1" s="9" t="s">
        <v>178</v>
      </c>
      <c r="N1" s="9" t="s">
        <v>179</v>
      </c>
      <c r="O1" s="9" t="s">
        <v>180</v>
      </c>
      <c r="P1" s="9" t="s">
        <v>181</v>
      </c>
      <c r="Q1" s="9" t="s">
        <v>182</v>
      </c>
      <c r="R1" s="9" t="s">
        <v>183</v>
      </c>
      <c r="S1" s="9" t="s">
        <v>184</v>
      </c>
    </row>
    <row r="2" customFormat="false" ht="15" hidden="false" customHeight="false" outlineLevel="0" collapsed="false">
      <c r="A2" s="10" t="s">
        <v>13</v>
      </c>
      <c r="B2" s="10" t="n">
        <v>34081</v>
      </c>
      <c r="C2" s="40" t="n">
        <v>46027</v>
      </c>
      <c r="D2" s="10" t="s">
        <v>27</v>
      </c>
      <c r="E2" s="10" t="s">
        <v>185</v>
      </c>
      <c r="F2" s="10" t="s">
        <v>186</v>
      </c>
      <c r="G2" s="10" t="s">
        <v>187</v>
      </c>
      <c r="H2" s="10" t="s">
        <v>37</v>
      </c>
      <c r="I2" s="10" t="s">
        <v>188</v>
      </c>
      <c r="J2" s="10" t="s">
        <v>189</v>
      </c>
      <c r="K2" s="10" t="s">
        <v>190</v>
      </c>
      <c r="L2" s="10" t="s">
        <v>191</v>
      </c>
      <c r="M2" s="10" t="n">
        <v>50</v>
      </c>
      <c r="N2" s="10" t="n">
        <v>50</v>
      </c>
      <c r="O2" s="10" t="n">
        <f aca="false">M2-N2</f>
        <v>0</v>
      </c>
      <c r="P2" s="10" t="s">
        <v>192</v>
      </c>
      <c r="Q2" s="10" t="s">
        <v>193</v>
      </c>
      <c r="R2" s="10" t="s">
        <v>194</v>
      </c>
      <c r="S2" s="10" t="s">
        <v>67</v>
      </c>
    </row>
    <row r="3" customFormat="false" ht="15" hidden="false" customHeight="false" outlineLevel="0" collapsed="false">
      <c r="A3" s="10" t="s">
        <v>13</v>
      </c>
      <c r="B3" s="10" t="n">
        <v>34114</v>
      </c>
      <c r="C3" s="40" t="n">
        <v>46027</v>
      </c>
      <c r="D3" s="10" t="s">
        <v>28</v>
      </c>
      <c r="E3" s="10" t="s">
        <v>185</v>
      </c>
      <c r="F3" s="10" t="s">
        <v>195</v>
      </c>
      <c r="G3" s="10" t="s">
        <v>196</v>
      </c>
      <c r="H3" s="10" t="s">
        <v>197</v>
      </c>
      <c r="I3" s="10" t="s">
        <v>198</v>
      </c>
      <c r="J3" s="10" t="s">
        <v>189</v>
      </c>
      <c r="K3" s="10" t="s">
        <v>199</v>
      </c>
      <c r="L3" s="10" t="s">
        <v>200</v>
      </c>
      <c r="M3" s="10" t="n">
        <v>15</v>
      </c>
      <c r="N3" s="10" t="n">
        <v>15</v>
      </c>
      <c r="O3" s="10" t="n">
        <f aca="false">M3-N3</f>
        <v>0</v>
      </c>
      <c r="P3" s="10" t="s">
        <v>201</v>
      </c>
      <c r="Q3" s="10" t="s">
        <v>202</v>
      </c>
      <c r="R3" s="10" t="s">
        <v>194</v>
      </c>
      <c r="S3" s="10" t="s">
        <v>73</v>
      </c>
    </row>
    <row r="4" customFormat="false" ht="15" hidden="false" customHeight="false" outlineLevel="0" collapsed="false">
      <c r="A4" s="10" t="s">
        <v>13</v>
      </c>
      <c r="B4" s="10" t="n">
        <v>34166</v>
      </c>
      <c r="C4" s="40" t="n">
        <v>46028</v>
      </c>
      <c r="D4" s="10" t="s">
        <v>26</v>
      </c>
      <c r="E4" s="10" t="s">
        <v>185</v>
      </c>
      <c r="F4" s="10" t="s">
        <v>203</v>
      </c>
      <c r="G4" s="10" t="s">
        <v>204</v>
      </c>
      <c r="H4" s="10" t="s">
        <v>34</v>
      </c>
      <c r="I4" s="10" t="s">
        <v>205</v>
      </c>
      <c r="J4" s="10" t="s">
        <v>189</v>
      </c>
      <c r="K4" s="10" t="s">
        <v>206</v>
      </c>
      <c r="L4" s="10" t="s">
        <v>191</v>
      </c>
      <c r="M4" s="10" t="n">
        <v>10</v>
      </c>
      <c r="N4" s="10" t="n">
        <v>10</v>
      </c>
      <c r="O4" s="10" t="n">
        <f aca="false">M4-N4</f>
        <v>0</v>
      </c>
      <c r="P4" s="10" t="s">
        <v>207</v>
      </c>
      <c r="Q4" s="10" t="s">
        <v>208</v>
      </c>
      <c r="R4" s="10" t="s">
        <v>194</v>
      </c>
      <c r="S4" s="10" t="s">
        <v>67</v>
      </c>
    </row>
    <row r="5" customFormat="false" ht="15" hidden="false" customHeight="false" outlineLevel="0" collapsed="false">
      <c r="A5" s="10" t="s">
        <v>13</v>
      </c>
      <c r="B5" s="10" t="n">
        <v>34167</v>
      </c>
      <c r="C5" s="40" t="n">
        <v>46028</v>
      </c>
      <c r="D5" s="10" t="s">
        <v>26</v>
      </c>
      <c r="E5" s="10" t="s">
        <v>185</v>
      </c>
      <c r="F5" s="10" t="s">
        <v>203</v>
      </c>
      <c r="G5" s="10" t="s">
        <v>204</v>
      </c>
      <c r="H5" s="10" t="s">
        <v>34</v>
      </c>
      <c r="I5" s="10" t="s">
        <v>205</v>
      </c>
      <c r="J5" s="10" t="s">
        <v>189</v>
      </c>
      <c r="K5" s="10" t="s">
        <v>191</v>
      </c>
      <c r="L5" s="10" t="s">
        <v>209</v>
      </c>
      <c r="M5" s="10" t="n">
        <v>25</v>
      </c>
      <c r="N5" s="10" t="n">
        <v>25</v>
      </c>
      <c r="O5" s="10" t="n">
        <f aca="false">M5-N5</f>
        <v>0</v>
      </c>
      <c r="P5" s="10" t="s">
        <v>207</v>
      </c>
      <c r="Q5" s="10" t="s">
        <v>208</v>
      </c>
      <c r="R5" s="10" t="s">
        <v>194</v>
      </c>
      <c r="S5" s="10" t="s">
        <v>67</v>
      </c>
    </row>
    <row r="6" customFormat="false" ht="15" hidden="false" customHeight="false" outlineLevel="0" collapsed="false">
      <c r="A6" s="10" t="s">
        <v>13</v>
      </c>
      <c r="B6" s="10" t="n">
        <v>34171</v>
      </c>
      <c r="C6" s="40" t="n">
        <v>46028</v>
      </c>
      <c r="D6" s="10" t="s">
        <v>26</v>
      </c>
      <c r="E6" s="10" t="s">
        <v>185</v>
      </c>
      <c r="F6" s="10" t="s">
        <v>203</v>
      </c>
      <c r="G6" s="10" t="s">
        <v>204</v>
      </c>
      <c r="H6" s="10" t="s">
        <v>34</v>
      </c>
      <c r="I6" s="10" t="s">
        <v>205</v>
      </c>
      <c r="J6" s="10" t="s">
        <v>189</v>
      </c>
      <c r="K6" s="10" t="s">
        <v>210</v>
      </c>
      <c r="L6" s="10" t="s">
        <v>211</v>
      </c>
      <c r="M6" s="10" t="n">
        <v>35</v>
      </c>
      <c r="N6" s="10" t="n">
        <v>35</v>
      </c>
      <c r="O6" s="10" t="n">
        <f aca="false">M6-N6</f>
        <v>0</v>
      </c>
      <c r="P6" s="10" t="s">
        <v>212</v>
      </c>
      <c r="Q6" s="10" t="s">
        <v>208</v>
      </c>
      <c r="R6" s="10" t="s">
        <v>194</v>
      </c>
      <c r="S6" s="10" t="s">
        <v>76</v>
      </c>
    </row>
    <row r="7" customFormat="false" ht="15" hidden="false" customHeight="false" outlineLevel="0" collapsed="false">
      <c r="A7" s="10" t="s">
        <v>13</v>
      </c>
      <c r="B7" s="10" t="n">
        <v>34318</v>
      </c>
      <c r="C7" s="40" t="n">
        <v>46030</v>
      </c>
      <c r="D7" s="10" t="s">
        <v>27</v>
      </c>
      <c r="E7" s="10" t="s">
        <v>185</v>
      </c>
      <c r="F7" s="10" t="s">
        <v>186</v>
      </c>
      <c r="G7" s="10" t="s">
        <v>187</v>
      </c>
      <c r="H7" s="10" t="s">
        <v>213</v>
      </c>
      <c r="I7" s="10" t="s">
        <v>214</v>
      </c>
      <c r="J7" s="10" t="s">
        <v>189</v>
      </c>
      <c r="K7" s="10" t="s">
        <v>215</v>
      </c>
      <c r="L7" s="10" t="s">
        <v>216</v>
      </c>
      <c r="M7" s="10" t="n">
        <v>26</v>
      </c>
      <c r="N7" s="10" t="n">
        <v>26</v>
      </c>
      <c r="O7" s="10" t="n">
        <f aca="false">M7-N7</f>
        <v>0</v>
      </c>
      <c r="P7" s="10" t="s">
        <v>217</v>
      </c>
      <c r="Q7" s="10" t="s">
        <v>218</v>
      </c>
      <c r="R7" s="10" t="s">
        <v>194</v>
      </c>
      <c r="S7" s="10" t="s">
        <v>148</v>
      </c>
    </row>
    <row r="8" customFormat="false" ht="15" hidden="false" customHeight="false" outlineLevel="0" collapsed="false">
      <c r="A8" s="10" t="s">
        <v>13</v>
      </c>
      <c r="B8" s="10" t="n">
        <v>34529</v>
      </c>
      <c r="C8" s="40" t="n">
        <v>46035</v>
      </c>
      <c r="D8" s="10" t="s">
        <v>24</v>
      </c>
      <c r="E8" s="10" t="s">
        <v>185</v>
      </c>
      <c r="F8" s="10" t="s">
        <v>219</v>
      </c>
      <c r="G8" s="10" t="s">
        <v>220</v>
      </c>
      <c r="H8" s="10" t="s">
        <v>39</v>
      </c>
      <c r="I8" s="10" t="s">
        <v>221</v>
      </c>
      <c r="J8" s="10" t="s">
        <v>189</v>
      </c>
      <c r="K8" s="10" t="s">
        <v>222</v>
      </c>
      <c r="L8" s="10" t="s">
        <v>223</v>
      </c>
      <c r="M8" s="10" t="n">
        <v>35</v>
      </c>
      <c r="N8" s="10" t="n">
        <v>35</v>
      </c>
      <c r="O8" s="10" t="n">
        <f aca="false">M8-N8</f>
        <v>0</v>
      </c>
      <c r="P8" s="10" t="s">
        <v>224</v>
      </c>
      <c r="Q8" s="10" t="s">
        <v>225</v>
      </c>
      <c r="R8" s="10" t="s">
        <v>194</v>
      </c>
      <c r="S8" s="10" t="s">
        <v>79</v>
      </c>
    </row>
    <row r="9" customFormat="false" ht="15" hidden="false" customHeight="false" outlineLevel="0" collapsed="false">
      <c r="A9" s="10" t="s">
        <v>13</v>
      </c>
      <c r="B9" s="10" t="n">
        <v>34530</v>
      </c>
      <c r="C9" s="40" t="n">
        <v>46035</v>
      </c>
      <c r="D9" s="10" t="s">
        <v>24</v>
      </c>
      <c r="E9" s="10" t="s">
        <v>185</v>
      </c>
      <c r="F9" s="10" t="s">
        <v>219</v>
      </c>
      <c r="G9" s="10" t="s">
        <v>220</v>
      </c>
      <c r="H9" s="10" t="s">
        <v>39</v>
      </c>
      <c r="I9" s="10" t="s">
        <v>221</v>
      </c>
      <c r="J9" s="10" t="s">
        <v>189</v>
      </c>
      <c r="K9" s="10" t="s">
        <v>223</v>
      </c>
      <c r="L9" s="10" t="s">
        <v>226</v>
      </c>
      <c r="M9" s="10" t="n">
        <v>60</v>
      </c>
      <c r="N9" s="10" t="n">
        <v>60</v>
      </c>
      <c r="O9" s="10" t="n">
        <f aca="false">M9-N9</f>
        <v>0</v>
      </c>
      <c r="P9" s="10" t="s">
        <v>227</v>
      </c>
      <c r="Q9" s="10" t="s">
        <v>225</v>
      </c>
      <c r="R9" s="10" t="s">
        <v>194</v>
      </c>
      <c r="S9" s="10" t="s">
        <v>79</v>
      </c>
    </row>
    <row r="10" customFormat="false" ht="15" hidden="false" customHeight="false" outlineLevel="0" collapsed="false">
      <c r="A10" s="10" t="s">
        <v>13</v>
      </c>
      <c r="B10" s="10" t="n">
        <v>34533</v>
      </c>
      <c r="C10" s="40" t="n">
        <v>46035</v>
      </c>
      <c r="D10" s="10" t="s">
        <v>24</v>
      </c>
      <c r="E10" s="10" t="s">
        <v>185</v>
      </c>
      <c r="F10" s="10" t="s">
        <v>219</v>
      </c>
      <c r="G10" s="10" t="s">
        <v>220</v>
      </c>
      <c r="H10" s="10" t="s">
        <v>39</v>
      </c>
      <c r="I10" s="10" t="s">
        <v>221</v>
      </c>
      <c r="J10" s="10" t="s">
        <v>189</v>
      </c>
      <c r="K10" s="10" t="s">
        <v>228</v>
      </c>
      <c r="L10" s="10" t="s">
        <v>199</v>
      </c>
      <c r="M10" s="10" t="n">
        <v>60</v>
      </c>
      <c r="N10" s="10" t="n">
        <v>60</v>
      </c>
      <c r="O10" s="10" t="n">
        <f aca="false">M10-N10</f>
        <v>0</v>
      </c>
      <c r="P10" s="10" t="s">
        <v>229</v>
      </c>
      <c r="Q10" s="10" t="s">
        <v>225</v>
      </c>
      <c r="R10" s="10" t="s">
        <v>194</v>
      </c>
      <c r="S10" s="10" t="s">
        <v>79</v>
      </c>
    </row>
    <row r="11" customFormat="false" ht="15" hidden="false" customHeight="false" outlineLevel="0" collapsed="false">
      <c r="A11" s="10" t="s">
        <v>13</v>
      </c>
      <c r="B11" s="10" t="n">
        <v>34538</v>
      </c>
      <c r="C11" s="40" t="n">
        <v>46035</v>
      </c>
      <c r="D11" s="10" t="s">
        <v>26</v>
      </c>
      <c r="E11" s="10" t="s">
        <v>185</v>
      </c>
      <c r="F11" s="10" t="s">
        <v>230</v>
      </c>
      <c r="G11" s="10" t="s">
        <v>231</v>
      </c>
      <c r="H11" s="10" t="s">
        <v>232</v>
      </c>
      <c r="I11" s="10" t="s">
        <v>233</v>
      </c>
      <c r="J11" s="10" t="s">
        <v>234</v>
      </c>
      <c r="K11" s="10" t="s">
        <v>223</v>
      </c>
      <c r="L11" s="10" t="s">
        <v>235</v>
      </c>
      <c r="M11" s="10" t="n">
        <v>4</v>
      </c>
      <c r="N11" s="10" t="n">
        <v>4</v>
      </c>
      <c r="O11" s="10" t="n">
        <f aca="false">M11-N11</f>
        <v>0</v>
      </c>
      <c r="P11" s="10" t="s">
        <v>236</v>
      </c>
      <c r="Q11" s="10" t="s">
        <v>237</v>
      </c>
      <c r="R11" s="10" t="s">
        <v>194</v>
      </c>
      <c r="S11" s="10" t="s">
        <v>148</v>
      </c>
    </row>
    <row r="12" customFormat="false" ht="15" hidden="false" customHeight="false" outlineLevel="0" collapsed="false">
      <c r="A12" s="10" t="s">
        <v>13</v>
      </c>
      <c r="B12" s="10" t="n">
        <v>34582</v>
      </c>
      <c r="C12" s="40" t="n">
        <v>46036</v>
      </c>
      <c r="D12" s="10" t="s">
        <v>22</v>
      </c>
      <c r="E12" s="10" t="s">
        <v>185</v>
      </c>
      <c r="F12" s="10" t="s">
        <v>238</v>
      </c>
      <c r="G12" s="10" t="s">
        <v>239</v>
      </c>
      <c r="H12" s="10" t="s">
        <v>34</v>
      </c>
      <c r="I12" s="10" t="s">
        <v>205</v>
      </c>
      <c r="J12" s="10" t="s">
        <v>189</v>
      </c>
      <c r="K12" s="10" t="s">
        <v>240</v>
      </c>
      <c r="L12" s="10" t="s">
        <v>241</v>
      </c>
      <c r="M12" s="10" t="n">
        <v>10</v>
      </c>
      <c r="N12" s="10" t="n">
        <v>10</v>
      </c>
      <c r="O12" s="10" t="n">
        <f aca="false">M12-N12</f>
        <v>0</v>
      </c>
      <c r="P12" s="10" t="s">
        <v>242</v>
      </c>
      <c r="Q12" s="10" t="s">
        <v>243</v>
      </c>
      <c r="R12" s="10" t="s">
        <v>194</v>
      </c>
      <c r="S12" s="10" t="s">
        <v>86</v>
      </c>
    </row>
    <row r="13" customFormat="false" ht="15" hidden="false" customHeight="false" outlineLevel="0" collapsed="false">
      <c r="A13" s="10" t="s">
        <v>13</v>
      </c>
      <c r="B13" s="10" t="n">
        <v>34597</v>
      </c>
      <c r="C13" s="40" t="n">
        <v>46036</v>
      </c>
      <c r="D13" s="10" t="s">
        <v>22</v>
      </c>
      <c r="E13" s="10" t="s">
        <v>185</v>
      </c>
      <c r="F13" s="10" t="s">
        <v>238</v>
      </c>
      <c r="G13" s="10" t="s">
        <v>239</v>
      </c>
      <c r="H13" s="10" t="s">
        <v>34</v>
      </c>
      <c r="I13" s="10" t="s">
        <v>205</v>
      </c>
      <c r="J13" s="10" t="s">
        <v>189</v>
      </c>
      <c r="K13" s="10" t="s">
        <v>244</v>
      </c>
      <c r="L13" s="10" t="s">
        <v>245</v>
      </c>
      <c r="M13" s="10" t="n">
        <v>20</v>
      </c>
      <c r="N13" s="10" t="n">
        <v>20</v>
      </c>
      <c r="O13" s="10" t="n">
        <f aca="false">M13-N13</f>
        <v>0</v>
      </c>
      <c r="P13" s="10" t="s">
        <v>246</v>
      </c>
      <c r="Q13" s="10" t="s">
        <v>243</v>
      </c>
      <c r="R13" s="10" t="s">
        <v>194</v>
      </c>
      <c r="S13" s="10" t="s">
        <v>70</v>
      </c>
    </row>
    <row r="14" customFormat="false" ht="15" hidden="false" customHeight="false" outlineLevel="0" collapsed="false">
      <c r="A14" s="10" t="s">
        <v>13</v>
      </c>
      <c r="B14" s="10" t="n">
        <v>34599</v>
      </c>
      <c r="C14" s="40" t="n">
        <v>46036</v>
      </c>
      <c r="D14" s="10" t="s">
        <v>22</v>
      </c>
      <c r="E14" s="10" t="s">
        <v>185</v>
      </c>
      <c r="F14" s="10" t="s">
        <v>238</v>
      </c>
      <c r="G14" s="10" t="s">
        <v>239</v>
      </c>
      <c r="H14" s="10" t="s">
        <v>34</v>
      </c>
      <c r="I14" s="10" t="s">
        <v>205</v>
      </c>
      <c r="J14" s="10" t="s">
        <v>189</v>
      </c>
      <c r="K14" s="10" t="s">
        <v>247</v>
      </c>
      <c r="L14" s="10" t="s">
        <v>223</v>
      </c>
      <c r="M14" s="10" t="n">
        <v>18</v>
      </c>
      <c r="N14" s="10" t="n">
        <v>18</v>
      </c>
      <c r="O14" s="10" t="n">
        <f aca="false">M14-N14</f>
        <v>0</v>
      </c>
      <c r="P14" s="10" t="s">
        <v>248</v>
      </c>
      <c r="Q14" s="10" t="s">
        <v>243</v>
      </c>
      <c r="R14" s="10" t="s">
        <v>194</v>
      </c>
      <c r="S14" s="10" t="s">
        <v>70</v>
      </c>
    </row>
    <row r="15" customFormat="false" ht="15" hidden="false" customHeight="false" outlineLevel="0" collapsed="false">
      <c r="A15" s="10" t="s">
        <v>13</v>
      </c>
      <c r="B15" s="10" t="n">
        <v>34601</v>
      </c>
      <c r="C15" s="40" t="n">
        <v>46036</v>
      </c>
      <c r="D15" s="10" t="s">
        <v>22</v>
      </c>
      <c r="E15" s="10" t="s">
        <v>185</v>
      </c>
      <c r="F15" s="10" t="s">
        <v>238</v>
      </c>
      <c r="G15" s="10" t="s">
        <v>239</v>
      </c>
      <c r="H15" s="10" t="s">
        <v>43</v>
      </c>
      <c r="I15" s="10" t="s">
        <v>249</v>
      </c>
      <c r="J15" s="10" t="s">
        <v>189</v>
      </c>
      <c r="K15" s="10" t="s">
        <v>250</v>
      </c>
      <c r="L15" s="10" t="s">
        <v>199</v>
      </c>
      <c r="M15" s="10" t="n">
        <v>28</v>
      </c>
      <c r="N15" s="10" t="n">
        <v>28</v>
      </c>
      <c r="O15" s="10" t="n">
        <f aca="false">M15-N15</f>
        <v>0</v>
      </c>
      <c r="P15" s="10" t="s">
        <v>251</v>
      </c>
      <c r="Q15" s="10" t="s">
        <v>243</v>
      </c>
      <c r="R15" s="10" t="s">
        <v>194</v>
      </c>
      <c r="S15" s="10" t="s">
        <v>86</v>
      </c>
    </row>
    <row r="16" customFormat="false" ht="15" hidden="false" customHeight="false" outlineLevel="0" collapsed="false">
      <c r="A16" s="10" t="s">
        <v>13</v>
      </c>
      <c r="B16" s="10" t="n">
        <v>34602</v>
      </c>
      <c r="C16" s="40" t="n">
        <v>46036</v>
      </c>
      <c r="D16" s="10" t="s">
        <v>22</v>
      </c>
      <c r="E16" s="10" t="s">
        <v>185</v>
      </c>
      <c r="F16" s="10" t="s">
        <v>238</v>
      </c>
      <c r="G16" s="10" t="s">
        <v>239</v>
      </c>
      <c r="H16" s="10" t="s">
        <v>43</v>
      </c>
      <c r="I16" s="10" t="s">
        <v>249</v>
      </c>
      <c r="J16" s="10" t="s">
        <v>189</v>
      </c>
      <c r="K16" s="10" t="s">
        <v>252</v>
      </c>
      <c r="L16" s="10" t="s">
        <v>228</v>
      </c>
      <c r="M16" s="10" t="n">
        <v>28</v>
      </c>
      <c r="N16" s="10" t="n">
        <v>28</v>
      </c>
      <c r="O16" s="10" t="n">
        <f aca="false">M16-N16</f>
        <v>0</v>
      </c>
      <c r="P16" s="10" t="s">
        <v>251</v>
      </c>
      <c r="Q16" s="10" t="s">
        <v>243</v>
      </c>
      <c r="R16" s="10" t="s">
        <v>194</v>
      </c>
      <c r="S16" s="10" t="s">
        <v>86</v>
      </c>
    </row>
    <row r="17" customFormat="false" ht="15" hidden="false" customHeight="false" outlineLevel="0" collapsed="false">
      <c r="A17" s="10" t="s">
        <v>13</v>
      </c>
      <c r="B17" s="10" t="n">
        <v>34616</v>
      </c>
      <c r="C17" s="40" t="n">
        <v>46036</v>
      </c>
      <c r="D17" s="10" t="s">
        <v>22</v>
      </c>
      <c r="E17" s="10" t="s">
        <v>185</v>
      </c>
      <c r="F17" s="10" t="s">
        <v>238</v>
      </c>
      <c r="G17" s="10" t="s">
        <v>239</v>
      </c>
      <c r="H17" s="10" t="s">
        <v>43</v>
      </c>
      <c r="I17" s="10" t="s">
        <v>249</v>
      </c>
      <c r="J17" s="10" t="s">
        <v>189</v>
      </c>
      <c r="K17" s="10" t="s">
        <v>253</v>
      </c>
      <c r="L17" s="10" t="s">
        <v>254</v>
      </c>
      <c r="M17" s="10" t="n">
        <v>18</v>
      </c>
      <c r="N17" s="10" t="n">
        <v>18</v>
      </c>
      <c r="O17" s="10" t="n">
        <f aca="false">M17-N17</f>
        <v>0</v>
      </c>
      <c r="P17" s="10" t="s">
        <v>251</v>
      </c>
      <c r="Q17" s="10" t="s">
        <v>243</v>
      </c>
      <c r="R17" s="10" t="s">
        <v>194</v>
      </c>
      <c r="S17" s="10" t="s">
        <v>86</v>
      </c>
    </row>
    <row r="18" customFormat="false" ht="15" hidden="false" customHeight="false" outlineLevel="0" collapsed="false">
      <c r="A18" s="10" t="s">
        <v>13</v>
      </c>
      <c r="B18" s="10" t="n">
        <v>34639</v>
      </c>
      <c r="C18" s="40" t="n">
        <v>46035</v>
      </c>
      <c r="D18" s="10" t="s">
        <v>22</v>
      </c>
      <c r="E18" s="10" t="s">
        <v>185</v>
      </c>
      <c r="F18" s="10" t="s">
        <v>238</v>
      </c>
      <c r="G18" s="10" t="s">
        <v>239</v>
      </c>
      <c r="H18" s="10" t="s">
        <v>34</v>
      </c>
      <c r="I18" s="10" t="s">
        <v>205</v>
      </c>
      <c r="J18" s="10" t="s">
        <v>189</v>
      </c>
      <c r="K18" s="10" t="s">
        <v>255</v>
      </c>
      <c r="L18" s="10" t="s">
        <v>256</v>
      </c>
      <c r="M18" s="10" t="n">
        <v>480</v>
      </c>
      <c r="N18" s="10" t="n">
        <v>480</v>
      </c>
      <c r="O18" s="10" t="n">
        <f aca="false">M18-N18</f>
        <v>0</v>
      </c>
      <c r="P18" s="10" t="s">
        <v>257</v>
      </c>
      <c r="Q18" s="10" t="s">
        <v>193</v>
      </c>
      <c r="R18" s="10" t="s">
        <v>194</v>
      </c>
      <c r="S18" s="10" t="s">
        <v>148</v>
      </c>
    </row>
    <row r="19" customFormat="false" ht="15" hidden="false" customHeight="false" outlineLevel="0" collapsed="false">
      <c r="A19" s="10" t="s">
        <v>13</v>
      </c>
      <c r="B19" s="10" t="n">
        <v>34644</v>
      </c>
      <c r="C19" s="40" t="n">
        <v>46036</v>
      </c>
      <c r="D19" s="10" t="s">
        <v>25</v>
      </c>
      <c r="E19" s="10" t="s">
        <v>258</v>
      </c>
      <c r="F19" s="10" t="s">
        <v>259</v>
      </c>
      <c r="G19" s="10" t="s">
        <v>260</v>
      </c>
      <c r="H19" s="10" t="s">
        <v>43</v>
      </c>
      <c r="I19" s="10" t="s">
        <v>249</v>
      </c>
      <c r="J19" s="10" t="s">
        <v>189</v>
      </c>
      <c r="K19" s="10" t="s">
        <v>261</v>
      </c>
      <c r="L19" s="10" t="s">
        <v>262</v>
      </c>
      <c r="M19" s="10" t="n">
        <v>10</v>
      </c>
      <c r="N19" s="10" t="n">
        <v>10</v>
      </c>
      <c r="O19" s="10" t="n">
        <f aca="false">M19-N19</f>
        <v>0</v>
      </c>
      <c r="P19" s="10" t="s">
        <v>263</v>
      </c>
      <c r="Q19" s="10" t="s">
        <v>193</v>
      </c>
      <c r="R19" s="10" t="s">
        <v>194</v>
      </c>
      <c r="S19" s="10" t="s">
        <v>115</v>
      </c>
    </row>
    <row r="20" customFormat="false" ht="15" hidden="false" customHeight="false" outlineLevel="0" collapsed="false">
      <c r="A20" s="10" t="s">
        <v>13</v>
      </c>
      <c r="B20" s="10" t="n">
        <v>34673</v>
      </c>
      <c r="C20" s="40" t="n">
        <v>46037</v>
      </c>
      <c r="D20" s="10" t="s">
        <v>27</v>
      </c>
      <c r="E20" s="10" t="s">
        <v>185</v>
      </c>
      <c r="F20" s="10" t="s">
        <v>264</v>
      </c>
      <c r="G20" s="10" t="s">
        <v>265</v>
      </c>
      <c r="H20" s="10" t="s">
        <v>43</v>
      </c>
      <c r="I20" s="10" t="s">
        <v>249</v>
      </c>
      <c r="J20" s="10" t="s">
        <v>189</v>
      </c>
      <c r="K20" s="10" t="s">
        <v>266</v>
      </c>
      <c r="L20" s="10" t="s">
        <v>191</v>
      </c>
      <c r="M20" s="10" t="n">
        <v>4</v>
      </c>
      <c r="N20" s="10" t="n">
        <v>4</v>
      </c>
      <c r="O20" s="10" t="n">
        <f aca="false">M20-N20</f>
        <v>0</v>
      </c>
      <c r="P20" s="10" t="s">
        <v>267</v>
      </c>
      <c r="Q20" s="10" t="s">
        <v>218</v>
      </c>
      <c r="R20" s="10" t="s">
        <v>194</v>
      </c>
      <c r="S20" s="10" t="s">
        <v>136</v>
      </c>
    </row>
    <row r="21" customFormat="false" ht="15" hidden="false" customHeight="false" outlineLevel="0" collapsed="false">
      <c r="A21" s="10" t="s">
        <v>13</v>
      </c>
      <c r="B21" s="10" t="n">
        <v>34682</v>
      </c>
      <c r="C21" s="40" t="n">
        <v>46037</v>
      </c>
      <c r="D21" s="10" t="s">
        <v>22</v>
      </c>
      <c r="E21" s="10" t="s">
        <v>185</v>
      </c>
      <c r="F21" s="10" t="s">
        <v>238</v>
      </c>
      <c r="G21" s="10" t="s">
        <v>239</v>
      </c>
      <c r="H21" s="10" t="s">
        <v>40</v>
      </c>
      <c r="I21" s="10" t="s">
        <v>268</v>
      </c>
      <c r="J21" s="10" t="s">
        <v>189</v>
      </c>
      <c r="K21" s="10" t="s">
        <v>269</v>
      </c>
      <c r="L21" s="10" t="s">
        <v>226</v>
      </c>
      <c r="M21" s="10" t="n">
        <v>34</v>
      </c>
      <c r="N21" s="10" t="n">
        <v>34</v>
      </c>
      <c r="O21" s="10" t="n">
        <f aca="false">M21-N21</f>
        <v>0</v>
      </c>
      <c r="P21" s="10" t="s">
        <v>270</v>
      </c>
      <c r="Q21" s="10" t="s">
        <v>243</v>
      </c>
      <c r="R21" s="10" t="s">
        <v>194</v>
      </c>
      <c r="S21" s="10" t="s">
        <v>86</v>
      </c>
    </row>
    <row r="22" customFormat="false" ht="15" hidden="false" customHeight="false" outlineLevel="0" collapsed="false">
      <c r="A22" s="10" t="s">
        <v>13</v>
      </c>
      <c r="B22" s="10" t="n">
        <v>34685</v>
      </c>
      <c r="C22" s="40" t="n">
        <v>46037</v>
      </c>
      <c r="D22" s="10" t="s">
        <v>22</v>
      </c>
      <c r="E22" s="10" t="s">
        <v>185</v>
      </c>
      <c r="F22" s="10" t="s">
        <v>238</v>
      </c>
      <c r="G22" s="10" t="s">
        <v>239</v>
      </c>
      <c r="H22" s="10" t="s">
        <v>34</v>
      </c>
      <c r="I22" s="10" t="s">
        <v>205</v>
      </c>
      <c r="J22" s="10" t="s">
        <v>189</v>
      </c>
      <c r="K22" s="10" t="s">
        <v>271</v>
      </c>
      <c r="L22" s="10" t="s">
        <v>272</v>
      </c>
      <c r="M22" s="10" t="n">
        <v>10</v>
      </c>
      <c r="N22" s="10" t="n">
        <v>10</v>
      </c>
      <c r="O22" s="10" t="n">
        <f aca="false">M22-N22</f>
        <v>0</v>
      </c>
      <c r="P22" s="10" t="s">
        <v>273</v>
      </c>
      <c r="Q22" s="10" t="s">
        <v>243</v>
      </c>
      <c r="R22" s="10" t="s">
        <v>194</v>
      </c>
      <c r="S22" s="10" t="s">
        <v>83</v>
      </c>
    </row>
    <row r="23" customFormat="false" ht="15" hidden="false" customHeight="false" outlineLevel="0" collapsed="false">
      <c r="A23" s="10" t="s">
        <v>13</v>
      </c>
      <c r="B23" s="10" t="n">
        <v>34686</v>
      </c>
      <c r="C23" s="40" t="n">
        <v>46037</v>
      </c>
      <c r="D23" s="10" t="s">
        <v>22</v>
      </c>
      <c r="E23" s="10" t="s">
        <v>185</v>
      </c>
      <c r="F23" s="10" t="s">
        <v>238</v>
      </c>
      <c r="G23" s="10" t="s">
        <v>239</v>
      </c>
      <c r="H23" s="10" t="s">
        <v>274</v>
      </c>
      <c r="I23" s="10" t="s">
        <v>275</v>
      </c>
      <c r="J23" s="10" t="s">
        <v>189</v>
      </c>
      <c r="K23" s="10" t="s">
        <v>226</v>
      </c>
      <c r="L23" s="10" t="s">
        <v>276</v>
      </c>
      <c r="M23" s="10" t="n">
        <v>42</v>
      </c>
      <c r="N23" s="10" t="n">
        <v>42</v>
      </c>
      <c r="O23" s="10" t="n">
        <f aca="false">M23-N23</f>
        <v>0</v>
      </c>
      <c r="P23" s="10" t="s">
        <v>277</v>
      </c>
      <c r="Q23" s="10" t="s">
        <v>243</v>
      </c>
      <c r="R23" s="10" t="s">
        <v>194</v>
      </c>
      <c r="S23" s="10" t="s">
        <v>83</v>
      </c>
    </row>
    <row r="24" customFormat="false" ht="15" hidden="false" customHeight="false" outlineLevel="0" collapsed="false">
      <c r="A24" s="10" t="s">
        <v>13</v>
      </c>
      <c r="B24" s="10" t="n">
        <v>34688</v>
      </c>
      <c r="C24" s="40" t="n">
        <v>46037</v>
      </c>
      <c r="D24" s="10" t="s">
        <v>22</v>
      </c>
      <c r="E24" s="10" t="s">
        <v>185</v>
      </c>
      <c r="F24" s="10" t="s">
        <v>238</v>
      </c>
      <c r="G24" s="10" t="s">
        <v>239</v>
      </c>
      <c r="H24" s="10" t="s">
        <v>274</v>
      </c>
      <c r="I24" s="10" t="s">
        <v>275</v>
      </c>
      <c r="J24" s="10" t="s">
        <v>189</v>
      </c>
      <c r="K24" s="10" t="s">
        <v>278</v>
      </c>
      <c r="L24" s="10" t="s">
        <v>223</v>
      </c>
      <c r="M24" s="10" t="n">
        <v>21</v>
      </c>
      <c r="N24" s="10" t="n">
        <v>21</v>
      </c>
      <c r="O24" s="10" t="n">
        <f aca="false">M24-N24</f>
        <v>0</v>
      </c>
      <c r="P24" s="10" t="s">
        <v>279</v>
      </c>
      <c r="Q24" s="10" t="s">
        <v>243</v>
      </c>
      <c r="R24" s="10" t="s">
        <v>194</v>
      </c>
      <c r="S24" s="10" t="s">
        <v>83</v>
      </c>
    </row>
    <row r="25" customFormat="false" ht="15" hidden="false" customHeight="false" outlineLevel="0" collapsed="false">
      <c r="A25" s="10" t="s">
        <v>13</v>
      </c>
      <c r="B25" s="10" t="n">
        <v>34691</v>
      </c>
      <c r="C25" s="40" t="n">
        <v>46037</v>
      </c>
      <c r="D25" s="10" t="s">
        <v>22</v>
      </c>
      <c r="E25" s="10" t="s">
        <v>185</v>
      </c>
      <c r="F25" s="10" t="s">
        <v>238</v>
      </c>
      <c r="G25" s="10" t="s">
        <v>239</v>
      </c>
      <c r="H25" s="10" t="s">
        <v>274</v>
      </c>
      <c r="I25" s="10" t="s">
        <v>275</v>
      </c>
      <c r="J25" s="10" t="s">
        <v>189</v>
      </c>
      <c r="K25" s="10" t="s">
        <v>280</v>
      </c>
      <c r="L25" s="10" t="s">
        <v>199</v>
      </c>
      <c r="M25" s="10" t="n">
        <v>36</v>
      </c>
      <c r="N25" s="10" t="n">
        <v>36</v>
      </c>
      <c r="O25" s="10" t="n">
        <f aca="false">M25-N25</f>
        <v>0</v>
      </c>
      <c r="P25" s="10" t="s">
        <v>281</v>
      </c>
      <c r="Q25" s="10" t="s">
        <v>243</v>
      </c>
      <c r="R25" s="10" t="s">
        <v>282</v>
      </c>
      <c r="S25" s="10" t="s">
        <v>83</v>
      </c>
    </row>
    <row r="26" customFormat="false" ht="15" hidden="false" customHeight="false" outlineLevel="0" collapsed="false">
      <c r="A26" s="10" t="s">
        <v>13</v>
      </c>
      <c r="B26" s="10" t="n">
        <v>34694</v>
      </c>
      <c r="C26" s="40" t="n">
        <v>46037</v>
      </c>
      <c r="D26" s="10" t="s">
        <v>22</v>
      </c>
      <c r="E26" s="10" t="s">
        <v>185</v>
      </c>
      <c r="F26" s="10" t="s">
        <v>238</v>
      </c>
      <c r="G26" s="10" t="s">
        <v>239</v>
      </c>
      <c r="H26" s="10" t="s">
        <v>274</v>
      </c>
      <c r="I26" s="10" t="s">
        <v>275</v>
      </c>
      <c r="J26" s="10" t="s">
        <v>189</v>
      </c>
      <c r="K26" s="10" t="s">
        <v>199</v>
      </c>
      <c r="L26" s="10" t="s">
        <v>283</v>
      </c>
      <c r="M26" s="10" t="n">
        <v>60</v>
      </c>
      <c r="N26" s="10" t="n">
        <v>60</v>
      </c>
      <c r="O26" s="10" t="n">
        <f aca="false">M26-N26</f>
        <v>0</v>
      </c>
      <c r="P26" s="10" t="s">
        <v>284</v>
      </c>
      <c r="Q26" s="10" t="s">
        <v>243</v>
      </c>
      <c r="R26" s="10" t="s">
        <v>194</v>
      </c>
      <c r="S26" s="10" t="s">
        <v>83</v>
      </c>
    </row>
    <row r="27" customFormat="false" ht="15" hidden="false" customHeight="false" outlineLevel="0" collapsed="false">
      <c r="A27" s="10" t="s">
        <v>13</v>
      </c>
      <c r="B27" s="10" t="n">
        <v>34712</v>
      </c>
      <c r="C27" s="40" t="n">
        <v>46037</v>
      </c>
      <c r="D27" s="10" t="s">
        <v>22</v>
      </c>
      <c r="E27" s="10" t="s">
        <v>185</v>
      </c>
      <c r="F27" s="10" t="s">
        <v>238</v>
      </c>
      <c r="G27" s="10" t="s">
        <v>239</v>
      </c>
      <c r="H27" s="10" t="s">
        <v>274</v>
      </c>
      <c r="I27" s="10" t="s">
        <v>275</v>
      </c>
      <c r="J27" s="10" t="s">
        <v>189</v>
      </c>
      <c r="K27" s="10" t="s">
        <v>283</v>
      </c>
      <c r="L27" s="10" t="s">
        <v>285</v>
      </c>
      <c r="M27" s="10" t="n">
        <v>18</v>
      </c>
      <c r="N27" s="10" t="n">
        <v>18</v>
      </c>
      <c r="O27" s="10" t="n">
        <f aca="false">M27-N27</f>
        <v>0</v>
      </c>
      <c r="P27" s="10" t="s">
        <v>286</v>
      </c>
      <c r="Q27" s="10" t="s">
        <v>243</v>
      </c>
      <c r="R27" s="10" t="s">
        <v>194</v>
      </c>
      <c r="S27" s="10" t="s">
        <v>63</v>
      </c>
    </row>
    <row r="28" customFormat="false" ht="15" hidden="false" customHeight="false" outlineLevel="0" collapsed="false">
      <c r="A28" s="10" t="s">
        <v>13</v>
      </c>
      <c r="B28" s="10" t="n">
        <v>34744</v>
      </c>
      <c r="C28" s="40" t="n">
        <v>46037</v>
      </c>
      <c r="D28" s="10" t="s">
        <v>24</v>
      </c>
      <c r="E28" s="10" t="s">
        <v>258</v>
      </c>
      <c r="F28" s="10" t="s">
        <v>287</v>
      </c>
      <c r="G28" s="10" t="s">
        <v>288</v>
      </c>
      <c r="H28" s="10" t="s">
        <v>39</v>
      </c>
      <c r="I28" s="10" t="s">
        <v>221</v>
      </c>
      <c r="J28" s="10" t="s">
        <v>189</v>
      </c>
      <c r="K28" s="10" t="s">
        <v>289</v>
      </c>
      <c r="L28" s="10" t="s">
        <v>290</v>
      </c>
      <c r="M28" s="10" t="n">
        <v>12</v>
      </c>
      <c r="N28" s="10" t="n">
        <v>12</v>
      </c>
      <c r="O28" s="10" t="n">
        <f aca="false">M28-N28</f>
        <v>0</v>
      </c>
      <c r="P28" s="10" t="s">
        <v>291</v>
      </c>
      <c r="Q28" s="10" t="s">
        <v>202</v>
      </c>
      <c r="R28" s="10" t="s">
        <v>194</v>
      </c>
      <c r="S28" s="10" t="s">
        <v>79</v>
      </c>
    </row>
    <row r="29" customFormat="false" ht="15" hidden="false" customHeight="false" outlineLevel="0" collapsed="false">
      <c r="A29" s="10" t="s">
        <v>13</v>
      </c>
      <c r="B29" s="10" t="n">
        <v>34745</v>
      </c>
      <c r="C29" s="40" t="n">
        <v>46037</v>
      </c>
      <c r="D29" s="10" t="s">
        <v>24</v>
      </c>
      <c r="E29" s="10" t="s">
        <v>258</v>
      </c>
      <c r="F29" s="10" t="s">
        <v>287</v>
      </c>
      <c r="G29" s="10" t="s">
        <v>288</v>
      </c>
      <c r="H29" s="10" t="s">
        <v>39</v>
      </c>
      <c r="I29" s="10" t="s">
        <v>221</v>
      </c>
      <c r="J29" s="10" t="s">
        <v>189</v>
      </c>
      <c r="K29" s="10" t="s">
        <v>290</v>
      </c>
      <c r="L29" s="10" t="s">
        <v>292</v>
      </c>
      <c r="M29" s="10" t="n">
        <v>50</v>
      </c>
      <c r="N29" s="10" t="n">
        <v>50</v>
      </c>
      <c r="O29" s="10" t="n">
        <f aca="false">M29-N29</f>
        <v>0</v>
      </c>
      <c r="P29" s="10" t="s">
        <v>293</v>
      </c>
      <c r="Q29" s="10" t="s">
        <v>202</v>
      </c>
      <c r="R29" s="10" t="s">
        <v>194</v>
      </c>
      <c r="S29" s="10" t="s">
        <v>79</v>
      </c>
    </row>
    <row r="30" customFormat="false" ht="15" hidden="false" customHeight="false" outlineLevel="0" collapsed="false">
      <c r="A30" s="10" t="s">
        <v>13</v>
      </c>
      <c r="B30" s="10" t="n">
        <v>34764</v>
      </c>
      <c r="C30" s="40" t="n">
        <v>46038</v>
      </c>
      <c r="D30" s="10" t="s">
        <v>22</v>
      </c>
      <c r="E30" s="10" t="s">
        <v>185</v>
      </c>
      <c r="F30" s="10" t="s">
        <v>238</v>
      </c>
      <c r="G30" s="10" t="s">
        <v>239</v>
      </c>
      <c r="H30" s="10" t="s">
        <v>34</v>
      </c>
      <c r="I30" s="10" t="s">
        <v>205</v>
      </c>
      <c r="J30" s="10" t="s">
        <v>189</v>
      </c>
      <c r="K30" s="10" t="s">
        <v>294</v>
      </c>
      <c r="L30" s="10" t="s">
        <v>295</v>
      </c>
      <c r="M30" s="10" t="n">
        <v>8</v>
      </c>
      <c r="N30" s="10" t="n">
        <v>8</v>
      </c>
      <c r="O30" s="10" t="n">
        <f aca="false">M30-N30</f>
        <v>0</v>
      </c>
      <c r="P30" s="10" t="s">
        <v>296</v>
      </c>
      <c r="Q30" s="10" t="s">
        <v>243</v>
      </c>
      <c r="R30" s="10" t="s">
        <v>194</v>
      </c>
      <c r="S30" s="10" t="s">
        <v>70</v>
      </c>
    </row>
    <row r="31" customFormat="false" ht="15" hidden="false" customHeight="false" outlineLevel="0" collapsed="false">
      <c r="A31" s="10" t="s">
        <v>13</v>
      </c>
      <c r="B31" s="10" t="n">
        <v>34774</v>
      </c>
      <c r="C31" s="40" t="n">
        <v>46038</v>
      </c>
      <c r="D31" s="10" t="s">
        <v>24</v>
      </c>
      <c r="E31" s="10" t="s">
        <v>185</v>
      </c>
      <c r="F31" s="10" t="s">
        <v>287</v>
      </c>
      <c r="G31" s="10" t="s">
        <v>288</v>
      </c>
      <c r="H31" s="10" t="s">
        <v>39</v>
      </c>
      <c r="I31" s="10" t="s">
        <v>221</v>
      </c>
      <c r="J31" s="10" t="s">
        <v>189</v>
      </c>
      <c r="K31" s="10" t="s">
        <v>210</v>
      </c>
      <c r="L31" s="10" t="s">
        <v>297</v>
      </c>
      <c r="M31" s="10" t="n">
        <v>30</v>
      </c>
      <c r="N31" s="10" t="n">
        <v>30</v>
      </c>
      <c r="O31" s="10" t="n">
        <f aca="false">M31-N31</f>
        <v>0</v>
      </c>
      <c r="P31" s="10" t="s">
        <v>298</v>
      </c>
      <c r="Q31" s="10" t="s">
        <v>225</v>
      </c>
      <c r="R31" s="10" t="s">
        <v>194</v>
      </c>
      <c r="S31" s="10" t="s">
        <v>76</v>
      </c>
    </row>
    <row r="32" customFormat="false" ht="15" hidden="false" customHeight="false" outlineLevel="0" collapsed="false">
      <c r="A32" s="10" t="s">
        <v>13</v>
      </c>
      <c r="B32" s="10" t="n">
        <v>34778</v>
      </c>
      <c r="C32" s="40" t="n">
        <v>46038</v>
      </c>
      <c r="D32" s="10" t="s">
        <v>22</v>
      </c>
      <c r="E32" s="10" t="s">
        <v>185</v>
      </c>
      <c r="F32" s="10" t="s">
        <v>238</v>
      </c>
      <c r="G32" s="10" t="s">
        <v>239</v>
      </c>
      <c r="H32" s="10" t="s">
        <v>232</v>
      </c>
      <c r="I32" s="10" t="s">
        <v>233</v>
      </c>
      <c r="J32" s="10" t="s">
        <v>234</v>
      </c>
      <c r="K32" s="10" t="s">
        <v>299</v>
      </c>
      <c r="L32" s="10" t="s">
        <v>226</v>
      </c>
      <c r="M32" s="10" t="n">
        <v>6</v>
      </c>
      <c r="N32" s="10" t="n">
        <v>6</v>
      </c>
      <c r="O32" s="10" t="n">
        <f aca="false">M32-N32</f>
        <v>0</v>
      </c>
      <c r="P32" s="10" t="s">
        <v>300</v>
      </c>
      <c r="Q32" s="10" t="s">
        <v>243</v>
      </c>
      <c r="R32" s="10" t="s">
        <v>194</v>
      </c>
      <c r="S32" s="10" t="s">
        <v>73</v>
      </c>
    </row>
    <row r="33" customFormat="false" ht="15" hidden="false" customHeight="false" outlineLevel="0" collapsed="false">
      <c r="A33" s="10" t="s">
        <v>13</v>
      </c>
      <c r="B33" s="10" t="n">
        <v>34784</v>
      </c>
      <c r="C33" s="40" t="n">
        <v>46038</v>
      </c>
      <c r="D33" s="10" t="s">
        <v>22</v>
      </c>
      <c r="E33" s="10" t="s">
        <v>185</v>
      </c>
      <c r="F33" s="10" t="s">
        <v>238</v>
      </c>
      <c r="G33" s="10" t="s">
        <v>239</v>
      </c>
      <c r="H33" s="10" t="s">
        <v>34</v>
      </c>
      <c r="I33" s="10" t="s">
        <v>205</v>
      </c>
      <c r="J33" s="10" t="s">
        <v>189</v>
      </c>
      <c r="K33" s="10" t="s">
        <v>301</v>
      </c>
      <c r="L33" s="10" t="s">
        <v>302</v>
      </c>
      <c r="M33" s="10" t="n">
        <v>14</v>
      </c>
      <c r="N33" s="10" t="n">
        <v>14</v>
      </c>
      <c r="O33" s="10" t="n">
        <f aca="false">M33-N33</f>
        <v>0</v>
      </c>
      <c r="P33" s="10" t="s">
        <v>303</v>
      </c>
      <c r="Q33" s="10" t="s">
        <v>243</v>
      </c>
      <c r="R33" s="10" t="s">
        <v>194</v>
      </c>
      <c r="S33" s="10" t="s">
        <v>70</v>
      </c>
    </row>
    <row r="34" customFormat="false" ht="15" hidden="false" customHeight="false" outlineLevel="0" collapsed="false">
      <c r="A34" s="10" t="s">
        <v>13</v>
      </c>
      <c r="B34" s="10" t="n">
        <v>34786</v>
      </c>
      <c r="C34" s="40" t="n">
        <v>46038</v>
      </c>
      <c r="D34" s="10" t="s">
        <v>22</v>
      </c>
      <c r="E34" s="10" t="s">
        <v>185</v>
      </c>
      <c r="F34" s="10" t="s">
        <v>238</v>
      </c>
      <c r="G34" s="10" t="s">
        <v>239</v>
      </c>
      <c r="H34" s="10" t="s">
        <v>34</v>
      </c>
      <c r="I34" s="10" t="s">
        <v>205</v>
      </c>
      <c r="J34" s="10" t="s">
        <v>189</v>
      </c>
      <c r="K34" s="10" t="s">
        <v>304</v>
      </c>
      <c r="L34" s="10" t="s">
        <v>199</v>
      </c>
      <c r="M34" s="10" t="n">
        <v>38</v>
      </c>
      <c r="N34" s="10" t="n">
        <v>38</v>
      </c>
      <c r="O34" s="10" t="n">
        <f aca="false">M34-N34</f>
        <v>0</v>
      </c>
      <c r="P34" s="10" t="s">
        <v>305</v>
      </c>
      <c r="Q34" s="10" t="s">
        <v>243</v>
      </c>
      <c r="R34" s="10" t="s">
        <v>194</v>
      </c>
      <c r="S34" s="10" t="s">
        <v>70</v>
      </c>
    </row>
    <row r="35" customFormat="false" ht="15" hidden="false" customHeight="false" outlineLevel="0" collapsed="false">
      <c r="A35" s="10" t="s">
        <v>13</v>
      </c>
      <c r="B35" s="10" t="n">
        <v>34809</v>
      </c>
      <c r="C35" s="40" t="n">
        <v>46038</v>
      </c>
      <c r="D35" s="10" t="s">
        <v>22</v>
      </c>
      <c r="E35" s="10" t="s">
        <v>185</v>
      </c>
      <c r="F35" s="10" t="s">
        <v>238</v>
      </c>
      <c r="G35" s="10" t="s">
        <v>239</v>
      </c>
      <c r="H35" s="10" t="s">
        <v>34</v>
      </c>
      <c r="I35" s="10" t="s">
        <v>205</v>
      </c>
      <c r="J35" s="10" t="s">
        <v>189</v>
      </c>
      <c r="K35" s="10" t="s">
        <v>306</v>
      </c>
      <c r="L35" s="10" t="s">
        <v>307</v>
      </c>
      <c r="M35" s="10" t="n">
        <v>16</v>
      </c>
      <c r="N35" s="10" t="n">
        <v>16</v>
      </c>
      <c r="O35" s="10" t="n">
        <f aca="false">M35-N35</f>
        <v>0</v>
      </c>
      <c r="P35" s="10" t="s">
        <v>308</v>
      </c>
      <c r="Q35" s="10" t="s">
        <v>243</v>
      </c>
      <c r="R35" s="10" t="s">
        <v>194</v>
      </c>
      <c r="S35" s="10" t="s">
        <v>70</v>
      </c>
    </row>
    <row r="36" customFormat="false" ht="15" hidden="false" customHeight="false" outlineLevel="0" collapsed="false">
      <c r="A36" s="10" t="s">
        <v>13</v>
      </c>
      <c r="B36" s="10" t="n">
        <v>34849</v>
      </c>
      <c r="C36" s="40" t="n">
        <v>46039</v>
      </c>
      <c r="D36" s="10" t="s">
        <v>22</v>
      </c>
      <c r="E36" s="10" t="s">
        <v>185</v>
      </c>
      <c r="F36" s="10" t="s">
        <v>238</v>
      </c>
      <c r="G36" s="10" t="s">
        <v>239</v>
      </c>
      <c r="H36" s="10" t="s">
        <v>40</v>
      </c>
      <c r="I36" s="10" t="s">
        <v>268</v>
      </c>
      <c r="J36" s="10" t="s">
        <v>189</v>
      </c>
      <c r="K36" s="10" t="s">
        <v>309</v>
      </c>
      <c r="L36" s="10" t="s">
        <v>310</v>
      </c>
      <c r="M36" s="10" t="n">
        <v>15</v>
      </c>
      <c r="N36" s="10" t="n">
        <v>15</v>
      </c>
      <c r="O36" s="10" t="n">
        <f aca="false">M36-N36</f>
        <v>0</v>
      </c>
      <c r="P36" s="10" t="s">
        <v>311</v>
      </c>
      <c r="Q36" s="10" t="s">
        <v>243</v>
      </c>
      <c r="R36" s="10" t="s">
        <v>194</v>
      </c>
      <c r="S36" s="10" t="s">
        <v>83</v>
      </c>
    </row>
    <row r="37" customFormat="false" ht="15" hidden="false" customHeight="false" outlineLevel="0" collapsed="false">
      <c r="A37" s="10" t="s">
        <v>13</v>
      </c>
      <c r="B37" s="10" t="n">
        <v>34851</v>
      </c>
      <c r="C37" s="40" t="n">
        <v>46039</v>
      </c>
      <c r="D37" s="10" t="s">
        <v>22</v>
      </c>
      <c r="E37" s="10" t="s">
        <v>185</v>
      </c>
      <c r="F37" s="10" t="s">
        <v>238</v>
      </c>
      <c r="G37" s="10" t="s">
        <v>239</v>
      </c>
      <c r="H37" s="10" t="s">
        <v>34</v>
      </c>
      <c r="I37" s="10" t="s">
        <v>205</v>
      </c>
      <c r="J37" s="10" t="s">
        <v>189</v>
      </c>
      <c r="K37" s="10" t="s">
        <v>190</v>
      </c>
      <c r="L37" s="10" t="s">
        <v>312</v>
      </c>
      <c r="M37" s="10" t="n">
        <v>10</v>
      </c>
      <c r="N37" s="10" t="n">
        <v>10</v>
      </c>
      <c r="O37" s="10" t="n">
        <f aca="false">M37-N37</f>
        <v>0</v>
      </c>
      <c r="P37" s="10" t="s">
        <v>313</v>
      </c>
      <c r="Q37" s="10" t="s">
        <v>243</v>
      </c>
      <c r="R37" s="10" t="s">
        <v>194</v>
      </c>
      <c r="S37" s="10" t="s">
        <v>83</v>
      </c>
    </row>
    <row r="38" customFormat="false" ht="15" hidden="false" customHeight="false" outlineLevel="0" collapsed="false">
      <c r="A38" s="10" t="s">
        <v>13</v>
      </c>
      <c r="B38" s="10" t="n">
        <v>34876</v>
      </c>
      <c r="C38" s="40" t="n">
        <v>46039</v>
      </c>
      <c r="D38" s="10" t="s">
        <v>27</v>
      </c>
      <c r="E38" s="10" t="s">
        <v>185</v>
      </c>
      <c r="F38" s="10" t="s">
        <v>314</v>
      </c>
      <c r="G38" s="10" t="s">
        <v>315</v>
      </c>
      <c r="H38" s="10" t="s">
        <v>37</v>
      </c>
      <c r="I38" s="10" t="s">
        <v>188</v>
      </c>
      <c r="J38" s="10" t="s">
        <v>189</v>
      </c>
      <c r="K38" s="10" t="s">
        <v>316</v>
      </c>
      <c r="L38" s="10" t="s">
        <v>295</v>
      </c>
      <c r="M38" s="10" t="n">
        <v>45</v>
      </c>
      <c r="N38" s="10" t="n">
        <v>45</v>
      </c>
      <c r="O38" s="10" t="n">
        <f aca="false">M38-N38</f>
        <v>0</v>
      </c>
      <c r="P38" s="10" t="s">
        <v>317</v>
      </c>
      <c r="Q38" s="10" t="s">
        <v>218</v>
      </c>
      <c r="R38" s="10" t="s">
        <v>194</v>
      </c>
      <c r="S38" s="10" t="s">
        <v>67</v>
      </c>
    </row>
    <row r="39" customFormat="false" ht="15" hidden="false" customHeight="false" outlineLevel="0" collapsed="false">
      <c r="A39" s="10" t="s">
        <v>13</v>
      </c>
      <c r="B39" s="10" t="n">
        <v>34877</v>
      </c>
      <c r="C39" s="40" t="n">
        <v>46039</v>
      </c>
      <c r="D39" s="10" t="s">
        <v>27</v>
      </c>
      <c r="E39" s="10" t="s">
        <v>185</v>
      </c>
      <c r="F39" s="10" t="s">
        <v>314</v>
      </c>
      <c r="G39" s="10" t="s">
        <v>315</v>
      </c>
      <c r="H39" s="10" t="s">
        <v>37</v>
      </c>
      <c r="I39" s="10" t="s">
        <v>188</v>
      </c>
      <c r="J39" s="10" t="s">
        <v>189</v>
      </c>
      <c r="K39" s="10" t="s">
        <v>295</v>
      </c>
      <c r="L39" s="10" t="s">
        <v>222</v>
      </c>
      <c r="M39" s="10" t="n">
        <v>25</v>
      </c>
      <c r="N39" s="10" t="n">
        <v>25</v>
      </c>
      <c r="O39" s="10" t="n">
        <f aca="false">M39-N39</f>
        <v>0</v>
      </c>
      <c r="P39" s="10"/>
      <c r="Q39" s="10" t="s">
        <v>218</v>
      </c>
      <c r="R39" s="10" t="s">
        <v>194</v>
      </c>
      <c r="S39" s="10" t="s">
        <v>147</v>
      </c>
    </row>
    <row r="40" customFormat="false" ht="15" hidden="false" customHeight="false" outlineLevel="0" collapsed="false">
      <c r="A40" s="10" t="s">
        <v>13</v>
      </c>
      <c r="B40" s="10" t="n">
        <v>34931</v>
      </c>
      <c r="C40" s="40" t="n">
        <v>46024</v>
      </c>
      <c r="D40" s="10" t="s">
        <v>25</v>
      </c>
      <c r="E40" s="10" t="s">
        <v>185</v>
      </c>
      <c r="F40" s="10" t="s">
        <v>318</v>
      </c>
      <c r="G40" s="10" t="s">
        <v>319</v>
      </c>
      <c r="H40" s="10" t="s">
        <v>37</v>
      </c>
      <c r="I40" s="10" t="s">
        <v>188</v>
      </c>
      <c r="J40" s="10" t="s">
        <v>189</v>
      </c>
      <c r="K40" s="10" t="s">
        <v>255</v>
      </c>
      <c r="L40" s="10" t="s">
        <v>223</v>
      </c>
      <c r="M40" s="10" t="n">
        <v>180</v>
      </c>
      <c r="N40" s="10" t="n">
        <v>180</v>
      </c>
      <c r="O40" s="10" t="n">
        <f aca="false">M40-N40</f>
        <v>0</v>
      </c>
      <c r="P40" s="10" t="s">
        <v>320</v>
      </c>
      <c r="Q40" s="10" t="s">
        <v>193</v>
      </c>
      <c r="R40" s="10" t="s">
        <v>194</v>
      </c>
      <c r="S40" s="10" t="s">
        <v>67</v>
      </c>
    </row>
    <row r="41" customFormat="false" ht="15" hidden="false" customHeight="false" outlineLevel="0" collapsed="false">
      <c r="A41" s="10" t="s">
        <v>13</v>
      </c>
      <c r="B41" s="10" t="n">
        <v>34947</v>
      </c>
      <c r="C41" s="40" t="n">
        <v>46041</v>
      </c>
      <c r="D41" s="10" t="s">
        <v>26</v>
      </c>
      <c r="E41" s="10" t="s">
        <v>185</v>
      </c>
      <c r="F41" s="10" t="s">
        <v>321</v>
      </c>
      <c r="G41" s="10" t="s">
        <v>322</v>
      </c>
      <c r="H41" s="10" t="s">
        <v>42</v>
      </c>
      <c r="I41" s="10" t="s">
        <v>323</v>
      </c>
      <c r="J41" s="10" t="s">
        <v>189</v>
      </c>
      <c r="K41" s="10" t="s">
        <v>255</v>
      </c>
      <c r="L41" s="10" t="s">
        <v>190</v>
      </c>
      <c r="M41" s="10" t="n">
        <v>10</v>
      </c>
      <c r="N41" s="10" t="n">
        <v>10</v>
      </c>
      <c r="O41" s="10" t="n">
        <f aca="false">M41-N41</f>
        <v>0</v>
      </c>
      <c r="P41" s="10" t="s">
        <v>324</v>
      </c>
      <c r="Q41" s="10" t="s">
        <v>208</v>
      </c>
      <c r="R41" s="10" t="s">
        <v>194</v>
      </c>
      <c r="S41" s="10" t="s">
        <v>96</v>
      </c>
    </row>
    <row r="42" customFormat="false" ht="15" hidden="false" customHeight="false" outlineLevel="0" collapsed="false">
      <c r="A42" s="10" t="s">
        <v>13</v>
      </c>
      <c r="B42" s="10" t="n">
        <v>34991</v>
      </c>
      <c r="C42" s="40" t="n">
        <v>46041</v>
      </c>
      <c r="D42" s="10" t="s">
        <v>22</v>
      </c>
      <c r="E42" s="10" t="s">
        <v>185</v>
      </c>
      <c r="F42" s="10" t="s">
        <v>325</v>
      </c>
      <c r="G42" s="10" t="s">
        <v>326</v>
      </c>
      <c r="H42" s="10" t="s">
        <v>274</v>
      </c>
      <c r="I42" s="10" t="s">
        <v>275</v>
      </c>
      <c r="J42" s="10" t="s">
        <v>189</v>
      </c>
      <c r="K42" s="10" t="s">
        <v>327</v>
      </c>
      <c r="L42" s="10" t="s">
        <v>283</v>
      </c>
      <c r="M42" s="10" t="n">
        <v>10</v>
      </c>
      <c r="N42" s="10" t="n">
        <v>10</v>
      </c>
      <c r="O42" s="10" t="n">
        <f aca="false">M42-N42</f>
        <v>0</v>
      </c>
      <c r="P42" s="10" t="s">
        <v>328</v>
      </c>
      <c r="Q42" s="10" t="s">
        <v>243</v>
      </c>
      <c r="R42" s="10" t="s">
        <v>194</v>
      </c>
      <c r="S42" s="10" t="s">
        <v>83</v>
      </c>
    </row>
    <row r="43" customFormat="false" ht="15" hidden="false" customHeight="false" outlineLevel="0" collapsed="false">
      <c r="A43" s="10" t="s">
        <v>13</v>
      </c>
      <c r="B43" s="10" t="n">
        <v>35023</v>
      </c>
      <c r="C43" s="40" t="n">
        <v>46041</v>
      </c>
      <c r="D43" s="10" t="s">
        <v>23</v>
      </c>
      <c r="E43" s="10" t="s">
        <v>258</v>
      </c>
      <c r="F43" s="10" t="s">
        <v>329</v>
      </c>
      <c r="G43" s="10" t="s">
        <v>330</v>
      </c>
      <c r="H43" s="10" t="s">
        <v>36</v>
      </c>
      <c r="I43" s="10" t="s">
        <v>331</v>
      </c>
      <c r="J43" s="10" t="s">
        <v>189</v>
      </c>
      <c r="K43" s="10" t="s">
        <v>256</v>
      </c>
      <c r="L43" s="10" t="s">
        <v>332</v>
      </c>
      <c r="M43" s="10" t="n">
        <v>60</v>
      </c>
      <c r="N43" s="10" t="n">
        <v>60</v>
      </c>
      <c r="O43" s="10" t="n">
        <f aca="false">M43-N43</f>
        <v>0</v>
      </c>
      <c r="P43" s="10" t="s">
        <v>333</v>
      </c>
      <c r="Q43" s="10" t="s">
        <v>334</v>
      </c>
      <c r="R43" s="10" t="s">
        <v>194</v>
      </c>
      <c r="S43" s="10" t="s">
        <v>67</v>
      </c>
    </row>
    <row r="44" customFormat="false" ht="15" hidden="false" customHeight="false" outlineLevel="0" collapsed="false">
      <c r="A44" s="10" t="s">
        <v>13</v>
      </c>
      <c r="B44" s="10" t="n">
        <v>35024</v>
      </c>
      <c r="C44" s="40" t="n">
        <v>46041</v>
      </c>
      <c r="D44" s="10" t="s">
        <v>23</v>
      </c>
      <c r="E44" s="10" t="s">
        <v>258</v>
      </c>
      <c r="F44" s="10" t="s">
        <v>329</v>
      </c>
      <c r="G44" s="10" t="s">
        <v>330</v>
      </c>
      <c r="H44" s="10" t="s">
        <v>36</v>
      </c>
      <c r="I44" s="10" t="s">
        <v>331</v>
      </c>
      <c r="J44" s="10" t="s">
        <v>189</v>
      </c>
      <c r="K44" s="10" t="s">
        <v>332</v>
      </c>
      <c r="L44" s="10" t="s">
        <v>335</v>
      </c>
      <c r="M44" s="10" t="n">
        <v>60</v>
      </c>
      <c r="N44" s="10" t="n">
        <v>60</v>
      </c>
      <c r="O44" s="10" t="n">
        <f aca="false">M44-N44</f>
        <v>0</v>
      </c>
      <c r="P44" s="10" t="s">
        <v>336</v>
      </c>
      <c r="Q44" s="10" t="s">
        <v>334</v>
      </c>
      <c r="R44" s="10" t="s">
        <v>194</v>
      </c>
      <c r="S44" s="10" t="s">
        <v>67</v>
      </c>
    </row>
    <row r="45" customFormat="false" ht="15" hidden="false" customHeight="false" outlineLevel="0" collapsed="false">
      <c r="A45" s="10" t="s">
        <v>13</v>
      </c>
      <c r="B45" s="10" t="n">
        <v>35026</v>
      </c>
      <c r="C45" s="40" t="n">
        <v>46041</v>
      </c>
      <c r="D45" s="10" t="s">
        <v>23</v>
      </c>
      <c r="E45" s="10" t="s">
        <v>258</v>
      </c>
      <c r="F45" s="10" t="s">
        <v>329</v>
      </c>
      <c r="G45" s="10" t="s">
        <v>330</v>
      </c>
      <c r="H45" s="10" t="s">
        <v>36</v>
      </c>
      <c r="I45" s="10" t="s">
        <v>331</v>
      </c>
      <c r="J45" s="10" t="s">
        <v>189</v>
      </c>
      <c r="K45" s="10" t="s">
        <v>337</v>
      </c>
      <c r="L45" s="10" t="s">
        <v>338</v>
      </c>
      <c r="M45" s="10" t="n">
        <v>15</v>
      </c>
      <c r="N45" s="10" t="n">
        <v>15</v>
      </c>
      <c r="O45" s="10" t="n">
        <f aca="false">M45-N45</f>
        <v>0</v>
      </c>
      <c r="P45" s="10" t="s">
        <v>339</v>
      </c>
      <c r="Q45" s="10" t="s">
        <v>334</v>
      </c>
      <c r="R45" s="10" t="s">
        <v>194</v>
      </c>
      <c r="S45" s="10" t="s">
        <v>67</v>
      </c>
    </row>
    <row r="46" customFormat="false" ht="15" hidden="false" customHeight="false" outlineLevel="0" collapsed="false">
      <c r="A46" s="10" t="s">
        <v>13</v>
      </c>
      <c r="B46" s="10" t="n">
        <v>35027</v>
      </c>
      <c r="C46" s="40" t="n">
        <v>46040</v>
      </c>
      <c r="D46" s="10" t="s">
        <v>24</v>
      </c>
      <c r="E46" s="10" t="s">
        <v>340</v>
      </c>
      <c r="F46" s="10" t="s">
        <v>341</v>
      </c>
      <c r="G46" s="10" t="s">
        <v>342</v>
      </c>
      <c r="H46" s="10" t="s">
        <v>37</v>
      </c>
      <c r="I46" s="10" t="s">
        <v>188</v>
      </c>
      <c r="J46" s="10" t="s">
        <v>189</v>
      </c>
      <c r="K46" s="10" t="s">
        <v>309</v>
      </c>
      <c r="L46" s="10" t="s">
        <v>255</v>
      </c>
      <c r="M46" s="10" t="n">
        <v>60</v>
      </c>
      <c r="N46" s="10" t="n">
        <v>60</v>
      </c>
      <c r="O46" s="10" t="n">
        <f aca="false">M46-N46</f>
        <v>0</v>
      </c>
      <c r="P46" s="10" t="s">
        <v>343</v>
      </c>
      <c r="Q46" s="10" t="s">
        <v>193</v>
      </c>
      <c r="R46" s="10" t="s">
        <v>194</v>
      </c>
      <c r="S46" s="10" t="s">
        <v>122</v>
      </c>
    </row>
    <row r="47" customFormat="false" ht="15" hidden="false" customHeight="false" outlineLevel="0" collapsed="false">
      <c r="A47" s="10" t="s">
        <v>13</v>
      </c>
      <c r="B47" s="10" t="n">
        <v>35028</v>
      </c>
      <c r="C47" s="40" t="n">
        <v>46041</v>
      </c>
      <c r="D47" s="10" t="s">
        <v>23</v>
      </c>
      <c r="E47" s="10" t="s">
        <v>258</v>
      </c>
      <c r="F47" s="10" t="s">
        <v>329</v>
      </c>
      <c r="G47" s="10" t="s">
        <v>330</v>
      </c>
      <c r="H47" s="10" t="s">
        <v>36</v>
      </c>
      <c r="I47" s="10" t="s">
        <v>331</v>
      </c>
      <c r="J47" s="10" t="s">
        <v>189</v>
      </c>
      <c r="K47" s="10" t="s">
        <v>338</v>
      </c>
      <c r="L47" s="10" t="s">
        <v>344</v>
      </c>
      <c r="M47" s="10" t="n">
        <v>20</v>
      </c>
      <c r="N47" s="10" t="n">
        <v>20</v>
      </c>
      <c r="O47" s="10" t="n">
        <f aca="false">M47-N47</f>
        <v>0</v>
      </c>
      <c r="P47" s="10" t="s">
        <v>345</v>
      </c>
      <c r="Q47" s="10" t="s">
        <v>334</v>
      </c>
      <c r="R47" s="10" t="s">
        <v>194</v>
      </c>
      <c r="S47" s="10" t="s">
        <v>67</v>
      </c>
    </row>
    <row r="48" customFormat="false" ht="15" hidden="false" customHeight="false" outlineLevel="0" collapsed="false">
      <c r="A48" s="10" t="s">
        <v>13</v>
      </c>
      <c r="B48" s="10" t="n">
        <v>35052</v>
      </c>
      <c r="C48" s="40" t="n">
        <v>46042</v>
      </c>
      <c r="D48" s="10" t="s">
        <v>26</v>
      </c>
      <c r="E48" s="10" t="s">
        <v>185</v>
      </c>
      <c r="F48" s="10" t="s">
        <v>321</v>
      </c>
      <c r="G48" s="10" t="s">
        <v>322</v>
      </c>
      <c r="H48" s="10" t="s">
        <v>34</v>
      </c>
      <c r="I48" s="10" t="s">
        <v>205</v>
      </c>
      <c r="J48" s="10" t="s">
        <v>189</v>
      </c>
      <c r="K48" s="10" t="s">
        <v>255</v>
      </c>
      <c r="L48" s="10" t="s">
        <v>190</v>
      </c>
      <c r="M48" s="10" t="n">
        <v>10</v>
      </c>
      <c r="N48" s="10" t="n">
        <v>10</v>
      </c>
      <c r="O48" s="10" t="n">
        <f aca="false">M48-N48</f>
        <v>0</v>
      </c>
      <c r="P48" s="10" t="s">
        <v>346</v>
      </c>
      <c r="Q48" s="10" t="s">
        <v>208</v>
      </c>
      <c r="R48" s="10" t="s">
        <v>194</v>
      </c>
      <c r="S48" s="10" t="s">
        <v>112</v>
      </c>
    </row>
    <row r="49" customFormat="false" ht="15" hidden="false" customHeight="false" outlineLevel="0" collapsed="false">
      <c r="A49" s="10" t="s">
        <v>13</v>
      </c>
      <c r="B49" s="10" t="n">
        <v>35084</v>
      </c>
      <c r="C49" s="40" t="n">
        <v>46042</v>
      </c>
      <c r="D49" s="10" t="s">
        <v>20</v>
      </c>
      <c r="E49" s="10" t="s">
        <v>185</v>
      </c>
      <c r="F49" s="10" t="s">
        <v>347</v>
      </c>
      <c r="G49" s="10" t="s">
        <v>348</v>
      </c>
      <c r="H49" s="10" t="s">
        <v>349</v>
      </c>
      <c r="I49" s="10" t="s">
        <v>350</v>
      </c>
      <c r="J49" s="10" t="s">
        <v>189</v>
      </c>
      <c r="K49" s="10" t="s">
        <v>255</v>
      </c>
      <c r="L49" s="10" t="s">
        <v>351</v>
      </c>
      <c r="M49" s="10" t="n">
        <v>6</v>
      </c>
      <c r="N49" s="10" t="n">
        <v>6</v>
      </c>
      <c r="O49" s="10" t="n">
        <f aca="false">M49-N49</f>
        <v>0</v>
      </c>
      <c r="P49" s="10" t="s">
        <v>352</v>
      </c>
      <c r="Q49" s="10" t="s">
        <v>225</v>
      </c>
      <c r="R49" s="10" t="s">
        <v>194</v>
      </c>
      <c r="S49" s="10" t="s">
        <v>112</v>
      </c>
    </row>
    <row r="50" customFormat="false" ht="15" hidden="false" customHeight="false" outlineLevel="0" collapsed="false">
      <c r="A50" s="10" t="s">
        <v>13</v>
      </c>
      <c r="B50" s="10" t="n">
        <v>35125</v>
      </c>
      <c r="C50" s="40" t="n">
        <v>46042</v>
      </c>
      <c r="D50" s="10" t="s">
        <v>25</v>
      </c>
      <c r="E50" s="10" t="s">
        <v>258</v>
      </c>
      <c r="F50" s="10" t="s">
        <v>353</v>
      </c>
      <c r="G50" s="10" t="s">
        <v>354</v>
      </c>
      <c r="H50" s="10" t="s">
        <v>355</v>
      </c>
      <c r="I50" s="10" t="s">
        <v>356</v>
      </c>
      <c r="J50" s="10" t="s">
        <v>189</v>
      </c>
      <c r="K50" s="10" t="s">
        <v>357</v>
      </c>
      <c r="L50" s="10" t="s">
        <v>338</v>
      </c>
      <c r="M50" s="10" t="n">
        <v>20</v>
      </c>
      <c r="N50" s="10" t="n">
        <v>20</v>
      </c>
      <c r="O50" s="10" t="n">
        <f aca="false">M50-N50</f>
        <v>0</v>
      </c>
      <c r="P50" s="10" t="s">
        <v>358</v>
      </c>
      <c r="Q50" s="10" t="s">
        <v>359</v>
      </c>
      <c r="R50" s="10" t="s">
        <v>282</v>
      </c>
      <c r="S50" s="10" t="s">
        <v>148</v>
      </c>
    </row>
    <row r="51" customFormat="false" ht="15" hidden="false" customHeight="false" outlineLevel="0" collapsed="false">
      <c r="A51" s="10" t="s">
        <v>13</v>
      </c>
      <c r="B51" s="10" t="n">
        <v>35176</v>
      </c>
      <c r="C51" s="40" t="n">
        <v>46043</v>
      </c>
      <c r="D51" s="10" t="s">
        <v>23</v>
      </c>
      <c r="E51" s="10" t="s">
        <v>185</v>
      </c>
      <c r="F51" s="10" t="s">
        <v>329</v>
      </c>
      <c r="G51" s="10" t="s">
        <v>330</v>
      </c>
      <c r="H51" s="10" t="s">
        <v>37</v>
      </c>
      <c r="I51" s="10" t="s">
        <v>188</v>
      </c>
      <c r="J51" s="10" t="s">
        <v>189</v>
      </c>
      <c r="K51" s="10" t="s">
        <v>360</v>
      </c>
      <c r="L51" s="10" t="s">
        <v>361</v>
      </c>
      <c r="M51" s="10" t="n">
        <v>23</v>
      </c>
      <c r="N51" s="10" t="n">
        <v>23</v>
      </c>
      <c r="O51" s="10" t="n">
        <f aca="false">M51-N51</f>
        <v>0</v>
      </c>
      <c r="P51" s="10" t="s">
        <v>362</v>
      </c>
      <c r="Q51" s="10" t="s">
        <v>218</v>
      </c>
      <c r="R51" s="10" t="s">
        <v>194</v>
      </c>
      <c r="S51" s="10" t="s">
        <v>148</v>
      </c>
    </row>
    <row r="52" customFormat="false" ht="15" hidden="false" customHeight="false" outlineLevel="0" collapsed="false">
      <c r="A52" s="10" t="s">
        <v>13</v>
      </c>
      <c r="B52" s="10" t="n">
        <v>35198</v>
      </c>
      <c r="C52" s="40" t="n">
        <v>46043</v>
      </c>
      <c r="D52" s="10" t="s">
        <v>25</v>
      </c>
      <c r="E52" s="10" t="s">
        <v>185</v>
      </c>
      <c r="F52" s="10" t="s">
        <v>353</v>
      </c>
      <c r="G52" s="10" t="s">
        <v>354</v>
      </c>
      <c r="H52" s="10" t="s">
        <v>36</v>
      </c>
      <c r="I52" s="10" t="s">
        <v>331</v>
      </c>
      <c r="J52" s="10" t="s">
        <v>189</v>
      </c>
      <c r="K52" s="10" t="s">
        <v>363</v>
      </c>
      <c r="L52" s="10" t="s">
        <v>364</v>
      </c>
      <c r="M52" s="10" t="n">
        <v>9</v>
      </c>
      <c r="N52" s="10" t="n">
        <v>9</v>
      </c>
      <c r="O52" s="10" t="n">
        <f aca="false">M52-N52</f>
        <v>0</v>
      </c>
      <c r="P52" s="10" t="s">
        <v>365</v>
      </c>
      <c r="Q52" s="10" t="s">
        <v>366</v>
      </c>
      <c r="R52" s="10" t="s">
        <v>194</v>
      </c>
      <c r="S52" s="10" t="s">
        <v>67</v>
      </c>
    </row>
    <row r="53" customFormat="false" ht="15" hidden="false" customHeight="false" outlineLevel="0" collapsed="false">
      <c r="A53" s="10" t="s">
        <v>13</v>
      </c>
      <c r="B53" s="10" t="n">
        <v>35323</v>
      </c>
      <c r="C53" s="40" t="n">
        <v>46044</v>
      </c>
      <c r="D53" s="10" t="s">
        <v>24</v>
      </c>
      <c r="E53" s="10" t="s">
        <v>185</v>
      </c>
      <c r="F53" s="10" t="s">
        <v>367</v>
      </c>
      <c r="G53" s="10" t="s">
        <v>368</v>
      </c>
      <c r="H53" s="10" t="s">
        <v>34</v>
      </c>
      <c r="I53" s="10" t="s">
        <v>205</v>
      </c>
      <c r="J53" s="10" t="s">
        <v>189</v>
      </c>
      <c r="K53" s="10" t="s">
        <v>369</v>
      </c>
      <c r="L53" s="10" t="s">
        <v>295</v>
      </c>
      <c r="M53" s="10" t="n">
        <v>20</v>
      </c>
      <c r="N53" s="10" t="n">
        <v>20</v>
      </c>
      <c r="O53" s="10" t="n">
        <f aca="false">M53-N53</f>
        <v>0</v>
      </c>
      <c r="P53" s="10" t="s">
        <v>370</v>
      </c>
      <c r="Q53" s="10" t="s">
        <v>202</v>
      </c>
      <c r="R53" s="10" t="s">
        <v>194</v>
      </c>
      <c r="S53" s="10" t="s">
        <v>73</v>
      </c>
    </row>
    <row r="54" customFormat="false" ht="15" hidden="false" customHeight="false" outlineLevel="0" collapsed="false">
      <c r="A54" s="10" t="s">
        <v>13</v>
      </c>
      <c r="B54" s="10" t="n">
        <v>35327</v>
      </c>
      <c r="C54" s="40" t="n">
        <v>46044</v>
      </c>
      <c r="D54" s="10" t="s">
        <v>24</v>
      </c>
      <c r="E54" s="10" t="s">
        <v>185</v>
      </c>
      <c r="F54" s="10" t="s">
        <v>367</v>
      </c>
      <c r="G54" s="10" t="s">
        <v>368</v>
      </c>
      <c r="H54" s="10" t="s">
        <v>34</v>
      </c>
      <c r="I54" s="10" t="s">
        <v>205</v>
      </c>
      <c r="J54" s="10" t="s">
        <v>189</v>
      </c>
      <c r="K54" s="10" t="s">
        <v>371</v>
      </c>
      <c r="L54" s="10" t="s">
        <v>226</v>
      </c>
      <c r="M54" s="10" t="n">
        <v>54</v>
      </c>
      <c r="N54" s="10" t="n">
        <v>54</v>
      </c>
      <c r="O54" s="10" t="n">
        <f aca="false">M54-N54</f>
        <v>0</v>
      </c>
      <c r="P54" s="10" t="s">
        <v>370</v>
      </c>
      <c r="Q54" s="10" t="s">
        <v>202</v>
      </c>
      <c r="R54" s="10" t="s">
        <v>194</v>
      </c>
      <c r="S54" s="10" t="s">
        <v>73</v>
      </c>
    </row>
    <row r="55" customFormat="false" ht="15" hidden="false" customHeight="false" outlineLevel="0" collapsed="false">
      <c r="A55" s="10" t="s">
        <v>13</v>
      </c>
      <c r="B55" s="10" t="n">
        <v>35328</v>
      </c>
      <c r="C55" s="40" t="n">
        <v>46044</v>
      </c>
      <c r="D55" s="10" t="s">
        <v>24</v>
      </c>
      <c r="E55" s="10" t="s">
        <v>185</v>
      </c>
      <c r="F55" s="10" t="s">
        <v>367</v>
      </c>
      <c r="G55" s="10" t="s">
        <v>368</v>
      </c>
      <c r="H55" s="10" t="s">
        <v>34</v>
      </c>
      <c r="I55" s="10" t="s">
        <v>205</v>
      </c>
      <c r="J55" s="10" t="s">
        <v>189</v>
      </c>
      <c r="K55" s="10" t="s">
        <v>226</v>
      </c>
      <c r="L55" s="10" t="s">
        <v>372</v>
      </c>
      <c r="M55" s="10" t="n">
        <v>12</v>
      </c>
      <c r="N55" s="10" t="n">
        <v>12</v>
      </c>
      <c r="O55" s="10" t="n">
        <f aca="false">M55-N55</f>
        <v>0</v>
      </c>
      <c r="P55" s="10" t="s">
        <v>370</v>
      </c>
      <c r="Q55" s="10" t="s">
        <v>202</v>
      </c>
      <c r="R55" s="10" t="s">
        <v>194</v>
      </c>
      <c r="S55" s="10" t="s">
        <v>73</v>
      </c>
    </row>
    <row r="56" customFormat="false" ht="15" hidden="false" customHeight="false" outlineLevel="0" collapsed="false">
      <c r="A56" s="10" t="s">
        <v>13</v>
      </c>
      <c r="B56" s="10" t="n">
        <v>35331</v>
      </c>
      <c r="C56" s="40" t="n">
        <v>46044</v>
      </c>
      <c r="D56" s="10" t="s">
        <v>24</v>
      </c>
      <c r="E56" s="10" t="s">
        <v>185</v>
      </c>
      <c r="F56" s="10" t="s">
        <v>367</v>
      </c>
      <c r="G56" s="10" t="s">
        <v>368</v>
      </c>
      <c r="H56" s="10" t="s">
        <v>39</v>
      </c>
      <c r="I56" s="10" t="s">
        <v>221</v>
      </c>
      <c r="J56" s="10" t="s">
        <v>189</v>
      </c>
      <c r="K56" s="10" t="s">
        <v>373</v>
      </c>
      <c r="L56" s="10" t="s">
        <v>283</v>
      </c>
      <c r="M56" s="10" t="n">
        <v>15</v>
      </c>
      <c r="N56" s="10" t="n">
        <v>15</v>
      </c>
      <c r="O56" s="10" t="n">
        <f aca="false">M56-N56</f>
        <v>0</v>
      </c>
      <c r="P56" s="10" t="s">
        <v>374</v>
      </c>
      <c r="Q56" s="10" t="s">
        <v>202</v>
      </c>
      <c r="R56" s="10" t="s">
        <v>194</v>
      </c>
      <c r="S56" s="10" t="s">
        <v>79</v>
      </c>
    </row>
    <row r="57" customFormat="false" ht="15" hidden="false" customHeight="false" outlineLevel="0" collapsed="false">
      <c r="A57" s="10" t="s">
        <v>13</v>
      </c>
      <c r="B57" s="10" t="n">
        <v>35390</v>
      </c>
      <c r="C57" s="40" t="n">
        <v>46045</v>
      </c>
      <c r="D57" s="10" t="s">
        <v>24</v>
      </c>
      <c r="E57" s="10" t="s">
        <v>185</v>
      </c>
      <c r="F57" s="10" t="s">
        <v>367</v>
      </c>
      <c r="G57" s="10" t="s">
        <v>368</v>
      </c>
      <c r="H57" s="10" t="s">
        <v>34</v>
      </c>
      <c r="I57" s="10" t="s">
        <v>205</v>
      </c>
      <c r="J57" s="10" t="s">
        <v>189</v>
      </c>
      <c r="K57" s="10" t="s">
        <v>241</v>
      </c>
      <c r="L57" s="10" t="s">
        <v>191</v>
      </c>
      <c r="M57" s="10" t="n">
        <v>15</v>
      </c>
      <c r="N57" s="10" t="n">
        <v>15</v>
      </c>
      <c r="O57" s="10" t="n">
        <f aca="false">M57-N57</f>
        <v>0</v>
      </c>
      <c r="P57" s="10" t="s">
        <v>375</v>
      </c>
      <c r="Q57" s="10" t="s">
        <v>202</v>
      </c>
      <c r="R57" s="10" t="s">
        <v>194</v>
      </c>
      <c r="S57" s="10" t="s">
        <v>148</v>
      </c>
    </row>
    <row r="58" customFormat="false" ht="15" hidden="false" customHeight="false" outlineLevel="0" collapsed="false">
      <c r="A58" s="10" t="s">
        <v>13</v>
      </c>
      <c r="B58" s="10" t="n">
        <v>35407</v>
      </c>
      <c r="C58" s="40" t="n">
        <v>46045</v>
      </c>
      <c r="D58" s="10" t="s">
        <v>24</v>
      </c>
      <c r="E58" s="10" t="s">
        <v>185</v>
      </c>
      <c r="F58" s="10" t="s">
        <v>367</v>
      </c>
      <c r="G58" s="10" t="s">
        <v>368</v>
      </c>
      <c r="H58" s="10" t="s">
        <v>232</v>
      </c>
      <c r="I58" s="10" t="s">
        <v>233</v>
      </c>
      <c r="J58" s="10" t="s">
        <v>234</v>
      </c>
      <c r="K58" s="10" t="s">
        <v>376</v>
      </c>
      <c r="L58" s="10" t="s">
        <v>377</v>
      </c>
      <c r="M58" s="10" t="n">
        <v>6</v>
      </c>
      <c r="N58" s="10" t="n">
        <v>6</v>
      </c>
      <c r="O58" s="10" t="n">
        <f aca="false">M58-N58</f>
        <v>0</v>
      </c>
      <c r="P58" s="10" t="s">
        <v>378</v>
      </c>
      <c r="Q58" s="10" t="s">
        <v>202</v>
      </c>
      <c r="R58" s="10" t="s">
        <v>194</v>
      </c>
      <c r="S58" s="10" t="s">
        <v>118</v>
      </c>
    </row>
    <row r="59" customFormat="false" ht="15" hidden="false" customHeight="false" outlineLevel="0" collapsed="false">
      <c r="A59" s="10" t="s">
        <v>13</v>
      </c>
      <c r="B59" s="10" t="n">
        <v>35408</v>
      </c>
      <c r="C59" s="40" t="n">
        <v>46045</v>
      </c>
      <c r="D59" s="10" t="s">
        <v>24</v>
      </c>
      <c r="E59" s="10" t="s">
        <v>185</v>
      </c>
      <c r="F59" s="10" t="s">
        <v>367</v>
      </c>
      <c r="G59" s="10" t="s">
        <v>368</v>
      </c>
      <c r="H59" s="10" t="s">
        <v>39</v>
      </c>
      <c r="I59" s="10" t="s">
        <v>221</v>
      </c>
      <c r="J59" s="10" t="s">
        <v>189</v>
      </c>
      <c r="K59" s="10" t="s">
        <v>297</v>
      </c>
      <c r="L59" s="10" t="s">
        <v>223</v>
      </c>
      <c r="M59" s="10" t="n">
        <v>20</v>
      </c>
      <c r="N59" s="10" t="n">
        <v>20</v>
      </c>
      <c r="O59" s="10" t="n">
        <f aca="false">M59-N59</f>
        <v>0</v>
      </c>
      <c r="P59" s="10"/>
      <c r="Q59" s="10" t="s">
        <v>202</v>
      </c>
      <c r="R59" s="10" t="s">
        <v>282</v>
      </c>
      <c r="S59" s="10" t="s">
        <v>79</v>
      </c>
    </row>
    <row r="60" customFormat="false" ht="15" hidden="false" customHeight="false" outlineLevel="0" collapsed="false">
      <c r="A60" s="10" t="s">
        <v>13</v>
      </c>
      <c r="B60" s="10" t="n">
        <v>35409</v>
      </c>
      <c r="C60" s="40" t="n">
        <v>46045</v>
      </c>
      <c r="D60" s="10" t="s">
        <v>24</v>
      </c>
      <c r="E60" s="10" t="s">
        <v>185</v>
      </c>
      <c r="F60" s="10" t="s">
        <v>367</v>
      </c>
      <c r="G60" s="10" t="s">
        <v>368</v>
      </c>
      <c r="H60" s="10" t="s">
        <v>39</v>
      </c>
      <c r="I60" s="10" t="s">
        <v>221</v>
      </c>
      <c r="J60" s="10" t="s">
        <v>189</v>
      </c>
      <c r="K60" s="10" t="s">
        <v>223</v>
      </c>
      <c r="L60" s="10" t="s">
        <v>379</v>
      </c>
      <c r="M60" s="10" t="n">
        <v>36</v>
      </c>
      <c r="N60" s="10" t="n">
        <v>36</v>
      </c>
      <c r="O60" s="10" t="n">
        <f aca="false">M60-N60</f>
        <v>0</v>
      </c>
      <c r="P60" s="10"/>
      <c r="Q60" s="10" t="s">
        <v>202</v>
      </c>
      <c r="R60" s="10" t="s">
        <v>282</v>
      </c>
      <c r="S60" s="10" t="s">
        <v>79</v>
      </c>
    </row>
    <row r="61" customFormat="false" ht="15" hidden="false" customHeight="false" outlineLevel="0" collapsed="false">
      <c r="A61" s="10" t="s">
        <v>13</v>
      </c>
      <c r="B61" s="10" t="n">
        <v>35422</v>
      </c>
      <c r="C61" s="40" t="n">
        <v>46045</v>
      </c>
      <c r="D61" s="10" t="s">
        <v>22</v>
      </c>
      <c r="E61" s="10" t="s">
        <v>185</v>
      </c>
      <c r="F61" s="10" t="s">
        <v>380</v>
      </c>
      <c r="G61" s="10" t="s">
        <v>381</v>
      </c>
      <c r="H61" s="10" t="s">
        <v>382</v>
      </c>
      <c r="I61" s="10" t="s">
        <v>383</v>
      </c>
      <c r="J61" s="10" t="s">
        <v>384</v>
      </c>
      <c r="K61" s="10" t="s">
        <v>385</v>
      </c>
      <c r="L61" s="10" t="s">
        <v>376</v>
      </c>
      <c r="M61" s="10" t="n">
        <v>5</v>
      </c>
      <c r="N61" s="10" t="n">
        <v>5</v>
      </c>
      <c r="O61" s="10" t="n">
        <f aca="false">M61-N61</f>
        <v>0</v>
      </c>
      <c r="P61" s="10"/>
      <c r="Q61" s="10" t="s">
        <v>243</v>
      </c>
      <c r="R61" s="10" t="s">
        <v>194</v>
      </c>
      <c r="S61" s="10" t="s">
        <v>118</v>
      </c>
    </row>
    <row r="62" customFormat="false" ht="15" hidden="false" customHeight="false" outlineLevel="0" collapsed="false">
      <c r="A62" s="10" t="s">
        <v>13</v>
      </c>
      <c r="B62" s="10" t="n">
        <v>35451</v>
      </c>
      <c r="C62" s="40" t="n">
        <v>46045</v>
      </c>
      <c r="D62" s="10" t="s">
        <v>24</v>
      </c>
      <c r="E62" s="10" t="s">
        <v>185</v>
      </c>
      <c r="F62" s="10" t="s">
        <v>386</v>
      </c>
      <c r="G62" s="10" t="s">
        <v>387</v>
      </c>
      <c r="H62" s="10" t="s">
        <v>39</v>
      </c>
      <c r="I62" s="10" t="s">
        <v>221</v>
      </c>
      <c r="J62" s="10" t="s">
        <v>189</v>
      </c>
      <c r="K62" s="10" t="s">
        <v>388</v>
      </c>
      <c r="L62" s="10" t="s">
        <v>256</v>
      </c>
      <c r="M62" s="10" t="n">
        <v>30</v>
      </c>
      <c r="N62" s="10" t="n">
        <v>30</v>
      </c>
      <c r="O62" s="10" t="n">
        <f aca="false">M62-N62</f>
        <v>0</v>
      </c>
      <c r="P62" s="10" t="s">
        <v>389</v>
      </c>
      <c r="Q62" s="10" t="s">
        <v>202</v>
      </c>
      <c r="R62" s="10" t="s">
        <v>194</v>
      </c>
      <c r="S62" s="10" t="s">
        <v>79</v>
      </c>
    </row>
    <row r="63" customFormat="false" ht="15" hidden="false" customHeight="false" outlineLevel="0" collapsed="false">
      <c r="A63" s="10" t="s">
        <v>13</v>
      </c>
      <c r="B63" s="10" t="n">
        <v>35483</v>
      </c>
      <c r="C63" s="40" t="n">
        <v>46045</v>
      </c>
      <c r="D63" s="10" t="s">
        <v>23</v>
      </c>
      <c r="E63" s="10" t="s">
        <v>258</v>
      </c>
      <c r="F63" s="10" t="s">
        <v>390</v>
      </c>
      <c r="G63" s="10" t="s">
        <v>391</v>
      </c>
      <c r="H63" s="10" t="s">
        <v>392</v>
      </c>
      <c r="I63" s="10" t="s">
        <v>393</v>
      </c>
      <c r="J63" s="10" t="s">
        <v>189</v>
      </c>
      <c r="K63" s="10" t="s">
        <v>394</v>
      </c>
      <c r="L63" s="10" t="s">
        <v>395</v>
      </c>
      <c r="M63" s="10" t="n">
        <v>50</v>
      </c>
      <c r="N63" s="10" t="n">
        <v>50</v>
      </c>
      <c r="O63" s="10" t="n">
        <f aca="false">M63-N63</f>
        <v>0</v>
      </c>
      <c r="P63" s="10" t="s">
        <v>396</v>
      </c>
      <c r="Q63" s="10" t="s">
        <v>334</v>
      </c>
      <c r="R63" s="10" t="s">
        <v>194</v>
      </c>
      <c r="S63" s="10" t="s">
        <v>105</v>
      </c>
    </row>
    <row r="64" customFormat="false" ht="15" hidden="false" customHeight="false" outlineLevel="0" collapsed="false">
      <c r="A64" s="10" t="s">
        <v>13</v>
      </c>
      <c r="B64" s="10" t="n">
        <v>35500</v>
      </c>
      <c r="C64" s="40" t="n">
        <v>46046</v>
      </c>
      <c r="D64" s="10" t="s">
        <v>27</v>
      </c>
      <c r="E64" s="10" t="s">
        <v>185</v>
      </c>
      <c r="F64" s="10" t="s">
        <v>397</v>
      </c>
      <c r="G64" s="10" t="s">
        <v>398</v>
      </c>
      <c r="H64" s="10" t="s">
        <v>42</v>
      </c>
      <c r="I64" s="10" t="s">
        <v>323</v>
      </c>
      <c r="J64" s="10" t="s">
        <v>189</v>
      </c>
      <c r="K64" s="10" t="s">
        <v>399</v>
      </c>
      <c r="L64" s="10" t="s">
        <v>400</v>
      </c>
      <c r="M64" s="10" t="n">
        <v>22</v>
      </c>
      <c r="N64" s="10" t="n">
        <v>22</v>
      </c>
      <c r="O64" s="10" t="n">
        <f aca="false">M64-N64</f>
        <v>0</v>
      </c>
      <c r="P64" s="10" t="s">
        <v>401</v>
      </c>
      <c r="Q64" s="10" t="s">
        <v>218</v>
      </c>
      <c r="R64" s="10" t="s">
        <v>194</v>
      </c>
      <c r="S64" s="10" t="s">
        <v>96</v>
      </c>
    </row>
    <row r="65" customFormat="false" ht="15" hidden="false" customHeight="false" outlineLevel="0" collapsed="false">
      <c r="A65" s="10" t="s">
        <v>13</v>
      </c>
      <c r="B65" s="10" t="n">
        <v>35503</v>
      </c>
      <c r="C65" s="40" t="n">
        <v>46046</v>
      </c>
      <c r="D65" s="10" t="s">
        <v>27</v>
      </c>
      <c r="E65" s="10" t="s">
        <v>185</v>
      </c>
      <c r="F65" s="10" t="s">
        <v>397</v>
      </c>
      <c r="G65" s="10" t="s">
        <v>398</v>
      </c>
      <c r="H65" s="10" t="s">
        <v>36</v>
      </c>
      <c r="I65" s="10" t="s">
        <v>331</v>
      </c>
      <c r="J65" s="10" t="s">
        <v>189</v>
      </c>
      <c r="K65" s="10" t="s">
        <v>312</v>
      </c>
      <c r="L65" s="10" t="s">
        <v>402</v>
      </c>
      <c r="M65" s="10" t="n">
        <v>20</v>
      </c>
      <c r="N65" s="10" t="n">
        <v>20</v>
      </c>
      <c r="O65" s="10" t="n">
        <f aca="false">M65-N65</f>
        <v>0</v>
      </c>
      <c r="P65" s="10" t="s">
        <v>403</v>
      </c>
      <c r="Q65" s="10" t="s">
        <v>218</v>
      </c>
      <c r="R65" s="10" t="s">
        <v>194</v>
      </c>
      <c r="S65" s="10" t="s">
        <v>63</v>
      </c>
    </row>
    <row r="66" customFormat="false" ht="15" hidden="false" customHeight="false" outlineLevel="0" collapsed="false">
      <c r="A66" s="10" t="s">
        <v>13</v>
      </c>
      <c r="B66" s="10" t="n">
        <v>35574</v>
      </c>
      <c r="C66" s="40" t="n">
        <v>46048</v>
      </c>
      <c r="D66" s="10" t="s">
        <v>25</v>
      </c>
      <c r="E66" s="10" t="s">
        <v>185</v>
      </c>
      <c r="F66" s="10" t="s">
        <v>404</v>
      </c>
      <c r="G66" s="10" t="s">
        <v>405</v>
      </c>
      <c r="H66" s="10" t="s">
        <v>406</v>
      </c>
      <c r="I66" s="10" t="s">
        <v>407</v>
      </c>
      <c r="J66" s="10" t="s">
        <v>189</v>
      </c>
      <c r="K66" s="10" t="s">
        <v>255</v>
      </c>
      <c r="L66" s="10" t="s">
        <v>295</v>
      </c>
      <c r="M66" s="10" t="n">
        <v>120</v>
      </c>
      <c r="N66" s="10" t="n">
        <v>120</v>
      </c>
      <c r="O66" s="10" t="n">
        <f aca="false">M66-N66</f>
        <v>0</v>
      </c>
      <c r="P66" s="10" t="s">
        <v>408</v>
      </c>
      <c r="Q66" s="10" t="s">
        <v>359</v>
      </c>
      <c r="R66" s="10" t="s">
        <v>194</v>
      </c>
      <c r="S66" s="10" t="s">
        <v>122</v>
      </c>
    </row>
    <row r="67" customFormat="false" ht="15" hidden="false" customHeight="false" outlineLevel="0" collapsed="false">
      <c r="A67" s="10" t="s">
        <v>13</v>
      </c>
      <c r="B67" s="10" t="n">
        <v>35576</v>
      </c>
      <c r="C67" s="40" t="n">
        <v>46048</v>
      </c>
      <c r="D67" s="10" t="s">
        <v>25</v>
      </c>
      <c r="E67" s="10" t="s">
        <v>185</v>
      </c>
      <c r="F67" s="10" t="s">
        <v>404</v>
      </c>
      <c r="G67" s="10" t="s">
        <v>405</v>
      </c>
      <c r="H67" s="10" t="s">
        <v>406</v>
      </c>
      <c r="I67" s="10" t="s">
        <v>407</v>
      </c>
      <c r="J67" s="10" t="s">
        <v>189</v>
      </c>
      <c r="K67" s="10" t="s">
        <v>210</v>
      </c>
      <c r="L67" s="10" t="s">
        <v>223</v>
      </c>
      <c r="M67" s="10" t="n">
        <v>50</v>
      </c>
      <c r="N67" s="10" t="n">
        <v>50</v>
      </c>
      <c r="O67" s="10" t="n">
        <f aca="false">M67-N67</f>
        <v>0</v>
      </c>
      <c r="P67" s="10" t="s">
        <v>409</v>
      </c>
      <c r="Q67" s="10" t="s">
        <v>359</v>
      </c>
      <c r="R67" s="10" t="s">
        <v>194</v>
      </c>
      <c r="S67" s="10" t="s">
        <v>73</v>
      </c>
    </row>
    <row r="68" customFormat="false" ht="15" hidden="false" customHeight="false" outlineLevel="0" collapsed="false">
      <c r="A68" s="10" t="s">
        <v>13</v>
      </c>
      <c r="B68" s="10" t="n">
        <v>35586</v>
      </c>
      <c r="C68" s="40" t="n">
        <v>46048</v>
      </c>
      <c r="D68" s="10" t="s">
        <v>25</v>
      </c>
      <c r="E68" s="10" t="s">
        <v>185</v>
      </c>
      <c r="F68" s="10" t="s">
        <v>404</v>
      </c>
      <c r="G68" s="10" t="s">
        <v>405</v>
      </c>
      <c r="H68" s="10" t="s">
        <v>406</v>
      </c>
      <c r="I68" s="10" t="s">
        <v>407</v>
      </c>
      <c r="J68" s="10" t="s">
        <v>189</v>
      </c>
      <c r="K68" s="10" t="s">
        <v>226</v>
      </c>
      <c r="L68" s="10" t="s">
        <v>301</v>
      </c>
      <c r="M68" s="10" t="n">
        <v>30</v>
      </c>
      <c r="N68" s="10" t="n">
        <v>30</v>
      </c>
      <c r="O68" s="10" t="n">
        <f aca="false">M68-N68</f>
        <v>0</v>
      </c>
      <c r="P68" s="10" t="s">
        <v>410</v>
      </c>
      <c r="Q68" s="10" t="s">
        <v>359</v>
      </c>
      <c r="R68" s="10" t="s">
        <v>194</v>
      </c>
      <c r="S68" s="10" t="s">
        <v>73</v>
      </c>
    </row>
    <row r="69" customFormat="false" ht="15" hidden="false" customHeight="false" outlineLevel="0" collapsed="false">
      <c r="A69" s="10" t="s">
        <v>13</v>
      </c>
      <c r="B69" s="10" t="n">
        <v>35629</v>
      </c>
      <c r="C69" s="40" t="n">
        <v>46048</v>
      </c>
      <c r="D69" s="10" t="s">
        <v>25</v>
      </c>
      <c r="E69" s="10" t="s">
        <v>258</v>
      </c>
      <c r="F69" s="10" t="s">
        <v>411</v>
      </c>
      <c r="G69" s="10" t="s">
        <v>412</v>
      </c>
      <c r="H69" s="10" t="s">
        <v>43</v>
      </c>
      <c r="I69" s="10" t="s">
        <v>249</v>
      </c>
      <c r="J69" s="10" t="s">
        <v>189</v>
      </c>
      <c r="K69" s="10" t="s">
        <v>332</v>
      </c>
      <c r="L69" s="10" t="s">
        <v>413</v>
      </c>
      <c r="M69" s="10" t="n">
        <v>30</v>
      </c>
      <c r="N69" s="10" t="n">
        <v>30</v>
      </c>
      <c r="O69" s="10" t="n">
        <f aca="false">M69-N69</f>
        <v>0</v>
      </c>
      <c r="P69" s="10" t="s">
        <v>414</v>
      </c>
      <c r="Q69" s="10" t="s">
        <v>366</v>
      </c>
      <c r="R69" s="10" t="s">
        <v>194</v>
      </c>
      <c r="S69" s="10" t="s">
        <v>73</v>
      </c>
    </row>
    <row r="70" customFormat="false" ht="15" hidden="false" customHeight="false" outlineLevel="0" collapsed="false">
      <c r="A70" s="10" t="s">
        <v>13</v>
      </c>
      <c r="B70" s="10" t="n">
        <v>35633</v>
      </c>
      <c r="C70" s="40" t="n">
        <v>46048</v>
      </c>
      <c r="D70" s="10" t="s">
        <v>25</v>
      </c>
      <c r="E70" s="10" t="s">
        <v>258</v>
      </c>
      <c r="F70" s="10" t="s">
        <v>411</v>
      </c>
      <c r="G70" s="10" t="s">
        <v>412</v>
      </c>
      <c r="H70" s="10" t="s">
        <v>38</v>
      </c>
      <c r="I70" s="10" t="s">
        <v>415</v>
      </c>
      <c r="J70" s="10" t="s">
        <v>189</v>
      </c>
      <c r="K70" s="10" t="s">
        <v>416</v>
      </c>
      <c r="L70" s="10" t="s">
        <v>417</v>
      </c>
      <c r="M70" s="10" t="n">
        <v>40</v>
      </c>
      <c r="N70" s="10" t="n">
        <v>40</v>
      </c>
      <c r="O70" s="10" t="n">
        <f aca="false">M70-N70</f>
        <v>0</v>
      </c>
      <c r="P70" s="10" t="s">
        <v>418</v>
      </c>
      <c r="Q70" s="10" t="s">
        <v>366</v>
      </c>
      <c r="R70" s="10" t="s">
        <v>194</v>
      </c>
      <c r="S70" s="10" t="s">
        <v>93</v>
      </c>
    </row>
    <row r="71" customFormat="false" ht="15" hidden="false" customHeight="false" outlineLevel="0" collapsed="false">
      <c r="A71" s="10" t="s">
        <v>13</v>
      </c>
      <c r="B71" s="10" t="n">
        <v>35669</v>
      </c>
      <c r="C71" s="40" t="n">
        <v>46049</v>
      </c>
      <c r="D71" s="10" t="s">
        <v>27</v>
      </c>
      <c r="E71" s="10" t="s">
        <v>185</v>
      </c>
      <c r="F71" s="10" t="s">
        <v>419</v>
      </c>
      <c r="G71" s="10" t="s">
        <v>420</v>
      </c>
      <c r="H71" s="10" t="s">
        <v>43</v>
      </c>
      <c r="I71" s="10" t="s">
        <v>249</v>
      </c>
      <c r="J71" s="10" t="s">
        <v>189</v>
      </c>
      <c r="K71" s="10" t="s">
        <v>421</v>
      </c>
      <c r="L71" s="10" t="s">
        <v>245</v>
      </c>
      <c r="M71" s="10" t="n">
        <v>24</v>
      </c>
      <c r="N71" s="10" t="n">
        <v>24</v>
      </c>
      <c r="O71" s="10" t="n">
        <f aca="false">M71-N71</f>
        <v>0</v>
      </c>
      <c r="P71" s="10" t="s">
        <v>422</v>
      </c>
      <c r="Q71" s="10" t="s">
        <v>218</v>
      </c>
      <c r="R71" s="10" t="s">
        <v>194</v>
      </c>
      <c r="S71" s="10" t="s">
        <v>83</v>
      </c>
    </row>
    <row r="72" customFormat="false" ht="15" hidden="false" customHeight="false" outlineLevel="0" collapsed="false">
      <c r="A72" s="10" t="s">
        <v>13</v>
      </c>
      <c r="B72" s="10" t="n">
        <v>35672</v>
      </c>
      <c r="C72" s="40" t="n">
        <v>46049</v>
      </c>
      <c r="D72" s="10" t="s">
        <v>27</v>
      </c>
      <c r="E72" s="10" t="s">
        <v>185</v>
      </c>
      <c r="F72" s="10" t="s">
        <v>419</v>
      </c>
      <c r="G72" s="10" t="s">
        <v>420</v>
      </c>
      <c r="H72" s="10" t="s">
        <v>37</v>
      </c>
      <c r="I72" s="10" t="s">
        <v>188</v>
      </c>
      <c r="J72" s="10" t="s">
        <v>189</v>
      </c>
      <c r="K72" s="10" t="s">
        <v>423</v>
      </c>
      <c r="L72" s="10" t="s">
        <v>301</v>
      </c>
      <c r="M72" s="10" t="n">
        <v>23</v>
      </c>
      <c r="N72" s="10" t="n">
        <v>23</v>
      </c>
      <c r="O72" s="10" t="n">
        <f aca="false">M72-N72</f>
        <v>0</v>
      </c>
      <c r="P72" s="10" t="s">
        <v>424</v>
      </c>
      <c r="Q72" s="10" t="s">
        <v>218</v>
      </c>
      <c r="R72" s="10" t="s">
        <v>194</v>
      </c>
      <c r="S72" s="10" t="s">
        <v>67</v>
      </c>
    </row>
    <row r="73" customFormat="false" ht="15" hidden="false" customHeight="false" outlineLevel="0" collapsed="false">
      <c r="A73" s="10" t="s">
        <v>13</v>
      </c>
      <c r="B73" s="10" t="n">
        <v>35680</v>
      </c>
      <c r="C73" s="40" t="n">
        <v>46049</v>
      </c>
      <c r="D73" s="10" t="s">
        <v>27</v>
      </c>
      <c r="E73" s="10" t="s">
        <v>185</v>
      </c>
      <c r="F73" s="10" t="s">
        <v>419</v>
      </c>
      <c r="G73" s="10" t="s">
        <v>420</v>
      </c>
      <c r="H73" s="10" t="s">
        <v>37</v>
      </c>
      <c r="I73" s="10" t="s">
        <v>188</v>
      </c>
      <c r="J73" s="10" t="s">
        <v>189</v>
      </c>
      <c r="K73" s="10" t="s">
        <v>228</v>
      </c>
      <c r="L73" s="10" t="s">
        <v>425</v>
      </c>
      <c r="M73" s="10" t="n">
        <v>52</v>
      </c>
      <c r="N73" s="10" t="n">
        <v>52</v>
      </c>
      <c r="O73" s="10" t="n">
        <f aca="false">M73-N73</f>
        <v>0</v>
      </c>
      <c r="P73" s="10" t="s">
        <v>426</v>
      </c>
      <c r="Q73" s="10" t="s">
        <v>218</v>
      </c>
      <c r="R73" s="10" t="s">
        <v>194</v>
      </c>
      <c r="S73" s="10" t="s">
        <v>67</v>
      </c>
    </row>
    <row r="74" customFormat="false" ht="15" hidden="false" customHeight="false" outlineLevel="0" collapsed="false">
      <c r="A74" s="10" t="s">
        <v>13</v>
      </c>
      <c r="B74" s="10" t="n">
        <v>35718</v>
      </c>
      <c r="C74" s="40" t="n">
        <v>46049</v>
      </c>
      <c r="D74" s="10" t="s">
        <v>24</v>
      </c>
      <c r="E74" s="10" t="s">
        <v>258</v>
      </c>
      <c r="F74" s="10" t="s">
        <v>427</v>
      </c>
      <c r="G74" s="10" t="s">
        <v>428</v>
      </c>
      <c r="H74" s="10" t="s">
        <v>34</v>
      </c>
      <c r="I74" s="10" t="s">
        <v>205</v>
      </c>
      <c r="J74" s="10" t="s">
        <v>189</v>
      </c>
      <c r="K74" s="10" t="s">
        <v>416</v>
      </c>
      <c r="L74" s="10" t="s">
        <v>417</v>
      </c>
      <c r="M74" s="10" t="n">
        <v>40</v>
      </c>
      <c r="N74" s="10" t="n">
        <v>40</v>
      </c>
      <c r="O74" s="10" t="n">
        <f aca="false">M74-N74</f>
        <v>0</v>
      </c>
      <c r="P74" s="10" t="s">
        <v>429</v>
      </c>
      <c r="Q74" s="10" t="s">
        <v>202</v>
      </c>
      <c r="R74" s="10" t="s">
        <v>194</v>
      </c>
      <c r="S74" s="10" t="s">
        <v>102</v>
      </c>
    </row>
    <row r="75" customFormat="false" ht="15" hidden="false" customHeight="false" outlineLevel="0" collapsed="false">
      <c r="A75" s="10" t="s">
        <v>13</v>
      </c>
      <c r="B75" s="10" t="n">
        <v>35748</v>
      </c>
      <c r="C75" s="40" t="n">
        <v>46050</v>
      </c>
      <c r="D75" s="10" t="s">
        <v>29</v>
      </c>
      <c r="E75" s="10" t="s">
        <v>185</v>
      </c>
      <c r="F75" s="10" t="s">
        <v>430</v>
      </c>
      <c r="G75" s="10" t="s">
        <v>431</v>
      </c>
      <c r="H75" s="10" t="s">
        <v>34</v>
      </c>
      <c r="I75" s="10" t="s">
        <v>205</v>
      </c>
      <c r="J75" s="10" t="s">
        <v>189</v>
      </c>
      <c r="K75" s="10" t="s">
        <v>223</v>
      </c>
      <c r="L75" s="10" t="s">
        <v>226</v>
      </c>
      <c r="M75" s="10" t="n">
        <v>12</v>
      </c>
      <c r="N75" s="10" t="n">
        <v>60</v>
      </c>
      <c r="O75" s="10" t="n">
        <f aca="false">M75-N75</f>
        <v>-48</v>
      </c>
      <c r="P75" s="10" t="s">
        <v>432</v>
      </c>
      <c r="Q75" s="10" t="s">
        <v>433</v>
      </c>
      <c r="R75" s="10" t="s">
        <v>194</v>
      </c>
      <c r="S75" s="10" t="s">
        <v>102</v>
      </c>
    </row>
    <row r="76" customFormat="false" ht="15" hidden="false" customHeight="false" outlineLevel="0" collapsed="false">
      <c r="A76" s="10" t="s">
        <v>13</v>
      </c>
      <c r="B76" s="10" t="n">
        <v>35775</v>
      </c>
      <c r="C76" s="40" t="n">
        <v>46050</v>
      </c>
      <c r="D76" s="10" t="s">
        <v>26</v>
      </c>
      <c r="E76" s="10" t="s">
        <v>258</v>
      </c>
      <c r="F76" s="10" t="s">
        <v>434</v>
      </c>
      <c r="G76" s="10" t="s">
        <v>435</v>
      </c>
      <c r="H76" s="10" t="s">
        <v>38</v>
      </c>
      <c r="I76" s="10" t="s">
        <v>415</v>
      </c>
      <c r="J76" s="10" t="s">
        <v>189</v>
      </c>
      <c r="K76" s="10" t="s">
        <v>256</v>
      </c>
      <c r="L76" s="10" t="s">
        <v>332</v>
      </c>
      <c r="M76" s="10" t="n">
        <v>60</v>
      </c>
      <c r="N76" s="10" t="n">
        <v>60</v>
      </c>
      <c r="O76" s="10" t="n">
        <f aca="false">M76-N76</f>
        <v>0</v>
      </c>
      <c r="P76" s="10" t="s">
        <v>436</v>
      </c>
      <c r="Q76" s="10" t="s">
        <v>437</v>
      </c>
      <c r="R76" s="10" t="s">
        <v>194</v>
      </c>
      <c r="S76" s="10" t="s">
        <v>93</v>
      </c>
    </row>
    <row r="77" customFormat="false" ht="15" hidden="false" customHeight="false" outlineLevel="0" collapsed="false">
      <c r="A77" s="10" t="s">
        <v>13</v>
      </c>
      <c r="B77" s="10" t="n">
        <v>35823</v>
      </c>
      <c r="C77" s="40" t="n">
        <v>46051</v>
      </c>
      <c r="D77" s="10" t="s">
        <v>24</v>
      </c>
      <c r="E77" s="10" t="s">
        <v>185</v>
      </c>
      <c r="F77" s="10" t="s">
        <v>438</v>
      </c>
      <c r="G77" s="10" t="s">
        <v>439</v>
      </c>
      <c r="H77" s="10" t="s">
        <v>37</v>
      </c>
      <c r="I77" s="10" t="s">
        <v>188</v>
      </c>
      <c r="J77" s="10" t="s">
        <v>189</v>
      </c>
      <c r="K77" s="10" t="s">
        <v>191</v>
      </c>
      <c r="L77" s="10" t="s">
        <v>245</v>
      </c>
      <c r="M77" s="10" t="n">
        <v>44</v>
      </c>
      <c r="N77" s="10" t="n">
        <v>44</v>
      </c>
      <c r="O77" s="10" t="n">
        <f aca="false">M77-N77</f>
        <v>0</v>
      </c>
      <c r="P77" s="10"/>
      <c r="Q77" s="10" t="s">
        <v>225</v>
      </c>
      <c r="R77" s="10" t="s">
        <v>282</v>
      </c>
      <c r="S77" s="10" t="s">
        <v>147</v>
      </c>
    </row>
    <row r="78" customFormat="false" ht="15" hidden="false" customHeight="false" outlineLevel="0" collapsed="false">
      <c r="A78" s="10" t="s">
        <v>13</v>
      </c>
      <c r="B78" s="10" t="n">
        <v>35911</v>
      </c>
      <c r="C78" s="40" t="n">
        <v>46052</v>
      </c>
      <c r="D78" s="10" t="s">
        <v>27</v>
      </c>
      <c r="E78" s="10" t="s">
        <v>185</v>
      </c>
      <c r="F78" s="10" t="s">
        <v>440</v>
      </c>
      <c r="G78" s="10" t="s">
        <v>441</v>
      </c>
      <c r="H78" s="10" t="s">
        <v>36</v>
      </c>
      <c r="I78" s="10" t="s">
        <v>331</v>
      </c>
      <c r="J78" s="10" t="s">
        <v>189</v>
      </c>
      <c r="K78" s="10" t="s">
        <v>442</v>
      </c>
      <c r="L78" s="10" t="s">
        <v>199</v>
      </c>
      <c r="M78" s="10" t="n">
        <v>29</v>
      </c>
      <c r="N78" s="10" t="n">
        <v>29</v>
      </c>
      <c r="O78" s="10" t="n">
        <f aca="false">M78-N78</f>
        <v>0</v>
      </c>
      <c r="P78" s="10" t="s">
        <v>443</v>
      </c>
      <c r="Q78" s="10" t="s">
        <v>218</v>
      </c>
      <c r="R78" s="10" t="s">
        <v>194</v>
      </c>
      <c r="S78" s="10" t="s">
        <v>63</v>
      </c>
    </row>
    <row r="79" customFormat="false" ht="15" hidden="false" customHeight="false" outlineLevel="0" collapsed="false">
      <c r="A79" s="10" t="s">
        <v>13</v>
      </c>
      <c r="B79" s="10" t="n">
        <v>35912</v>
      </c>
      <c r="C79" s="40" t="n">
        <v>46052</v>
      </c>
      <c r="D79" s="10" t="s">
        <v>27</v>
      </c>
      <c r="E79" s="10" t="s">
        <v>185</v>
      </c>
      <c r="F79" s="10" t="s">
        <v>440</v>
      </c>
      <c r="G79" s="10" t="s">
        <v>441</v>
      </c>
      <c r="H79" s="10" t="s">
        <v>36</v>
      </c>
      <c r="I79" s="10" t="s">
        <v>331</v>
      </c>
      <c r="J79" s="10" t="s">
        <v>189</v>
      </c>
      <c r="K79" s="10" t="s">
        <v>199</v>
      </c>
      <c r="L79" s="10" t="s">
        <v>444</v>
      </c>
      <c r="M79" s="10" t="n">
        <v>14</v>
      </c>
      <c r="N79" s="10" t="n">
        <v>14</v>
      </c>
      <c r="O79" s="10" t="n">
        <f aca="false">M79-N79</f>
        <v>0</v>
      </c>
      <c r="P79" s="10"/>
      <c r="Q79" s="10" t="s">
        <v>218</v>
      </c>
      <c r="R79" s="10" t="s">
        <v>194</v>
      </c>
      <c r="S79" s="10" t="s">
        <v>67</v>
      </c>
    </row>
    <row r="80" customFormat="false" ht="15" hidden="false" customHeight="false" outlineLevel="0" collapsed="false">
      <c r="A80" s="10" t="s">
        <v>14</v>
      </c>
      <c r="B80" s="10" t="n">
        <v>42836</v>
      </c>
      <c r="C80" s="40" t="n">
        <v>46146</v>
      </c>
      <c r="D80" s="10" t="s">
        <v>21</v>
      </c>
      <c r="E80" s="10" t="s">
        <v>185</v>
      </c>
      <c r="F80" s="10" t="s">
        <v>445</v>
      </c>
      <c r="G80" s="10" t="s">
        <v>446</v>
      </c>
      <c r="H80" s="10" t="s">
        <v>34</v>
      </c>
      <c r="I80" s="10" t="s">
        <v>205</v>
      </c>
      <c r="J80" s="10" t="s">
        <v>189</v>
      </c>
      <c r="K80" s="10" t="s">
        <v>191</v>
      </c>
      <c r="L80" s="10" t="s">
        <v>369</v>
      </c>
      <c r="M80" s="10" t="n">
        <v>40</v>
      </c>
      <c r="N80" s="10" t="n">
        <v>40</v>
      </c>
      <c r="O80" s="10" t="n">
        <f aca="false">M80-N80</f>
        <v>0</v>
      </c>
      <c r="P80" s="10" t="s">
        <v>447</v>
      </c>
      <c r="Q80" s="10" t="s">
        <v>448</v>
      </c>
      <c r="R80" s="10" t="s">
        <v>194</v>
      </c>
      <c r="S80" s="10" t="s">
        <v>70</v>
      </c>
    </row>
    <row r="81" customFormat="false" ht="15" hidden="false" customHeight="false" outlineLevel="0" collapsed="false">
      <c r="A81" s="10" t="s">
        <v>14</v>
      </c>
      <c r="B81" s="10" t="n">
        <v>42842</v>
      </c>
      <c r="C81" s="40" t="n">
        <v>46146</v>
      </c>
      <c r="D81" s="10" t="s">
        <v>21</v>
      </c>
      <c r="E81" s="10" t="s">
        <v>185</v>
      </c>
      <c r="F81" s="10" t="s">
        <v>445</v>
      </c>
      <c r="G81" s="10" t="s">
        <v>446</v>
      </c>
      <c r="H81" s="10" t="s">
        <v>34</v>
      </c>
      <c r="I81" s="10" t="s">
        <v>205</v>
      </c>
      <c r="J81" s="10" t="s">
        <v>189</v>
      </c>
      <c r="K81" s="10" t="s">
        <v>210</v>
      </c>
      <c r="L81" s="10" t="s">
        <v>223</v>
      </c>
      <c r="M81" s="10" t="n">
        <v>50</v>
      </c>
      <c r="N81" s="10" t="n">
        <v>50</v>
      </c>
      <c r="O81" s="10" t="n">
        <f aca="false">M81-N81</f>
        <v>0</v>
      </c>
      <c r="P81" s="10" t="s">
        <v>449</v>
      </c>
      <c r="Q81" s="10" t="s">
        <v>448</v>
      </c>
      <c r="R81" s="10" t="s">
        <v>282</v>
      </c>
      <c r="S81" s="10" t="s">
        <v>70</v>
      </c>
    </row>
    <row r="82" customFormat="false" ht="15" hidden="false" customHeight="false" outlineLevel="0" collapsed="false">
      <c r="A82" s="10" t="s">
        <v>14</v>
      </c>
      <c r="B82" s="10" t="n">
        <v>42890</v>
      </c>
      <c r="C82" s="40" t="n">
        <v>46146</v>
      </c>
      <c r="D82" s="10" t="s">
        <v>21</v>
      </c>
      <c r="E82" s="10" t="s">
        <v>258</v>
      </c>
      <c r="F82" s="10" t="s">
        <v>445</v>
      </c>
      <c r="G82" s="10" t="s">
        <v>446</v>
      </c>
      <c r="H82" s="10" t="s">
        <v>34</v>
      </c>
      <c r="I82" s="10" t="s">
        <v>205</v>
      </c>
      <c r="J82" s="10" t="s">
        <v>189</v>
      </c>
      <c r="K82" s="10" t="s">
        <v>450</v>
      </c>
      <c r="L82" s="10" t="s">
        <v>256</v>
      </c>
      <c r="M82" s="10" t="n">
        <v>14</v>
      </c>
      <c r="N82" s="10" t="n">
        <v>14</v>
      </c>
      <c r="O82" s="10" t="n">
        <f aca="false">M82-N82</f>
        <v>0</v>
      </c>
      <c r="P82" s="10" t="s">
        <v>451</v>
      </c>
      <c r="Q82" s="10" t="s">
        <v>433</v>
      </c>
      <c r="R82" s="10" t="s">
        <v>194</v>
      </c>
      <c r="S82" s="10" t="s">
        <v>148</v>
      </c>
    </row>
    <row r="83" customFormat="false" ht="15" hidden="false" customHeight="false" outlineLevel="0" collapsed="false">
      <c r="A83" s="10" t="s">
        <v>14</v>
      </c>
      <c r="B83" s="10" t="n">
        <v>42902</v>
      </c>
      <c r="C83" s="40" t="n">
        <v>46146</v>
      </c>
      <c r="D83" s="10" t="s">
        <v>22</v>
      </c>
      <c r="E83" s="10" t="s">
        <v>258</v>
      </c>
      <c r="F83" s="10" t="s">
        <v>238</v>
      </c>
      <c r="G83" s="10" t="s">
        <v>239</v>
      </c>
      <c r="H83" s="10" t="s">
        <v>349</v>
      </c>
      <c r="I83" s="10" t="s">
        <v>350</v>
      </c>
      <c r="J83" s="10" t="s">
        <v>189</v>
      </c>
      <c r="K83" s="10" t="s">
        <v>357</v>
      </c>
      <c r="L83" s="10" t="s">
        <v>452</v>
      </c>
      <c r="M83" s="10" t="n">
        <v>15</v>
      </c>
      <c r="N83" s="10" t="n">
        <v>15</v>
      </c>
      <c r="O83" s="10" t="n">
        <f aca="false">M83-N83</f>
        <v>0</v>
      </c>
      <c r="P83" s="10" t="s">
        <v>165</v>
      </c>
      <c r="Q83" s="10" t="s">
        <v>243</v>
      </c>
      <c r="R83" s="10" t="s">
        <v>194</v>
      </c>
      <c r="S83" s="10" t="s">
        <v>79</v>
      </c>
    </row>
    <row r="84" customFormat="false" ht="15" hidden="false" customHeight="false" outlineLevel="0" collapsed="false">
      <c r="A84" s="10" t="s">
        <v>14</v>
      </c>
      <c r="B84" s="10" t="n">
        <v>42903</v>
      </c>
      <c r="C84" s="40" t="n">
        <v>46146</v>
      </c>
      <c r="D84" s="10" t="s">
        <v>22</v>
      </c>
      <c r="E84" s="10" t="s">
        <v>258</v>
      </c>
      <c r="F84" s="10" t="s">
        <v>238</v>
      </c>
      <c r="G84" s="10" t="s">
        <v>239</v>
      </c>
      <c r="H84" s="10" t="s">
        <v>349</v>
      </c>
      <c r="I84" s="10" t="s">
        <v>350</v>
      </c>
      <c r="J84" s="10" t="s">
        <v>189</v>
      </c>
      <c r="K84" s="10" t="s">
        <v>452</v>
      </c>
      <c r="L84" s="10" t="s">
        <v>338</v>
      </c>
      <c r="M84" s="10" t="n">
        <v>5</v>
      </c>
      <c r="N84" s="10" t="n">
        <v>5</v>
      </c>
      <c r="O84" s="10" t="n">
        <f aca="false">M84-N84</f>
        <v>0</v>
      </c>
      <c r="P84" s="10" t="s">
        <v>453</v>
      </c>
      <c r="Q84" s="10" t="s">
        <v>243</v>
      </c>
      <c r="R84" s="10" t="s">
        <v>194</v>
      </c>
      <c r="S84" s="10" t="s">
        <v>79</v>
      </c>
    </row>
    <row r="85" customFormat="false" ht="15" hidden="false" customHeight="false" outlineLevel="0" collapsed="false">
      <c r="A85" s="10" t="s">
        <v>14</v>
      </c>
      <c r="B85" s="10" t="n">
        <v>42904</v>
      </c>
      <c r="C85" s="40" t="n">
        <v>46146</v>
      </c>
      <c r="D85" s="10" t="s">
        <v>22</v>
      </c>
      <c r="E85" s="10" t="s">
        <v>258</v>
      </c>
      <c r="F85" s="10" t="s">
        <v>238</v>
      </c>
      <c r="G85" s="10" t="s">
        <v>239</v>
      </c>
      <c r="H85" s="10" t="s">
        <v>349</v>
      </c>
      <c r="I85" s="10" t="s">
        <v>350</v>
      </c>
      <c r="J85" s="10" t="s">
        <v>189</v>
      </c>
      <c r="K85" s="10" t="s">
        <v>338</v>
      </c>
      <c r="L85" s="10" t="s">
        <v>416</v>
      </c>
      <c r="M85" s="10" t="n">
        <v>30</v>
      </c>
      <c r="N85" s="10" t="n">
        <v>30</v>
      </c>
      <c r="O85" s="10" t="n">
        <f aca="false">M85-N85</f>
        <v>0</v>
      </c>
      <c r="P85" s="10" t="s">
        <v>165</v>
      </c>
      <c r="Q85" s="10" t="s">
        <v>243</v>
      </c>
      <c r="R85" s="10" t="s">
        <v>194</v>
      </c>
      <c r="S85" s="10" t="s">
        <v>79</v>
      </c>
    </row>
    <row r="86" customFormat="false" ht="15" hidden="false" customHeight="false" outlineLevel="0" collapsed="false">
      <c r="A86" s="10" t="s">
        <v>14</v>
      </c>
      <c r="B86" s="10" t="n">
        <v>42913</v>
      </c>
      <c r="C86" s="40" t="n">
        <v>46146</v>
      </c>
      <c r="D86" s="10" t="s">
        <v>28</v>
      </c>
      <c r="E86" s="10" t="s">
        <v>258</v>
      </c>
      <c r="F86" s="10" t="s">
        <v>454</v>
      </c>
      <c r="G86" s="10" t="s">
        <v>455</v>
      </c>
      <c r="H86" s="10" t="s">
        <v>41</v>
      </c>
      <c r="I86" s="10" t="s">
        <v>456</v>
      </c>
      <c r="J86" s="10" t="s">
        <v>189</v>
      </c>
      <c r="K86" s="10" t="s">
        <v>332</v>
      </c>
      <c r="L86" s="10" t="s">
        <v>335</v>
      </c>
      <c r="M86" s="10" t="n">
        <v>60</v>
      </c>
      <c r="N86" s="10" t="n">
        <v>60</v>
      </c>
      <c r="O86" s="10" t="n">
        <f aca="false">M86-N86</f>
        <v>0</v>
      </c>
      <c r="P86" s="10" t="s">
        <v>457</v>
      </c>
      <c r="Q86" s="10" t="s">
        <v>202</v>
      </c>
      <c r="R86" s="10" t="s">
        <v>194</v>
      </c>
      <c r="S86" s="10" t="s">
        <v>109</v>
      </c>
    </row>
    <row r="87" customFormat="false" ht="15" hidden="false" customHeight="false" outlineLevel="0" collapsed="false">
      <c r="A87" s="10" t="s">
        <v>14</v>
      </c>
      <c r="B87" s="10" t="n">
        <v>42956</v>
      </c>
      <c r="C87" s="40" t="n">
        <v>46146</v>
      </c>
      <c r="D87" s="10" t="s">
        <v>28</v>
      </c>
      <c r="E87" s="10" t="s">
        <v>258</v>
      </c>
      <c r="F87" s="10" t="s">
        <v>454</v>
      </c>
      <c r="G87" s="10" t="s">
        <v>455</v>
      </c>
      <c r="H87" s="10" t="s">
        <v>41</v>
      </c>
      <c r="I87" s="10" t="s">
        <v>456</v>
      </c>
      <c r="J87" s="10" t="s">
        <v>189</v>
      </c>
      <c r="K87" s="10" t="s">
        <v>458</v>
      </c>
      <c r="L87" s="10" t="s">
        <v>290</v>
      </c>
      <c r="M87" s="10" t="n">
        <v>30</v>
      </c>
      <c r="N87" s="10" t="n">
        <v>30</v>
      </c>
      <c r="O87" s="10" t="n">
        <f aca="false">M87-N87</f>
        <v>0</v>
      </c>
      <c r="P87" s="10" t="s">
        <v>459</v>
      </c>
      <c r="Q87" s="10" t="s">
        <v>202</v>
      </c>
      <c r="R87" s="10" t="s">
        <v>194</v>
      </c>
      <c r="S87" s="10" t="s">
        <v>109</v>
      </c>
    </row>
    <row r="88" customFormat="false" ht="15" hidden="false" customHeight="false" outlineLevel="0" collapsed="false">
      <c r="A88" s="10" t="s">
        <v>14</v>
      </c>
      <c r="B88" s="10" t="n">
        <v>42957</v>
      </c>
      <c r="C88" s="40" t="n">
        <v>46146</v>
      </c>
      <c r="D88" s="10" t="s">
        <v>28</v>
      </c>
      <c r="E88" s="10" t="s">
        <v>258</v>
      </c>
      <c r="F88" s="10" t="s">
        <v>454</v>
      </c>
      <c r="G88" s="10" t="s">
        <v>455</v>
      </c>
      <c r="H88" s="10" t="s">
        <v>41</v>
      </c>
      <c r="I88" s="10" t="s">
        <v>456</v>
      </c>
      <c r="J88" s="10" t="s">
        <v>189</v>
      </c>
      <c r="K88" s="10" t="s">
        <v>460</v>
      </c>
      <c r="L88" s="10" t="s">
        <v>461</v>
      </c>
      <c r="M88" s="10" t="n">
        <v>60</v>
      </c>
      <c r="N88" s="10" t="n">
        <v>60</v>
      </c>
      <c r="O88" s="10" t="n">
        <f aca="false">M88-N88</f>
        <v>0</v>
      </c>
      <c r="P88" s="10" t="s">
        <v>459</v>
      </c>
      <c r="Q88" s="10" t="s">
        <v>202</v>
      </c>
      <c r="R88" s="10" t="s">
        <v>194</v>
      </c>
      <c r="S88" s="10" t="s">
        <v>109</v>
      </c>
    </row>
    <row r="89" customFormat="false" ht="15" hidden="false" customHeight="false" outlineLevel="0" collapsed="false">
      <c r="A89" s="10" t="s">
        <v>14</v>
      </c>
      <c r="B89" s="10" t="n">
        <v>42958</v>
      </c>
      <c r="C89" s="40" t="n">
        <v>46146</v>
      </c>
      <c r="D89" s="10" t="s">
        <v>28</v>
      </c>
      <c r="E89" s="10" t="s">
        <v>258</v>
      </c>
      <c r="F89" s="10" t="s">
        <v>454</v>
      </c>
      <c r="G89" s="10" t="s">
        <v>455</v>
      </c>
      <c r="H89" s="10" t="s">
        <v>41</v>
      </c>
      <c r="I89" s="10" t="s">
        <v>456</v>
      </c>
      <c r="J89" s="10" t="s">
        <v>189</v>
      </c>
      <c r="K89" s="10" t="s">
        <v>416</v>
      </c>
      <c r="L89" s="10" t="s">
        <v>462</v>
      </c>
      <c r="M89" s="10" t="n">
        <v>60</v>
      </c>
      <c r="N89" s="10" t="n">
        <v>60</v>
      </c>
      <c r="O89" s="10" t="n">
        <f aca="false">M89-N89</f>
        <v>0</v>
      </c>
      <c r="P89" s="10" t="s">
        <v>459</v>
      </c>
      <c r="Q89" s="10" t="s">
        <v>202</v>
      </c>
      <c r="R89" s="10" t="s">
        <v>194</v>
      </c>
      <c r="S89" s="10" t="s">
        <v>109</v>
      </c>
    </row>
    <row r="90" customFormat="false" ht="15" hidden="false" customHeight="false" outlineLevel="0" collapsed="false">
      <c r="A90" s="10" t="s">
        <v>14</v>
      </c>
      <c r="B90" s="10" t="n">
        <v>42959</v>
      </c>
      <c r="C90" s="40" t="n">
        <v>46146</v>
      </c>
      <c r="D90" s="10" t="s">
        <v>28</v>
      </c>
      <c r="E90" s="10" t="s">
        <v>258</v>
      </c>
      <c r="F90" s="10" t="s">
        <v>454</v>
      </c>
      <c r="G90" s="10" t="s">
        <v>455</v>
      </c>
      <c r="H90" s="10" t="s">
        <v>41</v>
      </c>
      <c r="I90" s="10" t="s">
        <v>456</v>
      </c>
      <c r="J90" s="10" t="s">
        <v>189</v>
      </c>
      <c r="K90" s="10" t="s">
        <v>290</v>
      </c>
      <c r="L90" s="10" t="s">
        <v>460</v>
      </c>
      <c r="M90" s="10" t="n">
        <v>60</v>
      </c>
      <c r="N90" s="10" t="n">
        <v>60</v>
      </c>
      <c r="O90" s="10" t="n">
        <f aca="false">M90-N90</f>
        <v>0</v>
      </c>
      <c r="P90" s="10" t="s">
        <v>459</v>
      </c>
      <c r="Q90" s="10" t="s">
        <v>202</v>
      </c>
      <c r="R90" s="10" t="s">
        <v>194</v>
      </c>
      <c r="S90" s="10" t="s">
        <v>109</v>
      </c>
    </row>
    <row r="91" customFormat="false" ht="15" hidden="false" customHeight="false" outlineLevel="0" collapsed="false">
      <c r="A91" s="10" t="s">
        <v>14</v>
      </c>
      <c r="B91" s="10" t="n">
        <v>42962</v>
      </c>
      <c r="C91" s="40" t="n">
        <v>46146</v>
      </c>
      <c r="D91" s="10" t="s">
        <v>28</v>
      </c>
      <c r="E91" s="10" t="s">
        <v>258</v>
      </c>
      <c r="F91" s="10" t="s">
        <v>454</v>
      </c>
      <c r="G91" s="10" t="s">
        <v>455</v>
      </c>
      <c r="H91" s="10" t="s">
        <v>41</v>
      </c>
      <c r="I91" s="10" t="s">
        <v>456</v>
      </c>
      <c r="J91" s="10" t="s">
        <v>189</v>
      </c>
      <c r="K91" s="10" t="s">
        <v>337</v>
      </c>
      <c r="L91" s="10" t="s">
        <v>463</v>
      </c>
      <c r="M91" s="10" t="n">
        <v>12</v>
      </c>
      <c r="N91" s="10" t="n">
        <v>12</v>
      </c>
      <c r="O91" s="10" t="n">
        <f aca="false">M91-N91</f>
        <v>0</v>
      </c>
      <c r="P91" s="10"/>
      <c r="Q91" s="10" t="s">
        <v>202</v>
      </c>
      <c r="R91" s="10" t="s">
        <v>194</v>
      </c>
      <c r="S91" s="10" t="s">
        <v>109</v>
      </c>
    </row>
    <row r="92" customFormat="false" ht="15" hidden="false" customHeight="false" outlineLevel="0" collapsed="false">
      <c r="A92" s="10" t="s">
        <v>14</v>
      </c>
      <c r="B92" s="10" t="n">
        <v>42963</v>
      </c>
      <c r="C92" s="40" t="n">
        <v>46146</v>
      </c>
      <c r="D92" s="10" t="s">
        <v>28</v>
      </c>
      <c r="E92" s="10" t="s">
        <v>258</v>
      </c>
      <c r="F92" s="10" t="s">
        <v>454</v>
      </c>
      <c r="G92" s="10" t="s">
        <v>455</v>
      </c>
      <c r="H92" s="10" t="s">
        <v>41</v>
      </c>
      <c r="I92" s="10" t="s">
        <v>456</v>
      </c>
      <c r="J92" s="10" t="s">
        <v>189</v>
      </c>
      <c r="K92" s="10" t="s">
        <v>461</v>
      </c>
      <c r="L92" s="10" t="s">
        <v>464</v>
      </c>
      <c r="M92" s="10" t="n">
        <v>16</v>
      </c>
      <c r="N92" s="10" t="n">
        <v>16</v>
      </c>
      <c r="O92" s="10" t="n">
        <f aca="false">M92-N92</f>
        <v>0</v>
      </c>
      <c r="P92" s="10"/>
      <c r="Q92" s="10" t="s">
        <v>202</v>
      </c>
      <c r="R92" s="10" t="s">
        <v>194</v>
      </c>
      <c r="S92" s="10" t="s">
        <v>109</v>
      </c>
    </row>
    <row r="93" customFormat="false" ht="15" hidden="false" customHeight="false" outlineLevel="0" collapsed="false">
      <c r="A93" s="10" t="s">
        <v>14</v>
      </c>
      <c r="B93" s="10" t="n">
        <v>43016</v>
      </c>
      <c r="C93" s="40" t="n">
        <v>46147</v>
      </c>
      <c r="D93" s="10" t="s">
        <v>22</v>
      </c>
      <c r="E93" s="10" t="s">
        <v>258</v>
      </c>
      <c r="F93" s="10" t="s">
        <v>238</v>
      </c>
      <c r="G93" s="10" t="s">
        <v>239</v>
      </c>
      <c r="H93" s="10" t="s">
        <v>349</v>
      </c>
      <c r="I93" s="10" t="s">
        <v>350</v>
      </c>
      <c r="J93" s="10" t="s">
        <v>189</v>
      </c>
      <c r="K93" s="10" t="s">
        <v>256</v>
      </c>
      <c r="L93" s="10" t="s">
        <v>465</v>
      </c>
      <c r="M93" s="10" t="n">
        <v>25</v>
      </c>
      <c r="N93" s="10" t="n">
        <v>25</v>
      </c>
      <c r="O93" s="10" t="n">
        <f aca="false">M93-N93</f>
        <v>0</v>
      </c>
      <c r="P93" s="10" t="s">
        <v>466</v>
      </c>
      <c r="Q93" s="10" t="s">
        <v>243</v>
      </c>
      <c r="R93" s="10" t="s">
        <v>194</v>
      </c>
      <c r="S93" s="10" t="s">
        <v>112</v>
      </c>
    </row>
    <row r="94" customFormat="false" ht="15" hidden="false" customHeight="false" outlineLevel="0" collapsed="false">
      <c r="A94" s="10" t="s">
        <v>14</v>
      </c>
      <c r="B94" s="10" t="n">
        <v>43026</v>
      </c>
      <c r="C94" s="40" t="n">
        <v>46147</v>
      </c>
      <c r="D94" s="10" t="s">
        <v>21</v>
      </c>
      <c r="E94" s="10" t="s">
        <v>258</v>
      </c>
      <c r="F94" s="10" t="s">
        <v>445</v>
      </c>
      <c r="G94" s="10" t="s">
        <v>446</v>
      </c>
      <c r="H94" s="10" t="s">
        <v>34</v>
      </c>
      <c r="I94" s="10" t="s">
        <v>205</v>
      </c>
      <c r="J94" s="10" t="s">
        <v>189</v>
      </c>
      <c r="K94" s="10" t="s">
        <v>467</v>
      </c>
      <c r="L94" s="10" t="s">
        <v>335</v>
      </c>
      <c r="M94" s="10" t="n">
        <v>24</v>
      </c>
      <c r="N94" s="10" t="n">
        <v>24</v>
      </c>
      <c r="O94" s="10" t="n">
        <f aca="false">M94-N94</f>
        <v>0</v>
      </c>
      <c r="P94" s="10" t="s">
        <v>468</v>
      </c>
      <c r="Q94" s="10" t="s">
        <v>433</v>
      </c>
      <c r="R94" s="10" t="s">
        <v>282</v>
      </c>
      <c r="S94" s="10" t="s">
        <v>89</v>
      </c>
    </row>
    <row r="95" customFormat="false" ht="15" hidden="false" customHeight="false" outlineLevel="0" collapsed="false">
      <c r="A95" s="10" t="s">
        <v>14</v>
      </c>
      <c r="B95" s="10" t="n">
        <v>43046</v>
      </c>
      <c r="C95" s="40" t="n">
        <v>46147</v>
      </c>
      <c r="D95" s="10" t="s">
        <v>25</v>
      </c>
      <c r="E95" s="10" t="s">
        <v>258</v>
      </c>
      <c r="F95" s="10" t="s">
        <v>259</v>
      </c>
      <c r="G95" s="10" t="s">
        <v>260</v>
      </c>
      <c r="H95" s="10" t="s">
        <v>43</v>
      </c>
      <c r="I95" s="10" t="s">
        <v>249</v>
      </c>
      <c r="J95" s="10" t="s">
        <v>189</v>
      </c>
      <c r="K95" s="10" t="s">
        <v>469</v>
      </c>
      <c r="L95" s="10" t="s">
        <v>470</v>
      </c>
      <c r="M95" s="10" t="n">
        <v>16</v>
      </c>
      <c r="N95" s="10" t="n">
        <v>16</v>
      </c>
      <c r="O95" s="10" t="n">
        <f aca="false">M95-N95</f>
        <v>0</v>
      </c>
      <c r="P95" s="10" t="s">
        <v>471</v>
      </c>
      <c r="Q95" s="10" t="s">
        <v>359</v>
      </c>
      <c r="R95" s="10" t="s">
        <v>282</v>
      </c>
      <c r="S95" s="10" t="s">
        <v>115</v>
      </c>
    </row>
    <row r="96" customFormat="false" ht="15" hidden="false" customHeight="false" outlineLevel="0" collapsed="false">
      <c r="A96" s="10" t="s">
        <v>14</v>
      </c>
      <c r="B96" s="10" t="n">
        <v>43058</v>
      </c>
      <c r="C96" s="40" t="n">
        <v>46147</v>
      </c>
      <c r="D96" s="10" t="s">
        <v>22</v>
      </c>
      <c r="E96" s="10" t="s">
        <v>258</v>
      </c>
      <c r="F96" s="10" t="s">
        <v>238</v>
      </c>
      <c r="G96" s="10" t="s">
        <v>239</v>
      </c>
      <c r="H96" s="10" t="s">
        <v>349</v>
      </c>
      <c r="I96" s="10" t="s">
        <v>350</v>
      </c>
      <c r="J96" s="10" t="s">
        <v>189</v>
      </c>
      <c r="K96" s="10" t="s">
        <v>472</v>
      </c>
      <c r="L96" s="10" t="s">
        <v>290</v>
      </c>
      <c r="M96" s="10" t="n">
        <v>22</v>
      </c>
      <c r="N96" s="10" t="n">
        <v>22</v>
      </c>
      <c r="O96" s="10" t="n">
        <f aca="false">M96-N96</f>
        <v>0</v>
      </c>
      <c r="P96" s="10" t="s">
        <v>473</v>
      </c>
      <c r="Q96" s="10" t="s">
        <v>243</v>
      </c>
      <c r="R96" s="10" t="s">
        <v>194</v>
      </c>
      <c r="S96" s="10" t="s">
        <v>79</v>
      </c>
    </row>
    <row r="97" customFormat="false" ht="15" hidden="false" customHeight="false" outlineLevel="0" collapsed="false">
      <c r="A97" s="10" t="s">
        <v>14</v>
      </c>
      <c r="B97" s="10" t="n">
        <v>43070</v>
      </c>
      <c r="C97" s="40" t="n">
        <v>46147</v>
      </c>
      <c r="D97" s="10" t="s">
        <v>22</v>
      </c>
      <c r="E97" s="10" t="s">
        <v>258</v>
      </c>
      <c r="F97" s="10" t="s">
        <v>238</v>
      </c>
      <c r="G97" s="10" t="s">
        <v>239</v>
      </c>
      <c r="H97" s="10" t="s">
        <v>349</v>
      </c>
      <c r="I97" s="10" t="s">
        <v>350</v>
      </c>
      <c r="J97" s="10" t="s">
        <v>189</v>
      </c>
      <c r="K97" s="10" t="s">
        <v>474</v>
      </c>
      <c r="L97" s="10" t="s">
        <v>460</v>
      </c>
      <c r="M97" s="10" t="n">
        <v>36</v>
      </c>
      <c r="N97" s="10" t="n">
        <v>36</v>
      </c>
      <c r="O97" s="10" t="n">
        <f aca="false">M97-N97</f>
        <v>0</v>
      </c>
      <c r="P97" s="10" t="s">
        <v>475</v>
      </c>
      <c r="Q97" s="10" t="s">
        <v>243</v>
      </c>
      <c r="R97" s="10" t="s">
        <v>194</v>
      </c>
      <c r="S97" s="10" t="s">
        <v>79</v>
      </c>
    </row>
    <row r="98" customFormat="false" ht="15" hidden="false" customHeight="false" outlineLevel="0" collapsed="false">
      <c r="A98" s="10" t="s">
        <v>14</v>
      </c>
      <c r="B98" s="10" t="n">
        <v>43102</v>
      </c>
      <c r="C98" s="40" t="n">
        <v>46147</v>
      </c>
      <c r="D98" s="10" t="s">
        <v>21</v>
      </c>
      <c r="E98" s="10" t="s">
        <v>258</v>
      </c>
      <c r="F98" s="10" t="s">
        <v>445</v>
      </c>
      <c r="G98" s="10" t="s">
        <v>446</v>
      </c>
      <c r="H98" s="10" t="s">
        <v>197</v>
      </c>
      <c r="I98" s="10" t="s">
        <v>198</v>
      </c>
      <c r="J98" s="10" t="s">
        <v>189</v>
      </c>
      <c r="K98" s="10" t="s">
        <v>476</v>
      </c>
      <c r="L98" s="10" t="s">
        <v>461</v>
      </c>
      <c r="M98" s="10" t="n">
        <v>20</v>
      </c>
      <c r="N98" s="10" t="n">
        <v>20</v>
      </c>
      <c r="O98" s="10" t="n">
        <f aca="false">M98-N98</f>
        <v>0</v>
      </c>
      <c r="P98" s="10" t="s">
        <v>477</v>
      </c>
      <c r="Q98" s="10" t="s">
        <v>433</v>
      </c>
      <c r="R98" s="10" t="s">
        <v>194</v>
      </c>
      <c r="S98" s="10" t="s">
        <v>148</v>
      </c>
    </row>
    <row r="99" customFormat="false" ht="15" hidden="false" customHeight="false" outlineLevel="0" collapsed="false">
      <c r="A99" s="10" t="s">
        <v>14</v>
      </c>
      <c r="B99" s="10" t="n">
        <v>43210</v>
      </c>
      <c r="C99" s="40" t="n">
        <v>46148</v>
      </c>
      <c r="D99" s="10" t="s">
        <v>22</v>
      </c>
      <c r="E99" s="10" t="s">
        <v>258</v>
      </c>
      <c r="F99" s="10" t="s">
        <v>238</v>
      </c>
      <c r="G99" s="10" t="s">
        <v>239</v>
      </c>
      <c r="H99" s="10" t="s">
        <v>42</v>
      </c>
      <c r="I99" s="10" t="s">
        <v>323</v>
      </c>
      <c r="J99" s="10" t="s">
        <v>189</v>
      </c>
      <c r="K99" s="10" t="s">
        <v>290</v>
      </c>
      <c r="L99" s="10" t="s">
        <v>474</v>
      </c>
      <c r="M99" s="10" t="n">
        <v>24</v>
      </c>
      <c r="N99" s="10" t="n">
        <v>24</v>
      </c>
      <c r="O99" s="10" t="n">
        <f aca="false">M99-N99</f>
        <v>0</v>
      </c>
      <c r="P99" s="10" t="s">
        <v>478</v>
      </c>
      <c r="Q99" s="10" t="s">
        <v>243</v>
      </c>
      <c r="R99" s="10" t="s">
        <v>194</v>
      </c>
      <c r="S99" s="10" t="s">
        <v>96</v>
      </c>
    </row>
    <row r="100" customFormat="false" ht="15" hidden="false" customHeight="false" outlineLevel="0" collapsed="false">
      <c r="A100" s="10" t="s">
        <v>14</v>
      </c>
      <c r="B100" s="10" t="n">
        <v>43250</v>
      </c>
      <c r="C100" s="40" t="n">
        <v>46149</v>
      </c>
      <c r="D100" s="10" t="s">
        <v>21</v>
      </c>
      <c r="E100" s="10" t="s">
        <v>185</v>
      </c>
      <c r="F100" s="10" t="s">
        <v>479</v>
      </c>
      <c r="G100" s="10" t="s">
        <v>480</v>
      </c>
      <c r="H100" s="10" t="s">
        <v>34</v>
      </c>
      <c r="I100" s="10" t="s">
        <v>205</v>
      </c>
      <c r="J100" s="10" t="s">
        <v>189</v>
      </c>
      <c r="K100" s="10" t="s">
        <v>255</v>
      </c>
      <c r="L100" s="10" t="s">
        <v>191</v>
      </c>
      <c r="M100" s="10" t="n">
        <v>60</v>
      </c>
      <c r="N100" s="10" t="n">
        <v>60</v>
      </c>
      <c r="O100" s="10" t="n">
        <f aca="false">M100-N100</f>
        <v>0</v>
      </c>
      <c r="P100" s="10" t="s">
        <v>481</v>
      </c>
      <c r="Q100" s="10" t="s">
        <v>448</v>
      </c>
      <c r="R100" s="10" t="s">
        <v>194</v>
      </c>
      <c r="S100" s="10" t="s">
        <v>76</v>
      </c>
    </row>
    <row r="101" customFormat="false" ht="15" hidden="false" customHeight="false" outlineLevel="0" collapsed="false">
      <c r="A101" s="10" t="s">
        <v>14</v>
      </c>
      <c r="B101" s="10" t="n">
        <v>43254</v>
      </c>
      <c r="C101" s="40" t="n">
        <v>46149</v>
      </c>
      <c r="D101" s="10" t="s">
        <v>21</v>
      </c>
      <c r="E101" s="10" t="s">
        <v>185</v>
      </c>
      <c r="F101" s="10" t="s">
        <v>479</v>
      </c>
      <c r="G101" s="10" t="s">
        <v>480</v>
      </c>
      <c r="H101" s="10" t="s">
        <v>34</v>
      </c>
      <c r="I101" s="10" t="s">
        <v>205</v>
      </c>
      <c r="J101" s="10" t="s">
        <v>189</v>
      </c>
      <c r="K101" s="10" t="s">
        <v>191</v>
      </c>
      <c r="L101" s="10" t="s">
        <v>316</v>
      </c>
      <c r="M101" s="10" t="n">
        <v>15</v>
      </c>
      <c r="N101" s="10" t="n">
        <v>15</v>
      </c>
      <c r="O101" s="10" t="n">
        <f aca="false">M101-N101</f>
        <v>0</v>
      </c>
      <c r="P101" s="10" t="s">
        <v>482</v>
      </c>
      <c r="Q101" s="10" t="s">
        <v>448</v>
      </c>
      <c r="R101" s="10" t="s">
        <v>194</v>
      </c>
      <c r="S101" s="10" t="s">
        <v>76</v>
      </c>
    </row>
    <row r="102" customFormat="false" ht="15" hidden="false" customHeight="false" outlineLevel="0" collapsed="false">
      <c r="A102" s="10" t="s">
        <v>14</v>
      </c>
      <c r="B102" s="10" t="n">
        <v>43293</v>
      </c>
      <c r="C102" s="40" t="n">
        <v>46149</v>
      </c>
      <c r="D102" s="10" t="s">
        <v>22</v>
      </c>
      <c r="E102" s="10" t="s">
        <v>258</v>
      </c>
      <c r="F102" s="10" t="s">
        <v>238</v>
      </c>
      <c r="G102" s="10" t="s">
        <v>239</v>
      </c>
      <c r="H102" s="10" t="s">
        <v>349</v>
      </c>
      <c r="I102" s="10" t="s">
        <v>350</v>
      </c>
      <c r="J102" s="10" t="s">
        <v>189</v>
      </c>
      <c r="K102" s="10" t="s">
        <v>256</v>
      </c>
      <c r="L102" s="10" t="s">
        <v>483</v>
      </c>
      <c r="M102" s="10" t="n">
        <v>16</v>
      </c>
      <c r="N102" s="10" t="n">
        <v>16</v>
      </c>
      <c r="O102" s="10" t="n">
        <f aca="false">M102-N102</f>
        <v>0</v>
      </c>
      <c r="P102" s="10" t="s">
        <v>484</v>
      </c>
      <c r="Q102" s="10" t="s">
        <v>243</v>
      </c>
      <c r="R102" s="10" t="s">
        <v>194</v>
      </c>
      <c r="S102" s="10" t="s">
        <v>112</v>
      </c>
    </row>
    <row r="103" customFormat="false" ht="15" hidden="false" customHeight="false" outlineLevel="0" collapsed="false">
      <c r="A103" s="10" t="s">
        <v>14</v>
      </c>
      <c r="B103" s="10" t="n">
        <v>43331</v>
      </c>
      <c r="C103" s="40" t="n">
        <v>46149</v>
      </c>
      <c r="D103" s="10" t="s">
        <v>28</v>
      </c>
      <c r="E103" s="10" t="s">
        <v>258</v>
      </c>
      <c r="F103" s="10" t="s">
        <v>454</v>
      </c>
      <c r="G103" s="10" t="s">
        <v>455</v>
      </c>
      <c r="H103" s="10" t="s">
        <v>485</v>
      </c>
      <c r="I103" s="10" t="s">
        <v>486</v>
      </c>
      <c r="J103" s="10" t="s">
        <v>189</v>
      </c>
      <c r="K103" s="10" t="s">
        <v>487</v>
      </c>
      <c r="L103" s="10" t="s">
        <v>488</v>
      </c>
      <c r="M103" s="10" t="n">
        <v>16</v>
      </c>
      <c r="N103" s="10" t="n">
        <v>16</v>
      </c>
      <c r="O103" s="10" t="n">
        <f aca="false">M103-N103</f>
        <v>0</v>
      </c>
      <c r="P103" s="10" t="s">
        <v>489</v>
      </c>
      <c r="Q103" s="10" t="s">
        <v>202</v>
      </c>
      <c r="R103" s="10" t="s">
        <v>194</v>
      </c>
      <c r="S103" s="10" t="s">
        <v>76</v>
      </c>
    </row>
    <row r="104" customFormat="false" ht="15" hidden="false" customHeight="false" outlineLevel="0" collapsed="false">
      <c r="A104" s="10" t="s">
        <v>14</v>
      </c>
      <c r="B104" s="10" t="n">
        <v>43344</v>
      </c>
      <c r="C104" s="40" t="n">
        <v>46149</v>
      </c>
      <c r="D104" s="10" t="s">
        <v>21</v>
      </c>
      <c r="E104" s="10" t="s">
        <v>258</v>
      </c>
      <c r="F104" s="10" t="s">
        <v>479</v>
      </c>
      <c r="G104" s="10" t="s">
        <v>480</v>
      </c>
      <c r="H104" s="10" t="s">
        <v>34</v>
      </c>
      <c r="I104" s="10" t="s">
        <v>205</v>
      </c>
      <c r="J104" s="10" t="s">
        <v>189</v>
      </c>
      <c r="K104" s="10" t="s">
        <v>458</v>
      </c>
      <c r="L104" s="10" t="s">
        <v>290</v>
      </c>
      <c r="M104" s="10" t="n">
        <v>30</v>
      </c>
      <c r="N104" s="10" t="n">
        <v>30</v>
      </c>
      <c r="O104" s="10" t="n">
        <f aca="false">M104-N104</f>
        <v>0</v>
      </c>
      <c r="P104" s="10" t="s">
        <v>490</v>
      </c>
      <c r="Q104" s="10" t="s">
        <v>433</v>
      </c>
      <c r="R104" s="10" t="s">
        <v>194</v>
      </c>
      <c r="S104" s="10" t="s">
        <v>83</v>
      </c>
    </row>
    <row r="105" customFormat="false" ht="15" hidden="false" customHeight="false" outlineLevel="0" collapsed="false">
      <c r="A105" s="10" t="s">
        <v>14</v>
      </c>
      <c r="B105" s="10" t="n">
        <v>43731</v>
      </c>
      <c r="C105" s="40" t="n">
        <v>46154</v>
      </c>
      <c r="D105" s="10" t="s">
        <v>24</v>
      </c>
      <c r="E105" s="10" t="s">
        <v>185</v>
      </c>
      <c r="F105" s="10" t="s">
        <v>287</v>
      </c>
      <c r="G105" s="10" t="s">
        <v>288</v>
      </c>
      <c r="H105" s="10" t="s">
        <v>39</v>
      </c>
      <c r="I105" s="10" t="s">
        <v>221</v>
      </c>
      <c r="J105" s="10" t="s">
        <v>189</v>
      </c>
      <c r="K105" s="10" t="s">
        <v>491</v>
      </c>
      <c r="L105" s="10" t="s">
        <v>301</v>
      </c>
      <c r="M105" s="10" t="n">
        <v>15</v>
      </c>
      <c r="N105" s="10" t="n">
        <v>15</v>
      </c>
      <c r="O105" s="10" t="n">
        <f aca="false">M105-N105</f>
        <v>0</v>
      </c>
      <c r="P105" s="10" t="s">
        <v>492</v>
      </c>
      <c r="Q105" s="10" t="s">
        <v>225</v>
      </c>
      <c r="R105" s="10" t="s">
        <v>194</v>
      </c>
      <c r="S105" s="10" t="s">
        <v>148</v>
      </c>
    </row>
    <row r="106" customFormat="false" ht="15" hidden="false" customHeight="false" outlineLevel="0" collapsed="false">
      <c r="A106" s="10" t="s">
        <v>14</v>
      </c>
      <c r="B106" s="10" t="n">
        <v>43737</v>
      </c>
      <c r="C106" s="40" t="n">
        <v>46154</v>
      </c>
      <c r="D106" s="10" t="s">
        <v>23</v>
      </c>
      <c r="E106" s="10" t="s">
        <v>185</v>
      </c>
      <c r="F106" s="10" t="s">
        <v>493</v>
      </c>
      <c r="G106" s="10" t="s">
        <v>494</v>
      </c>
      <c r="H106" s="10" t="s">
        <v>392</v>
      </c>
      <c r="I106" s="10" t="s">
        <v>393</v>
      </c>
      <c r="J106" s="10" t="s">
        <v>189</v>
      </c>
      <c r="K106" s="10" t="s">
        <v>495</v>
      </c>
      <c r="L106" s="10" t="s">
        <v>496</v>
      </c>
      <c r="M106" s="10" t="n">
        <v>20</v>
      </c>
      <c r="N106" s="10" t="n">
        <v>20</v>
      </c>
      <c r="O106" s="10" t="n">
        <f aca="false">M106-N106</f>
        <v>0</v>
      </c>
      <c r="P106" s="10" t="s">
        <v>497</v>
      </c>
      <c r="Q106" s="10" t="s">
        <v>218</v>
      </c>
      <c r="R106" s="10" t="s">
        <v>194</v>
      </c>
      <c r="S106" s="10" t="s">
        <v>67</v>
      </c>
    </row>
    <row r="107" customFormat="false" ht="15" hidden="false" customHeight="false" outlineLevel="0" collapsed="false">
      <c r="A107" s="10" t="s">
        <v>14</v>
      </c>
      <c r="B107" s="10" t="n">
        <v>43746</v>
      </c>
      <c r="C107" s="40" t="n">
        <v>46154</v>
      </c>
      <c r="D107" s="10" t="s">
        <v>20</v>
      </c>
      <c r="E107" s="10" t="s">
        <v>185</v>
      </c>
      <c r="F107" s="10" t="s">
        <v>347</v>
      </c>
      <c r="G107" s="10" t="s">
        <v>348</v>
      </c>
      <c r="H107" s="10" t="s">
        <v>35</v>
      </c>
      <c r="I107" s="10" t="s">
        <v>498</v>
      </c>
      <c r="J107" s="10" t="s">
        <v>189</v>
      </c>
      <c r="K107" s="10" t="s">
        <v>499</v>
      </c>
      <c r="L107" s="10" t="s">
        <v>295</v>
      </c>
      <c r="M107" s="10" t="n">
        <v>17</v>
      </c>
      <c r="N107" s="10" t="n">
        <v>17</v>
      </c>
      <c r="O107" s="10" t="n">
        <f aca="false">M107-N107</f>
        <v>0</v>
      </c>
      <c r="P107" s="10" t="s">
        <v>500</v>
      </c>
      <c r="Q107" s="10" t="s">
        <v>501</v>
      </c>
      <c r="R107" s="10" t="s">
        <v>194</v>
      </c>
      <c r="S107" s="10" t="s">
        <v>63</v>
      </c>
    </row>
    <row r="108" customFormat="false" ht="15" hidden="false" customHeight="false" outlineLevel="0" collapsed="false">
      <c r="A108" s="10" t="s">
        <v>14</v>
      </c>
      <c r="B108" s="10" t="n">
        <v>43820</v>
      </c>
      <c r="C108" s="40" t="n">
        <v>46155</v>
      </c>
      <c r="D108" s="10" t="s">
        <v>23</v>
      </c>
      <c r="E108" s="10" t="s">
        <v>185</v>
      </c>
      <c r="F108" s="10" t="s">
        <v>493</v>
      </c>
      <c r="G108" s="10" t="s">
        <v>494</v>
      </c>
      <c r="H108" s="10" t="s">
        <v>34</v>
      </c>
      <c r="I108" s="10" t="s">
        <v>205</v>
      </c>
      <c r="J108" s="10" t="s">
        <v>189</v>
      </c>
      <c r="K108" s="10" t="s">
        <v>502</v>
      </c>
      <c r="L108" s="10" t="s">
        <v>191</v>
      </c>
      <c r="M108" s="10" t="n">
        <v>30</v>
      </c>
      <c r="N108" s="10" t="n">
        <v>30</v>
      </c>
      <c r="O108" s="10" t="n">
        <f aca="false">M108-N108</f>
        <v>0</v>
      </c>
      <c r="P108" s="10" t="s">
        <v>503</v>
      </c>
      <c r="Q108" s="10" t="s">
        <v>218</v>
      </c>
      <c r="R108" s="10" t="s">
        <v>194</v>
      </c>
      <c r="S108" s="10" t="s">
        <v>102</v>
      </c>
    </row>
    <row r="109" customFormat="false" ht="15" hidden="false" customHeight="false" outlineLevel="0" collapsed="false">
      <c r="A109" s="10" t="s">
        <v>14</v>
      </c>
      <c r="B109" s="10" t="n">
        <v>43880</v>
      </c>
      <c r="C109" s="40" t="n">
        <v>46155</v>
      </c>
      <c r="D109" s="10" t="s">
        <v>20</v>
      </c>
      <c r="E109" s="10" t="s">
        <v>185</v>
      </c>
      <c r="F109" s="10" t="s">
        <v>347</v>
      </c>
      <c r="G109" s="10" t="s">
        <v>348</v>
      </c>
      <c r="H109" s="10" t="s">
        <v>35</v>
      </c>
      <c r="I109" s="10" t="s">
        <v>498</v>
      </c>
      <c r="J109" s="10" t="s">
        <v>189</v>
      </c>
      <c r="K109" s="10" t="s">
        <v>504</v>
      </c>
      <c r="L109" s="10" t="s">
        <v>211</v>
      </c>
      <c r="M109" s="10" t="n">
        <v>30</v>
      </c>
      <c r="N109" s="10" t="n">
        <v>30</v>
      </c>
      <c r="O109" s="10" t="n">
        <f aca="false">M109-N109</f>
        <v>0</v>
      </c>
      <c r="P109" s="10" t="s">
        <v>505</v>
      </c>
      <c r="Q109" s="10" t="s">
        <v>501</v>
      </c>
      <c r="R109" s="10" t="s">
        <v>194</v>
      </c>
      <c r="S109" s="10" t="s">
        <v>76</v>
      </c>
    </row>
    <row r="110" customFormat="false" ht="15" hidden="false" customHeight="false" outlineLevel="0" collapsed="false">
      <c r="A110" s="10" t="s">
        <v>14</v>
      </c>
      <c r="B110" s="10" t="n">
        <v>43882</v>
      </c>
      <c r="C110" s="40" t="n">
        <v>46155</v>
      </c>
      <c r="D110" s="10" t="s">
        <v>20</v>
      </c>
      <c r="E110" s="10" t="s">
        <v>185</v>
      </c>
      <c r="F110" s="10" t="s">
        <v>347</v>
      </c>
      <c r="G110" s="10" t="s">
        <v>348</v>
      </c>
      <c r="H110" s="10" t="s">
        <v>349</v>
      </c>
      <c r="I110" s="10" t="s">
        <v>350</v>
      </c>
      <c r="J110" s="10" t="s">
        <v>189</v>
      </c>
      <c r="K110" s="10" t="s">
        <v>297</v>
      </c>
      <c r="L110" s="10" t="s">
        <v>223</v>
      </c>
      <c r="M110" s="10" t="n">
        <v>20</v>
      </c>
      <c r="N110" s="10" t="n">
        <v>20</v>
      </c>
      <c r="O110" s="10" t="n">
        <f aca="false">M110-N110</f>
        <v>0</v>
      </c>
      <c r="P110" s="10" t="s">
        <v>506</v>
      </c>
      <c r="Q110" s="10" t="s">
        <v>501</v>
      </c>
      <c r="R110" s="10" t="s">
        <v>194</v>
      </c>
      <c r="S110" s="10" t="s">
        <v>86</v>
      </c>
    </row>
    <row r="111" customFormat="false" ht="15" hidden="false" customHeight="false" outlineLevel="0" collapsed="false">
      <c r="A111" s="10" t="s">
        <v>14</v>
      </c>
      <c r="B111" s="10" t="n">
        <v>43893</v>
      </c>
      <c r="C111" s="40" t="n">
        <v>46155</v>
      </c>
      <c r="D111" s="10" t="s">
        <v>20</v>
      </c>
      <c r="E111" s="10" t="s">
        <v>185</v>
      </c>
      <c r="F111" s="10" t="s">
        <v>347</v>
      </c>
      <c r="G111" s="10" t="s">
        <v>348</v>
      </c>
      <c r="H111" s="10" t="s">
        <v>35</v>
      </c>
      <c r="I111" s="10" t="s">
        <v>498</v>
      </c>
      <c r="J111" s="10" t="s">
        <v>189</v>
      </c>
      <c r="K111" s="10" t="s">
        <v>507</v>
      </c>
      <c r="L111" s="10" t="s">
        <v>256</v>
      </c>
      <c r="M111" s="10" t="n">
        <v>45</v>
      </c>
      <c r="N111" s="10" t="n">
        <v>45</v>
      </c>
      <c r="O111" s="10" t="n">
        <f aca="false">M111-N111</f>
        <v>0</v>
      </c>
      <c r="P111" s="10" t="s">
        <v>508</v>
      </c>
      <c r="Q111" s="10" t="s">
        <v>501</v>
      </c>
      <c r="R111" s="10" t="s">
        <v>194</v>
      </c>
      <c r="S111" s="10" t="s">
        <v>76</v>
      </c>
    </row>
    <row r="112" customFormat="false" ht="15" hidden="false" customHeight="false" outlineLevel="0" collapsed="false">
      <c r="A112" s="10" t="s">
        <v>14</v>
      </c>
      <c r="B112" s="10" t="n">
        <v>43897</v>
      </c>
      <c r="C112" s="40" t="n">
        <v>46155</v>
      </c>
      <c r="D112" s="10" t="s">
        <v>23</v>
      </c>
      <c r="E112" s="10" t="s">
        <v>185</v>
      </c>
      <c r="F112" s="10" t="s">
        <v>493</v>
      </c>
      <c r="G112" s="10" t="s">
        <v>494</v>
      </c>
      <c r="H112" s="10" t="s">
        <v>37</v>
      </c>
      <c r="I112" s="10" t="s">
        <v>188</v>
      </c>
      <c r="J112" s="10" t="s">
        <v>189</v>
      </c>
      <c r="K112" s="10" t="s">
        <v>509</v>
      </c>
      <c r="L112" s="10" t="s">
        <v>510</v>
      </c>
      <c r="M112" s="10" t="n">
        <v>34</v>
      </c>
      <c r="N112" s="10" t="n">
        <v>34</v>
      </c>
      <c r="O112" s="10" t="n">
        <f aca="false">M112-N112</f>
        <v>0</v>
      </c>
      <c r="P112" s="10" t="s">
        <v>511</v>
      </c>
      <c r="Q112" s="10" t="s">
        <v>218</v>
      </c>
      <c r="R112" s="10" t="s">
        <v>194</v>
      </c>
      <c r="S112" s="10" t="s">
        <v>76</v>
      </c>
    </row>
    <row r="113" customFormat="false" ht="15" hidden="false" customHeight="false" outlineLevel="0" collapsed="false">
      <c r="A113" s="10" t="s">
        <v>14</v>
      </c>
      <c r="B113" s="10" t="n">
        <v>43960</v>
      </c>
      <c r="C113" s="40" t="n">
        <v>46155</v>
      </c>
      <c r="D113" s="10" t="s">
        <v>20</v>
      </c>
      <c r="E113" s="10" t="s">
        <v>258</v>
      </c>
      <c r="F113" s="10" t="s">
        <v>347</v>
      </c>
      <c r="G113" s="10" t="s">
        <v>348</v>
      </c>
      <c r="H113" s="10" t="s">
        <v>34</v>
      </c>
      <c r="I113" s="10" t="s">
        <v>205</v>
      </c>
      <c r="J113" s="10" t="s">
        <v>189</v>
      </c>
      <c r="K113" s="10" t="s">
        <v>256</v>
      </c>
      <c r="L113" s="10" t="s">
        <v>332</v>
      </c>
      <c r="M113" s="10" t="n">
        <v>60</v>
      </c>
      <c r="N113" s="10" t="n">
        <v>60</v>
      </c>
      <c r="O113" s="10" t="n">
        <f aca="false">M113-N113</f>
        <v>0</v>
      </c>
      <c r="P113" s="10" t="s">
        <v>512</v>
      </c>
      <c r="Q113" s="10" t="s">
        <v>513</v>
      </c>
      <c r="R113" s="10" t="s">
        <v>194</v>
      </c>
      <c r="S113" s="10" t="s">
        <v>143</v>
      </c>
    </row>
    <row r="114" customFormat="false" ht="15" hidden="false" customHeight="false" outlineLevel="0" collapsed="false">
      <c r="A114" s="10" t="s">
        <v>14</v>
      </c>
      <c r="B114" s="10" t="n">
        <v>43961</v>
      </c>
      <c r="C114" s="40" t="n">
        <v>46155</v>
      </c>
      <c r="D114" s="10" t="s">
        <v>20</v>
      </c>
      <c r="E114" s="10" t="s">
        <v>258</v>
      </c>
      <c r="F114" s="10" t="s">
        <v>347</v>
      </c>
      <c r="G114" s="10" t="s">
        <v>348</v>
      </c>
      <c r="H114" s="10" t="s">
        <v>34</v>
      </c>
      <c r="I114" s="10" t="s">
        <v>205</v>
      </c>
      <c r="J114" s="10" t="s">
        <v>189</v>
      </c>
      <c r="K114" s="10" t="s">
        <v>514</v>
      </c>
      <c r="L114" s="10" t="s">
        <v>515</v>
      </c>
      <c r="M114" s="10" t="n">
        <v>60</v>
      </c>
      <c r="N114" s="10" t="n">
        <v>60</v>
      </c>
      <c r="O114" s="10" t="n">
        <f aca="false">M114-N114</f>
        <v>0</v>
      </c>
      <c r="P114" s="10" t="s">
        <v>516</v>
      </c>
      <c r="Q114" s="10" t="s">
        <v>513</v>
      </c>
      <c r="R114" s="10" t="s">
        <v>194</v>
      </c>
      <c r="S114" s="10" t="s">
        <v>143</v>
      </c>
    </row>
    <row r="115" customFormat="false" ht="15" hidden="false" customHeight="false" outlineLevel="0" collapsed="false">
      <c r="A115" s="10" t="s">
        <v>14</v>
      </c>
      <c r="B115" s="10" t="n">
        <v>43986</v>
      </c>
      <c r="C115" s="40" t="n">
        <v>46156</v>
      </c>
      <c r="D115" s="10" t="s">
        <v>23</v>
      </c>
      <c r="E115" s="10" t="s">
        <v>185</v>
      </c>
      <c r="F115" s="10" t="s">
        <v>493</v>
      </c>
      <c r="G115" s="10" t="s">
        <v>494</v>
      </c>
      <c r="H115" s="10" t="s">
        <v>34</v>
      </c>
      <c r="I115" s="10" t="s">
        <v>205</v>
      </c>
      <c r="J115" s="10" t="s">
        <v>189</v>
      </c>
      <c r="K115" s="10" t="s">
        <v>241</v>
      </c>
      <c r="L115" s="10" t="s">
        <v>191</v>
      </c>
      <c r="M115" s="10" t="n">
        <v>15</v>
      </c>
      <c r="N115" s="10" t="n">
        <v>15</v>
      </c>
      <c r="O115" s="10" t="n">
        <f aca="false">M115-N115</f>
        <v>0</v>
      </c>
      <c r="P115" s="10" t="s">
        <v>517</v>
      </c>
      <c r="Q115" s="10" t="s">
        <v>218</v>
      </c>
      <c r="R115" s="10" t="s">
        <v>194</v>
      </c>
      <c r="S115" s="10" t="s">
        <v>102</v>
      </c>
    </row>
    <row r="116" customFormat="false" ht="15" hidden="false" customHeight="false" outlineLevel="0" collapsed="false">
      <c r="A116" s="10" t="s">
        <v>14</v>
      </c>
      <c r="B116" s="10" t="n">
        <v>43987</v>
      </c>
      <c r="C116" s="40" t="n">
        <v>46156</v>
      </c>
      <c r="D116" s="10" t="s">
        <v>23</v>
      </c>
      <c r="E116" s="10" t="s">
        <v>185</v>
      </c>
      <c r="F116" s="10" t="s">
        <v>493</v>
      </c>
      <c r="G116" s="10" t="s">
        <v>494</v>
      </c>
      <c r="H116" s="10" t="s">
        <v>34</v>
      </c>
      <c r="I116" s="10" t="s">
        <v>205</v>
      </c>
      <c r="J116" s="10" t="s">
        <v>189</v>
      </c>
      <c r="K116" s="10" t="s">
        <v>191</v>
      </c>
      <c r="L116" s="10" t="s">
        <v>295</v>
      </c>
      <c r="M116" s="10" t="n">
        <v>60</v>
      </c>
      <c r="N116" s="10" t="n">
        <v>60</v>
      </c>
      <c r="O116" s="10" t="n">
        <f aca="false">M116-N116</f>
        <v>0</v>
      </c>
      <c r="P116" s="10" t="s">
        <v>518</v>
      </c>
      <c r="Q116" s="10" t="s">
        <v>218</v>
      </c>
      <c r="R116" s="10" t="s">
        <v>194</v>
      </c>
      <c r="S116" s="10" t="s">
        <v>102</v>
      </c>
    </row>
    <row r="117" customFormat="false" ht="15" hidden="false" customHeight="false" outlineLevel="0" collapsed="false">
      <c r="A117" s="10" t="s">
        <v>14</v>
      </c>
      <c r="B117" s="10" t="n">
        <v>44053</v>
      </c>
      <c r="C117" s="40" t="n">
        <v>46156</v>
      </c>
      <c r="D117" s="10" t="s">
        <v>20</v>
      </c>
      <c r="E117" s="10" t="s">
        <v>185</v>
      </c>
      <c r="F117" s="10" t="s">
        <v>347</v>
      </c>
      <c r="G117" s="10" t="s">
        <v>348</v>
      </c>
      <c r="H117" s="10" t="s">
        <v>35</v>
      </c>
      <c r="I117" s="10" t="s">
        <v>498</v>
      </c>
      <c r="J117" s="10" t="s">
        <v>189</v>
      </c>
      <c r="K117" s="10" t="s">
        <v>316</v>
      </c>
      <c r="L117" s="10" t="s">
        <v>295</v>
      </c>
      <c r="M117" s="10" t="n">
        <v>45</v>
      </c>
      <c r="N117" s="10" t="n">
        <v>45</v>
      </c>
      <c r="O117" s="10" t="n">
        <f aca="false">M117-N117</f>
        <v>0</v>
      </c>
      <c r="P117" s="10" t="s">
        <v>519</v>
      </c>
      <c r="Q117" s="10" t="s">
        <v>501</v>
      </c>
      <c r="R117" s="10" t="s">
        <v>194</v>
      </c>
      <c r="S117" s="10" t="s">
        <v>63</v>
      </c>
    </row>
    <row r="118" customFormat="false" ht="15" hidden="false" customHeight="false" outlineLevel="0" collapsed="false">
      <c r="A118" s="10" t="s">
        <v>14</v>
      </c>
      <c r="B118" s="10" t="n">
        <v>44108</v>
      </c>
      <c r="C118" s="40" t="n">
        <v>46156</v>
      </c>
      <c r="D118" s="10" t="s">
        <v>21</v>
      </c>
      <c r="E118" s="10" t="s">
        <v>258</v>
      </c>
      <c r="F118" s="10" t="s">
        <v>520</v>
      </c>
      <c r="G118" s="10" t="s">
        <v>521</v>
      </c>
      <c r="H118" s="10" t="s">
        <v>522</v>
      </c>
      <c r="I118" s="10" t="s">
        <v>523</v>
      </c>
      <c r="J118" s="10" t="s">
        <v>189</v>
      </c>
      <c r="K118" s="10" t="s">
        <v>256</v>
      </c>
      <c r="L118" s="10" t="s">
        <v>524</v>
      </c>
      <c r="M118" s="10" t="n">
        <v>39</v>
      </c>
      <c r="N118" s="10" t="n">
        <v>39</v>
      </c>
      <c r="O118" s="10" t="n">
        <f aca="false">M118-N118</f>
        <v>0</v>
      </c>
      <c r="P118" s="10" t="s">
        <v>525</v>
      </c>
      <c r="Q118" s="10" t="s">
        <v>448</v>
      </c>
      <c r="R118" s="10" t="s">
        <v>194</v>
      </c>
      <c r="S118" s="10" t="s">
        <v>76</v>
      </c>
    </row>
    <row r="119" customFormat="false" ht="15" hidden="false" customHeight="false" outlineLevel="0" collapsed="false">
      <c r="A119" s="10" t="s">
        <v>14</v>
      </c>
      <c r="B119" s="10" t="n">
        <v>44137</v>
      </c>
      <c r="C119" s="40" t="n">
        <v>46157</v>
      </c>
      <c r="D119" s="10" t="s">
        <v>23</v>
      </c>
      <c r="E119" s="10" t="s">
        <v>185</v>
      </c>
      <c r="F119" s="10" t="s">
        <v>526</v>
      </c>
      <c r="G119" s="10" t="s">
        <v>527</v>
      </c>
      <c r="H119" s="10" t="s">
        <v>40</v>
      </c>
      <c r="I119" s="10" t="s">
        <v>268</v>
      </c>
      <c r="J119" s="10" t="s">
        <v>189</v>
      </c>
      <c r="K119" s="10" t="s">
        <v>528</v>
      </c>
      <c r="L119" s="10" t="s">
        <v>529</v>
      </c>
      <c r="M119" s="10" t="n">
        <v>14</v>
      </c>
      <c r="N119" s="10" t="n">
        <v>14</v>
      </c>
      <c r="O119" s="10" t="n">
        <f aca="false">M119-N119</f>
        <v>0</v>
      </c>
      <c r="P119" s="10"/>
      <c r="Q119" s="10" t="s">
        <v>218</v>
      </c>
      <c r="R119" s="10" t="s">
        <v>194</v>
      </c>
      <c r="S119" s="10" t="s">
        <v>147</v>
      </c>
    </row>
    <row r="120" customFormat="false" ht="15" hidden="false" customHeight="false" outlineLevel="0" collapsed="false">
      <c r="A120" s="10" t="s">
        <v>14</v>
      </c>
      <c r="B120" s="10" t="n">
        <v>44249</v>
      </c>
      <c r="C120" s="40" t="n">
        <v>46157</v>
      </c>
      <c r="D120" s="10" t="s">
        <v>21</v>
      </c>
      <c r="E120" s="10" t="s">
        <v>258</v>
      </c>
      <c r="F120" s="10" t="s">
        <v>520</v>
      </c>
      <c r="G120" s="10" t="s">
        <v>521</v>
      </c>
      <c r="H120" s="10" t="s">
        <v>34</v>
      </c>
      <c r="I120" s="10" t="s">
        <v>205</v>
      </c>
      <c r="J120" s="10" t="s">
        <v>189</v>
      </c>
      <c r="K120" s="10" t="s">
        <v>530</v>
      </c>
      <c r="L120" s="10" t="s">
        <v>417</v>
      </c>
      <c r="M120" s="10" t="n">
        <v>32</v>
      </c>
      <c r="N120" s="10" t="n">
        <v>32</v>
      </c>
      <c r="O120" s="10" t="n">
        <f aca="false">M120-N120</f>
        <v>0</v>
      </c>
      <c r="P120" s="10" t="s">
        <v>531</v>
      </c>
      <c r="Q120" s="10" t="s">
        <v>448</v>
      </c>
      <c r="R120" s="10" t="s">
        <v>194</v>
      </c>
      <c r="S120" s="10" t="s">
        <v>70</v>
      </c>
    </row>
    <row r="121" customFormat="false" ht="15" hidden="false" customHeight="false" outlineLevel="0" collapsed="false">
      <c r="A121" s="10" t="s">
        <v>14</v>
      </c>
      <c r="B121" s="10" t="n">
        <v>44278</v>
      </c>
      <c r="C121" s="40" t="n">
        <v>46158</v>
      </c>
      <c r="D121" s="10" t="s">
        <v>21</v>
      </c>
      <c r="E121" s="10" t="s">
        <v>185</v>
      </c>
      <c r="F121" s="10" t="s">
        <v>520</v>
      </c>
      <c r="G121" s="10" t="s">
        <v>521</v>
      </c>
      <c r="H121" s="10" t="s">
        <v>34</v>
      </c>
      <c r="I121" s="10" t="s">
        <v>205</v>
      </c>
      <c r="J121" s="10" t="s">
        <v>189</v>
      </c>
      <c r="K121" s="10" t="s">
        <v>532</v>
      </c>
      <c r="L121" s="10" t="s">
        <v>533</v>
      </c>
      <c r="M121" s="10" t="n">
        <v>30</v>
      </c>
      <c r="N121" s="10" t="n">
        <v>30</v>
      </c>
      <c r="O121" s="10" t="n">
        <f aca="false">M121-N121</f>
        <v>0</v>
      </c>
      <c r="P121" s="10" t="s">
        <v>534</v>
      </c>
      <c r="Q121" s="10" t="s">
        <v>433</v>
      </c>
      <c r="R121" s="10" t="s">
        <v>194</v>
      </c>
      <c r="S121" s="10" t="s">
        <v>112</v>
      </c>
    </row>
    <row r="122" customFormat="false" ht="15" hidden="false" customHeight="false" outlineLevel="0" collapsed="false">
      <c r="A122" s="10" t="s">
        <v>14</v>
      </c>
      <c r="B122" s="10" t="n">
        <v>44291</v>
      </c>
      <c r="C122" s="40" t="n">
        <v>46158</v>
      </c>
      <c r="D122" s="10" t="s">
        <v>26</v>
      </c>
      <c r="E122" s="10" t="s">
        <v>185</v>
      </c>
      <c r="F122" s="10" t="s">
        <v>535</v>
      </c>
      <c r="G122" s="10" t="s">
        <v>536</v>
      </c>
      <c r="H122" s="10" t="s">
        <v>41</v>
      </c>
      <c r="I122" s="10" t="s">
        <v>456</v>
      </c>
      <c r="J122" s="10" t="s">
        <v>189</v>
      </c>
      <c r="K122" s="10" t="s">
        <v>537</v>
      </c>
      <c r="L122" s="10" t="s">
        <v>538</v>
      </c>
      <c r="M122" s="10" t="n">
        <v>26</v>
      </c>
      <c r="N122" s="10" t="n">
        <v>26</v>
      </c>
      <c r="O122" s="10" t="n">
        <f aca="false">M122-N122</f>
        <v>0</v>
      </c>
      <c r="P122" s="10" t="s">
        <v>539</v>
      </c>
      <c r="Q122" s="10" t="s">
        <v>237</v>
      </c>
      <c r="R122" s="10" t="s">
        <v>282</v>
      </c>
      <c r="S122" s="10" t="s">
        <v>109</v>
      </c>
    </row>
    <row r="123" customFormat="false" ht="15" hidden="false" customHeight="false" outlineLevel="0" collapsed="false">
      <c r="A123" s="10" t="s">
        <v>14</v>
      </c>
      <c r="B123" s="10" t="n">
        <v>44334</v>
      </c>
      <c r="C123" s="40" t="n">
        <v>46158</v>
      </c>
      <c r="D123" s="10" t="s">
        <v>20</v>
      </c>
      <c r="E123" s="10" t="s">
        <v>185</v>
      </c>
      <c r="F123" s="10" t="s">
        <v>540</v>
      </c>
      <c r="G123" s="10" t="s">
        <v>541</v>
      </c>
      <c r="H123" s="10" t="s">
        <v>35</v>
      </c>
      <c r="I123" s="10" t="s">
        <v>498</v>
      </c>
      <c r="J123" s="10" t="s">
        <v>189</v>
      </c>
      <c r="K123" s="10" t="s">
        <v>542</v>
      </c>
      <c r="L123" s="10" t="s">
        <v>226</v>
      </c>
      <c r="M123" s="10" t="n">
        <v>10</v>
      </c>
      <c r="N123" s="10" t="n">
        <v>10</v>
      </c>
      <c r="O123" s="10" t="n">
        <f aca="false">M123-N123</f>
        <v>0</v>
      </c>
      <c r="P123" s="10" t="s">
        <v>543</v>
      </c>
      <c r="Q123" s="10" t="s">
        <v>501</v>
      </c>
      <c r="R123" s="10" t="s">
        <v>194</v>
      </c>
      <c r="S123" s="10" t="s">
        <v>63</v>
      </c>
    </row>
    <row r="124" customFormat="false" ht="15" hidden="false" customHeight="false" outlineLevel="0" collapsed="false">
      <c r="A124" s="10" t="s">
        <v>14</v>
      </c>
      <c r="B124" s="10" t="n">
        <v>44336</v>
      </c>
      <c r="C124" s="40" t="n">
        <v>46158</v>
      </c>
      <c r="D124" s="10" t="s">
        <v>20</v>
      </c>
      <c r="E124" s="10" t="s">
        <v>185</v>
      </c>
      <c r="F124" s="10" t="s">
        <v>540</v>
      </c>
      <c r="G124" s="10" t="s">
        <v>541</v>
      </c>
      <c r="H124" s="10" t="s">
        <v>35</v>
      </c>
      <c r="I124" s="10" t="s">
        <v>498</v>
      </c>
      <c r="J124" s="10" t="s">
        <v>189</v>
      </c>
      <c r="K124" s="10" t="s">
        <v>226</v>
      </c>
      <c r="L124" s="10" t="s">
        <v>228</v>
      </c>
      <c r="M124" s="10" t="n">
        <v>60</v>
      </c>
      <c r="N124" s="10" t="n">
        <v>60</v>
      </c>
      <c r="O124" s="10" t="n">
        <f aca="false">M124-N124</f>
        <v>0</v>
      </c>
      <c r="P124" s="10" t="s">
        <v>543</v>
      </c>
      <c r="Q124" s="10" t="s">
        <v>501</v>
      </c>
      <c r="R124" s="10" t="s">
        <v>194</v>
      </c>
      <c r="S124" s="10" t="s">
        <v>63</v>
      </c>
    </row>
    <row r="125" customFormat="false" ht="15" hidden="false" customHeight="false" outlineLevel="0" collapsed="false">
      <c r="A125" s="10" t="s">
        <v>14</v>
      </c>
      <c r="B125" s="10" t="n">
        <v>44338</v>
      </c>
      <c r="C125" s="40" t="n">
        <v>46158</v>
      </c>
      <c r="D125" s="10" t="s">
        <v>20</v>
      </c>
      <c r="E125" s="10" t="s">
        <v>185</v>
      </c>
      <c r="F125" s="10" t="s">
        <v>540</v>
      </c>
      <c r="G125" s="10" t="s">
        <v>541</v>
      </c>
      <c r="H125" s="10" t="s">
        <v>35</v>
      </c>
      <c r="I125" s="10" t="s">
        <v>498</v>
      </c>
      <c r="J125" s="10" t="s">
        <v>189</v>
      </c>
      <c r="K125" s="10" t="s">
        <v>228</v>
      </c>
      <c r="L125" s="10" t="s">
        <v>199</v>
      </c>
      <c r="M125" s="10" t="n">
        <v>60</v>
      </c>
      <c r="N125" s="10" t="n">
        <v>60</v>
      </c>
      <c r="O125" s="10" t="n">
        <f aca="false">M125-N125</f>
        <v>0</v>
      </c>
      <c r="P125" s="10" t="s">
        <v>544</v>
      </c>
      <c r="Q125" s="10" t="s">
        <v>501</v>
      </c>
      <c r="R125" s="10" t="s">
        <v>194</v>
      </c>
      <c r="S125" s="10" t="s">
        <v>63</v>
      </c>
    </row>
    <row r="126" customFormat="false" ht="15" hidden="false" customHeight="false" outlineLevel="0" collapsed="false">
      <c r="A126" s="10" t="s">
        <v>14</v>
      </c>
      <c r="B126" s="10" t="n">
        <v>44381</v>
      </c>
      <c r="C126" s="40" t="n">
        <v>46158</v>
      </c>
      <c r="D126" s="10" t="s">
        <v>20</v>
      </c>
      <c r="E126" s="10" t="s">
        <v>258</v>
      </c>
      <c r="F126" s="10" t="s">
        <v>540</v>
      </c>
      <c r="G126" s="10" t="s">
        <v>541</v>
      </c>
      <c r="H126" s="10" t="s">
        <v>34</v>
      </c>
      <c r="I126" s="10" t="s">
        <v>205</v>
      </c>
      <c r="J126" s="10" t="s">
        <v>189</v>
      </c>
      <c r="K126" s="10" t="s">
        <v>199</v>
      </c>
      <c r="L126" s="10" t="s">
        <v>283</v>
      </c>
      <c r="M126" s="10" t="n">
        <v>60</v>
      </c>
      <c r="N126" s="10" t="n">
        <v>60</v>
      </c>
      <c r="O126" s="10" t="n">
        <f aca="false">M126-N126</f>
        <v>0</v>
      </c>
      <c r="P126" s="10" t="s">
        <v>545</v>
      </c>
      <c r="Q126" s="10" t="s">
        <v>513</v>
      </c>
      <c r="R126" s="10" t="s">
        <v>194</v>
      </c>
      <c r="S126" s="10" t="s">
        <v>63</v>
      </c>
    </row>
    <row r="127" customFormat="false" ht="15" hidden="false" customHeight="false" outlineLevel="0" collapsed="false">
      <c r="A127" s="10" t="s">
        <v>14</v>
      </c>
      <c r="B127" s="10" t="n">
        <v>44382</v>
      </c>
      <c r="C127" s="40" t="n">
        <v>46158</v>
      </c>
      <c r="D127" s="10" t="s">
        <v>20</v>
      </c>
      <c r="E127" s="10" t="s">
        <v>258</v>
      </c>
      <c r="F127" s="10" t="s">
        <v>540</v>
      </c>
      <c r="G127" s="10" t="s">
        <v>541</v>
      </c>
      <c r="H127" s="10" t="s">
        <v>34</v>
      </c>
      <c r="I127" s="10" t="s">
        <v>205</v>
      </c>
      <c r="J127" s="10" t="s">
        <v>189</v>
      </c>
      <c r="K127" s="10" t="s">
        <v>283</v>
      </c>
      <c r="L127" s="10" t="s">
        <v>256</v>
      </c>
      <c r="M127" s="10" t="n">
        <v>60</v>
      </c>
      <c r="N127" s="10" t="n">
        <v>60</v>
      </c>
      <c r="O127" s="10" t="n">
        <f aca="false">M127-N127</f>
        <v>0</v>
      </c>
      <c r="P127" s="10" t="s">
        <v>545</v>
      </c>
      <c r="Q127" s="10" t="s">
        <v>513</v>
      </c>
      <c r="R127" s="10" t="s">
        <v>194</v>
      </c>
      <c r="S127" s="10" t="s">
        <v>63</v>
      </c>
    </row>
    <row r="128" customFormat="false" ht="15" hidden="false" customHeight="false" outlineLevel="0" collapsed="false">
      <c r="A128" s="10" t="s">
        <v>14</v>
      </c>
      <c r="B128" s="10" t="n">
        <v>44383</v>
      </c>
      <c r="C128" s="40" t="n">
        <v>46158</v>
      </c>
      <c r="D128" s="10" t="s">
        <v>20</v>
      </c>
      <c r="E128" s="10" t="s">
        <v>258</v>
      </c>
      <c r="F128" s="10" t="s">
        <v>540</v>
      </c>
      <c r="G128" s="10" t="s">
        <v>541</v>
      </c>
      <c r="H128" s="10" t="s">
        <v>34</v>
      </c>
      <c r="I128" s="10" t="s">
        <v>205</v>
      </c>
      <c r="J128" s="10" t="s">
        <v>189</v>
      </c>
      <c r="K128" s="10" t="s">
        <v>256</v>
      </c>
      <c r="L128" s="10" t="s">
        <v>332</v>
      </c>
      <c r="M128" s="10" t="n">
        <v>60</v>
      </c>
      <c r="N128" s="10" t="n">
        <v>60</v>
      </c>
      <c r="O128" s="10" t="n">
        <f aca="false">M128-N128</f>
        <v>0</v>
      </c>
      <c r="P128" s="10" t="s">
        <v>543</v>
      </c>
      <c r="Q128" s="10" t="s">
        <v>513</v>
      </c>
      <c r="R128" s="10" t="s">
        <v>194</v>
      </c>
      <c r="S128" s="10" t="s">
        <v>63</v>
      </c>
    </row>
    <row r="129" customFormat="false" ht="15" hidden="false" customHeight="false" outlineLevel="0" collapsed="false">
      <c r="A129" s="10" t="s">
        <v>14</v>
      </c>
      <c r="B129" s="10" t="n">
        <v>44384</v>
      </c>
      <c r="C129" s="40" t="n">
        <v>46158</v>
      </c>
      <c r="D129" s="10" t="s">
        <v>20</v>
      </c>
      <c r="E129" s="10" t="s">
        <v>258</v>
      </c>
      <c r="F129" s="10" t="s">
        <v>540</v>
      </c>
      <c r="G129" s="10" t="s">
        <v>541</v>
      </c>
      <c r="H129" s="10" t="s">
        <v>34</v>
      </c>
      <c r="I129" s="10" t="s">
        <v>205</v>
      </c>
      <c r="J129" s="10" t="s">
        <v>189</v>
      </c>
      <c r="K129" s="10" t="s">
        <v>332</v>
      </c>
      <c r="L129" s="10" t="s">
        <v>335</v>
      </c>
      <c r="M129" s="10" t="n">
        <v>60</v>
      </c>
      <c r="N129" s="10" t="n">
        <v>60</v>
      </c>
      <c r="O129" s="10" t="n">
        <f aca="false">M129-N129</f>
        <v>0</v>
      </c>
      <c r="P129" s="10" t="s">
        <v>543</v>
      </c>
      <c r="Q129" s="10" t="s">
        <v>513</v>
      </c>
      <c r="R129" s="10" t="s">
        <v>194</v>
      </c>
      <c r="S129" s="10" t="s">
        <v>63</v>
      </c>
    </row>
    <row r="130" customFormat="false" ht="15" hidden="false" customHeight="false" outlineLevel="0" collapsed="false">
      <c r="A130" s="10" t="s">
        <v>14</v>
      </c>
      <c r="B130" s="10" t="n">
        <v>44385</v>
      </c>
      <c r="C130" s="40" t="n">
        <v>46158</v>
      </c>
      <c r="D130" s="10" t="s">
        <v>20</v>
      </c>
      <c r="E130" s="10" t="s">
        <v>258</v>
      </c>
      <c r="F130" s="10" t="s">
        <v>540</v>
      </c>
      <c r="G130" s="10" t="s">
        <v>541</v>
      </c>
      <c r="H130" s="10" t="s">
        <v>34</v>
      </c>
      <c r="I130" s="10" t="s">
        <v>205</v>
      </c>
      <c r="J130" s="10" t="s">
        <v>189</v>
      </c>
      <c r="K130" s="10" t="s">
        <v>335</v>
      </c>
      <c r="L130" s="10" t="s">
        <v>416</v>
      </c>
      <c r="M130" s="10" t="n">
        <v>60</v>
      </c>
      <c r="N130" s="10" t="n">
        <v>60</v>
      </c>
      <c r="O130" s="10" t="n">
        <f aca="false">M130-N130</f>
        <v>0</v>
      </c>
      <c r="P130" s="10" t="s">
        <v>546</v>
      </c>
      <c r="Q130" s="10" t="s">
        <v>513</v>
      </c>
      <c r="R130" s="10" t="s">
        <v>194</v>
      </c>
      <c r="S130" s="10" t="s">
        <v>63</v>
      </c>
    </row>
    <row r="131" customFormat="false" ht="15" hidden="false" customHeight="false" outlineLevel="0" collapsed="false">
      <c r="A131" s="10" t="s">
        <v>14</v>
      </c>
      <c r="B131" s="10" t="n">
        <v>44386</v>
      </c>
      <c r="C131" s="40" t="n">
        <v>46158</v>
      </c>
      <c r="D131" s="10" t="s">
        <v>20</v>
      </c>
      <c r="E131" s="10" t="s">
        <v>258</v>
      </c>
      <c r="F131" s="10" t="s">
        <v>540</v>
      </c>
      <c r="G131" s="10" t="s">
        <v>541</v>
      </c>
      <c r="H131" s="10" t="s">
        <v>34</v>
      </c>
      <c r="I131" s="10" t="s">
        <v>205</v>
      </c>
      <c r="J131" s="10" t="s">
        <v>189</v>
      </c>
      <c r="K131" s="10" t="s">
        <v>547</v>
      </c>
      <c r="L131" s="10" t="s">
        <v>462</v>
      </c>
      <c r="M131" s="10" t="n">
        <v>48</v>
      </c>
      <c r="N131" s="10" t="n">
        <v>48</v>
      </c>
      <c r="O131" s="10" t="n">
        <f aca="false">M131-N131</f>
        <v>0</v>
      </c>
      <c r="P131" s="10" t="s">
        <v>543</v>
      </c>
      <c r="Q131" s="10" t="s">
        <v>513</v>
      </c>
      <c r="R131" s="10" t="s">
        <v>194</v>
      </c>
      <c r="S131" s="10" t="s">
        <v>63</v>
      </c>
    </row>
    <row r="132" customFormat="false" ht="15" hidden="false" customHeight="false" outlineLevel="0" collapsed="false">
      <c r="A132" s="10" t="s">
        <v>14</v>
      </c>
      <c r="B132" s="10" t="n">
        <v>44405</v>
      </c>
      <c r="C132" s="40" t="n">
        <v>46161</v>
      </c>
      <c r="D132" s="10" t="s">
        <v>23</v>
      </c>
      <c r="E132" s="10" t="s">
        <v>185</v>
      </c>
      <c r="F132" s="10" t="s">
        <v>329</v>
      </c>
      <c r="G132" s="10" t="s">
        <v>330</v>
      </c>
      <c r="H132" s="10" t="s">
        <v>548</v>
      </c>
      <c r="I132" s="10" t="s">
        <v>549</v>
      </c>
      <c r="J132" s="10" t="s">
        <v>384</v>
      </c>
      <c r="K132" s="10" t="s">
        <v>297</v>
      </c>
      <c r="L132" s="10" t="s">
        <v>538</v>
      </c>
      <c r="M132" s="10" t="n">
        <v>16</v>
      </c>
      <c r="N132" s="10" t="n">
        <v>16</v>
      </c>
      <c r="O132" s="10" t="n">
        <f aca="false">M132-N132</f>
        <v>0</v>
      </c>
      <c r="P132" s="10"/>
      <c r="Q132" s="10" t="s">
        <v>218</v>
      </c>
      <c r="R132" s="10" t="s">
        <v>194</v>
      </c>
      <c r="S132" s="10" t="s">
        <v>129</v>
      </c>
    </row>
    <row r="133" customFormat="false" ht="15" hidden="false" customHeight="false" outlineLevel="0" collapsed="false">
      <c r="A133" s="10" t="s">
        <v>14</v>
      </c>
      <c r="B133" s="10" t="n">
        <v>44419</v>
      </c>
      <c r="C133" s="40" t="n">
        <v>46161</v>
      </c>
      <c r="D133" s="10" t="s">
        <v>24</v>
      </c>
      <c r="E133" s="10" t="s">
        <v>185</v>
      </c>
      <c r="F133" s="10" t="s">
        <v>219</v>
      </c>
      <c r="G133" s="10" t="s">
        <v>220</v>
      </c>
      <c r="H133" s="10" t="s">
        <v>39</v>
      </c>
      <c r="I133" s="10" t="s">
        <v>221</v>
      </c>
      <c r="J133" s="10" t="s">
        <v>189</v>
      </c>
      <c r="K133" s="10" t="s">
        <v>550</v>
      </c>
      <c r="L133" s="10" t="s">
        <v>226</v>
      </c>
      <c r="M133" s="10" t="n">
        <v>38</v>
      </c>
      <c r="N133" s="10" t="n">
        <v>38</v>
      </c>
      <c r="O133" s="10" t="n">
        <f aca="false">M133-N133</f>
        <v>0</v>
      </c>
      <c r="P133" s="10" t="s">
        <v>551</v>
      </c>
      <c r="Q133" s="10" t="s">
        <v>225</v>
      </c>
      <c r="R133" s="10" t="s">
        <v>194</v>
      </c>
      <c r="S133" s="10" t="s">
        <v>79</v>
      </c>
    </row>
    <row r="134" customFormat="false" ht="15" hidden="false" customHeight="false" outlineLevel="0" collapsed="false">
      <c r="A134" s="10" t="s">
        <v>14</v>
      </c>
      <c r="B134" s="10" t="n">
        <v>44442</v>
      </c>
      <c r="C134" s="40" t="n">
        <v>46161</v>
      </c>
      <c r="D134" s="10" t="s">
        <v>20</v>
      </c>
      <c r="E134" s="10" t="s">
        <v>185</v>
      </c>
      <c r="F134" s="10" t="s">
        <v>540</v>
      </c>
      <c r="G134" s="10" t="s">
        <v>541</v>
      </c>
      <c r="H134" s="10" t="s">
        <v>35</v>
      </c>
      <c r="I134" s="10" t="s">
        <v>498</v>
      </c>
      <c r="J134" s="10" t="s">
        <v>189</v>
      </c>
      <c r="K134" s="10" t="s">
        <v>552</v>
      </c>
      <c r="L134" s="10" t="s">
        <v>191</v>
      </c>
      <c r="M134" s="10" t="n">
        <v>21</v>
      </c>
      <c r="N134" s="10" t="n">
        <v>21</v>
      </c>
      <c r="O134" s="10" t="n">
        <f aca="false">M134-N134</f>
        <v>0</v>
      </c>
      <c r="P134" s="10" t="s">
        <v>553</v>
      </c>
      <c r="Q134" s="10" t="s">
        <v>501</v>
      </c>
      <c r="R134" s="10" t="s">
        <v>194</v>
      </c>
      <c r="S134" s="10" t="s">
        <v>63</v>
      </c>
    </row>
    <row r="135" customFormat="false" ht="15" hidden="false" customHeight="false" outlineLevel="0" collapsed="false">
      <c r="A135" s="10" t="s">
        <v>14</v>
      </c>
      <c r="B135" s="10" t="n">
        <v>44445</v>
      </c>
      <c r="C135" s="40" t="n">
        <v>46161</v>
      </c>
      <c r="D135" s="10" t="s">
        <v>20</v>
      </c>
      <c r="E135" s="10" t="s">
        <v>185</v>
      </c>
      <c r="F135" s="10" t="s">
        <v>540</v>
      </c>
      <c r="G135" s="10" t="s">
        <v>541</v>
      </c>
      <c r="H135" s="10" t="s">
        <v>35</v>
      </c>
      <c r="I135" s="10" t="s">
        <v>498</v>
      </c>
      <c r="J135" s="10" t="s">
        <v>189</v>
      </c>
      <c r="K135" s="10" t="s">
        <v>554</v>
      </c>
      <c r="L135" s="10" t="s">
        <v>223</v>
      </c>
      <c r="M135" s="10" t="n">
        <v>11</v>
      </c>
      <c r="N135" s="10" t="n">
        <v>11</v>
      </c>
      <c r="O135" s="10" t="n">
        <f aca="false">M135-N135</f>
        <v>0</v>
      </c>
      <c r="P135" s="10" t="s">
        <v>553</v>
      </c>
      <c r="Q135" s="10" t="s">
        <v>501</v>
      </c>
      <c r="R135" s="10" t="s">
        <v>194</v>
      </c>
      <c r="S135" s="10" t="s">
        <v>63</v>
      </c>
    </row>
    <row r="136" customFormat="false" ht="15" hidden="false" customHeight="false" outlineLevel="0" collapsed="false">
      <c r="A136" s="10" t="s">
        <v>14</v>
      </c>
      <c r="B136" s="10" t="n">
        <v>44446</v>
      </c>
      <c r="C136" s="40" t="n">
        <v>46161</v>
      </c>
      <c r="D136" s="10" t="s">
        <v>20</v>
      </c>
      <c r="E136" s="10" t="s">
        <v>185</v>
      </c>
      <c r="F136" s="10" t="s">
        <v>540</v>
      </c>
      <c r="G136" s="10" t="s">
        <v>541</v>
      </c>
      <c r="H136" s="10" t="s">
        <v>35</v>
      </c>
      <c r="I136" s="10" t="s">
        <v>498</v>
      </c>
      <c r="J136" s="10" t="s">
        <v>189</v>
      </c>
      <c r="K136" s="10" t="s">
        <v>223</v>
      </c>
      <c r="L136" s="10" t="s">
        <v>226</v>
      </c>
      <c r="M136" s="10" t="n">
        <v>60</v>
      </c>
      <c r="N136" s="10" t="n">
        <v>60</v>
      </c>
      <c r="O136" s="10" t="n">
        <f aca="false">M136-N136</f>
        <v>0</v>
      </c>
      <c r="P136" s="10" t="s">
        <v>553</v>
      </c>
      <c r="Q136" s="10" t="s">
        <v>501</v>
      </c>
      <c r="R136" s="10" t="s">
        <v>194</v>
      </c>
      <c r="S136" s="10" t="s">
        <v>63</v>
      </c>
    </row>
    <row r="137" customFormat="false" ht="15" hidden="false" customHeight="false" outlineLevel="0" collapsed="false">
      <c r="A137" s="10" t="s">
        <v>14</v>
      </c>
      <c r="B137" s="10" t="n">
        <v>44448</v>
      </c>
      <c r="C137" s="40" t="n">
        <v>46161</v>
      </c>
      <c r="D137" s="10" t="s">
        <v>20</v>
      </c>
      <c r="E137" s="10" t="s">
        <v>185</v>
      </c>
      <c r="F137" s="10" t="s">
        <v>540</v>
      </c>
      <c r="G137" s="10" t="s">
        <v>541</v>
      </c>
      <c r="H137" s="10" t="s">
        <v>35</v>
      </c>
      <c r="I137" s="10" t="s">
        <v>498</v>
      </c>
      <c r="J137" s="10" t="s">
        <v>189</v>
      </c>
      <c r="K137" s="10" t="s">
        <v>301</v>
      </c>
      <c r="L137" s="10" t="s">
        <v>228</v>
      </c>
      <c r="M137" s="10" t="n">
        <v>30</v>
      </c>
      <c r="N137" s="10" t="n">
        <v>30</v>
      </c>
      <c r="O137" s="10" t="n">
        <f aca="false">M137-N137</f>
        <v>0</v>
      </c>
      <c r="P137" s="10" t="s">
        <v>555</v>
      </c>
      <c r="Q137" s="10" t="s">
        <v>501</v>
      </c>
      <c r="R137" s="10" t="s">
        <v>194</v>
      </c>
      <c r="S137" s="10" t="s">
        <v>63</v>
      </c>
    </row>
    <row r="138" customFormat="false" ht="15" hidden="false" customHeight="false" outlineLevel="0" collapsed="false">
      <c r="A138" s="10" t="s">
        <v>14</v>
      </c>
      <c r="B138" s="10" t="n">
        <v>44449</v>
      </c>
      <c r="C138" s="40" t="n">
        <v>46161</v>
      </c>
      <c r="D138" s="10" t="s">
        <v>20</v>
      </c>
      <c r="E138" s="10" t="s">
        <v>185</v>
      </c>
      <c r="F138" s="10" t="s">
        <v>540</v>
      </c>
      <c r="G138" s="10" t="s">
        <v>541</v>
      </c>
      <c r="H138" s="10" t="s">
        <v>35</v>
      </c>
      <c r="I138" s="10" t="s">
        <v>498</v>
      </c>
      <c r="J138" s="10" t="s">
        <v>189</v>
      </c>
      <c r="K138" s="10" t="s">
        <v>556</v>
      </c>
      <c r="L138" s="10" t="s">
        <v>199</v>
      </c>
      <c r="M138" s="10" t="n">
        <v>25</v>
      </c>
      <c r="N138" s="10" t="n">
        <v>25</v>
      </c>
      <c r="O138" s="10" t="n">
        <f aca="false">M138-N138</f>
        <v>0</v>
      </c>
      <c r="P138" s="10" t="s">
        <v>555</v>
      </c>
      <c r="Q138" s="10" t="s">
        <v>501</v>
      </c>
      <c r="R138" s="10" t="s">
        <v>194</v>
      </c>
      <c r="S138" s="10" t="s">
        <v>63</v>
      </c>
    </row>
    <row r="139" customFormat="false" ht="15" hidden="false" customHeight="false" outlineLevel="0" collapsed="false">
      <c r="A139" s="10" t="s">
        <v>14</v>
      </c>
      <c r="B139" s="10" t="n">
        <v>44450</v>
      </c>
      <c r="C139" s="40" t="n">
        <v>46161</v>
      </c>
      <c r="D139" s="10" t="s">
        <v>20</v>
      </c>
      <c r="E139" s="10" t="s">
        <v>185</v>
      </c>
      <c r="F139" s="10" t="s">
        <v>540</v>
      </c>
      <c r="G139" s="10" t="s">
        <v>541</v>
      </c>
      <c r="H139" s="10" t="s">
        <v>35</v>
      </c>
      <c r="I139" s="10" t="s">
        <v>498</v>
      </c>
      <c r="J139" s="10" t="s">
        <v>189</v>
      </c>
      <c r="K139" s="10" t="s">
        <v>557</v>
      </c>
      <c r="L139" s="10" t="s">
        <v>283</v>
      </c>
      <c r="M139" s="10" t="n">
        <v>41</v>
      </c>
      <c r="N139" s="10" t="n">
        <v>41</v>
      </c>
      <c r="O139" s="10" t="n">
        <f aca="false">M139-N139</f>
        <v>0</v>
      </c>
      <c r="P139" s="10" t="s">
        <v>555</v>
      </c>
      <c r="Q139" s="10" t="s">
        <v>501</v>
      </c>
      <c r="R139" s="10" t="s">
        <v>194</v>
      </c>
      <c r="S139" s="10" t="s">
        <v>63</v>
      </c>
    </row>
    <row r="140" customFormat="false" ht="15" hidden="false" customHeight="false" outlineLevel="0" collapsed="false">
      <c r="A140" s="10" t="s">
        <v>14</v>
      </c>
      <c r="B140" s="10" t="n">
        <v>44458</v>
      </c>
      <c r="C140" s="40" t="n">
        <v>46161</v>
      </c>
      <c r="D140" s="10" t="s">
        <v>20</v>
      </c>
      <c r="E140" s="10" t="s">
        <v>185</v>
      </c>
      <c r="F140" s="10" t="s">
        <v>540</v>
      </c>
      <c r="G140" s="10" t="s">
        <v>541</v>
      </c>
      <c r="H140" s="10" t="s">
        <v>35</v>
      </c>
      <c r="I140" s="10" t="s">
        <v>498</v>
      </c>
      <c r="J140" s="10" t="s">
        <v>189</v>
      </c>
      <c r="K140" s="10" t="s">
        <v>558</v>
      </c>
      <c r="L140" s="10" t="s">
        <v>256</v>
      </c>
      <c r="M140" s="10" t="n">
        <v>15</v>
      </c>
      <c r="N140" s="10" t="n">
        <v>15</v>
      </c>
      <c r="O140" s="10" t="n">
        <f aca="false">M140-N140</f>
        <v>0</v>
      </c>
      <c r="P140" s="10"/>
      <c r="Q140" s="10" t="s">
        <v>501</v>
      </c>
      <c r="R140" s="10" t="s">
        <v>194</v>
      </c>
      <c r="S140" s="10" t="s">
        <v>63</v>
      </c>
    </row>
    <row r="141" customFormat="false" ht="15" hidden="false" customHeight="false" outlineLevel="0" collapsed="false">
      <c r="A141" s="10" t="s">
        <v>14</v>
      </c>
      <c r="B141" s="10" t="n">
        <v>44500</v>
      </c>
      <c r="C141" s="40" t="n">
        <v>46161</v>
      </c>
      <c r="D141" s="10" t="s">
        <v>29</v>
      </c>
      <c r="E141" s="10" t="s">
        <v>258</v>
      </c>
      <c r="F141" s="10" t="s">
        <v>559</v>
      </c>
      <c r="G141" s="10" t="s">
        <v>560</v>
      </c>
      <c r="H141" s="10" t="s">
        <v>34</v>
      </c>
      <c r="I141" s="10" t="s">
        <v>205</v>
      </c>
      <c r="J141" s="10" t="s">
        <v>189</v>
      </c>
      <c r="K141" s="10" t="s">
        <v>561</v>
      </c>
      <c r="L141" s="10" t="s">
        <v>460</v>
      </c>
      <c r="M141" s="10" t="n">
        <v>15</v>
      </c>
      <c r="N141" s="10" t="n">
        <v>15</v>
      </c>
      <c r="O141" s="10" t="n">
        <f aca="false">M141-N141</f>
        <v>0</v>
      </c>
      <c r="P141" s="10" t="s">
        <v>562</v>
      </c>
      <c r="Q141" s="10" t="s">
        <v>433</v>
      </c>
      <c r="R141" s="10" t="s">
        <v>194</v>
      </c>
      <c r="S141" s="10" t="s">
        <v>70</v>
      </c>
    </row>
    <row r="142" customFormat="false" ht="15" hidden="false" customHeight="false" outlineLevel="0" collapsed="false">
      <c r="A142" s="10" t="s">
        <v>14</v>
      </c>
      <c r="B142" s="10" t="n">
        <v>44533</v>
      </c>
      <c r="C142" s="40" t="n">
        <v>46162</v>
      </c>
      <c r="D142" s="10" t="s">
        <v>23</v>
      </c>
      <c r="E142" s="10" t="s">
        <v>185</v>
      </c>
      <c r="F142" s="10" t="s">
        <v>329</v>
      </c>
      <c r="G142" s="10" t="s">
        <v>330</v>
      </c>
      <c r="H142" s="10" t="s">
        <v>563</v>
      </c>
      <c r="I142" s="10" t="s">
        <v>564</v>
      </c>
      <c r="J142" s="10" t="s">
        <v>384</v>
      </c>
      <c r="K142" s="10" t="s">
        <v>191</v>
      </c>
      <c r="L142" s="10" t="s">
        <v>565</v>
      </c>
      <c r="M142" s="10" t="n">
        <v>12</v>
      </c>
      <c r="N142" s="10" t="n">
        <v>12</v>
      </c>
      <c r="O142" s="10" t="n">
        <f aca="false">M142-N142</f>
        <v>0</v>
      </c>
      <c r="P142" s="10" t="s">
        <v>518</v>
      </c>
      <c r="Q142" s="10" t="s">
        <v>218</v>
      </c>
      <c r="R142" s="10" t="s">
        <v>194</v>
      </c>
      <c r="S142" s="10" t="s">
        <v>102</v>
      </c>
    </row>
    <row r="143" customFormat="false" ht="15" hidden="false" customHeight="false" outlineLevel="0" collapsed="false">
      <c r="A143" s="10" t="s">
        <v>14</v>
      </c>
      <c r="B143" s="10" t="n">
        <v>44569</v>
      </c>
      <c r="C143" s="40" t="n">
        <v>46162</v>
      </c>
      <c r="D143" s="10" t="s">
        <v>24</v>
      </c>
      <c r="E143" s="10" t="s">
        <v>185</v>
      </c>
      <c r="F143" s="10" t="s">
        <v>219</v>
      </c>
      <c r="G143" s="10" t="s">
        <v>220</v>
      </c>
      <c r="H143" s="10" t="s">
        <v>34</v>
      </c>
      <c r="I143" s="10" t="s">
        <v>205</v>
      </c>
      <c r="J143" s="10" t="s">
        <v>189</v>
      </c>
      <c r="K143" s="10" t="s">
        <v>301</v>
      </c>
      <c r="L143" s="10" t="s">
        <v>566</v>
      </c>
      <c r="M143" s="10" t="n">
        <v>16</v>
      </c>
      <c r="N143" s="10" t="n">
        <v>16</v>
      </c>
      <c r="O143" s="10" t="n">
        <f aca="false">M143-N143</f>
        <v>0</v>
      </c>
      <c r="P143" s="10" t="s">
        <v>567</v>
      </c>
      <c r="Q143" s="10" t="s">
        <v>225</v>
      </c>
      <c r="R143" s="10" t="s">
        <v>194</v>
      </c>
      <c r="S143" s="10" t="s">
        <v>89</v>
      </c>
    </row>
    <row r="144" customFormat="false" ht="15" hidden="false" customHeight="false" outlineLevel="0" collapsed="false">
      <c r="A144" s="10" t="s">
        <v>14</v>
      </c>
      <c r="B144" s="10" t="n">
        <v>44592</v>
      </c>
      <c r="C144" s="40" t="n">
        <v>46162</v>
      </c>
      <c r="D144" s="10" t="s">
        <v>20</v>
      </c>
      <c r="E144" s="10" t="s">
        <v>185</v>
      </c>
      <c r="F144" s="10" t="s">
        <v>540</v>
      </c>
      <c r="G144" s="10" t="s">
        <v>541</v>
      </c>
      <c r="H144" s="10" t="s">
        <v>35</v>
      </c>
      <c r="I144" s="10" t="s">
        <v>498</v>
      </c>
      <c r="J144" s="10" t="s">
        <v>189</v>
      </c>
      <c r="K144" s="10" t="s">
        <v>568</v>
      </c>
      <c r="L144" s="10" t="s">
        <v>228</v>
      </c>
      <c r="M144" s="10" t="n">
        <v>21</v>
      </c>
      <c r="N144" s="10" t="n">
        <v>21</v>
      </c>
      <c r="O144" s="10" t="n">
        <f aca="false">M144-N144</f>
        <v>0</v>
      </c>
      <c r="P144" s="10" t="s">
        <v>569</v>
      </c>
      <c r="Q144" s="10" t="s">
        <v>501</v>
      </c>
      <c r="R144" s="10" t="s">
        <v>194</v>
      </c>
      <c r="S144" s="10" t="s">
        <v>86</v>
      </c>
    </row>
    <row r="145" customFormat="false" ht="15" hidden="false" customHeight="false" outlineLevel="0" collapsed="false">
      <c r="A145" s="10" t="s">
        <v>14</v>
      </c>
      <c r="B145" s="10" t="n">
        <v>44593</v>
      </c>
      <c r="C145" s="40" t="n">
        <v>46162</v>
      </c>
      <c r="D145" s="10" t="s">
        <v>20</v>
      </c>
      <c r="E145" s="10" t="s">
        <v>185</v>
      </c>
      <c r="F145" s="10" t="s">
        <v>540</v>
      </c>
      <c r="G145" s="10" t="s">
        <v>541</v>
      </c>
      <c r="H145" s="10" t="s">
        <v>35</v>
      </c>
      <c r="I145" s="10" t="s">
        <v>498</v>
      </c>
      <c r="J145" s="10" t="s">
        <v>189</v>
      </c>
      <c r="K145" s="10" t="s">
        <v>570</v>
      </c>
      <c r="L145" s="10" t="s">
        <v>199</v>
      </c>
      <c r="M145" s="10" t="n">
        <v>22</v>
      </c>
      <c r="N145" s="10" t="n">
        <v>22</v>
      </c>
      <c r="O145" s="10" t="n">
        <f aca="false">M145-N145</f>
        <v>0</v>
      </c>
      <c r="P145" s="10" t="s">
        <v>571</v>
      </c>
      <c r="Q145" s="10" t="s">
        <v>501</v>
      </c>
      <c r="R145" s="10" t="s">
        <v>194</v>
      </c>
      <c r="S145" s="10" t="s">
        <v>86</v>
      </c>
    </row>
    <row r="146" customFormat="false" ht="15" hidden="false" customHeight="false" outlineLevel="0" collapsed="false">
      <c r="A146" s="10" t="s">
        <v>14</v>
      </c>
      <c r="B146" s="10" t="n">
        <v>44594</v>
      </c>
      <c r="C146" s="40" t="n">
        <v>46162</v>
      </c>
      <c r="D146" s="10" t="s">
        <v>20</v>
      </c>
      <c r="E146" s="10" t="s">
        <v>185</v>
      </c>
      <c r="F146" s="10" t="s">
        <v>540</v>
      </c>
      <c r="G146" s="10" t="s">
        <v>541</v>
      </c>
      <c r="H146" s="10" t="s">
        <v>35</v>
      </c>
      <c r="I146" s="10" t="s">
        <v>498</v>
      </c>
      <c r="J146" s="10" t="s">
        <v>189</v>
      </c>
      <c r="K146" s="10" t="s">
        <v>572</v>
      </c>
      <c r="L146" s="10" t="s">
        <v>283</v>
      </c>
      <c r="M146" s="10" t="n">
        <v>31</v>
      </c>
      <c r="N146" s="10" t="n">
        <v>31</v>
      </c>
      <c r="O146" s="10" t="n">
        <f aca="false">M146-N146</f>
        <v>0</v>
      </c>
      <c r="P146" s="10" t="s">
        <v>573</v>
      </c>
      <c r="Q146" s="10" t="s">
        <v>501</v>
      </c>
      <c r="R146" s="10" t="s">
        <v>194</v>
      </c>
      <c r="S146" s="10" t="s">
        <v>86</v>
      </c>
    </row>
    <row r="147" customFormat="false" ht="15" hidden="false" customHeight="false" outlineLevel="0" collapsed="false">
      <c r="A147" s="10" t="s">
        <v>14</v>
      </c>
      <c r="B147" s="10" t="n">
        <v>44688</v>
      </c>
      <c r="C147" s="40" t="n">
        <v>46163</v>
      </c>
      <c r="D147" s="10" t="s">
        <v>20</v>
      </c>
      <c r="E147" s="10" t="s">
        <v>185</v>
      </c>
      <c r="F147" s="10" t="s">
        <v>540</v>
      </c>
      <c r="G147" s="10" t="s">
        <v>541</v>
      </c>
      <c r="H147" s="10" t="s">
        <v>35</v>
      </c>
      <c r="I147" s="10" t="s">
        <v>498</v>
      </c>
      <c r="J147" s="10" t="s">
        <v>189</v>
      </c>
      <c r="K147" s="10" t="s">
        <v>574</v>
      </c>
      <c r="L147" s="10" t="s">
        <v>223</v>
      </c>
      <c r="M147" s="10" t="n">
        <v>28</v>
      </c>
      <c r="N147" s="10" t="n">
        <v>28</v>
      </c>
      <c r="O147" s="10" t="n">
        <f aca="false">M147-N147</f>
        <v>0</v>
      </c>
      <c r="P147" s="10" t="s">
        <v>575</v>
      </c>
      <c r="Q147" s="10" t="s">
        <v>501</v>
      </c>
      <c r="R147" s="10" t="s">
        <v>194</v>
      </c>
      <c r="S147" s="10" t="s">
        <v>63</v>
      </c>
    </row>
    <row r="148" customFormat="false" ht="15" hidden="false" customHeight="false" outlineLevel="0" collapsed="false">
      <c r="A148" s="10" t="s">
        <v>14</v>
      </c>
      <c r="B148" s="10" t="n">
        <v>44689</v>
      </c>
      <c r="C148" s="40" t="n">
        <v>46163</v>
      </c>
      <c r="D148" s="10" t="s">
        <v>20</v>
      </c>
      <c r="E148" s="10" t="s">
        <v>185</v>
      </c>
      <c r="F148" s="10" t="s">
        <v>540</v>
      </c>
      <c r="G148" s="10" t="s">
        <v>541</v>
      </c>
      <c r="H148" s="10" t="s">
        <v>35</v>
      </c>
      <c r="I148" s="10" t="s">
        <v>498</v>
      </c>
      <c r="J148" s="10" t="s">
        <v>189</v>
      </c>
      <c r="K148" s="10" t="s">
        <v>576</v>
      </c>
      <c r="L148" s="10" t="s">
        <v>226</v>
      </c>
      <c r="M148" s="10" t="n">
        <v>25</v>
      </c>
      <c r="N148" s="10" t="n">
        <v>25</v>
      </c>
      <c r="O148" s="10" t="n">
        <f aca="false">M148-N148</f>
        <v>0</v>
      </c>
      <c r="P148" s="10" t="s">
        <v>577</v>
      </c>
      <c r="Q148" s="10" t="s">
        <v>501</v>
      </c>
      <c r="R148" s="10" t="s">
        <v>194</v>
      </c>
      <c r="S148" s="10" t="s">
        <v>86</v>
      </c>
    </row>
    <row r="149" customFormat="false" ht="15" hidden="false" customHeight="false" outlineLevel="0" collapsed="false">
      <c r="A149" s="10" t="s">
        <v>14</v>
      </c>
      <c r="B149" s="10" t="n">
        <v>44733</v>
      </c>
      <c r="C149" s="40" t="n">
        <v>46163</v>
      </c>
      <c r="D149" s="10" t="s">
        <v>20</v>
      </c>
      <c r="E149" s="10" t="s">
        <v>258</v>
      </c>
      <c r="F149" s="10" t="s">
        <v>540</v>
      </c>
      <c r="G149" s="10" t="s">
        <v>541</v>
      </c>
      <c r="H149" s="10" t="s">
        <v>34</v>
      </c>
      <c r="I149" s="10" t="s">
        <v>205</v>
      </c>
      <c r="J149" s="10" t="s">
        <v>189</v>
      </c>
      <c r="K149" s="10" t="s">
        <v>462</v>
      </c>
      <c r="L149" s="10" t="s">
        <v>578</v>
      </c>
      <c r="M149" s="10" t="n">
        <v>50</v>
      </c>
      <c r="N149" s="10" t="n">
        <v>50</v>
      </c>
      <c r="O149" s="10" t="n">
        <f aca="false">M149-N149</f>
        <v>0</v>
      </c>
      <c r="P149" s="10" t="s">
        <v>579</v>
      </c>
      <c r="Q149" s="10" t="s">
        <v>513</v>
      </c>
      <c r="R149" s="10" t="s">
        <v>194</v>
      </c>
      <c r="S149" s="10" t="s">
        <v>63</v>
      </c>
    </row>
    <row r="150" customFormat="false" ht="15" hidden="false" customHeight="false" outlineLevel="0" collapsed="false">
      <c r="A150" s="10" t="s">
        <v>14</v>
      </c>
      <c r="B150" s="10" t="n">
        <v>44734</v>
      </c>
      <c r="C150" s="40" t="n">
        <v>46163</v>
      </c>
      <c r="D150" s="10" t="s">
        <v>20</v>
      </c>
      <c r="E150" s="10" t="s">
        <v>258</v>
      </c>
      <c r="F150" s="10" t="s">
        <v>540</v>
      </c>
      <c r="G150" s="10" t="s">
        <v>541</v>
      </c>
      <c r="H150" s="10" t="s">
        <v>34</v>
      </c>
      <c r="I150" s="10" t="s">
        <v>205</v>
      </c>
      <c r="J150" s="10" t="s">
        <v>189</v>
      </c>
      <c r="K150" s="10" t="s">
        <v>290</v>
      </c>
      <c r="L150" s="10" t="s">
        <v>460</v>
      </c>
      <c r="M150" s="10" t="n">
        <v>60</v>
      </c>
      <c r="N150" s="10" t="n">
        <v>60</v>
      </c>
      <c r="O150" s="10" t="n">
        <f aca="false">M150-N150</f>
        <v>0</v>
      </c>
      <c r="P150" s="10" t="s">
        <v>580</v>
      </c>
      <c r="Q150" s="10" t="s">
        <v>513</v>
      </c>
      <c r="R150" s="10" t="s">
        <v>194</v>
      </c>
      <c r="S150" s="10" t="s">
        <v>63</v>
      </c>
    </row>
    <row r="151" customFormat="false" ht="15" hidden="false" customHeight="false" outlineLevel="0" collapsed="false">
      <c r="A151" s="10" t="s">
        <v>14</v>
      </c>
      <c r="B151" s="10" t="n">
        <v>44758</v>
      </c>
      <c r="C151" s="40" t="n">
        <v>46163</v>
      </c>
      <c r="D151" s="10" t="s">
        <v>20</v>
      </c>
      <c r="E151" s="10" t="s">
        <v>258</v>
      </c>
      <c r="F151" s="10" t="s">
        <v>540</v>
      </c>
      <c r="G151" s="10" t="s">
        <v>541</v>
      </c>
      <c r="H151" s="10" t="s">
        <v>34</v>
      </c>
      <c r="I151" s="10" t="s">
        <v>205</v>
      </c>
      <c r="J151" s="10" t="s">
        <v>189</v>
      </c>
      <c r="K151" s="10" t="s">
        <v>581</v>
      </c>
      <c r="L151" s="10" t="s">
        <v>461</v>
      </c>
      <c r="M151" s="10" t="n">
        <v>38</v>
      </c>
      <c r="N151" s="10" t="n">
        <v>38</v>
      </c>
      <c r="O151" s="10" t="n">
        <f aca="false">M151-N151</f>
        <v>0</v>
      </c>
      <c r="P151" s="10" t="s">
        <v>582</v>
      </c>
      <c r="Q151" s="10" t="s">
        <v>513</v>
      </c>
      <c r="R151" s="10" t="s">
        <v>194</v>
      </c>
      <c r="S151" s="10" t="s">
        <v>63</v>
      </c>
    </row>
    <row r="152" customFormat="false" ht="15" hidden="false" customHeight="false" outlineLevel="0" collapsed="false">
      <c r="A152" s="10" t="s">
        <v>14</v>
      </c>
      <c r="B152" s="10" t="n">
        <v>44760</v>
      </c>
      <c r="C152" s="40" t="n">
        <v>46163</v>
      </c>
      <c r="D152" s="10" t="s">
        <v>20</v>
      </c>
      <c r="E152" s="10" t="s">
        <v>258</v>
      </c>
      <c r="F152" s="10" t="s">
        <v>540</v>
      </c>
      <c r="G152" s="10" t="s">
        <v>541</v>
      </c>
      <c r="H152" s="10" t="s">
        <v>34</v>
      </c>
      <c r="I152" s="10" t="s">
        <v>205</v>
      </c>
      <c r="J152" s="10" t="s">
        <v>189</v>
      </c>
      <c r="K152" s="10" t="s">
        <v>461</v>
      </c>
      <c r="L152" s="10" t="s">
        <v>395</v>
      </c>
      <c r="M152" s="10" t="n">
        <v>60</v>
      </c>
      <c r="N152" s="10" t="n">
        <v>60</v>
      </c>
      <c r="O152" s="10" t="n">
        <f aca="false">M152-N152</f>
        <v>0</v>
      </c>
      <c r="P152" s="10" t="s">
        <v>583</v>
      </c>
      <c r="Q152" s="10" t="s">
        <v>513</v>
      </c>
      <c r="R152" s="10" t="s">
        <v>194</v>
      </c>
      <c r="S152" s="10" t="s">
        <v>63</v>
      </c>
    </row>
    <row r="153" customFormat="false" ht="15" hidden="false" customHeight="false" outlineLevel="0" collapsed="false">
      <c r="A153" s="10" t="s">
        <v>14</v>
      </c>
      <c r="B153" s="10" t="n">
        <v>44762</v>
      </c>
      <c r="C153" s="40" t="n">
        <v>46164</v>
      </c>
      <c r="D153" s="10" t="s">
        <v>23</v>
      </c>
      <c r="E153" s="10" t="s">
        <v>185</v>
      </c>
      <c r="F153" s="10" t="s">
        <v>584</v>
      </c>
      <c r="G153" s="10" t="s">
        <v>585</v>
      </c>
      <c r="H153" s="10" t="s">
        <v>485</v>
      </c>
      <c r="I153" s="10" t="s">
        <v>486</v>
      </c>
      <c r="J153" s="10" t="s">
        <v>189</v>
      </c>
      <c r="K153" s="10" t="s">
        <v>255</v>
      </c>
      <c r="L153" s="10" t="s">
        <v>190</v>
      </c>
      <c r="M153" s="10" t="n">
        <v>10</v>
      </c>
      <c r="N153" s="10" t="n">
        <v>10</v>
      </c>
      <c r="O153" s="10" t="n">
        <f aca="false">M153-N153</f>
        <v>0</v>
      </c>
      <c r="P153" s="10" t="s">
        <v>586</v>
      </c>
      <c r="Q153" s="10" t="s">
        <v>218</v>
      </c>
      <c r="R153" s="10" t="s">
        <v>194</v>
      </c>
      <c r="S153" s="10" t="s">
        <v>73</v>
      </c>
    </row>
    <row r="154" customFormat="false" ht="15" hidden="false" customHeight="false" outlineLevel="0" collapsed="false">
      <c r="A154" s="10" t="s">
        <v>14</v>
      </c>
      <c r="B154" s="10" t="n">
        <v>44779</v>
      </c>
      <c r="C154" s="40" t="n">
        <v>46164</v>
      </c>
      <c r="D154" s="10" t="s">
        <v>23</v>
      </c>
      <c r="E154" s="10" t="s">
        <v>185</v>
      </c>
      <c r="F154" s="10" t="s">
        <v>584</v>
      </c>
      <c r="G154" s="10" t="s">
        <v>585</v>
      </c>
      <c r="H154" s="10" t="s">
        <v>40</v>
      </c>
      <c r="I154" s="10" t="s">
        <v>268</v>
      </c>
      <c r="J154" s="10" t="s">
        <v>189</v>
      </c>
      <c r="K154" s="10" t="s">
        <v>587</v>
      </c>
      <c r="L154" s="10" t="s">
        <v>588</v>
      </c>
      <c r="M154" s="10" t="n">
        <v>15</v>
      </c>
      <c r="N154" s="10" t="n">
        <v>15</v>
      </c>
      <c r="O154" s="10" t="n">
        <f aca="false">M154-N154</f>
        <v>0</v>
      </c>
      <c r="P154" s="10" t="s">
        <v>589</v>
      </c>
      <c r="Q154" s="10" t="s">
        <v>218</v>
      </c>
      <c r="R154" s="10" t="s">
        <v>194</v>
      </c>
      <c r="S154" s="10" t="s">
        <v>89</v>
      </c>
    </row>
    <row r="155" customFormat="false" ht="15" hidden="false" customHeight="false" outlineLevel="0" collapsed="false">
      <c r="A155" s="10" t="s">
        <v>14</v>
      </c>
      <c r="B155" s="10" t="n">
        <v>44780</v>
      </c>
      <c r="C155" s="40" t="n">
        <v>46164</v>
      </c>
      <c r="D155" s="10" t="s">
        <v>23</v>
      </c>
      <c r="E155" s="10" t="s">
        <v>185</v>
      </c>
      <c r="F155" s="10" t="s">
        <v>584</v>
      </c>
      <c r="G155" s="10" t="s">
        <v>585</v>
      </c>
      <c r="H155" s="10" t="s">
        <v>590</v>
      </c>
      <c r="I155" s="10" t="s">
        <v>591</v>
      </c>
      <c r="J155" s="10" t="s">
        <v>189</v>
      </c>
      <c r="K155" s="10" t="s">
        <v>576</v>
      </c>
      <c r="L155" s="10" t="s">
        <v>592</v>
      </c>
      <c r="M155" s="10" t="n">
        <v>20</v>
      </c>
      <c r="N155" s="10" t="n">
        <v>20</v>
      </c>
      <c r="O155" s="10" t="n">
        <f aca="false">M155-N155</f>
        <v>0</v>
      </c>
      <c r="P155" s="10" t="s">
        <v>593</v>
      </c>
      <c r="Q155" s="10" t="s">
        <v>218</v>
      </c>
      <c r="R155" s="10" t="s">
        <v>194</v>
      </c>
      <c r="S155" s="10" t="s">
        <v>67</v>
      </c>
    </row>
    <row r="156" customFormat="false" ht="15" hidden="false" customHeight="false" outlineLevel="0" collapsed="false">
      <c r="A156" s="10" t="s">
        <v>14</v>
      </c>
      <c r="B156" s="10" t="n">
        <v>44804</v>
      </c>
      <c r="C156" s="40" t="n">
        <v>46164</v>
      </c>
      <c r="D156" s="10" t="s">
        <v>20</v>
      </c>
      <c r="E156" s="10" t="s">
        <v>185</v>
      </c>
      <c r="F156" s="10" t="s">
        <v>540</v>
      </c>
      <c r="G156" s="10" t="s">
        <v>541</v>
      </c>
      <c r="H156" s="10" t="s">
        <v>35</v>
      </c>
      <c r="I156" s="10" t="s">
        <v>498</v>
      </c>
      <c r="J156" s="10" t="s">
        <v>189</v>
      </c>
      <c r="K156" s="10" t="s">
        <v>255</v>
      </c>
      <c r="L156" s="10" t="s">
        <v>191</v>
      </c>
      <c r="M156" s="10" t="n">
        <v>60</v>
      </c>
      <c r="N156" s="10" t="n">
        <v>60</v>
      </c>
      <c r="O156" s="10" t="n">
        <f aca="false">M156-N156</f>
        <v>0</v>
      </c>
      <c r="P156" s="10"/>
      <c r="Q156" s="10" t="s">
        <v>225</v>
      </c>
      <c r="R156" s="10" t="s">
        <v>194</v>
      </c>
      <c r="S156" s="10" t="s">
        <v>63</v>
      </c>
    </row>
    <row r="157" customFormat="false" ht="15" hidden="false" customHeight="false" outlineLevel="0" collapsed="false">
      <c r="A157" s="10" t="s">
        <v>14</v>
      </c>
      <c r="B157" s="10" t="n">
        <v>44806</v>
      </c>
      <c r="C157" s="40" t="n">
        <v>46164</v>
      </c>
      <c r="D157" s="10" t="s">
        <v>20</v>
      </c>
      <c r="E157" s="10" t="s">
        <v>185</v>
      </c>
      <c r="F157" s="10" t="s">
        <v>540</v>
      </c>
      <c r="G157" s="10" t="s">
        <v>541</v>
      </c>
      <c r="H157" s="10" t="s">
        <v>35</v>
      </c>
      <c r="I157" s="10" t="s">
        <v>498</v>
      </c>
      <c r="J157" s="10" t="s">
        <v>189</v>
      </c>
      <c r="K157" s="10" t="s">
        <v>191</v>
      </c>
      <c r="L157" s="10" t="s">
        <v>295</v>
      </c>
      <c r="M157" s="10" t="n">
        <v>60</v>
      </c>
      <c r="N157" s="10" t="n">
        <v>60</v>
      </c>
      <c r="O157" s="10" t="n">
        <f aca="false">M157-N157</f>
        <v>0</v>
      </c>
      <c r="P157" s="10"/>
      <c r="Q157" s="10" t="s">
        <v>225</v>
      </c>
      <c r="R157" s="10" t="s">
        <v>194</v>
      </c>
      <c r="S157" s="10" t="s">
        <v>63</v>
      </c>
    </row>
    <row r="158" customFormat="false" ht="15" hidden="false" customHeight="false" outlineLevel="0" collapsed="false">
      <c r="A158" s="10" t="s">
        <v>14</v>
      </c>
      <c r="B158" s="10" t="n">
        <v>44807</v>
      </c>
      <c r="C158" s="40" t="n">
        <v>46164</v>
      </c>
      <c r="D158" s="10" t="s">
        <v>20</v>
      </c>
      <c r="E158" s="10" t="s">
        <v>185</v>
      </c>
      <c r="F158" s="10" t="s">
        <v>540</v>
      </c>
      <c r="G158" s="10" t="s">
        <v>541</v>
      </c>
      <c r="H158" s="10" t="s">
        <v>35</v>
      </c>
      <c r="I158" s="10" t="s">
        <v>498</v>
      </c>
      <c r="J158" s="10" t="s">
        <v>189</v>
      </c>
      <c r="K158" s="10" t="s">
        <v>295</v>
      </c>
      <c r="L158" s="10" t="s">
        <v>210</v>
      </c>
      <c r="M158" s="10" t="n">
        <v>10</v>
      </c>
      <c r="N158" s="10" t="n">
        <v>10</v>
      </c>
      <c r="O158" s="10" t="n">
        <f aca="false">M158-N158</f>
        <v>0</v>
      </c>
      <c r="P158" s="10"/>
      <c r="Q158" s="10" t="s">
        <v>225</v>
      </c>
      <c r="R158" s="10" t="s">
        <v>194</v>
      </c>
      <c r="S158" s="10" t="s">
        <v>63</v>
      </c>
    </row>
    <row r="159" customFormat="false" ht="15" hidden="false" customHeight="false" outlineLevel="0" collapsed="false">
      <c r="A159" s="10" t="s">
        <v>14</v>
      </c>
      <c r="B159" s="10" t="n">
        <v>44809</v>
      </c>
      <c r="C159" s="40" t="n">
        <v>46164</v>
      </c>
      <c r="D159" s="10" t="s">
        <v>20</v>
      </c>
      <c r="E159" s="10" t="s">
        <v>185</v>
      </c>
      <c r="F159" s="10" t="s">
        <v>540</v>
      </c>
      <c r="G159" s="10" t="s">
        <v>541</v>
      </c>
      <c r="H159" s="10" t="s">
        <v>35</v>
      </c>
      <c r="I159" s="10" t="s">
        <v>498</v>
      </c>
      <c r="J159" s="10" t="s">
        <v>189</v>
      </c>
      <c r="K159" s="10" t="s">
        <v>223</v>
      </c>
      <c r="L159" s="10" t="s">
        <v>226</v>
      </c>
      <c r="M159" s="10" t="n">
        <v>60</v>
      </c>
      <c r="N159" s="10" t="n">
        <v>60</v>
      </c>
      <c r="O159" s="10" t="n">
        <f aca="false">M159-N159</f>
        <v>0</v>
      </c>
      <c r="P159" s="10"/>
      <c r="Q159" s="10" t="s">
        <v>225</v>
      </c>
      <c r="R159" s="10" t="s">
        <v>194</v>
      </c>
      <c r="S159" s="10" t="s">
        <v>63</v>
      </c>
    </row>
    <row r="160" customFormat="false" ht="15" hidden="false" customHeight="false" outlineLevel="0" collapsed="false">
      <c r="A160" s="10" t="s">
        <v>14</v>
      </c>
      <c r="B160" s="10" t="n">
        <v>44810</v>
      </c>
      <c r="C160" s="40" t="n">
        <v>46164</v>
      </c>
      <c r="D160" s="10" t="s">
        <v>20</v>
      </c>
      <c r="E160" s="10" t="s">
        <v>185</v>
      </c>
      <c r="F160" s="10" t="s">
        <v>540</v>
      </c>
      <c r="G160" s="10" t="s">
        <v>541</v>
      </c>
      <c r="H160" s="10" t="s">
        <v>35</v>
      </c>
      <c r="I160" s="10" t="s">
        <v>498</v>
      </c>
      <c r="J160" s="10" t="s">
        <v>189</v>
      </c>
      <c r="K160" s="10" t="s">
        <v>210</v>
      </c>
      <c r="L160" s="10" t="s">
        <v>223</v>
      </c>
      <c r="M160" s="10" t="n">
        <v>50</v>
      </c>
      <c r="N160" s="10" t="n">
        <v>50</v>
      </c>
      <c r="O160" s="10" t="n">
        <f aca="false">M160-N160</f>
        <v>0</v>
      </c>
      <c r="P160" s="10"/>
      <c r="Q160" s="10" t="s">
        <v>225</v>
      </c>
      <c r="R160" s="10" t="s">
        <v>194</v>
      </c>
      <c r="S160" s="10" t="s">
        <v>63</v>
      </c>
    </row>
    <row r="161" customFormat="false" ht="15" hidden="false" customHeight="false" outlineLevel="0" collapsed="false">
      <c r="A161" s="10" t="s">
        <v>14</v>
      </c>
      <c r="B161" s="10" t="n">
        <v>44811</v>
      </c>
      <c r="C161" s="40" t="n">
        <v>46164</v>
      </c>
      <c r="D161" s="10" t="s">
        <v>20</v>
      </c>
      <c r="E161" s="10" t="s">
        <v>185</v>
      </c>
      <c r="F161" s="10" t="s">
        <v>540</v>
      </c>
      <c r="G161" s="10" t="s">
        <v>541</v>
      </c>
      <c r="H161" s="10" t="s">
        <v>35</v>
      </c>
      <c r="I161" s="10" t="s">
        <v>498</v>
      </c>
      <c r="J161" s="10" t="s">
        <v>189</v>
      </c>
      <c r="K161" s="10" t="s">
        <v>226</v>
      </c>
      <c r="L161" s="10" t="s">
        <v>228</v>
      </c>
      <c r="M161" s="10" t="n">
        <v>60</v>
      </c>
      <c r="N161" s="10" t="n">
        <v>60</v>
      </c>
      <c r="O161" s="10" t="n">
        <f aca="false">M161-N161</f>
        <v>0</v>
      </c>
      <c r="P161" s="10"/>
      <c r="Q161" s="10" t="s">
        <v>225</v>
      </c>
      <c r="R161" s="10" t="s">
        <v>194</v>
      </c>
      <c r="S161" s="10" t="s">
        <v>63</v>
      </c>
    </row>
    <row r="162" customFormat="false" ht="15" hidden="false" customHeight="false" outlineLevel="0" collapsed="false">
      <c r="A162" s="10" t="s">
        <v>14</v>
      </c>
      <c r="B162" s="10" t="n">
        <v>44812</v>
      </c>
      <c r="C162" s="40" t="n">
        <v>46164</v>
      </c>
      <c r="D162" s="10" t="s">
        <v>20</v>
      </c>
      <c r="E162" s="10" t="s">
        <v>185</v>
      </c>
      <c r="F162" s="10" t="s">
        <v>540</v>
      </c>
      <c r="G162" s="10" t="s">
        <v>541</v>
      </c>
      <c r="H162" s="10" t="s">
        <v>35</v>
      </c>
      <c r="I162" s="10" t="s">
        <v>498</v>
      </c>
      <c r="J162" s="10" t="s">
        <v>189</v>
      </c>
      <c r="K162" s="10" t="s">
        <v>199</v>
      </c>
      <c r="L162" s="10" t="s">
        <v>283</v>
      </c>
      <c r="M162" s="10" t="n">
        <v>60</v>
      </c>
      <c r="N162" s="10" t="n">
        <v>60</v>
      </c>
      <c r="O162" s="10" t="n">
        <f aca="false">M162-N162</f>
        <v>0</v>
      </c>
      <c r="P162" s="10"/>
      <c r="Q162" s="10" t="s">
        <v>225</v>
      </c>
      <c r="R162" s="10" t="s">
        <v>194</v>
      </c>
      <c r="S162" s="10" t="s">
        <v>63</v>
      </c>
    </row>
    <row r="163" customFormat="false" ht="15" hidden="false" customHeight="false" outlineLevel="0" collapsed="false">
      <c r="A163" s="10" t="s">
        <v>14</v>
      </c>
      <c r="B163" s="10" t="n">
        <v>44813</v>
      </c>
      <c r="C163" s="40" t="n">
        <v>46164</v>
      </c>
      <c r="D163" s="10" t="s">
        <v>20</v>
      </c>
      <c r="E163" s="10" t="s">
        <v>185</v>
      </c>
      <c r="F163" s="10" t="s">
        <v>540</v>
      </c>
      <c r="G163" s="10" t="s">
        <v>541</v>
      </c>
      <c r="H163" s="10" t="s">
        <v>35</v>
      </c>
      <c r="I163" s="10" t="s">
        <v>498</v>
      </c>
      <c r="J163" s="10" t="s">
        <v>189</v>
      </c>
      <c r="K163" s="10" t="s">
        <v>228</v>
      </c>
      <c r="L163" s="10" t="s">
        <v>199</v>
      </c>
      <c r="M163" s="10" t="n">
        <v>60</v>
      </c>
      <c r="N163" s="10" t="n">
        <v>60</v>
      </c>
      <c r="O163" s="10" t="n">
        <f aca="false">M163-N163</f>
        <v>0</v>
      </c>
      <c r="P163" s="10"/>
      <c r="Q163" s="10" t="s">
        <v>225</v>
      </c>
      <c r="R163" s="10" t="s">
        <v>194</v>
      </c>
      <c r="S163" s="10" t="s">
        <v>63</v>
      </c>
    </row>
    <row r="164" customFormat="false" ht="23.85" hidden="false" customHeight="false" outlineLevel="0" collapsed="false">
      <c r="A164" s="10" t="s">
        <v>14</v>
      </c>
      <c r="B164" s="10" t="n">
        <v>44844</v>
      </c>
      <c r="C164" s="40" t="n">
        <v>46164</v>
      </c>
      <c r="D164" s="10" t="s">
        <v>20</v>
      </c>
      <c r="E164" s="10" t="s">
        <v>258</v>
      </c>
      <c r="F164" s="10" t="s">
        <v>540</v>
      </c>
      <c r="G164" s="10" t="s">
        <v>541</v>
      </c>
      <c r="H164" s="10" t="s">
        <v>34</v>
      </c>
      <c r="I164" s="10" t="s">
        <v>205</v>
      </c>
      <c r="J164" s="10" t="s">
        <v>189</v>
      </c>
      <c r="K164" s="10" t="s">
        <v>256</v>
      </c>
      <c r="L164" s="10" t="s">
        <v>332</v>
      </c>
      <c r="M164" s="10" t="n">
        <v>60</v>
      </c>
      <c r="N164" s="10" t="n">
        <v>60</v>
      </c>
      <c r="O164" s="10" t="n">
        <f aca="false">M164-N164</f>
        <v>0</v>
      </c>
      <c r="P164" s="18" t="s">
        <v>594</v>
      </c>
      <c r="Q164" s="10" t="s">
        <v>513</v>
      </c>
      <c r="R164" s="10" t="s">
        <v>194</v>
      </c>
      <c r="S164" s="10" t="s">
        <v>105</v>
      </c>
    </row>
    <row r="165" customFormat="false" ht="15" hidden="false" customHeight="false" outlineLevel="0" collapsed="false">
      <c r="A165" s="10" t="s">
        <v>14</v>
      </c>
      <c r="B165" s="10" t="n">
        <v>44845</v>
      </c>
      <c r="C165" s="40" t="n">
        <v>46164</v>
      </c>
      <c r="D165" s="10" t="s">
        <v>20</v>
      </c>
      <c r="E165" s="10" t="s">
        <v>258</v>
      </c>
      <c r="F165" s="10" t="s">
        <v>540</v>
      </c>
      <c r="G165" s="10" t="s">
        <v>541</v>
      </c>
      <c r="H165" s="10" t="s">
        <v>34</v>
      </c>
      <c r="I165" s="10" t="s">
        <v>205</v>
      </c>
      <c r="J165" s="10" t="s">
        <v>189</v>
      </c>
      <c r="K165" s="10" t="s">
        <v>332</v>
      </c>
      <c r="L165" s="10" t="s">
        <v>335</v>
      </c>
      <c r="M165" s="10" t="n">
        <v>60</v>
      </c>
      <c r="N165" s="10" t="n">
        <v>60</v>
      </c>
      <c r="O165" s="10" t="n">
        <f aca="false">M165-N165</f>
        <v>0</v>
      </c>
      <c r="P165" s="18" t="s">
        <v>595</v>
      </c>
      <c r="Q165" s="10" t="s">
        <v>513</v>
      </c>
      <c r="R165" s="10" t="s">
        <v>194</v>
      </c>
      <c r="S165" s="10" t="s">
        <v>105</v>
      </c>
    </row>
    <row r="166" customFormat="false" ht="15" hidden="false" customHeight="false" outlineLevel="0" collapsed="false">
      <c r="A166" s="10" t="s">
        <v>14</v>
      </c>
      <c r="B166" s="10" t="n">
        <v>44846</v>
      </c>
      <c r="C166" s="40" t="n">
        <v>46164</v>
      </c>
      <c r="D166" s="10" t="s">
        <v>20</v>
      </c>
      <c r="E166" s="10" t="s">
        <v>258</v>
      </c>
      <c r="F166" s="10" t="s">
        <v>540</v>
      </c>
      <c r="G166" s="10" t="s">
        <v>541</v>
      </c>
      <c r="H166" s="10" t="s">
        <v>34</v>
      </c>
      <c r="I166" s="10" t="s">
        <v>205</v>
      </c>
      <c r="J166" s="10" t="s">
        <v>189</v>
      </c>
      <c r="K166" s="10" t="s">
        <v>596</v>
      </c>
      <c r="L166" s="10" t="s">
        <v>416</v>
      </c>
      <c r="M166" s="10" t="n">
        <v>25</v>
      </c>
      <c r="N166" s="10" t="n">
        <v>25</v>
      </c>
      <c r="O166" s="10" t="n">
        <f aca="false">M166-N166</f>
        <v>0</v>
      </c>
      <c r="P166" s="10" t="s">
        <v>597</v>
      </c>
      <c r="Q166" s="10" t="s">
        <v>513</v>
      </c>
      <c r="R166" s="10" t="s">
        <v>194</v>
      </c>
      <c r="S166" s="10" t="s">
        <v>105</v>
      </c>
    </row>
    <row r="167" customFormat="false" ht="15" hidden="false" customHeight="false" outlineLevel="0" collapsed="false">
      <c r="A167" s="10" t="s">
        <v>14</v>
      </c>
      <c r="B167" s="10" t="n">
        <v>44852</v>
      </c>
      <c r="C167" s="40" t="n">
        <v>46164</v>
      </c>
      <c r="D167" s="10" t="s">
        <v>20</v>
      </c>
      <c r="E167" s="10" t="s">
        <v>258</v>
      </c>
      <c r="F167" s="10" t="s">
        <v>540</v>
      </c>
      <c r="G167" s="10" t="s">
        <v>541</v>
      </c>
      <c r="H167" s="10" t="s">
        <v>34</v>
      </c>
      <c r="I167" s="10" t="s">
        <v>205</v>
      </c>
      <c r="J167" s="10" t="s">
        <v>189</v>
      </c>
      <c r="K167" s="10" t="s">
        <v>460</v>
      </c>
      <c r="L167" s="10" t="s">
        <v>461</v>
      </c>
      <c r="M167" s="10" t="n">
        <v>60</v>
      </c>
      <c r="N167" s="10" t="n">
        <v>60</v>
      </c>
      <c r="O167" s="10" t="n">
        <f aca="false">M167-N167</f>
        <v>0</v>
      </c>
      <c r="P167" s="10" t="s">
        <v>598</v>
      </c>
      <c r="Q167" s="10" t="s">
        <v>513</v>
      </c>
      <c r="R167" s="10" t="s">
        <v>194</v>
      </c>
      <c r="S167" s="10" t="s">
        <v>63</v>
      </c>
    </row>
    <row r="168" customFormat="false" ht="15" hidden="false" customHeight="false" outlineLevel="0" collapsed="false">
      <c r="A168" s="10" t="s">
        <v>14</v>
      </c>
      <c r="B168" s="10" t="n">
        <v>44854</v>
      </c>
      <c r="C168" s="40" t="n">
        <v>46164</v>
      </c>
      <c r="D168" s="10" t="s">
        <v>20</v>
      </c>
      <c r="E168" s="10" t="s">
        <v>258</v>
      </c>
      <c r="F168" s="10" t="s">
        <v>540</v>
      </c>
      <c r="G168" s="10" t="s">
        <v>541</v>
      </c>
      <c r="H168" s="10" t="s">
        <v>34</v>
      </c>
      <c r="I168" s="10" t="s">
        <v>205</v>
      </c>
      <c r="J168" s="10" t="s">
        <v>189</v>
      </c>
      <c r="K168" s="10" t="s">
        <v>461</v>
      </c>
      <c r="L168" s="10" t="s">
        <v>395</v>
      </c>
      <c r="M168" s="10" t="n">
        <v>60</v>
      </c>
      <c r="N168" s="10" t="n">
        <v>60</v>
      </c>
      <c r="O168" s="10" t="n">
        <f aca="false">M168-N168</f>
        <v>0</v>
      </c>
      <c r="P168" s="10" t="s">
        <v>599</v>
      </c>
      <c r="Q168" s="10" t="s">
        <v>513</v>
      </c>
      <c r="R168" s="10" t="s">
        <v>194</v>
      </c>
      <c r="S168" s="10" t="s">
        <v>63</v>
      </c>
    </row>
    <row r="169" customFormat="false" ht="15" hidden="false" customHeight="false" outlineLevel="0" collapsed="false">
      <c r="A169" s="10" t="s">
        <v>14</v>
      </c>
      <c r="B169" s="10" t="n">
        <v>44857</v>
      </c>
      <c r="C169" s="40" t="n">
        <v>46164</v>
      </c>
      <c r="D169" s="10" t="s">
        <v>20</v>
      </c>
      <c r="E169" s="10" t="s">
        <v>258</v>
      </c>
      <c r="F169" s="10" t="s">
        <v>540</v>
      </c>
      <c r="G169" s="10" t="s">
        <v>541</v>
      </c>
      <c r="H169" s="10" t="s">
        <v>34</v>
      </c>
      <c r="I169" s="10" t="s">
        <v>205</v>
      </c>
      <c r="J169" s="10" t="s">
        <v>189</v>
      </c>
      <c r="K169" s="10" t="s">
        <v>600</v>
      </c>
      <c r="L169" s="10" t="s">
        <v>460</v>
      </c>
      <c r="M169" s="10" t="n">
        <v>29</v>
      </c>
      <c r="N169" s="10" t="n">
        <v>29</v>
      </c>
      <c r="O169" s="10" t="n">
        <f aca="false">M169-N169</f>
        <v>0</v>
      </c>
      <c r="P169" s="18" t="s">
        <v>601</v>
      </c>
      <c r="Q169" s="10" t="s">
        <v>513</v>
      </c>
      <c r="R169" s="10" t="s">
        <v>194</v>
      </c>
      <c r="S169" s="10" t="s">
        <v>63</v>
      </c>
    </row>
    <row r="170" customFormat="false" ht="15" hidden="false" customHeight="false" outlineLevel="0" collapsed="false">
      <c r="A170" s="10" t="s">
        <v>14</v>
      </c>
      <c r="B170" s="10" t="n">
        <v>44883</v>
      </c>
      <c r="C170" s="40" t="n">
        <v>46165</v>
      </c>
      <c r="D170" s="10" t="s">
        <v>21</v>
      </c>
      <c r="E170" s="10" t="s">
        <v>185</v>
      </c>
      <c r="F170" s="10" t="s">
        <v>602</v>
      </c>
      <c r="G170" s="10" t="s">
        <v>603</v>
      </c>
      <c r="H170" s="10" t="s">
        <v>604</v>
      </c>
      <c r="I170" s="10" t="s">
        <v>605</v>
      </c>
      <c r="J170" s="10" t="s">
        <v>189</v>
      </c>
      <c r="K170" s="10" t="s">
        <v>210</v>
      </c>
      <c r="L170" s="10" t="s">
        <v>226</v>
      </c>
      <c r="M170" s="10" t="n">
        <v>110</v>
      </c>
      <c r="N170" s="10" t="n">
        <v>110</v>
      </c>
      <c r="O170" s="10" t="n">
        <f aca="false">M170-N170</f>
        <v>0</v>
      </c>
      <c r="P170" s="10" t="s">
        <v>606</v>
      </c>
      <c r="Q170" s="10" t="s">
        <v>501</v>
      </c>
      <c r="R170" s="10" t="s">
        <v>194</v>
      </c>
      <c r="S170" s="10" t="s">
        <v>67</v>
      </c>
    </row>
    <row r="171" customFormat="false" ht="15" hidden="false" customHeight="false" outlineLevel="0" collapsed="false">
      <c r="A171" s="10" t="s">
        <v>14</v>
      </c>
      <c r="B171" s="10" t="n">
        <v>44895</v>
      </c>
      <c r="C171" s="40" t="n">
        <v>46165</v>
      </c>
      <c r="D171" s="10" t="s">
        <v>21</v>
      </c>
      <c r="E171" s="10" t="s">
        <v>185</v>
      </c>
      <c r="F171" s="10" t="s">
        <v>602</v>
      </c>
      <c r="G171" s="10" t="s">
        <v>603</v>
      </c>
      <c r="H171" s="10" t="s">
        <v>604</v>
      </c>
      <c r="I171" s="10" t="s">
        <v>605</v>
      </c>
      <c r="J171" s="10" t="s">
        <v>189</v>
      </c>
      <c r="K171" s="10" t="s">
        <v>228</v>
      </c>
      <c r="L171" s="10" t="s">
        <v>199</v>
      </c>
      <c r="M171" s="10" t="n">
        <v>60</v>
      </c>
      <c r="N171" s="10" t="n">
        <v>60</v>
      </c>
      <c r="O171" s="10" t="n">
        <f aca="false">M171-N171</f>
        <v>0</v>
      </c>
      <c r="P171" s="10" t="s">
        <v>607</v>
      </c>
      <c r="Q171" s="10" t="s">
        <v>501</v>
      </c>
      <c r="R171" s="10" t="s">
        <v>194</v>
      </c>
      <c r="S171" s="10" t="s">
        <v>67</v>
      </c>
    </row>
    <row r="172" customFormat="false" ht="15" hidden="false" customHeight="false" outlineLevel="0" collapsed="false">
      <c r="A172" s="10" t="s">
        <v>14</v>
      </c>
      <c r="B172" s="10" t="n">
        <v>44907</v>
      </c>
      <c r="C172" s="40" t="n">
        <v>46165</v>
      </c>
      <c r="D172" s="10" t="s">
        <v>20</v>
      </c>
      <c r="E172" s="10" t="s">
        <v>185</v>
      </c>
      <c r="F172" s="10" t="s">
        <v>540</v>
      </c>
      <c r="G172" s="10" t="s">
        <v>541</v>
      </c>
      <c r="H172" s="10" t="s">
        <v>35</v>
      </c>
      <c r="I172" s="10" t="s">
        <v>498</v>
      </c>
      <c r="J172" s="10" t="s">
        <v>189</v>
      </c>
      <c r="K172" s="10" t="s">
        <v>608</v>
      </c>
      <c r="L172" s="10" t="s">
        <v>199</v>
      </c>
      <c r="M172" s="10" t="n">
        <v>400</v>
      </c>
      <c r="N172" s="10" t="n">
        <v>400</v>
      </c>
      <c r="O172" s="10" t="n">
        <f aca="false">M172-N172</f>
        <v>0</v>
      </c>
      <c r="P172" s="10" t="s">
        <v>609</v>
      </c>
      <c r="Q172" s="10" t="s">
        <v>225</v>
      </c>
      <c r="R172" s="10" t="s">
        <v>282</v>
      </c>
      <c r="S172" s="10" t="s">
        <v>63</v>
      </c>
    </row>
    <row r="173" customFormat="false" ht="15" hidden="false" customHeight="false" outlineLevel="0" collapsed="false">
      <c r="A173" s="10" t="s">
        <v>14</v>
      </c>
      <c r="B173" s="10" t="n">
        <v>44913</v>
      </c>
      <c r="C173" s="40" t="n">
        <v>46165</v>
      </c>
      <c r="D173" s="10" t="s">
        <v>21</v>
      </c>
      <c r="E173" s="10" t="s">
        <v>258</v>
      </c>
      <c r="F173" s="10" t="s">
        <v>602</v>
      </c>
      <c r="G173" s="10" t="s">
        <v>603</v>
      </c>
      <c r="H173" s="10" t="s">
        <v>197</v>
      </c>
      <c r="I173" s="10" t="s">
        <v>198</v>
      </c>
      <c r="J173" s="10" t="s">
        <v>189</v>
      </c>
      <c r="K173" s="10" t="s">
        <v>254</v>
      </c>
      <c r="L173" s="10" t="s">
        <v>610</v>
      </c>
      <c r="M173" s="10" t="n">
        <v>140</v>
      </c>
      <c r="N173" s="10" t="n">
        <v>140</v>
      </c>
      <c r="O173" s="10" t="n">
        <f aca="false">M173-N173</f>
        <v>0</v>
      </c>
      <c r="P173" s="10" t="s">
        <v>611</v>
      </c>
      <c r="Q173" s="10" t="s">
        <v>433</v>
      </c>
      <c r="R173" s="10" t="s">
        <v>194</v>
      </c>
      <c r="S173" s="10" t="s">
        <v>67</v>
      </c>
    </row>
    <row r="174" customFormat="false" ht="15" hidden="false" customHeight="false" outlineLevel="0" collapsed="false">
      <c r="A174" s="10" t="s">
        <v>14</v>
      </c>
      <c r="B174" s="10" t="n">
        <v>44918</v>
      </c>
      <c r="C174" s="40" t="n">
        <v>46165</v>
      </c>
      <c r="D174" s="10" t="s">
        <v>25</v>
      </c>
      <c r="E174" s="10" t="s">
        <v>258</v>
      </c>
      <c r="F174" s="10" t="s">
        <v>411</v>
      </c>
      <c r="G174" s="10" t="s">
        <v>412</v>
      </c>
      <c r="H174" s="10" t="s">
        <v>38</v>
      </c>
      <c r="I174" s="10" t="s">
        <v>415</v>
      </c>
      <c r="J174" s="10" t="s">
        <v>189</v>
      </c>
      <c r="K174" s="10" t="s">
        <v>335</v>
      </c>
      <c r="L174" s="10" t="s">
        <v>416</v>
      </c>
      <c r="M174" s="10" t="n">
        <v>60</v>
      </c>
      <c r="N174" s="10" t="n">
        <v>60</v>
      </c>
      <c r="O174" s="10" t="n">
        <f aca="false">M174-N174</f>
        <v>0</v>
      </c>
      <c r="P174" s="10" t="s">
        <v>612</v>
      </c>
      <c r="Q174" s="10" t="s">
        <v>359</v>
      </c>
      <c r="R174" s="10" t="s">
        <v>194</v>
      </c>
      <c r="S174" s="10" t="s">
        <v>93</v>
      </c>
    </row>
    <row r="175" customFormat="false" ht="15" hidden="false" customHeight="false" outlineLevel="0" collapsed="false">
      <c r="A175" s="10" t="s">
        <v>14</v>
      </c>
      <c r="B175" s="10" t="n">
        <v>44988</v>
      </c>
      <c r="C175" s="40" t="n">
        <v>46167</v>
      </c>
      <c r="D175" s="10" t="s">
        <v>29</v>
      </c>
      <c r="E175" s="10" t="s">
        <v>185</v>
      </c>
      <c r="F175" s="10" t="s">
        <v>613</v>
      </c>
      <c r="G175" s="10" t="s">
        <v>614</v>
      </c>
      <c r="H175" s="10" t="s">
        <v>42</v>
      </c>
      <c r="I175" s="10" t="s">
        <v>323</v>
      </c>
      <c r="J175" s="10" t="s">
        <v>189</v>
      </c>
      <c r="K175" s="10" t="s">
        <v>615</v>
      </c>
      <c r="L175" s="10" t="s">
        <v>616</v>
      </c>
      <c r="M175" s="10" t="n">
        <v>10</v>
      </c>
      <c r="N175" s="10" t="n">
        <v>10</v>
      </c>
      <c r="O175" s="10" t="n">
        <f aca="false">M175-N175</f>
        <v>0</v>
      </c>
      <c r="P175" s="10" t="s">
        <v>617</v>
      </c>
      <c r="Q175" s="10" t="s">
        <v>433</v>
      </c>
      <c r="R175" s="10" t="s">
        <v>282</v>
      </c>
      <c r="S175" s="10" t="s">
        <v>96</v>
      </c>
    </row>
    <row r="176" customFormat="false" ht="15" hidden="false" customHeight="false" outlineLevel="0" collapsed="false">
      <c r="A176" s="10" t="s">
        <v>14</v>
      </c>
      <c r="B176" s="10" t="n">
        <v>45013</v>
      </c>
      <c r="C176" s="40" t="n">
        <v>46167</v>
      </c>
      <c r="D176" s="10" t="s">
        <v>29</v>
      </c>
      <c r="E176" s="10" t="s">
        <v>185</v>
      </c>
      <c r="F176" s="10" t="s">
        <v>613</v>
      </c>
      <c r="G176" s="10" t="s">
        <v>614</v>
      </c>
      <c r="H176" s="10" t="s">
        <v>42</v>
      </c>
      <c r="I176" s="10" t="s">
        <v>323</v>
      </c>
      <c r="J176" s="10" t="s">
        <v>189</v>
      </c>
      <c r="K176" s="10" t="s">
        <v>618</v>
      </c>
      <c r="L176" s="10" t="s">
        <v>256</v>
      </c>
      <c r="M176" s="10" t="n">
        <v>36</v>
      </c>
      <c r="N176" s="10" t="n">
        <v>36</v>
      </c>
      <c r="O176" s="10" t="n">
        <f aca="false">M176-N176</f>
        <v>0</v>
      </c>
      <c r="P176" s="10" t="s">
        <v>619</v>
      </c>
      <c r="Q176" s="10" t="s">
        <v>433</v>
      </c>
      <c r="R176" s="10" t="s">
        <v>194</v>
      </c>
      <c r="S176" s="10" t="s">
        <v>96</v>
      </c>
    </row>
    <row r="177" customFormat="false" ht="15" hidden="false" customHeight="false" outlineLevel="0" collapsed="false">
      <c r="A177" s="10" t="s">
        <v>14</v>
      </c>
      <c r="B177" s="10" t="n">
        <v>45090</v>
      </c>
      <c r="C177" s="40" t="n">
        <v>46168</v>
      </c>
      <c r="D177" s="10" t="s">
        <v>29</v>
      </c>
      <c r="E177" s="10" t="s">
        <v>185</v>
      </c>
      <c r="F177" s="10" t="s">
        <v>613</v>
      </c>
      <c r="G177" s="10" t="s">
        <v>614</v>
      </c>
      <c r="H177" s="10" t="s">
        <v>34</v>
      </c>
      <c r="I177" s="10" t="s">
        <v>205</v>
      </c>
      <c r="J177" s="10" t="s">
        <v>189</v>
      </c>
      <c r="K177" s="10" t="s">
        <v>499</v>
      </c>
      <c r="L177" s="10" t="s">
        <v>295</v>
      </c>
      <c r="M177" s="10" t="n">
        <v>17</v>
      </c>
      <c r="N177" s="10" t="n">
        <v>17</v>
      </c>
      <c r="O177" s="10" t="n">
        <f aca="false">M177-N177</f>
        <v>0</v>
      </c>
      <c r="P177" s="10" t="s">
        <v>620</v>
      </c>
      <c r="Q177" s="10" t="s">
        <v>433</v>
      </c>
      <c r="R177" s="10" t="s">
        <v>194</v>
      </c>
      <c r="S177" s="10" t="s">
        <v>70</v>
      </c>
    </row>
    <row r="178" customFormat="false" ht="15" hidden="false" customHeight="false" outlineLevel="0" collapsed="false">
      <c r="A178" s="10" t="s">
        <v>14</v>
      </c>
      <c r="B178" s="10" t="n">
        <v>45108</v>
      </c>
      <c r="C178" s="40" t="n">
        <v>46168</v>
      </c>
      <c r="D178" s="10" t="s">
        <v>23</v>
      </c>
      <c r="E178" s="10" t="s">
        <v>185</v>
      </c>
      <c r="F178" s="10" t="s">
        <v>621</v>
      </c>
      <c r="G178" s="10" t="s">
        <v>622</v>
      </c>
      <c r="H178" s="10" t="s">
        <v>392</v>
      </c>
      <c r="I178" s="10" t="s">
        <v>393</v>
      </c>
      <c r="J178" s="10" t="s">
        <v>189</v>
      </c>
      <c r="K178" s="10" t="s">
        <v>537</v>
      </c>
      <c r="L178" s="10" t="s">
        <v>223</v>
      </c>
      <c r="M178" s="10" t="n">
        <v>30</v>
      </c>
      <c r="N178" s="10" t="n">
        <v>30</v>
      </c>
      <c r="O178" s="10" t="n">
        <f aca="false">M178-N178</f>
        <v>0</v>
      </c>
      <c r="P178" s="10" t="s">
        <v>623</v>
      </c>
      <c r="Q178" s="10" t="s">
        <v>218</v>
      </c>
      <c r="R178" s="10" t="s">
        <v>194</v>
      </c>
      <c r="S178" s="10" t="s">
        <v>148</v>
      </c>
    </row>
    <row r="179" customFormat="false" ht="15" hidden="false" customHeight="false" outlineLevel="0" collapsed="false">
      <c r="A179" s="10" t="s">
        <v>14</v>
      </c>
      <c r="B179" s="10" t="n">
        <v>45205</v>
      </c>
      <c r="C179" s="40" t="n">
        <v>46170</v>
      </c>
      <c r="D179" s="10" t="s">
        <v>28</v>
      </c>
      <c r="E179" s="10" t="s">
        <v>185</v>
      </c>
      <c r="F179" s="10" t="s">
        <v>624</v>
      </c>
      <c r="G179" s="10" t="s">
        <v>196</v>
      </c>
      <c r="H179" s="10" t="s">
        <v>34</v>
      </c>
      <c r="I179" s="10" t="s">
        <v>205</v>
      </c>
      <c r="J179" s="10" t="s">
        <v>189</v>
      </c>
      <c r="K179" s="10" t="s">
        <v>191</v>
      </c>
      <c r="L179" s="10" t="s">
        <v>421</v>
      </c>
      <c r="M179" s="10" t="n">
        <v>20</v>
      </c>
      <c r="N179" s="10" t="n">
        <v>20</v>
      </c>
      <c r="O179" s="10" t="n">
        <f aca="false">M179-N179</f>
        <v>0</v>
      </c>
      <c r="P179" s="10" t="s">
        <v>625</v>
      </c>
      <c r="Q179" s="10" t="s">
        <v>202</v>
      </c>
      <c r="R179" s="10" t="s">
        <v>194</v>
      </c>
      <c r="S179" s="10" t="s">
        <v>133</v>
      </c>
    </row>
    <row r="180" customFormat="false" ht="15" hidden="false" customHeight="false" outlineLevel="0" collapsed="false">
      <c r="A180" s="10" t="s">
        <v>14</v>
      </c>
      <c r="B180" s="10" t="n">
        <v>45220</v>
      </c>
      <c r="C180" s="40" t="n">
        <v>46170</v>
      </c>
      <c r="D180" s="10" t="s">
        <v>23</v>
      </c>
      <c r="E180" s="10" t="s">
        <v>185</v>
      </c>
      <c r="F180" s="10" t="s">
        <v>390</v>
      </c>
      <c r="G180" s="10" t="s">
        <v>391</v>
      </c>
      <c r="H180" s="10" t="s">
        <v>40</v>
      </c>
      <c r="I180" s="10" t="s">
        <v>268</v>
      </c>
      <c r="J180" s="10" t="s">
        <v>189</v>
      </c>
      <c r="K180" s="10" t="s">
        <v>502</v>
      </c>
      <c r="L180" s="10" t="s">
        <v>191</v>
      </c>
      <c r="M180" s="10" t="n">
        <v>30</v>
      </c>
      <c r="N180" s="10" t="n">
        <v>30</v>
      </c>
      <c r="O180" s="10" t="n">
        <f aca="false">M180-N180</f>
        <v>0</v>
      </c>
      <c r="P180" s="10"/>
      <c r="Q180" s="10" t="s">
        <v>218</v>
      </c>
      <c r="R180" s="10" t="s">
        <v>194</v>
      </c>
      <c r="S180" s="10" t="s">
        <v>147</v>
      </c>
    </row>
    <row r="181" customFormat="false" ht="15" hidden="false" customHeight="false" outlineLevel="0" collapsed="false">
      <c r="A181" s="10" t="s">
        <v>14</v>
      </c>
      <c r="B181" s="10" t="n">
        <v>45221</v>
      </c>
      <c r="C181" s="40" t="n">
        <v>46170</v>
      </c>
      <c r="D181" s="10" t="s">
        <v>23</v>
      </c>
      <c r="E181" s="10" t="s">
        <v>185</v>
      </c>
      <c r="F181" s="10" t="s">
        <v>390</v>
      </c>
      <c r="G181" s="10" t="s">
        <v>391</v>
      </c>
      <c r="H181" s="10" t="s">
        <v>40</v>
      </c>
      <c r="I181" s="10" t="s">
        <v>268</v>
      </c>
      <c r="J181" s="10" t="s">
        <v>189</v>
      </c>
      <c r="K181" s="10" t="s">
        <v>626</v>
      </c>
      <c r="L181" s="10" t="s">
        <v>295</v>
      </c>
      <c r="M181" s="10" t="n">
        <v>44</v>
      </c>
      <c r="N181" s="10" t="n">
        <v>44</v>
      </c>
      <c r="O181" s="10" t="n">
        <f aca="false">M181-N181</f>
        <v>0</v>
      </c>
      <c r="P181" s="10"/>
      <c r="Q181" s="10" t="s">
        <v>218</v>
      </c>
      <c r="R181" s="10" t="s">
        <v>282</v>
      </c>
      <c r="S181" s="10" t="s">
        <v>147</v>
      </c>
    </row>
    <row r="182" customFormat="false" ht="15" hidden="false" customHeight="false" outlineLevel="0" collapsed="false">
      <c r="A182" s="10" t="s">
        <v>14</v>
      </c>
      <c r="B182" s="10" t="n">
        <v>45224</v>
      </c>
      <c r="C182" s="40" t="n">
        <v>46170</v>
      </c>
      <c r="D182" s="10" t="s">
        <v>23</v>
      </c>
      <c r="E182" s="10" t="s">
        <v>185</v>
      </c>
      <c r="F182" s="10" t="s">
        <v>390</v>
      </c>
      <c r="G182" s="10" t="s">
        <v>391</v>
      </c>
      <c r="H182" s="10" t="s">
        <v>40</v>
      </c>
      <c r="I182" s="10" t="s">
        <v>268</v>
      </c>
      <c r="J182" s="10" t="s">
        <v>189</v>
      </c>
      <c r="K182" s="10" t="s">
        <v>297</v>
      </c>
      <c r="L182" s="10" t="s">
        <v>223</v>
      </c>
      <c r="M182" s="10" t="n">
        <v>20</v>
      </c>
      <c r="N182" s="10" t="n">
        <v>20</v>
      </c>
      <c r="O182" s="10" t="n">
        <f aca="false">M182-N182</f>
        <v>0</v>
      </c>
      <c r="P182" s="10" t="s">
        <v>627</v>
      </c>
      <c r="Q182" s="10" t="s">
        <v>218</v>
      </c>
      <c r="R182" s="10" t="s">
        <v>194</v>
      </c>
      <c r="S182" s="10" t="s">
        <v>125</v>
      </c>
    </row>
    <row r="183" customFormat="false" ht="15" hidden="false" customHeight="false" outlineLevel="0" collapsed="false">
      <c r="A183" s="10" t="s">
        <v>14</v>
      </c>
      <c r="B183" s="10" t="n">
        <v>45240</v>
      </c>
      <c r="C183" s="40" t="n">
        <v>46170</v>
      </c>
      <c r="D183" s="10" t="s">
        <v>23</v>
      </c>
      <c r="E183" s="10" t="s">
        <v>185</v>
      </c>
      <c r="F183" s="10" t="s">
        <v>390</v>
      </c>
      <c r="G183" s="10" t="s">
        <v>391</v>
      </c>
      <c r="H183" s="10" t="s">
        <v>40</v>
      </c>
      <c r="I183" s="10" t="s">
        <v>268</v>
      </c>
      <c r="J183" s="10" t="s">
        <v>189</v>
      </c>
      <c r="K183" s="10" t="s">
        <v>223</v>
      </c>
      <c r="L183" s="10" t="s">
        <v>226</v>
      </c>
      <c r="M183" s="10" t="n">
        <v>60</v>
      </c>
      <c r="N183" s="10" t="n">
        <v>60</v>
      </c>
      <c r="O183" s="10" t="n">
        <f aca="false">M183-N183</f>
        <v>0</v>
      </c>
      <c r="P183" s="10" t="s">
        <v>628</v>
      </c>
      <c r="Q183" s="10" t="s">
        <v>218</v>
      </c>
      <c r="R183" s="10" t="s">
        <v>194</v>
      </c>
      <c r="S183" s="10" t="s">
        <v>125</v>
      </c>
    </row>
    <row r="184" customFormat="false" ht="15" hidden="false" customHeight="false" outlineLevel="0" collapsed="false">
      <c r="A184" s="10" t="s">
        <v>14</v>
      </c>
      <c r="B184" s="10" t="n">
        <v>45256</v>
      </c>
      <c r="C184" s="40" t="n">
        <v>46170</v>
      </c>
      <c r="D184" s="10" t="s">
        <v>20</v>
      </c>
      <c r="E184" s="10" t="s">
        <v>185</v>
      </c>
      <c r="F184" s="10" t="s">
        <v>540</v>
      </c>
      <c r="G184" s="10" t="s">
        <v>541</v>
      </c>
      <c r="H184" s="10" t="s">
        <v>349</v>
      </c>
      <c r="I184" s="10" t="s">
        <v>350</v>
      </c>
      <c r="J184" s="10" t="s">
        <v>189</v>
      </c>
      <c r="K184" s="10" t="s">
        <v>247</v>
      </c>
      <c r="L184" s="10" t="s">
        <v>223</v>
      </c>
      <c r="M184" s="10" t="n">
        <v>18</v>
      </c>
      <c r="N184" s="10" t="n">
        <v>18</v>
      </c>
      <c r="O184" s="10" t="n">
        <f aca="false">M184-N184</f>
        <v>0</v>
      </c>
      <c r="P184" s="10" t="s">
        <v>629</v>
      </c>
      <c r="Q184" s="10" t="s">
        <v>501</v>
      </c>
      <c r="R184" s="10" t="s">
        <v>194</v>
      </c>
      <c r="S184" s="10" t="s">
        <v>79</v>
      </c>
    </row>
    <row r="185" customFormat="false" ht="15" hidden="false" customHeight="false" outlineLevel="0" collapsed="false">
      <c r="A185" s="10" t="s">
        <v>14</v>
      </c>
      <c r="B185" s="10" t="n">
        <v>45258</v>
      </c>
      <c r="C185" s="40" t="n">
        <v>46170</v>
      </c>
      <c r="D185" s="10" t="s">
        <v>20</v>
      </c>
      <c r="E185" s="10" t="s">
        <v>185</v>
      </c>
      <c r="F185" s="10" t="s">
        <v>540</v>
      </c>
      <c r="G185" s="10" t="s">
        <v>541</v>
      </c>
      <c r="H185" s="10" t="s">
        <v>349</v>
      </c>
      <c r="I185" s="10" t="s">
        <v>350</v>
      </c>
      <c r="J185" s="10" t="s">
        <v>189</v>
      </c>
      <c r="K185" s="10" t="s">
        <v>630</v>
      </c>
      <c r="L185" s="10" t="s">
        <v>228</v>
      </c>
      <c r="M185" s="10" t="n">
        <v>33</v>
      </c>
      <c r="N185" s="10" t="n">
        <v>33</v>
      </c>
      <c r="O185" s="10" t="n">
        <f aca="false">M185-N185</f>
        <v>0</v>
      </c>
      <c r="P185" s="10" t="s">
        <v>631</v>
      </c>
      <c r="Q185" s="10" t="s">
        <v>501</v>
      </c>
      <c r="R185" s="10" t="s">
        <v>194</v>
      </c>
      <c r="S185" s="10" t="s">
        <v>86</v>
      </c>
    </row>
    <row r="186" customFormat="false" ht="15" hidden="false" customHeight="false" outlineLevel="0" collapsed="false">
      <c r="A186" s="10" t="s">
        <v>14</v>
      </c>
      <c r="B186" s="10" t="n">
        <v>45271</v>
      </c>
      <c r="C186" s="40" t="n">
        <v>46170</v>
      </c>
      <c r="D186" s="10" t="s">
        <v>22</v>
      </c>
      <c r="E186" s="10" t="s">
        <v>185</v>
      </c>
      <c r="F186" s="10" t="s">
        <v>632</v>
      </c>
      <c r="G186" s="10" t="s">
        <v>633</v>
      </c>
      <c r="H186" s="10" t="s">
        <v>40</v>
      </c>
      <c r="I186" s="10" t="s">
        <v>268</v>
      </c>
      <c r="J186" s="10" t="s">
        <v>189</v>
      </c>
      <c r="K186" s="10" t="s">
        <v>253</v>
      </c>
      <c r="L186" s="10" t="s">
        <v>634</v>
      </c>
      <c r="M186" s="10" t="n">
        <v>37</v>
      </c>
      <c r="N186" s="10" t="n">
        <v>37</v>
      </c>
      <c r="O186" s="10" t="n">
        <f aca="false">M186-N186</f>
        <v>0</v>
      </c>
      <c r="P186" s="10" t="s">
        <v>635</v>
      </c>
      <c r="Q186" s="10" t="s">
        <v>243</v>
      </c>
      <c r="R186" s="10" t="s">
        <v>194</v>
      </c>
      <c r="S186" s="10" t="s">
        <v>76</v>
      </c>
    </row>
    <row r="187" customFormat="false" ht="15" hidden="false" customHeight="false" outlineLevel="0" collapsed="false">
      <c r="A187" s="10" t="s">
        <v>14</v>
      </c>
      <c r="B187" s="10" t="n">
        <v>45349</v>
      </c>
      <c r="C187" s="40" t="n">
        <v>46171</v>
      </c>
      <c r="D187" s="10" t="s">
        <v>21</v>
      </c>
      <c r="E187" s="10" t="s">
        <v>185</v>
      </c>
      <c r="F187" s="10" t="s">
        <v>602</v>
      </c>
      <c r="G187" s="10" t="s">
        <v>603</v>
      </c>
      <c r="H187" s="10" t="s">
        <v>34</v>
      </c>
      <c r="I187" s="10" t="s">
        <v>205</v>
      </c>
      <c r="J187" s="10" t="s">
        <v>189</v>
      </c>
      <c r="K187" s="10" t="s">
        <v>191</v>
      </c>
      <c r="L187" s="10" t="s">
        <v>636</v>
      </c>
      <c r="M187" s="10" t="n">
        <v>28</v>
      </c>
      <c r="N187" s="10" t="n">
        <v>28</v>
      </c>
      <c r="O187" s="10" t="n">
        <f aca="false">M187-N187</f>
        <v>0</v>
      </c>
      <c r="P187" s="10" t="s">
        <v>637</v>
      </c>
      <c r="Q187" s="10" t="s">
        <v>243</v>
      </c>
      <c r="R187" s="10" t="s">
        <v>194</v>
      </c>
      <c r="S187" s="10" t="s">
        <v>70</v>
      </c>
    </row>
    <row r="188" customFormat="false" ht="15" hidden="false" customHeight="false" outlineLevel="0" collapsed="false">
      <c r="A188" s="10" t="s">
        <v>14</v>
      </c>
      <c r="B188" s="10" t="n">
        <v>45385</v>
      </c>
      <c r="C188" s="40" t="n">
        <v>46171</v>
      </c>
      <c r="D188" s="10" t="s">
        <v>23</v>
      </c>
      <c r="E188" s="10" t="s">
        <v>185</v>
      </c>
      <c r="F188" s="10" t="s">
        <v>638</v>
      </c>
      <c r="G188" s="10" t="s">
        <v>639</v>
      </c>
      <c r="H188" s="10" t="s">
        <v>42</v>
      </c>
      <c r="I188" s="10" t="s">
        <v>323</v>
      </c>
      <c r="J188" s="10" t="s">
        <v>189</v>
      </c>
      <c r="K188" s="10" t="s">
        <v>640</v>
      </c>
      <c r="L188" s="10" t="s">
        <v>223</v>
      </c>
      <c r="M188" s="10" t="n">
        <v>25</v>
      </c>
      <c r="N188" s="10" t="n">
        <v>25</v>
      </c>
      <c r="O188" s="10" t="n">
        <f aca="false">M188-N188</f>
        <v>0</v>
      </c>
      <c r="P188" s="10" t="s">
        <v>641</v>
      </c>
      <c r="Q188" s="10" t="s">
        <v>218</v>
      </c>
      <c r="R188" s="10" t="s">
        <v>194</v>
      </c>
      <c r="S188" s="10" t="s">
        <v>96</v>
      </c>
    </row>
    <row r="189" customFormat="false" ht="15" hidden="false" customHeight="false" outlineLevel="0" collapsed="false">
      <c r="A189" s="10" t="s">
        <v>14</v>
      </c>
      <c r="B189" s="10" t="n">
        <v>45386</v>
      </c>
      <c r="C189" s="40" t="n">
        <v>46171</v>
      </c>
      <c r="D189" s="10" t="s">
        <v>23</v>
      </c>
      <c r="E189" s="10" t="s">
        <v>185</v>
      </c>
      <c r="F189" s="10" t="s">
        <v>638</v>
      </c>
      <c r="G189" s="10" t="s">
        <v>639</v>
      </c>
      <c r="H189" s="10" t="s">
        <v>42</v>
      </c>
      <c r="I189" s="10" t="s">
        <v>323</v>
      </c>
      <c r="J189" s="10" t="s">
        <v>189</v>
      </c>
      <c r="K189" s="10" t="s">
        <v>223</v>
      </c>
      <c r="L189" s="10" t="s">
        <v>226</v>
      </c>
      <c r="M189" s="10" t="n">
        <v>60</v>
      </c>
      <c r="N189" s="10" t="n">
        <v>60</v>
      </c>
      <c r="O189" s="10" t="n">
        <f aca="false">M189-N189</f>
        <v>0</v>
      </c>
      <c r="P189" s="10"/>
      <c r="Q189" s="10" t="s">
        <v>218</v>
      </c>
      <c r="R189" s="10" t="s">
        <v>194</v>
      </c>
      <c r="S189" s="10" t="s">
        <v>96</v>
      </c>
    </row>
    <row r="190" customFormat="false" ht="15" hidden="false" customHeight="false" outlineLevel="0" collapsed="false">
      <c r="A190" s="10" t="s">
        <v>14</v>
      </c>
      <c r="B190" s="10" t="n">
        <v>45400</v>
      </c>
      <c r="C190" s="40" t="n">
        <v>46171</v>
      </c>
      <c r="D190" s="10" t="s">
        <v>23</v>
      </c>
      <c r="E190" s="10" t="s">
        <v>185</v>
      </c>
      <c r="F190" s="10" t="s">
        <v>638</v>
      </c>
      <c r="G190" s="10" t="s">
        <v>639</v>
      </c>
      <c r="H190" s="10" t="s">
        <v>40</v>
      </c>
      <c r="I190" s="10" t="s">
        <v>268</v>
      </c>
      <c r="J190" s="10" t="s">
        <v>189</v>
      </c>
      <c r="K190" s="10" t="s">
        <v>495</v>
      </c>
      <c r="L190" s="10" t="s">
        <v>642</v>
      </c>
      <c r="M190" s="10" t="n">
        <v>34</v>
      </c>
      <c r="N190" s="10" t="n">
        <v>34</v>
      </c>
      <c r="O190" s="10" t="n">
        <f aca="false">M190-N190</f>
        <v>0</v>
      </c>
      <c r="P190" s="10" t="s">
        <v>643</v>
      </c>
      <c r="Q190" s="10" t="s">
        <v>218</v>
      </c>
      <c r="R190" s="10" t="s">
        <v>194</v>
      </c>
      <c r="S190" s="10" t="s">
        <v>76</v>
      </c>
    </row>
    <row r="191" customFormat="false" ht="15" hidden="false" customHeight="false" outlineLevel="0" collapsed="false">
      <c r="A191" s="10" t="s">
        <v>14</v>
      </c>
      <c r="B191" s="10" t="n">
        <v>45434</v>
      </c>
      <c r="C191" s="40" t="n">
        <v>46171</v>
      </c>
      <c r="D191" s="10" t="s">
        <v>24</v>
      </c>
      <c r="E191" s="10" t="s">
        <v>258</v>
      </c>
      <c r="F191" s="10" t="s">
        <v>644</v>
      </c>
      <c r="G191" s="10" t="s">
        <v>645</v>
      </c>
      <c r="H191" s="10" t="s">
        <v>38</v>
      </c>
      <c r="I191" s="10" t="s">
        <v>415</v>
      </c>
      <c r="J191" s="10" t="s">
        <v>189</v>
      </c>
      <c r="K191" s="10" t="s">
        <v>332</v>
      </c>
      <c r="L191" s="10" t="s">
        <v>646</v>
      </c>
      <c r="M191" s="10" t="n">
        <v>42</v>
      </c>
      <c r="N191" s="10" t="n">
        <v>42</v>
      </c>
      <c r="O191" s="10" t="n">
        <f aca="false">M191-N191</f>
        <v>0</v>
      </c>
      <c r="P191" s="10" t="s">
        <v>647</v>
      </c>
      <c r="Q191" s="10" t="s">
        <v>437</v>
      </c>
      <c r="R191" s="10" t="s">
        <v>194</v>
      </c>
      <c r="S191" s="10" t="s">
        <v>93</v>
      </c>
    </row>
    <row r="192" customFormat="false" ht="15" hidden="false" customHeight="false" outlineLevel="0" collapsed="false">
      <c r="A192" s="10" t="s">
        <v>15</v>
      </c>
      <c r="B192" s="10" t="n">
        <v>45463</v>
      </c>
      <c r="C192" s="40" t="n">
        <v>46174</v>
      </c>
      <c r="D192" s="10" t="s">
        <v>28</v>
      </c>
      <c r="E192" s="10" t="s">
        <v>185</v>
      </c>
      <c r="F192" s="10" t="s">
        <v>624</v>
      </c>
      <c r="G192" s="10" t="s">
        <v>196</v>
      </c>
      <c r="H192" s="10" t="s">
        <v>34</v>
      </c>
      <c r="I192" s="10" t="s">
        <v>205</v>
      </c>
      <c r="J192" s="10" t="s">
        <v>189</v>
      </c>
      <c r="K192" s="10" t="s">
        <v>502</v>
      </c>
      <c r="L192" s="10" t="s">
        <v>648</v>
      </c>
      <c r="M192" s="10" t="n">
        <v>21</v>
      </c>
      <c r="N192" s="10" t="n">
        <v>21</v>
      </c>
      <c r="O192" s="10" t="n">
        <f aca="false">M192-N192</f>
        <v>0</v>
      </c>
      <c r="P192" s="10" t="s">
        <v>649</v>
      </c>
      <c r="Q192" s="10" t="s">
        <v>202</v>
      </c>
      <c r="R192" s="10" t="s">
        <v>194</v>
      </c>
      <c r="S192" s="10" t="s">
        <v>133</v>
      </c>
    </row>
    <row r="193" customFormat="false" ht="15" hidden="false" customHeight="false" outlineLevel="0" collapsed="false">
      <c r="A193" s="10" t="s">
        <v>15</v>
      </c>
      <c r="B193" s="10" t="n">
        <v>45479</v>
      </c>
      <c r="C193" s="40" t="n">
        <v>46174</v>
      </c>
      <c r="D193" s="10" t="s">
        <v>21</v>
      </c>
      <c r="E193" s="10" t="s">
        <v>185</v>
      </c>
      <c r="F193" s="10" t="s">
        <v>602</v>
      </c>
      <c r="G193" s="10" t="s">
        <v>603</v>
      </c>
      <c r="H193" s="10" t="s">
        <v>650</v>
      </c>
      <c r="I193" s="10" t="s">
        <v>651</v>
      </c>
      <c r="J193" s="10" t="s">
        <v>384</v>
      </c>
      <c r="K193" s="10" t="s">
        <v>255</v>
      </c>
      <c r="L193" s="10" t="s">
        <v>191</v>
      </c>
      <c r="M193" s="10" t="n">
        <v>60</v>
      </c>
      <c r="N193" s="10" t="n">
        <v>60</v>
      </c>
      <c r="O193" s="10" t="n">
        <f aca="false">M193-N193</f>
        <v>0</v>
      </c>
      <c r="P193" s="10" t="s">
        <v>652</v>
      </c>
      <c r="Q193" s="10" t="s">
        <v>433</v>
      </c>
      <c r="R193" s="10" t="s">
        <v>194</v>
      </c>
      <c r="S193" s="10" t="s">
        <v>118</v>
      </c>
    </row>
    <row r="194" customFormat="false" ht="15" hidden="false" customHeight="false" outlineLevel="0" collapsed="false">
      <c r="A194" s="10" t="s">
        <v>15</v>
      </c>
      <c r="B194" s="10" t="n">
        <v>45480</v>
      </c>
      <c r="C194" s="40" t="n">
        <v>46174</v>
      </c>
      <c r="D194" s="10" t="s">
        <v>21</v>
      </c>
      <c r="E194" s="10" t="s">
        <v>185</v>
      </c>
      <c r="F194" s="10" t="s">
        <v>602</v>
      </c>
      <c r="G194" s="10" t="s">
        <v>603</v>
      </c>
      <c r="H194" s="10" t="s">
        <v>650</v>
      </c>
      <c r="I194" s="10" t="s">
        <v>651</v>
      </c>
      <c r="J194" s="10" t="s">
        <v>384</v>
      </c>
      <c r="K194" s="10" t="s">
        <v>191</v>
      </c>
      <c r="L194" s="10" t="s">
        <v>295</v>
      </c>
      <c r="M194" s="10" t="n">
        <v>60</v>
      </c>
      <c r="N194" s="10" t="n">
        <v>60</v>
      </c>
      <c r="O194" s="10" t="n">
        <f aca="false">M194-N194</f>
        <v>0</v>
      </c>
      <c r="P194" s="10" t="s">
        <v>653</v>
      </c>
      <c r="Q194" s="10" t="s">
        <v>433</v>
      </c>
      <c r="R194" s="10" t="s">
        <v>194</v>
      </c>
      <c r="S194" s="10" t="s">
        <v>118</v>
      </c>
    </row>
    <row r="195" customFormat="false" ht="15" hidden="false" customHeight="false" outlineLevel="0" collapsed="false">
      <c r="A195" s="10" t="s">
        <v>15</v>
      </c>
      <c r="B195" s="10" t="n">
        <v>45614</v>
      </c>
      <c r="C195" s="40" t="n">
        <v>46175</v>
      </c>
      <c r="D195" s="10" t="s">
        <v>29</v>
      </c>
      <c r="E195" s="10" t="s">
        <v>185</v>
      </c>
      <c r="F195" s="10" t="s">
        <v>654</v>
      </c>
      <c r="G195" s="10" t="s">
        <v>655</v>
      </c>
      <c r="H195" s="10" t="s">
        <v>34</v>
      </c>
      <c r="I195" s="10" t="s">
        <v>205</v>
      </c>
      <c r="J195" s="10" t="s">
        <v>189</v>
      </c>
      <c r="K195" s="10" t="s">
        <v>191</v>
      </c>
      <c r="L195" s="10" t="s">
        <v>656</v>
      </c>
      <c r="M195" s="10" t="n">
        <v>33</v>
      </c>
      <c r="N195" s="10" t="n">
        <v>33</v>
      </c>
      <c r="O195" s="10" t="n">
        <f aca="false">M195-N195</f>
        <v>0</v>
      </c>
      <c r="P195" s="10" t="s">
        <v>657</v>
      </c>
      <c r="Q195" s="10" t="s">
        <v>218</v>
      </c>
      <c r="R195" s="10" t="s">
        <v>194</v>
      </c>
      <c r="S195" s="10" t="s">
        <v>83</v>
      </c>
    </row>
    <row r="196" customFormat="false" ht="15" hidden="false" customHeight="false" outlineLevel="0" collapsed="false">
      <c r="A196" s="10" t="s">
        <v>15</v>
      </c>
      <c r="B196" s="10" t="n">
        <v>45635</v>
      </c>
      <c r="C196" s="40" t="n">
        <v>46175</v>
      </c>
      <c r="D196" s="10" t="s">
        <v>21</v>
      </c>
      <c r="E196" s="10" t="s">
        <v>185</v>
      </c>
      <c r="F196" s="10" t="s">
        <v>658</v>
      </c>
      <c r="G196" s="10" t="s">
        <v>659</v>
      </c>
      <c r="H196" s="10" t="s">
        <v>42</v>
      </c>
      <c r="I196" s="10" t="s">
        <v>323</v>
      </c>
      <c r="J196" s="10" t="s">
        <v>189</v>
      </c>
      <c r="K196" s="10" t="s">
        <v>191</v>
      </c>
      <c r="L196" s="10" t="s">
        <v>295</v>
      </c>
      <c r="M196" s="10" t="n">
        <v>60</v>
      </c>
      <c r="N196" s="10" t="n">
        <v>60</v>
      </c>
      <c r="O196" s="10" t="n">
        <f aca="false">M196-N196</f>
        <v>0</v>
      </c>
      <c r="P196" s="10" t="s">
        <v>660</v>
      </c>
      <c r="Q196" s="10" t="s">
        <v>433</v>
      </c>
      <c r="R196" s="10" t="s">
        <v>194</v>
      </c>
      <c r="S196" s="10" t="s">
        <v>96</v>
      </c>
    </row>
    <row r="197" customFormat="false" ht="15" hidden="false" customHeight="false" outlineLevel="0" collapsed="false">
      <c r="A197" s="10" t="s">
        <v>15</v>
      </c>
      <c r="B197" s="10" t="n">
        <v>45636</v>
      </c>
      <c r="C197" s="40" t="n">
        <v>46175</v>
      </c>
      <c r="D197" s="10" t="s">
        <v>21</v>
      </c>
      <c r="E197" s="10" t="s">
        <v>185</v>
      </c>
      <c r="F197" s="10" t="s">
        <v>658</v>
      </c>
      <c r="G197" s="10" t="s">
        <v>659</v>
      </c>
      <c r="H197" s="10" t="s">
        <v>42</v>
      </c>
      <c r="I197" s="10" t="s">
        <v>323</v>
      </c>
      <c r="J197" s="10" t="s">
        <v>189</v>
      </c>
      <c r="K197" s="10" t="s">
        <v>210</v>
      </c>
      <c r="L197" s="10" t="s">
        <v>223</v>
      </c>
      <c r="M197" s="10" t="n">
        <v>50</v>
      </c>
      <c r="N197" s="10" t="n">
        <v>50</v>
      </c>
      <c r="O197" s="10" t="n">
        <f aca="false">M197-N197</f>
        <v>0</v>
      </c>
      <c r="P197" s="10" t="s">
        <v>661</v>
      </c>
      <c r="Q197" s="10" t="s">
        <v>433</v>
      </c>
      <c r="R197" s="10" t="s">
        <v>194</v>
      </c>
      <c r="S197" s="10" t="s">
        <v>96</v>
      </c>
    </row>
    <row r="198" customFormat="false" ht="15" hidden="false" customHeight="false" outlineLevel="0" collapsed="false">
      <c r="A198" s="10" t="s">
        <v>15</v>
      </c>
      <c r="B198" s="10" t="n">
        <v>45758</v>
      </c>
      <c r="C198" s="40" t="n">
        <v>46176</v>
      </c>
      <c r="D198" s="10" t="s">
        <v>29</v>
      </c>
      <c r="E198" s="10" t="s">
        <v>185</v>
      </c>
      <c r="F198" s="10" t="s">
        <v>654</v>
      </c>
      <c r="G198" s="10" t="s">
        <v>655</v>
      </c>
      <c r="H198" s="10" t="s">
        <v>34</v>
      </c>
      <c r="I198" s="10" t="s">
        <v>205</v>
      </c>
      <c r="J198" s="10" t="s">
        <v>189</v>
      </c>
      <c r="K198" s="10" t="s">
        <v>662</v>
      </c>
      <c r="L198" s="10" t="s">
        <v>656</v>
      </c>
      <c r="M198" s="10" t="n">
        <v>23</v>
      </c>
      <c r="N198" s="10" t="n">
        <v>23</v>
      </c>
      <c r="O198" s="10" t="n">
        <f aca="false">M198-N198</f>
        <v>0</v>
      </c>
      <c r="P198" s="10" t="s">
        <v>663</v>
      </c>
      <c r="Q198" s="10" t="s">
        <v>218</v>
      </c>
      <c r="R198" s="10" t="s">
        <v>194</v>
      </c>
      <c r="S198" s="10" t="s">
        <v>83</v>
      </c>
    </row>
    <row r="199" customFormat="false" ht="15" hidden="false" customHeight="false" outlineLevel="0" collapsed="false">
      <c r="A199" s="10" t="s">
        <v>15</v>
      </c>
      <c r="B199" s="10" t="n">
        <v>45761</v>
      </c>
      <c r="C199" s="40" t="n">
        <v>46176</v>
      </c>
      <c r="D199" s="10" t="s">
        <v>29</v>
      </c>
      <c r="E199" s="10" t="s">
        <v>185</v>
      </c>
      <c r="F199" s="10" t="s">
        <v>654</v>
      </c>
      <c r="G199" s="10" t="s">
        <v>655</v>
      </c>
      <c r="H199" s="10" t="s">
        <v>34</v>
      </c>
      <c r="I199" s="10" t="s">
        <v>205</v>
      </c>
      <c r="J199" s="10" t="s">
        <v>189</v>
      </c>
      <c r="K199" s="10" t="s">
        <v>664</v>
      </c>
      <c r="L199" s="10" t="s">
        <v>223</v>
      </c>
      <c r="M199" s="10" t="n">
        <v>14</v>
      </c>
      <c r="N199" s="10" t="n">
        <v>14</v>
      </c>
      <c r="O199" s="10" t="n">
        <f aca="false">M199-N199</f>
        <v>0</v>
      </c>
      <c r="P199" s="10" t="s">
        <v>665</v>
      </c>
      <c r="Q199" s="10" t="s">
        <v>218</v>
      </c>
      <c r="R199" s="10" t="s">
        <v>194</v>
      </c>
      <c r="S199" s="10" t="s">
        <v>83</v>
      </c>
    </row>
    <row r="200" customFormat="false" ht="15" hidden="false" customHeight="false" outlineLevel="0" collapsed="false">
      <c r="A200" s="10" t="s">
        <v>15</v>
      </c>
      <c r="B200" s="10" t="n">
        <v>45853</v>
      </c>
      <c r="C200" s="40" t="n">
        <v>46176</v>
      </c>
      <c r="D200" s="10" t="s">
        <v>29</v>
      </c>
      <c r="E200" s="10" t="s">
        <v>258</v>
      </c>
      <c r="F200" s="10" t="s">
        <v>654</v>
      </c>
      <c r="G200" s="10" t="s">
        <v>655</v>
      </c>
      <c r="H200" s="10" t="s">
        <v>34</v>
      </c>
      <c r="I200" s="10" t="s">
        <v>205</v>
      </c>
      <c r="J200" s="10" t="s">
        <v>189</v>
      </c>
      <c r="K200" s="10" t="s">
        <v>458</v>
      </c>
      <c r="L200" s="10" t="s">
        <v>578</v>
      </c>
      <c r="M200" s="10" t="n">
        <v>20</v>
      </c>
      <c r="N200" s="10" t="n">
        <v>20</v>
      </c>
      <c r="O200" s="10" t="n">
        <f aca="false">M200-N200</f>
        <v>0</v>
      </c>
      <c r="P200" s="10" t="s">
        <v>666</v>
      </c>
      <c r="Q200" s="10" t="s">
        <v>667</v>
      </c>
      <c r="R200" s="10" t="s">
        <v>194</v>
      </c>
      <c r="S200" s="10" t="s">
        <v>89</v>
      </c>
    </row>
    <row r="201" customFormat="false" ht="15" hidden="false" customHeight="false" outlineLevel="0" collapsed="false">
      <c r="A201" s="10" t="s">
        <v>15</v>
      </c>
      <c r="B201" s="10" t="n">
        <v>45874</v>
      </c>
      <c r="C201" s="40" t="n">
        <v>46177</v>
      </c>
      <c r="D201" s="10" t="s">
        <v>25</v>
      </c>
      <c r="E201" s="10" t="s">
        <v>185</v>
      </c>
      <c r="F201" s="10" t="s">
        <v>668</v>
      </c>
      <c r="G201" s="10" t="s">
        <v>669</v>
      </c>
      <c r="H201" s="10" t="s">
        <v>43</v>
      </c>
      <c r="I201" s="10" t="s">
        <v>249</v>
      </c>
      <c r="J201" s="10" t="s">
        <v>189</v>
      </c>
      <c r="K201" s="10" t="s">
        <v>223</v>
      </c>
      <c r="L201" s="10" t="s">
        <v>670</v>
      </c>
      <c r="M201" s="10" t="n">
        <v>10</v>
      </c>
      <c r="N201" s="10" t="n">
        <v>10</v>
      </c>
      <c r="O201" s="10" t="n">
        <f aca="false">M201-N201</f>
        <v>0</v>
      </c>
      <c r="P201" s="10" t="s">
        <v>671</v>
      </c>
      <c r="Q201" s="10" t="s">
        <v>366</v>
      </c>
      <c r="R201" s="10" t="s">
        <v>194</v>
      </c>
      <c r="S201" s="10" t="s">
        <v>115</v>
      </c>
    </row>
    <row r="202" customFormat="false" ht="15" hidden="false" customHeight="false" outlineLevel="0" collapsed="false">
      <c r="A202" s="10" t="s">
        <v>15</v>
      </c>
      <c r="B202" s="10" t="n">
        <v>46053</v>
      </c>
      <c r="C202" s="40" t="n">
        <v>46178</v>
      </c>
      <c r="D202" s="10" t="s">
        <v>22</v>
      </c>
      <c r="E202" s="10" t="s">
        <v>258</v>
      </c>
      <c r="F202" s="10" t="s">
        <v>380</v>
      </c>
      <c r="G202" s="10" t="s">
        <v>381</v>
      </c>
      <c r="H202" s="10" t="s">
        <v>349</v>
      </c>
      <c r="I202" s="10" t="s">
        <v>350</v>
      </c>
      <c r="J202" s="10" t="s">
        <v>189</v>
      </c>
      <c r="K202" s="10" t="s">
        <v>610</v>
      </c>
      <c r="L202" s="10" t="s">
        <v>332</v>
      </c>
      <c r="M202" s="10" t="n">
        <v>10</v>
      </c>
      <c r="N202" s="10" t="n">
        <v>10</v>
      </c>
      <c r="O202" s="10" t="n">
        <f aca="false">M202-N202</f>
        <v>0</v>
      </c>
      <c r="P202" s="10" t="s">
        <v>672</v>
      </c>
      <c r="Q202" s="10" t="s">
        <v>202</v>
      </c>
      <c r="R202" s="10" t="s">
        <v>194</v>
      </c>
      <c r="S202" s="10" t="s">
        <v>79</v>
      </c>
    </row>
    <row r="203" customFormat="false" ht="15" hidden="false" customHeight="false" outlineLevel="0" collapsed="false">
      <c r="A203" s="10" t="s">
        <v>15</v>
      </c>
      <c r="B203" s="10" t="n">
        <v>46118</v>
      </c>
      <c r="C203" s="40" t="n">
        <v>46179</v>
      </c>
      <c r="D203" s="10" t="s">
        <v>29</v>
      </c>
      <c r="E203" s="10" t="s">
        <v>185</v>
      </c>
      <c r="F203" s="10" t="s">
        <v>673</v>
      </c>
      <c r="G203" s="10" t="s">
        <v>674</v>
      </c>
      <c r="H203" s="10" t="s">
        <v>34</v>
      </c>
      <c r="I203" s="10" t="s">
        <v>205</v>
      </c>
      <c r="J203" s="10" t="s">
        <v>189</v>
      </c>
      <c r="K203" s="10" t="s">
        <v>361</v>
      </c>
      <c r="L203" s="10" t="s">
        <v>295</v>
      </c>
      <c r="M203" s="10" t="n">
        <v>30</v>
      </c>
      <c r="N203" s="10" t="n">
        <v>30</v>
      </c>
      <c r="O203" s="10" t="n">
        <f aca="false">M203-N203</f>
        <v>0</v>
      </c>
      <c r="P203" s="10" t="s">
        <v>675</v>
      </c>
      <c r="Q203" s="10" t="s">
        <v>218</v>
      </c>
      <c r="R203" s="10" t="s">
        <v>194</v>
      </c>
      <c r="S203" s="10" t="s">
        <v>70</v>
      </c>
    </row>
    <row r="204" customFormat="false" ht="15" hidden="false" customHeight="false" outlineLevel="0" collapsed="false">
      <c r="A204" s="10" t="s">
        <v>15</v>
      </c>
      <c r="B204" s="10" t="n">
        <v>46119</v>
      </c>
      <c r="C204" s="40" t="n">
        <v>46179</v>
      </c>
      <c r="D204" s="10" t="s">
        <v>29</v>
      </c>
      <c r="E204" s="10" t="s">
        <v>185</v>
      </c>
      <c r="F204" s="10" t="s">
        <v>673</v>
      </c>
      <c r="G204" s="10" t="s">
        <v>674</v>
      </c>
      <c r="H204" s="10" t="s">
        <v>34</v>
      </c>
      <c r="I204" s="10" t="s">
        <v>205</v>
      </c>
      <c r="J204" s="10" t="s">
        <v>189</v>
      </c>
      <c r="K204" s="10" t="s">
        <v>295</v>
      </c>
      <c r="L204" s="10" t="s">
        <v>537</v>
      </c>
      <c r="M204" s="10" t="n">
        <v>30</v>
      </c>
      <c r="N204" s="10" t="n">
        <v>30</v>
      </c>
      <c r="O204" s="10" t="n">
        <f aca="false">M204-N204</f>
        <v>0</v>
      </c>
      <c r="P204" s="10" t="s">
        <v>676</v>
      </c>
      <c r="Q204" s="10" t="s">
        <v>218</v>
      </c>
      <c r="R204" s="10" t="s">
        <v>194</v>
      </c>
      <c r="S204" s="10" t="s">
        <v>70</v>
      </c>
    </row>
    <row r="205" customFormat="false" ht="15" hidden="false" customHeight="false" outlineLevel="0" collapsed="false">
      <c r="A205" s="10" t="s">
        <v>15</v>
      </c>
      <c r="B205" s="10" t="n">
        <v>46211</v>
      </c>
      <c r="C205" s="40" t="n">
        <v>46182</v>
      </c>
      <c r="D205" s="10" t="s">
        <v>22</v>
      </c>
      <c r="E205" s="10" t="s">
        <v>185</v>
      </c>
      <c r="F205" s="10" t="s">
        <v>380</v>
      </c>
      <c r="G205" s="10" t="s">
        <v>381</v>
      </c>
      <c r="H205" s="10" t="s">
        <v>40</v>
      </c>
      <c r="I205" s="10" t="s">
        <v>268</v>
      </c>
      <c r="J205" s="10" t="s">
        <v>189</v>
      </c>
      <c r="K205" s="10" t="s">
        <v>255</v>
      </c>
      <c r="L205" s="10" t="s">
        <v>677</v>
      </c>
      <c r="M205" s="10" t="n">
        <v>27</v>
      </c>
      <c r="N205" s="10" t="n">
        <v>27</v>
      </c>
      <c r="O205" s="10" t="n">
        <f aca="false">M205-N205</f>
        <v>0</v>
      </c>
      <c r="P205" s="10" t="s">
        <v>678</v>
      </c>
      <c r="Q205" s="10" t="s">
        <v>243</v>
      </c>
      <c r="R205" s="10" t="s">
        <v>194</v>
      </c>
      <c r="S205" s="10" t="s">
        <v>89</v>
      </c>
    </row>
    <row r="206" customFormat="false" ht="15" hidden="false" customHeight="false" outlineLevel="0" collapsed="false">
      <c r="A206" s="10" t="s">
        <v>15</v>
      </c>
      <c r="B206" s="10" t="n">
        <v>46258</v>
      </c>
      <c r="C206" s="40" t="n">
        <v>46182</v>
      </c>
      <c r="D206" s="10" t="s">
        <v>27</v>
      </c>
      <c r="E206" s="10" t="s">
        <v>185</v>
      </c>
      <c r="F206" s="10" t="s">
        <v>264</v>
      </c>
      <c r="G206" s="10" t="s">
        <v>265</v>
      </c>
      <c r="H206" s="10" t="s">
        <v>34</v>
      </c>
      <c r="I206" s="10" t="s">
        <v>205</v>
      </c>
      <c r="J206" s="10" t="s">
        <v>189</v>
      </c>
      <c r="K206" s="10" t="s">
        <v>679</v>
      </c>
      <c r="L206" s="10" t="s">
        <v>327</v>
      </c>
      <c r="M206" s="10" t="n">
        <v>26</v>
      </c>
      <c r="N206" s="10" t="n">
        <v>26</v>
      </c>
      <c r="O206" s="10" t="n">
        <f aca="false">M206-N206</f>
        <v>0</v>
      </c>
      <c r="P206" s="10" t="s">
        <v>680</v>
      </c>
      <c r="Q206" s="10" t="s">
        <v>218</v>
      </c>
      <c r="R206" s="10" t="s">
        <v>194</v>
      </c>
      <c r="S206" s="10" t="s">
        <v>70</v>
      </c>
    </row>
    <row r="207" customFormat="false" ht="15" hidden="false" customHeight="false" outlineLevel="0" collapsed="false">
      <c r="A207" s="10" t="s">
        <v>15</v>
      </c>
      <c r="B207" s="10" t="n">
        <v>46297</v>
      </c>
      <c r="C207" s="40" t="n">
        <v>46182</v>
      </c>
      <c r="D207" s="10" t="s">
        <v>21</v>
      </c>
      <c r="E207" s="10" t="s">
        <v>258</v>
      </c>
      <c r="F207" s="10" t="s">
        <v>520</v>
      </c>
      <c r="G207" s="10" t="s">
        <v>521</v>
      </c>
      <c r="H207" s="10" t="s">
        <v>34</v>
      </c>
      <c r="I207" s="10" t="s">
        <v>205</v>
      </c>
      <c r="J207" s="10" t="s">
        <v>189</v>
      </c>
      <c r="K207" s="10" t="s">
        <v>681</v>
      </c>
      <c r="L207" s="10" t="s">
        <v>332</v>
      </c>
      <c r="M207" s="10" t="n">
        <v>20</v>
      </c>
      <c r="N207" s="10" t="n">
        <v>20</v>
      </c>
      <c r="O207" s="10" t="n">
        <f aca="false">M207-N207</f>
        <v>0</v>
      </c>
      <c r="P207" s="10" t="s">
        <v>682</v>
      </c>
      <c r="Q207" s="10" t="s">
        <v>433</v>
      </c>
      <c r="R207" s="10" t="s">
        <v>194</v>
      </c>
      <c r="S207" s="10" t="s">
        <v>148</v>
      </c>
    </row>
    <row r="208" customFormat="false" ht="15" hidden="false" customHeight="false" outlineLevel="0" collapsed="false">
      <c r="A208" s="10" t="s">
        <v>15</v>
      </c>
      <c r="B208" s="10" t="n">
        <v>46396</v>
      </c>
      <c r="C208" s="40" t="n">
        <v>46183</v>
      </c>
      <c r="D208" s="10" t="s">
        <v>27</v>
      </c>
      <c r="E208" s="10" t="s">
        <v>185</v>
      </c>
      <c r="F208" s="10" t="s">
        <v>419</v>
      </c>
      <c r="G208" s="10" t="s">
        <v>420</v>
      </c>
      <c r="H208" s="10" t="s">
        <v>38</v>
      </c>
      <c r="I208" s="10" t="s">
        <v>415</v>
      </c>
      <c r="J208" s="10" t="s">
        <v>189</v>
      </c>
      <c r="K208" s="10" t="s">
        <v>228</v>
      </c>
      <c r="L208" s="10" t="s">
        <v>199</v>
      </c>
      <c r="M208" s="10" t="n">
        <v>60</v>
      </c>
      <c r="N208" s="10" t="n">
        <v>60</v>
      </c>
      <c r="O208" s="10" t="n">
        <f aca="false">M208-N208</f>
        <v>0</v>
      </c>
      <c r="P208" s="10" t="s">
        <v>683</v>
      </c>
      <c r="Q208" s="10" t="s">
        <v>218</v>
      </c>
      <c r="R208" s="10" t="s">
        <v>194</v>
      </c>
      <c r="S208" s="10" t="s">
        <v>93</v>
      </c>
    </row>
    <row r="209" customFormat="false" ht="15" hidden="false" customHeight="false" outlineLevel="0" collapsed="false">
      <c r="A209" s="10" t="s">
        <v>15</v>
      </c>
      <c r="B209" s="10" t="n">
        <v>46397</v>
      </c>
      <c r="C209" s="40" t="n">
        <v>46183</v>
      </c>
      <c r="D209" s="10" t="s">
        <v>27</v>
      </c>
      <c r="E209" s="10" t="s">
        <v>185</v>
      </c>
      <c r="F209" s="10" t="s">
        <v>419</v>
      </c>
      <c r="G209" s="10" t="s">
        <v>420</v>
      </c>
      <c r="H209" s="10" t="s">
        <v>38</v>
      </c>
      <c r="I209" s="10" t="s">
        <v>415</v>
      </c>
      <c r="J209" s="10" t="s">
        <v>189</v>
      </c>
      <c r="K209" s="10" t="s">
        <v>199</v>
      </c>
      <c r="L209" s="10" t="s">
        <v>283</v>
      </c>
      <c r="M209" s="10" t="n">
        <v>60</v>
      </c>
      <c r="N209" s="10" t="n">
        <v>60</v>
      </c>
      <c r="O209" s="10" t="n">
        <f aca="false">M209-N209</f>
        <v>0</v>
      </c>
      <c r="P209" s="10" t="s">
        <v>647</v>
      </c>
      <c r="Q209" s="10" t="s">
        <v>218</v>
      </c>
      <c r="R209" s="10" t="s">
        <v>194</v>
      </c>
      <c r="S209" s="10" t="s">
        <v>93</v>
      </c>
    </row>
    <row r="210" customFormat="false" ht="15" hidden="false" customHeight="false" outlineLevel="0" collapsed="false">
      <c r="A210" s="10" t="s">
        <v>15</v>
      </c>
      <c r="B210" s="10" t="n">
        <v>46423</v>
      </c>
      <c r="C210" s="40" t="n">
        <v>46183</v>
      </c>
      <c r="D210" s="10" t="s">
        <v>27</v>
      </c>
      <c r="E210" s="10" t="s">
        <v>185</v>
      </c>
      <c r="F210" s="10" t="s">
        <v>419</v>
      </c>
      <c r="G210" s="10" t="s">
        <v>420</v>
      </c>
      <c r="H210" s="10" t="s">
        <v>38</v>
      </c>
      <c r="I210" s="10" t="s">
        <v>415</v>
      </c>
      <c r="J210" s="10" t="s">
        <v>189</v>
      </c>
      <c r="K210" s="10" t="s">
        <v>283</v>
      </c>
      <c r="L210" s="10" t="s">
        <v>256</v>
      </c>
      <c r="M210" s="10" t="n">
        <v>60</v>
      </c>
      <c r="N210" s="10" t="n">
        <v>60</v>
      </c>
      <c r="O210" s="10" t="n">
        <f aca="false">M210-N210</f>
        <v>0</v>
      </c>
      <c r="P210" s="10"/>
      <c r="Q210" s="10" t="s">
        <v>218</v>
      </c>
      <c r="R210" s="10" t="s">
        <v>194</v>
      </c>
      <c r="S210" s="10" t="s">
        <v>93</v>
      </c>
    </row>
    <row r="211" customFormat="false" ht="15" hidden="false" customHeight="false" outlineLevel="0" collapsed="false">
      <c r="A211" s="10" t="s">
        <v>15</v>
      </c>
      <c r="B211" s="10" t="n">
        <v>46451</v>
      </c>
      <c r="C211" s="40" t="n">
        <v>46183</v>
      </c>
      <c r="D211" s="10" t="s">
        <v>23</v>
      </c>
      <c r="E211" s="10" t="s">
        <v>258</v>
      </c>
      <c r="F211" s="10" t="s">
        <v>684</v>
      </c>
      <c r="G211" s="10" t="s">
        <v>685</v>
      </c>
      <c r="H211" s="10" t="s">
        <v>36</v>
      </c>
      <c r="I211" s="10" t="s">
        <v>331</v>
      </c>
      <c r="J211" s="10" t="s">
        <v>189</v>
      </c>
      <c r="K211" s="10" t="s">
        <v>686</v>
      </c>
      <c r="L211" s="10" t="s">
        <v>461</v>
      </c>
      <c r="M211" s="10" t="n">
        <v>58</v>
      </c>
      <c r="N211" s="10" t="n">
        <v>58</v>
      </c>
      <c r="O211" s="10" t="n">
        <f aca="false">M211-N211</f>
        <v>0</v>
      </c>
      <c r="P211" s="10" t="s">
        <v>687</v>
      </c>
      <c r="Q211" s="10" t="s">
        <v>334</v>
      </c>
      <c r="R211" s="10" t="s">
        <v>194</v>
      </c>
      <c r="S211" s="10" t="s">
        <v>67</v>
      </c>
    </row>
    <row r="212" customFormat="false" ht="15" hidden="false" customHeight="false" outlineLevel="0" collapsed="false">
      <c r="A212" s="10" t="s">
        <v>15</v>
      </c>
      <c r="B212" s="10" t="n">
        <v>46452</v>
      </c>
      <c r="C212" s="40" t="n">
        <v>46183</v>
      </c>
      <c r="D212" s="10" t="s">
        <v>21</v>
      </c>
      <c r="E212" s="10" t="s">
        <v>258</v>
      </c>
      <c r="F212" s="10" t="s">
        <v>520</v>
      </c>
      <c r="G212" s="10" t="s">
        <v>521</v>
      </c>
      <c r="H212" s="10" t="s">
        <v>34</v>
      </c>
      <c r="I212" s="10" t="s">
        <v>205</v>
      </c>
      <c r="J212" s="10" t="s">
        <v>189</v>
      </c>
      <c r="K212" s="10" t="s">
        <v>688</v>
      </c>
      <c r="L212" s="10" t="s">
        <v>461</v>
      </c>
      <c r="M212" s="10" t="n">
        <v>35</v>
      </c>
      <c r="N212" s="10" t="n">
        <v>35</v>
      </c>
      <c r="O212" s="10" t="n">
        <f aca="false">M212-N212</f>
        <v>0</v>
      </c>
      <c r="P212" s="10" t="s">
        <v>689</v>
      </c>
      <c r="Q212" s="10" t="s">
        <v>501</v>
      </c>
      <c r="R212" s="10" t="s">
        <v>282</v>
      </c>
      <c r="S212" s="10" t="s">
        <v>76</v>
      </c>
    </row>
    <row r="213" customFormat="false" ht="15" hidden="false" customHeight="false" outlineLevel="0" collapsed="false">
      <c r="A213" s="10" t="s">
        <v>15</v>
      </c>
      <c r="B213" s="10" t="n">
        <v>46473</v>
      </c>
      <c r="C213" s="40" t="n">
        <v>46184</v>
      </c>
      <c r="D213" s="10" t="s">
        <v>29</v>
      </c>
      <c r="E213" s="10" t="s">
        <v>185</v>
      </c>
      <c r="F213" s="10" t="s">
        <v>430</v>
      </c>
      <c r="G213" s="10" t="s">
        <v>431</v>
      </c>
      <c r="H213" s="10" t="s">
        <v>34</v>
      </c>
      <c r="I213" s="10" t="s">
        <v>205</v>
      </c>
      <c r="J213" s="10" t="s">
        <v>189</v>
      </c>
      <c r="K213" s="10" t="s">
        <v>361</v>
      </c>
      <c r="L213" s="10" t="s">
        <v>295</v>
      </c>
      <c r="M213" s="10" t="n">
        <v>30</v>
      </c>
      <c r="N213" s="10" t="n">
        <v>30</v>
      </c>
      <c r="O213" s="10" t="n">
        <f aca="false">M213-N213</f>
        <v>0</v>
      </c>
      <c r="P213" s="10" t="s">
        <v>690</v>
      </c>
      <c r="Q213" s="10" t="s">
        <v>667</v>
      </c>
      <c r="R213" s="10" t="s">
        <v>194</v>
      </c>
      <c r="S213" s="10" t="s">
        <v>148</v>
      </c>
    </row>
    <row r="214" customFormat="false" ht="15" hidden="false" customHeight="false" outlineLevel="0" collapsed="false">
      <c r="A214" s="10" t="s">
        <v>15</v>
      </c>
      <c r="B214" s="10" t="n">
        <v>46483</v>
      </c>
      <c r="C214" s="40" t="n">
        <v>46184</v>
      </c>
      <c r="D214" s="10" t="s">
        <v>29</v>
      </c>
      <c r="E214" s="10" t="s">
        <v>185</v>
      </c>
      <c r="F214" s="10" t="s">
        <v>430</v>
      </c>
      <c r="G214" s="10" t="s">
        <v>431</v>
      </c>
      <c r="H214" s="10" t="s">
        <v>34</v>
      </c>
      <c r="I214" s="10" t="s">
        <v>205</v>
      </c>
      <c r="J214" s="10" t="s">
        <v>189</v>
      </c>
      <c r="K214" s="10" t="s">
        <v>210</v>
      </c>
      <c r="L214" s="10" t="s">
        <v>537</v>
      </c>
      <c r="M214" s="10" t="n">
        <v>20</v>
      </c>
      <c r="N214" s="10" t="n">
        <v>20</v>
      </c>
      <c r="O214" s="10" t="n">
        <f aca="false">M214-N214</f>
        <v>0</v>
      </c>
      <c r="P214" s="10" t="s">
        <v>691</v>
      </c>
      <c r="Q214" s="10" t="s">
        <v>667</v>
      </c>
      <c r="R214" s="10" t="s">
        <v>194</v>
      </c>
      <c r="S214" s="10" t="s">
        <v>148</v>
      </c>
    </row>
    <row r="215" customFormat="false" ht="15" hidden="false" customHeight="false" outlineLevel="0" collapsed="false">
      <c r="A215" s="10" t="s">
        <v>15</v>
      </c>
      <c r="B215" s="10" t="n">
        <v>46485</v>
      </c>
      <c r="C215" s="40" t="n">
        <v>46184</v>
      </c>
      <c r="D215" s="10" t="s">
        <v>29</v>
      </c>
      <c r="E215" s="10" t="s">
        <v>185</v>
      </c>
      <c r="F215" s="10" t="s">
        <v>430</v>
      </c>
      <c r="G215" s="10" t="s">
        <v>431</v>
      </c>
      <c r="H215" s="10" t="s">
        <v>34</v>
      </c>
      <c r="I215" s="10" t="s">
        <v>205</v>
      </c>
      <c r="J215" s="10" t="s">
        <v>189</v>
      </c>
      <c r="K215" s="10" t="s">
        <v>223</v>
      </c>
      <c r="L215" s="10" t="s">
        <v>588</v>
      </c>
      <c r="M215" s="10" t="n">
        <v>20</v>
      </c>
      <c r="N215" s="10" t="n">
        <v>20</v>
      </c>
      <c r="O215" s="10" t="n">
        <f aca="false">M215-N215</f>
        <v>0</v>
      </c>
      <c r="P215" s="10" t="s">
        <v>692</v>
      </c>
      <c r="Q215" s="10" t="s">
        <v>667</v>
      </c>
      <c r="R215" s="10" t="s">
        <v>194</v>
      </c>
      <c r="S215" s="10" t="s">
        <v>70</v>
      </c>
    </row>
    <row r="216" customFormat="false" ht="15" hidden="false" customHeight="false" outlineLevel="0" collapsed="false">
      <c r="A216" s="10" t="s">
        <v>15</v>
      </c>
      <c r="B216" s="10" t="n">
        <v>46542</v>
      </c>
      <c r="C216" s="40" t="n">
        <v>46184</v>
      </c>
      <c r="D216" s="10" t="s">
        <v>23</v>
      </c>
      <c r="E216" s="10" t="s">
        <v>185</v>
      </c>
      <c r="F216" s="10" t="s">
        <v>684</v>
      </c>
      <c r="G216" s="10" t="s">
        <v>685</v>
      </c>
      <c r="H216" s="10" t="s">
        <v>36</v>
      </c>
      <c r="I216" s="10" t="s">
        <v>331</v>
      </c>
      <c r="J216" s="10" t="s">
        <v>189</v>
      </c>
      <c r="K216" s="10" t="s">
        <v>402</v>
      </c>
      <c r="L216" s="10" t="s">
        <v>256</v>
      </c>
      <c r="M216" s="10" t="n">
        <v>440</v>
      </c>
      <c r="N216" s="10" t="n">
        <v>440</v>
      </c>
      <c r="O216" s="10" t="n">
        <f aca="false">M216-N216</f>
        <v>0</v>
      </c>
      <c r="P216" s="10" t="s">
        <v>693</v>
      </c>
      <c r="Q216" s="10" t="s">
        <v>193</v>
      </c>
      <c r="R216" s="10" t="s">
        <v>194</v>
      </c>
      <c r="S216" s="10" t="s">
        <v>67</v>
      </c>
    </row>
    <row r="217" customFormat="false" ht="15" hidden="false" customHeight="false" outlineLevel="0" collapsed="false">
      <c r="A217" s="10" t="s">
        <v>15</v>
      </c>
      <c r="B217" s="10" t="n">
        <v>46579</v>
      </c>
      <c r="C217" s="40" t="n">
        <v>46184</v>
      </c>
      <c r="D217" s="10" t="s">
        <v>27</v>
      </c>
      <c r="E217" s="10" t="s">
        <v>258</v>
      </c>
      <c r="F217" s="10" t="s">
        <v>419</v>
      </c>
      <c r="G217" s="10" t="s">
        <v>420</v>
      </c>
      <c r="H217" s="10" t="s">
        <v>406</v>
      </c>
      <c r="I217" s="10" t="s">
        <v>407</v>
      </c>
      <c r="J217" s="10" t="s">
        <v>189</v>
      </c>
      <c r="K217" s="10" t="s">
        <v>694</v>
      </c>
      <c r="L217" s="10" t="s">
        <v>395</v>
      </c>
      <c r="M217" s="10" t="n">
        <v>35</v>
      </c>
      <c r="N217" s="10" t="n">
        <v>35</v>
      </c>
      <c r="O217" s="10" t="n">
        <f aca="false">M217-N217</f>
        <v>0</v>
      </c>
      <c r="P217" s="10" t="s">
        <v>695</v>
      </c>
      <c r="Q217" s="10" t="s">
        <v>366</v>
      </c>
      <c r="R217" s="10" t="s">
        <v>194</v>
      </c>
      <c r="S217" s="10" t="s">
        <v>76</v>
      </c>
    </row>
    <row r="218" customFormat="false" ht="15" hidden="false" customHeight="false" outlineLevel="0" collapsed="false">
      <c r="A218" s="10" t="s">
        <v>15</v>
      </c>
      <c r="B218" s="10" t="n">
        <v>46594</v>
      </c>
      <c r="C218" s="40" t="n">
        <v>46185</v>
      </c>
      <c r="D218" s="10" t="s">
        <v>25</v>
      </c>
      <c r="E218" s="10" t="s">
        <v>185</v>
      </c>
      <c r="F218" s="10" t="s">
        <v>696</v>
      </c>
      <c r="G218" s="10" t="s">
        <v>697</v>
      </c>
      <c r="H218" s="10" t="s">
        <v>42</v>
      </c>
      <c r="I218" s="10" t="s">
        <v>323</v>
      </c>
      <c r="J218" s="10" t="s">
        <v>189</v>
      </c>
      <c r="K218" s="10" t="s">
        <v>255</v>
      </c>
      <c r="L218" s="10" t="s">
        <v>190</v>
      </c>
      <c r="M218" s="10" t="n">
        <v>10</v>
      </c>
      <c r="N218" s="10" t="n">
        <v>10</v>
      </c>
      <c r="O218" s="10" t="n">
        <f aca="false">M218-N218</f>
        <v>0</v>
      </c>
      <c r="P218" s="10" t="s">
        <v>698</v>
      </c>
      <c r="Q218" s="10" t="s">
        <v>359</v>
      </c>
      <c r="R218" s="10" t="s">
        <v>194</v>
      </c>
      <c r="S218" s="10" t="s">
        <v>96</v>
      </c>
    </row>
    <row r="219" customFormat="false" ht="15" hidden="false" customHeight="false" outlineLevel="0" collapsed="false">
      <c r="A219" s="10" t="s">
        <v>15</v>
      </c>
      <c r="B219" s="10" t="n">
        <v>46613</v>
      </c>
      <c r="C219" s="40" t="n">
        <v>46185</v>
      </c>
      <c r="D219" s="10" t="s">
        <v>22</v>
      </c>
      <c r="E219" s="10" t="s">
        <v>185</v>
      </c>
      <c r="F219" s="10" t="s">
        <v>380</v>
      </c>
      <c r="G219" s="10" t="s">
        <v>381</v>
      </c>
      <c r="H219" s="10" t="s">
        <v>40</v>
      </c>
      <c r="I219" s="10" t="s">
        <v>268</v>
      </c>
      <c r="J219" s="10" t="s">
        <v>189</v>
      </c>
      <c r="K219" s="10" t="s">
        <v>699</v>
      </c>
      <c r="L219" s="10" t="s">
        <v>223</v>
      </c>
      <c r="M219" s="10" t="n">
        <v>23</v>
      </c>
      <c r="N219" s="10" t="n">
        <v>23</v>
      </c>
      <c r="O219" s="10" t="n">
        <f aca="false">M219-N219</f>
        <v>0</v>
      </c>
      <c r="P219" s="10" t="s">
        <v>700</v>
      </c>
      <c r="Q219" s="10" t="s">
        <v>243</v>
      </c>
      <c r="R219" s="10" t="s">
        <v>194</v>
      </c>
      <c r="S219" s="10" t="s">
        <v>89</v>
      </c>
    </row>
    <row r="220" customFormat="false" ht="15" hidden="false" customHeight="false" outlineLevel="0" collapsed="false">
      <c r="A220" s="10" t="s">
        <v>15</v>
      </c>
      <c r="B220" s="10" t="n">
        <v>46618</v>
      </c>
      <c r="C220" s="40" t="n">
        <v>46185</v>
      </c>
      <c r="D220" s="10" t="s">
        <v>22</v>
      </c>
      <c r="E220" s="10" t="s">
        <v>185</v>
      </c>
      <c r="F220" s="10" t="s">
        <v>380</v>
      </c>
      <c r="G220" s="10" t="s">
        <v>381</v>
      </c>
      <c r="H220" s="10" t="s">
        <v>40</v>
      </c>
      <c r="I220" s="10" t="s">
        <v>268</v>
      </c>
      <c r="J220" s="10" t="s">
        <v>189</v>
      </c>
      <c r="K220" s="10" t="s">
        <v>223</v>
      </c>
      <c r="L220" s="10" t="s">
        <v>670</v>
      </c>
      <c r="M220" s="10" t="n">
        <v>10</v>
      </c>
      <c r="N220" s="10" t="n">
        <v>10</v>
      </c>
      <c r="O220" s="10" t="n">
        <f aca="false">M220-N220</f>
        <v>0</v>
      </c>
      <c r="P220" s="10" t="s">
        <v>701</v>
      </c>
      <c r="Q220" s="10" t="s">
        <v>243</v>
      </c>
      <c r="R220" s="10" t="s">
        <v>194</v>
      </c>
      <c r="S220" s="10" t="s">
        <v>89</v>
      </c>
    </row>
    <row r="221" customFormat="false" ht="15" hidden="false" customHeight="false" outlineLevel="0" collapsed="false">
      <c r="A221" s="10" t="s">
        <v>15</v>
      </c>
      <c r="B221" s="10" t="n">
        <v>46823</v>
      </c>
      <c r="C221" s="40" t="n">
        <v>46186</v>
      </c>
      <c r="D221" s="10" t="s">
        <v>21</v>
      </c>
      <c r="E221" s="10" t="s">
        <v>258</v>
      </c>
      <c r="F221" s="10" t="s">
        <v>520</v>
      </c>
      <c r="G221" s="10" t="s">
        <v>521</v>
      </c>
      <c r="H221" s="10" t="s">
        <v>34</v>
      </c>
      <c r="I221" s="10" t="s">
        <v>205</v>
      </c>
      <c r="J221" s="10" t="s">
        <v>189</v>
      </c>
      <c r="K221" s="10" t="s">
        <v>702</v>
      </c>
      <c r="L221" s="10" t="s">
        <v>256</v>
      </c>
      <c r="M221" s="10" t="n">
        <v>44</v>
      </c>
      <c r="N221" s="10" t="n">
        <v>44</v>
      </c>
      <c r="O221" s="10" t="n">
        <f aca="false">M221-N221</f>
        <v>0</v>
      </c>
      <c r="P221" s="10" t="s">
        <v>703</v>
      </c>
      <c r="Q221" s="10" t="s">
        <v>433</v>
      </c>
      <c r="R221" s="10" t="s">
        <v>194</v>
      </c>
      <c r="S221" s="10" t="s">
        <v>70</v>
      </c>
    </row>
    <row r="222" customFormat="false" ht="15" hidden="false" customHeight="false" outlineLevel="0" collapsed="false">
      <c r="A222" s="10" t="s">
        <v>15</v>
      </c>
      <c r="B222" s="10" t="n">
        <v>46830</v>
      </c>
      <c r="C222" s="40" t="n">
        <v>46186</v>
      </c>
      <c r="D222" s="10" t="s">
        <v>21</v>
      </c>
      <c r="E222" s="10" t="s">
        <v>258</v>
      </c>
      <c r="F222" s="10" t="s">
        <v>520</v>
      </c>
      <c r="G222" s="10" t="s">
        <v>521</v>
      </c>
      <c r="H222" s="10" t="s">
        <v>34</v>
      </c>
      <c r="I222" s="10" t="s">
        <v>205</v>
      </c>
      <c r="J222" s="10" t="s">
        <v>189</v>
      </c>
      <c r="K222" s="10" t="s">
        <v>704</v>
      </c>
      <c r="L222" s="10" t="s">
        <v>332</v>
      </c>
      <c r="M222" s="10" t="n">
        <v>18</v>
      </c>
      <c r="N222" s="10" t="n">
        <v>18</v>
      </c>
      <c r="O222" s="10" t="n">
        <f aca="false">M222-N222</f>
        <v>0</v>
      </c>
      <c r="P222" s="10" t="s">
        <v>705</v>
      </c>
      <c r="Q222" s="10" t="s">
        <v>433</v>
      </c>
      <c r="R222" s="10" t="s">
        <v>194</v>
      </c>
      <c r="S222" s="10" t="s">
        <v>70</v>
      </c>
    </row>
    <row r="223" customFormat="false" ht="15" hidden="false" customHeight="false" outlineLevel="0" collapsed="false">
      <c r="A223" s="10" t="s">
        <v>15</v>
      </c>
      <c r="B223" s="10" t="n">
        <v>46929</v>
      </c>
      <c r="C223" s="40" t="n">
        <v>46189</v>
      </c>
      <c r="D223" s="10" t="s">
        <v>20</v>
      </c>
      <c r="E223" s="10" t="s">
        <v>185</v>
      </c>
      <c r="F223" s="10" t="s">
        <v>347</v>
      </c>
      <c r="G223" s="10" t="s">
        <v>348</v>
      </c>
      <c r="H223" s="10" t="s">
        <v>34</v>
      </c>
      <c r="I223" s="10" t="s">
        <v>205</v>
      </c>
      <c r="J223" s="10" t="s">
        <v>189</v>
      </c>
      <c r="K223" s="10" t="s">
        <v>223</v>
      </c>
      <c r="L223" s="10" t="s">
        <v>226</v>
      </c>
      <c r="M223" s="10" t="n">
        <v>60</v>
      </c>
      <c r="N223" s="10" t="n">
        <v>60</v>
      </c>
      <c r="O223" s="10" t="n">
        <f aca="false">M223-N223</f>
        <v>0</v>
      </c>
      <c r="P223" s="10" t="s">
        <v>706</v>
      </c>
      <c r="Q223" s="10" t="s">
        <v>208</v>
      </c>
      <c r="R223" s="10" t="s">
        <v>194</v>
      </c>
      <c r="S223" s="10" t="s">
        <v>63</v>
      </c>
    </row>
    <row r="224" customFormat="false" ht="15" hidden="false" customHeight="false" outlineLevel="0" collapsed="false">
      <c r="A224" s="10" t="s">
        <v>15</v>
      </c>
      <c r="B224" s="10" t="n">
        <v>46932</v>
      </c>
      <c r="C224" s="40" t="n">
        <v>46189</v>
      </c>
      <c r="D224" s="10" t="s">
        <v>20</v>
      </c>
      <c r="E224" s="10" t="s">
        <v>185</v>
      </c>
      <c r="F224" s="10" t="s">
        <v>347</v>
      </c>
      <c r="G224" s="10" t="s">
        <v>348</v>
      </c>
      <c r="H224" s="10" t="s">
        <v>34</v>
      </c>
      <c r="I224" s="10" t="s">
        <v>205</v>
      </c>
      <c r="J224" s="10" t="s">
        <v>189</v>
      </c>
      <c r="K224" s="10" t="s">
        <v>301</v>
      </c>
      <c r="L224" s="10" t="s">
        <v>228</v>
      </c>
      <c r="M224" s="10" t="n">
        <v>30</v>
      </c>
      <c r="N224" s="10" t="n">
        <v>30</v>
      </c>
      <c r="O224" s="10" t="n">
        <f aca="false">M224-N224</f>
        <v>0</v>
      </c>
      <c r="P224" s="10" t="s">
        <v>553</v>
      </c>
      <c r="Q224" s="10" t="s">
        <v>208</v>
      </c>
      <c r="R224" s="10" t="s">
        <v>194</v>
      </c>
      <c r="S224" s="10" t="s">
        <v>63</v>
      </c>
    </row>
    <row r="225" customFormat="false" ht="15" hidden="false" customHeight="false" outlineLevel="0" collapsed="false">
      <c r="A225" s="10" t="s">
        <v>15</v>
      </c>
      <c r="B225" s="10" t="n">
        <v>46933</v>
      </c>
      <c r="C225" s="40" t="n">
        <v>46189</v>
      </c>
      <c r="D225" s="10" t="s">
        <v>20</v>
      </c>
      <c r="E225" s="10" t="s">
        <v>185</v>
      </c>
      <c r="F225" s="10" t="s">
        <v>347</v>
      </c>
      <c r="G225" s="10" t="s">
        <v>348</v>
      </c>
      <c r="H225" s="10" t="s">
        <v>34</v>
      </c>
      <c r="I225" s="10" t="s">
        <v>205</v>
      </c>
      <c r="J225" s="10" t="s">
        <v>189</v>
      </c>
      <c r="K225" s="10" t="s">
        <v>228</v>
      </c>
      <c r="L225" s="10" t="s">
        <v>199</v>
      </c>
      <c r="M225" s="10" t="n">
        <v>60</v>
      </c>
      <c r="N225" s="10" t="n">
        <v>60</v>
      </c>
      <c r="O225" s="10" t="n">
        <f aca="false">M225-N225</f>
        <v>0</v>
      </c>
      <c r="P225" s="10" t="s">
        <v>553</v>
      </c>
      <c r="Q225" s="10" t="s">
        <v>208</v>
      </c>
      <c r="R225" s="10" t="s">
        <v>194</v>
      </c>
      <c r="S225" s="10" t="s">
        <v>63</v>
      </c>
    </row>
    <row r="226" customFormat="false" ht="15" hidden="false" customHeight="false" outlineLevel="0" collapsed="false">
      <c r="A226" s="10" t="s">
        <v>15</v>
      </c>
      <c r="B226" s="10" t="n">
        <v>46999</v>
      </c>
      <c r="C226" s="40" t="n">
        <v>46190</v>
      </c>
      <c r="D226" s="10" t="s">
        <v>21</v>
      </c>
      <c r="E226" s="10" t="s">
        <v>185</v>
      </c>
      <c r="F226" s="10" t="s">
        <v>520</v>
      </c>
      <c r="G226" s="10" t="s">
        <v>521</v>
      </c>
      <c r="H226" s="10" t="s">
        <v>707</v>
      </c>
      <c r="I226" s="10" t="s">
        <v>708</v>
      </c>
      <c r="J226" s="10" t="s">
        <v>709</v>
      </c>
      <c r="K226" s="10" t="s">
        <v>710</v>
      </c>
      <c r="L226" s="10" t="s">
        <v>294</v>
      </c>
      <c r="M226" s="10" t="n">
        <v>13</v>
      </c>
      <c r="N226" s="10" t="n">
        <v>13</v>
      </c>
      <c r="O226" s="10" t="n">
        <f aca="false">M226-N226</f>
        <v>0</v>
      </c>
      <c r="P226" s="10" t="s">
        <v>711</v>
      </c>
      <c r="Q226" s="10" t="s">
        <v>448</v>
      </c>
      <c r="R226" s="10" t="s">
        <v>194</v>
      </c>
      <c r="S226" s="10" t="s">
        <v>70</v>
      </c>
    </row>
    <row r="227" customFormat="false" ht="15" hidden="false" customHeight="false" outlineLevel="0" collapsed="false">
      <c r="A227" s="10" t="s">
        <v>15</v>
      </c>
      <c r="B227" s="10" t="n">
        <v>47002</v>
      </c>
      <c r="C227" s="40" t="n">
        <v>46190</v>
      </c>
      <c r="D227" s="10" t="s">
        <v>21</v>
      </c>
      <c r="E227" s="10" t="s">
        <v>185</v>
      </c>
      <c r="F227" s="10" t="s">
        <v>520</v>
      </c>
      <c r="G227" s="10" t="s">
        <v>521</v>
      </c>
      <c r="H227" s="10" t="s">
        <v>707</v>
      </c>
      <c r="I227" s="10" t="s">
        <v>708</v>
      </c>
      <c r="J227" s="10" t="s">
        <v>709</v>
      </c>
      <c r="K227" s="10" t="s">
        <v>215</v>
      </c>
      <c r="L227" s="10" t="s">
        <v>712</v>
      </c>
      <c r="M227" s="10" t="n">
        <v>9</v>
      </c>
      <c r="N227" s="10" t="n">
        <v>9</v>
      </c>
      <c r="O227" s="10" t="n">
        <f aca="false">M227-N227</f>
        <v>0</v>
      </c>
      <c r="P227" s="10" t="s">
        <v>713</v>
      </c>
      <c r="Q227" s="10" t="s">
        <v>448</v>
      </c>
      <c r="R227" s="10" t="s">
        <v>194</v>
      </c>
      <c r="S227" s="10" t="s">
        <v>70</v>
      </c>
    </row>
    <row r="228" customFormat="false" ht="15" hidden="false" customHeight="false" outlineLevel="0" collapsed="false">
      <c r="A228" s="10" t="s">
        <v>15</v>
      </c>
      <c r="B228" s="10" t="n">
        <v>47029</v>
      </c>
      <c r="C228" s="40" t="n">
        <v>46190</v>
      </c>
      <c r="D228" s="10" t="s">
        <v>20</v>
      </c>
      <c r="E228" s="10" t="s">
        <v>185</v>
      </c>
      <c r="F228" s="10" t="s">
        <v>347</v>
      </c>
      <c r="G228" s="10" t="s">
        <v>348</v>
      </c>
      <c r="H228" s="10" t="s">
        <v>34</v>
      </c>
      <c r="I228" s="10" t="s">
        <v>205</v>
      </c>
      <c r="J228" s="10" t="s">
        <v>189</v>
      </c>
      <c r="K228" s="10" t="s">
        <v>255</v>
      </c>
      <c r="L228" s="10" t="s">
        <v>191</v>
      </c>
      <c r="M228" s="10" t="n">
        <v>60</v>
      </c>
      <c r="N228" s="10" t="n">
        <v>60</v>
      </c>
      <c r="O228" s="10" t="n">
        <f aca="false">M228-N228</f>
        <v>0</v>
      </c>
      <c r="P228" s="10" t="s">
        <v>553</v>
      </c>
      <c r="Q228" s="10" t="s">
        <v>208</v>
      </c>
      <c r="R228" s="10" t="s">
        <v>194</v>
      </c>
      <c r="S228" s="10" t="s">
        <v>63</v>
      </c>
    </row>
    <row r="229" customFormat="false" ht="15" hidden="false" customHeight="false" outlineLevel="0" collapsed="false">
      <c r="A229" s="10" t="s">
        <v>15</v>
      </c>
      <c r="B229" s="10" t="n">
        <v>47030</v>
      </c>
      <c r="C229" s="40" t="n">
        <v>46190</v>
      </c>
      <c r="D229" s="10" t="s">
        <v>20</v>
      </c>
      <c r="E229" s="10" t="s">
        <v>185</v>
      </c>
      <c r="F229" s="10" t="s">
        <v>347</v>
      </c>
      <c r="G229" s="10" t="s">
        <v>348</v>
      </c>
      <c r="H229" s="10" t="s">
        <v>34</v>
      </c>
      <c r="I229" s="10" t="s">
        <v>205</v>
      </c>
      <c r="J229" s="10" t="s">
        <v>189</v>
      </c>
      <c r="K229" s="10" t="s">
        <v>191</v>
      </c>
      <c r="L229" s="10" t="s">
        <v>295</v>
      </c>
      <c r="M229" s="10" t="n">
        <v>60</v>
      </c>
      <c r="N229" s="10" t="n">
        <v>60</v>
      </c>
      <c r="O229" s="10" t="n">
        <f aca="false">M229-N229</f>
        <v>0</v>
      </c>
      <c r="P229" s="10" t="s">
        <v>553</v>
      </c>
      <c r="Q229" s="10" t="s">
        <v>208</v>
      </c>
      <c r="R229" s="10" t="s">
        <v>194</v>
      </c>
      <c r="S229" s="10" t="s">
        <v>63</v>
      </c>
    </row>
    <row r="230" customFormat="false" ht="15" hidden="false" customHeight="false" outlineLevel="0" collapsed="false">
      <c r="A230" s="10" t="s">
        <v>15</v>
      </c>
      <c r="B230" s="10" t="n">
        <v>47031</v>
      </c>
      <c r="C230" s="40" t="n">
        <v>46190</v>
      </c>
      <c r="D230" s="10" t="s">
        <v>20</v>
      </c>
      <c r="E230" s="10" t="s">
        <v>185</v>
      </c>
      <c r="F230" s="10" t="s">
        <v>347</v>
      </c>
      <c r="G230" s="10" t="s">
        <v>348</v>
      </c>
      <c r="H230" s="10" t="s">
        <v>34</v>
      </c>
      <c r="I230" s="10" t="s">
        <v>205</v>
      </c>
      <c r="J230" s="10" t="s">
        <v>189</v>
      </c>
      <c r="K230" s="10" t="s">
        <v>210</v>
      </c>
      <c r="L230" s="10" t="s">
        <v>223</v>
      </c>
      <c r="M230" s="10" t="n">
        <v>50</v>
      </c>
      <c r="N230" s="10" t="n">
        <v>50</v>
      </c>
      <c r="O230" s="10" t="n">
        <f aca="false">M230-N230</f>
        <v>0</v>
      </c>
      <c r="P230" s="10" t="s">
        <v>553</v>
      </c>
      <c r="Q230" s="10" t="s">
        <v>208</v>
      </c>
      <c r="R230" s="10" t="s">
        <v>194</v>
      </c>
      <c r="S230" s="10" t="s">
        <v>63</v>
      </c>
    </row>
    <row r="231" customFormat="false" ht="15" hidden="false" customHeight="false" outlineLevel="0" collapsed="false">
      <c r="A231" s="10" t="s">
        <v>15</v>
      </c>
      <c r="B231" s="10" t="n">
        <v>47037</v>
      </c>
      <c r="C231" s="40" t="n">
        <v>46190</v>
      </c>
      <c r="D231" s="10" t="s">
        <v>21</v>
      </c>
      <c r="E231" s="10" t="s">
        <v>185</v>
      </c>
      <c r="F231" s="10" t="s">
        <v>520</v>
      </c>
      <c r="G231" s="10" t="s">
        <v>521</v>
      </c>
      <c r="H231" s="10" t="s">
        <v>707</v>
      </c>
      <c r="I231" s="10" t="s">
        <v>708</v>
      </c>
      <c r="J231" s="10" t="s">
        <v>709</v>
      </c>
      <c r="K231" s="10" t="s">
        <v>714</v>
      </c>
      <c r="L231" s="10" t="s">
        <v>715</v>
      </c>
      <c r="M231" s="10" t="n">
        <v>13</v>
      </c>
      <c r="N231" s="10" t="n">
        <v>13</v>
      </c>
      <c r="O231" s="10" t="n">
        <f aca="false">M231-N231</f>
        <v>0</v>
      </c>
      <c r="P231" s="10" t="s">
        <v>716</v>
      </c>
      <c r="Q231" s="10" t="s">
        <v>448</v>
      </c>
      <c r="R231" s="10" t="s">
        <v>194</v>
      </c>
      <c r="S231" s="10" t="s">
        <v>70</v>
      </c>
    </row>
    <row r="232" customFormat="false" ht="15" hidden="false" customHeight="false" outlineLevel="0" collapsed="false">
      <c r="A232" s="10" t="s">
        <v>15</v>
      </c>
      <c r="B232" s="10" t="n">
        <v>47125</v>
      </c>
      <c r="C232" s="40" t="n">
        <v>46191</v>
      </c>
      <c r="D232" s="10" t="s">
        <v>21</v>
      </c>
      <c r="E232" s="10" t="s">
        <v>185</v>
      </c>
      <c r="F232" s="10" t="s">
        <v>520</v>
      </c>
      <c r="G232" s="10" t="s">
        <v>521</v>
      </c>
      <c r="H232" s="10" t="s">
        <v>34</v>
      </c>
      <c r="I232" s="10" t="s">
        <v>205</v>
      </c>
      <c r="J232" s="10" t="s">
        <v>189</v>
      </c>
      <c r="K232" s="10" t="s">
        <v>717</v>
      </c>
      <c r="L232" s="10" t="s">
        <v>718</v>
      </c>
      <c r="M232" s="10" t="n">
        <v>22</v>
      </c>
      <c r="N232" s="10" t="n">
        <v>22</v>
      </c>
      <c r="O232" s="10" t="n">
        <f aca="false">M232-N232</f>
        <v>0</v>
      </c>
      <c r="P232" s="10" t="s">
        <v>719</v>
      </c>
      <c r="Q232" s="10" t="s">
        <v>448</v>
      </c>
      <c r="R232" s="10" t="s">
        <v>194</v>
      </c>
      <c r="S232" s="10" t="s">
        <v>73</v>
      </c>
    </row>
    <row r="233" customFormat="false" ht="15" hidden="false" customHeight="false" outlineLevel="0" collapsed="false">
      <c r="A233" s="10" t="s">
        <v>15</v>
      </c>
      <c r="B233" s="10" t="n">
        <v>47127</v>
      </c>
      <c r="C233" s="40" t="n">
        <v>46191</v>
      </c>
      <c r="D233" s="10" t="s">
        <v>21</v>
      </c>
      <c r="E233" s="10" t="s">
        <v>185</v>
      </c>
      <c r="F233" s="10" t="s">
        <v>520</v>
      </c>
      <c r="G233" s="10" t="s">
        <v>521</v>
      </c>
      <c r="H233" s="10" t="s">
        <v>34</v>
      </c>
      <c r="I233" s="10" t="s">
        <v>205</v>
      </c>
      <c r="J233" s="10" t="s">
        <v>189</v>
      </c>
      <c r="K233" s="10" t="s">
        <v>720</v>
      </c>
      <c r="L233" s="10" t="s">
        <v>295</v>
      </c>
      <c r="M233" s="10" t="n">
        <v>28</v>
      </c>
      <c r="N233" s="10" t="n">
        <v>28</v>
      </c>
      <c r="O233" s="10" t="n">
        <f aca="false">M233-N233</f>
        <v>0</v>
      </c>
      <c r="P233" s="10" t="s">
        <v>721</v>
      </c>
      <c r="Q233" s="10" t="s">
        <v>448</v>
      </c>
      <c r="R233" s="10" t="s">
        <v>194</v>
      </c>
      <c r="S233" s="10" t="s">
        <v>73</v>
      </c>
    </row>
    <row r="234" customFormat="false" ht="15" hidden="false" customHeight="false" outlineLevel="0" collapsed="false">
      <c r="A234" s="10" t="s">
        <v>15</v>
      </c>
      <c r="B234" s="10" t="n">
        <v>47256</v>
      </c>
      <c r="C234" s="40" t="n">
        <v>46192</v>
      </c>
      <c r="D234" s="10" t="s">
        <v>20</v>
      </c>
      <c r="E234" s="10" t="s">
        <v>185</v>
      </c>
      <c r="F234" s="10" t="s">
        <v>347</v>
      </c>
      <c r="G234" s="10" t="s">
        <v>348</v>
      </c>
      <c r="H234" s="10" t="s">
        <v>34</v>
      </c>
      <c r="I234" s="10" t="s">
        <v>205</v>
      </c>
      <c r="J234" s="10" t="s">
        <v>189</v>
      </c>
      <c r="K234" s="10" t="s">
        <v>255</v>
      </c>
      <c r="L234" s="10" t="s">
        <v>191</v>
      </c>
      <c r="M234" s="10" t="n">
        <v>60</v>
      </c>
      <c r="N234" s="10" t="n">
        <v>60</v>
      </c>
      <c r="O234" s="10" t="n">
        <f aca="false">M234-N234</f>
        <v>0</v>
      </c>
      <c r="P234" s="10" t="s">
        <v>553</v>
      </c>
      <c r="Q234" s="10" t="s">
        <v>208</v>
      </c>
      <c r="R234" s="10" t="s">
        <v>194</v>
      </c>
      <c r="S234" s="10" t="s">
        <v>63</v>
      </c>
    </row>
    <row r="235" customFormat="false" ht="15" hidden="false" customHeight="false" outlineLevel="0" collapsed="false">
      <c r="A235" s="10" t="s">
        <v>15</v>
      </c>
      <c r="B235" s="10" t="n">
        <v>47257</v>
      </c>
      <c r="C235" s="40" t="n">
        <v>46192</v>
      </c>
      <c r="D235" s="10" t="s">
        <v>20</v>
      </c>
      <c r="E235" s="10" t="s">
        <v>185</v>
      </c>
      <c r="F235" s="10" t="s">
        <v>347</v>
      </c>
      <c r="G235" s="10" t="s">
        <v>348</v>
      </c>
      <c r="H235" s="10" t="s">
        <v>34</v>
      </c>
      <c r="I235" s="10" t="s">
        <v>205</v>
      </c>
      <c r="J235" s="10" t="s">
        <v>189</v>
      </c>
      <c r="K235" s="10" t="s">
        <v>191</v>
      </c>
      <c r="L235" s="10" t="s">
        <v>295</v>
      </c>
      <c r="M235" s="10" t="n">
        <v>60</v>
      </c>
      <c r="N235" s="10" t="n">
        <v>60</v>
      </c>
      <c r="O235" s="10" t="n">
        <f aca="false">M235-N235</f>
        <v>0</v>
      </c>
      <c r="P235" s="10" t="s">
        <v>553</v>
      </c>
      <c r="Q235" s="10" t="s">
        <v>208</v>
      </c>
      <c r="R235" s="10" t="s">
        <v>194</v>
      </c>
      <c r="S235" s="10" t="s">
        <v>63</v>
      </c>
    </row>
    <row r="236" customFormat="false" ht="15" hidden="false" customHeight="false" outlineLevel="0" collapsed="false">
      <c r="A236" s="10" t="s">
        <v>15</v>
      </c>
      <c r="B236" s="10" t="n">
        <v>47287</v>
      </c>
      <c r="C236" s="40" t="n">
        <v>46192</v>
      </c>
      <c r="D236" s="10" t="s">
        <v>30</v>
      </c>
      <c r="E236" s="10" t="s">
        <v>185</v>
      </c>
      <c r="F236" s="10" t="s">
        <v>722</v>
      </c>
      <c r="G236" s="10" t="s">
        <v>723</v>
      </c>
      <c r="H236" s="10" t="s">
        <v>34</v>
      </c>
      <c r="I236" s="10" t="s">
        <v>205</v>
      </c>
      <c r="J236" s="10" t="s">
        <v>189</v>
      </c>
      <c r="K236" s="10" t="s">
        <v>724</v>
      </c>
      <c r="L236" s="10" t="s">
        <v>226</v>
      </c>
      <c r="M236" s="10" t="n">
        <v>42</v>
      </c>
      <c r="N236" s="10" t="n">
        <v>42</v>
      </c>
      <c r="O236" s="10" t="n">
        <f aca="false">M236-N236</f>
        <v>0</v>
      </c>
      <c r="P236" s="10" t="s">
        <v>725</v>
      </c>
      <c r="Q236" s="10" t="s">
        <v>501</v>
      </c>
      <c r="R236" s="10" t="s">
        <v>194</v>
      </c>
      <c r="S236" s="10" t="s">
        <v>76</v>
      </c>
    </row>
    <row r="237" customFormat="false" ht="15" hidden="false" customHeight="false" outlineLevel="0" collapsed="false">
      <c r="A237" s="10" t="s">
        <v>15</v>
      </c>
      <c r="B237" s="10" t="n">
        <v>47406</v>
      </c>
      <c r="C237" s="40" t="n">
        <v>46193</v>
      </c>
      <c r="D237" s="10" t="s">
        <v>20</v>
      </c>
      <c r="E237" s="10" t="s">
        <v>185</v>
      </c>
      <c r="F237" s="10" t="s">
        <v>347</v>
      </c>
      <c r="G237" s="10" t="s">
        <v>348</v>
      </c>
      <c r="H237" s="10" t="s">
        <v>34</v>
      </c>
      <c r="I237" s="10" t="s">
        <v>205</v>
      </c>
      <c r="J237" s="10" t="s">
        <v>189</v>
      </c>
      <c r="K237" s="10" t="s">
        <v>726</v>
      </c>
      <c r="L237" s="10" t="s">
        <v>255</v>
      </c>
      <c r="M237" s="10" t="n">
        <v>29</v>
      </c>
      <c r="N237" s="10" t="n">
        <v>29</v>
      </c>
      <c r="O237" s="10" t="n">
        <f aca="false">M237-N237</f>
        <v>0</v>
      </c>
      <c r="P237" s="10" t="s">
        <v>553</v>
      </c>
      <c r="Q237" s="10" t="s">
        <v>208</v>
      </c>
      <c r="R237" s="10" t="s">
        <v>194</v>
      </c>
      <c r="S237" s="10" t="s">
        <v>63</v>
      </c>
    </row>
    <row r="238" customFormat="false" ht="15" hidden="false" customHeight="false" outlineLevel="0" collapsed="false">
      <c r="A238" s="10" t="s">
        <v>15</v>
      </c>
      <c r="B238" s="10" t="n">
        <v>47407</v>
      </c>
      <c r="C238" s="40" t="n">
        <v>46193</v>
      </c>
      <c r="D238" s="10" t="s">
        <v>20</v>
      </c>
      <c r="E238" s="10" t="s">
        <v>185</v>
      </c>
      <c r="F238" s="10" t="s">
        <v>347</v>
      </c>
      <c r="G238" s="10" t="s">
        <v>348</v>
      </c>
      <c r="H238" s="10" t="s">
        <v>34</v>
      </c>
      <c r="I238" s="10" t="s">
        <v>205</v>
      </c>
      <c r="J238" s="10" t="s">
        <v>189</v>
      </c>
      <c r="K238" s="10" t="s">
        <v>255</v>
      </c>
      <c r="L238" s="10" t="s">
        <v>191</v>
      </c>
      <c r="M238" s="10" t="n">
        <v>60</v>
      </c>
      <c r="N238" s="10" t="n">
        <v>60</v>
      </c>
      <c r="O238" s="10" t="n">
        <f aca="false">M238-N238</f>
        <v>0</v>
      </c>
      <c r="P238" s="10" t="s">
        <v>553</v>
      </c>
      <c r="Q238" s="10" t="s">
        <v>208</v>
      </c>
      <c r="R238" s="10" t="s">
        <v>194</v>
      </c>
      <c r="S238" s="10" t="s">
        <v>63</v>
      </c>
    </row>
    <row r="239" customFormat="false" ht="15" hidden="false" customHeight="false" outlineLevel="0" collapsed="false">
      <c r="A239" s="10" t="s">
        <v>15</v>
      </c>
      <c r="B239" s="10" t="n">
        <v>47409</v>
      </c>
      <c r="C239" s="40" t="n">
        <v>46193</v>
      </c>
      <c r="D239" s="10" t="s">
        <v>20</v>
      </c>
      <c r="E239" s="10" t="s">
        <v>185</v>
      </c>
      <c r="F239" s="10" t="s">
        <v>347</v>
      </c>
      <c r="G239" s="10" t="s">
        <v>348</v>
      </c>
      <c r="H239" s="10" t="s">
        <v>34</v>
      </c>
      <c r="I239" s="10" t="s">
        <v>205</v>
      </c>
      <c r="J239" s="10" t="s">
        <v>189</v>
      </c>
      <c r="K239" s="10" t="s">
        <v>662</v>
      </c>
      <c r="L239" s="10" t="s">
        <v>727</v>
      </c>
      <c r="M239" s="10" t="n">
        <v>35</v>
      </c>
      <c r="N239" s="10" t="n">
        <v>35</v>
      </c>
      <c r="O239" s="10" t="n">
        <f aca="false">M239-N239</f>
        <v>0</v>
      </c>
      <c r="P239" s="10" t="s">
        <v>553</v>
      </c>
      <c r="Q239" s="10" t="s">
        <v>208</v>
      </c>
      <c r="R239" s="10" t="s">
        <v>282</v>
      </c>
      <c r="S239" s="10" t="s">
        <v>63</v>
      </c>
    </row>
    <row r="240" customFormat="false" ht="15" hidden="false" customHeight="false" outlineLevel="0" collapsed="false">
      <c r="A240" s="10" t="s">
        <v>15</v>
      </c>
      <c r="B240" s="10" t="n">
        <v>47410</v>
      </c>
      <c r="C240" s="40" t="n">
        <v>46193</v>
      </c>
      <c r="D240" s="10" t="s">
        <v>20</v>
      </c>
      <c r="E240" s="10" t="s">
        <v>185</v>
      </c>
      <c r="F240" s="10" t="s">
        <v>347</v>
      </c>
      <c r="G240" s="10" t="s">
        <v>348</v>
      </c>
      <c r="H240" s="10" t="s">
        <v>34</v>
      </c>
      <c r="I240" s="10" t="s">
        <v>205</v>
      </c>
      <c r="J240" s="10" t="s">
        <v>189</v>
      </c>
      <c r="K240" s="10" t="s">
        <v>295</v>
      </c>
      <c r="L240" s="10" t="s">
        <v>223</v>
      </c>
      <c r="M240" s="10" t="n">
        <v>60</v>
      </c>
      <c r="N240" s="10" t="n">
        <v>60</v>
      </c>
      <c r="O240" s="10" t="n">
        <f aca="false">M240-N240</f>
        <v>0</v>
      </c>
      <c r="P240" s="10" t="s">
        <v>553</v>
      </c>
      <c r="Q240" s="10" t="s">
        <v>208</v>
      </c>
      <c r="R240" s="10" t="s">
        <v>194</v>
      </c>
      <c r="S240" s="10" t="s">
        <v>63</v>
      </c>
    </row>
    <row r="241" customFormat="false" ht="15" hidden="false" customHeight="false" outlineLevel="0" collapsed="false">
      <c r="A241" s="10" t="s">
        <v>15</v>
      </c>
      <c r="B241" s="10" t="n">
        <v>47411</v>
      </c>
      <c r="C241" s="40" t="n">
        <v>46193</v>
      </c>
      <c r="D241" s="10" t="s">
        <v>20</v>
      </c>
      <c r="E241" s="10" t="s">
        <v>185</v>
      </c>
      <c r="F241" s="10" t="s">
        <v>347</v>
      </c>
      <c r="G241" s="10" t="s">
        <v>348</v>
      </c>
      <c r="H241" s="10" t="s">
        <v>34</v>
      </c>
      <c r="I241" s="10" t="s">
        <v>205</v>
      </c>
      <c r="J241" s="10" t="s">
        <v>189</v>
      </c>
      <c r="K241" s="10" t="s">
        <v>223</v>
      </c>
      <c r="L241" s="10" t="s">
        <v>226</v>
      </c>
      <c r="M241" s="10" t="n">
        <v>60</v>
      </c>
      <c r="N241" s="10" t="n">
        <v>60</v>
      </c>
      <c r="O241" s="10" t="n">
        <f aca="false">M241-N241</f>
        <v>0</v>
      </c>
      <c r="P241" s="10" t="s">
        <v>728</v>
      </c>
      <c r="Q241" s="10" t="s">
        <v>208</v>
      </c>
      <c r="R241" s="10" t="s">
        <v>194</v>
      </c>
      <c r="S241" s="10" t="s">
        <v>63</v>
      </c>
    </row>
    <row r="242" customFormat="false" ht="15" hidden="false" customHeight="false" outlineLevel="0" collapsed="false">
      <c r="A242" s="10" t="s">
        <v>15</v>
      </c>
      <c r="B242" s="10" t="n">
        <v>47413</v>
      </c>
      <c r="C242" s="40" t="n">
        <v>46193</v>
      </c>
      <c r="D242" s="10" t="s">
        <v>20</v>
      </c>
      <c r="E242" s="10" t="s">
        <v>185</v>
      </c>
      <c r="F242" s="10" t="s">
        <v>347</v>
      </c>
      <c r="G242" s="10" t="s">
        <v>348</v>
      </c>
      <c r="H242" s="10" t="s">
        <v>34</v>
      </c>
      <c r="I242" s="10" t="s">
        <v>205</v>
      </c>
      <c r="J242" s="10" t="s">
        <v>189</v>
      </c>
      <c r="K242" s="10" t="s">
        <v>301</v>
      </c>
      <c r="L242" s="10" t="s">
        <v>228</v>
      </c>
      <c r="M242" s="10" t="n">
        <v>30</v>
      </c>
      <c r="N242" s="10" t="n">
        <v>30</v>
      </c>
      <c r="O242" s="10" t="n">
        <f aca="false">M242-N242</f>
        <v>0</v>
      </c>
      <c r="P242" s="10" t="s">
        <v>553</v>
      </c>
      <c r="Q242" s="10" t="s">
        <v>208</v>
      </c>
      <c r="R242" s="10" t="s">
        <v>194</v>
      </c>
      <c r="S242" s="10" t="s">
        <v>63</v>
      </c>
    </row>
    <row r="243" customFormat="false" ht="15" hidden="false" customHeight="false" outlineLevel="0" collapsed="false">
      <c r="A243" s="10" t="s">
        <v>15</v>
      </c>
      <c r="B243" s="10" t="n">
        <v>47414</v>
      </c>
      <c r="C243" s="40" t="n">
        <v>46193</v>
      </c>
      <c r="D243" s="10" t="s">
        <v>20</v>
      </c>
      <c r="E243" s="10" t="s">
        <v>185</v>
      </c>
      <c r="F243" s="10" t="s">
        <v>347</v>
      </c>
      <c r="G243" s="10" t="s">
        <v>348</v>
      </c>
      <c r="H243" s="10" t="s">
        <v>34</v>
      </c>
      <c r="I243" s="10" t="s">
        <v>205</v>
      </c>
      <c r="J243" s="10" t="s">
        <v>189</v>
      </c>
      <c r="K243" s="10" t="s">
        <v>228</v>
      </c>
      <c r="L243" s="10" t="s">
        <v>199</v>
      </c>
      <c r="M243" s="10" t="n">
        <v>60</v>
      </c>
      <c r="N243" s="10" t="n">
        <v>60</v>
      </c>
      <c r="O243" s="10" t="n">
        <f aca="false">M243-N243</f>
        <v>0</v>
      </c>
      <c r="P243" s="10" t="s">
        <v>553</v>
      </c>
      <c r="Q243" s="10" t="s">
        <v>208</v>
      </c>
      <c r="R243" s="10" t="s">
        <v>194</v>
      </c>
      <c r="S243" s="10" t="s">
        <v>63</v>
      </c>
    </row>
    <row r="244" customFormat="false" ht="15" hidden="false" customHeight="false" outlineLevel="0" collapsed="false">
      <c r="A244" s="10" t="s">
        <v>15</v>
      </c>
      <c r="B244" s="10" t="n">
        <v>47621</v>
      </c>
      <c r="C244" s="40" t="n">
        <v>46196</v>
      </c>
      <c r="D244" s="10" t="s">
        <v>25</v>
      </c>
      <c r="E244" s="10" t="s">
        <v>185</v>
      </c>
      <c r="F244" s="10" t="s">
        <v>411</v>
      </c>
      <c r="G244" s="10" t="s">
        <v>412</v>
      </c>
      <c r="H244" s="10" t="s">
        <v>38</v>
      </c>
      <c r="I244" s="10" t="s">
        <v>415</v>
      </c>
      <c r="J244" s="10" t="s">
        <v>189</v>
      </c>
      <c r="K244" s="10" t="s">
        <v>210</v>
      </c>
      <c r="L244" s="10" t="s">
        <v>223</v>
      </c>
      <c r="M244" s="10" t="n">
        <v>50</v>
      </c>
      <c r="N244" s="10" t="n">
        <v>50</v>
      </c>
      <c r="O244" s="10" t="n">
        <f aca="false">M244-N244</f>
        <v>0</v>
      </c>
      <c r="P244" s="10" t="s">
        <v>729</v>
      </c>
      <c r="Q244" s="10" t="s">
        <v>359</v>
      </c>
      <c r="R244" s="10" t="s">
        <v>194</v>
      </c>
      <c r="S244" s="10" t="s">
        <v>129</v>
      </c>
    </row>
    <row r="245" customFormat="false" ht="15" hidden="false" customHeight="false" outlineLevel="0" collapsed="false">
      <c r="A245" s="10" t="s">
        <v>15</v>
      </c>
      <c r="B245" s="10" t="n">
        <v>47622</v>
      </c>
      <c r="C245" s="40" t="n">
        <v>46196</v>
      </c>
      <c r="D245" s="10" t="s">
        <v>25</v>
      </c>
      <c r="E245" s="10" t="s">
        <v>185</v>
      </c>
      <c r="F245" s="10" t="s">
        <v>411</v>
      </c>
      <c r="G245" s="10" t="s">
        <v>412</v>
      </c>
      <c r="H245" s="10" t="s">
        <v>548</v>
      </c>
      <c r="I245" s="10" t="s">
        <v>549</v>
      </c>
      <c r="J245" s="10" t="s">
        <v>384</v>
      </c>
      <c r="K245" s="10" t="s">
        <v>727</v>
      </c>
      <c r="L245" s="10" t="s">
        <v>295</v>
      </c>
      <c r="M245" s="10" t="n">
        <v>15</v>
      </c>
      <c r="N245" s="10" t="n">
        <v>15</v>
      </c>
      <c r="O245" s="10" t="n">
        <f aca="false">M245-N245</f>
        <v>0</v>
      </c>
      <c r="P245" s="10" t="s">
        <v>730</v>
      </c>
      <c r="Q245" s="10" t="s">
        <v>359</v>
      </c>
      <c r="R245" s="10" t="s">
        <v>194</v>
      </c>
      <c r="S245" s="10" t="s">
        <v>129</v>
      </c>
    </row>
    <row r="246" customFormat="false" ht="15" hidden="false" customHeight="false" outlineLevel="0" collapsed="false">
      <c r="A246" s="10" t="s">
        <v>15</v>
      </c>
      <c r="B246" s="10" t="n">
        <v>47623</v>
      </c>
      <c r="C246" s="40" t="n">
        <v>46196</v>
      </c>
      <c r="D246" s="10" t="s">
        <v>25</v>
      </c>
      <c r="E246" s="10" t="s">
        <v>185</v>
      </c>
      <c r="F246" s="10" t="s">
        <v>411</v>
      </c>
      <c r="G246" s="10" t="s">
        <v>412</v>
      </c>
      <c r="H246" s="10" t="s">
        <v>38</v>
      </c>
      <c r="I246" s="10" t="s">
        <v>415</v>
      </c>
      <c r="J246" s="10" t="s">
        <v>189</v>
      </c>
      <c r="K246" s="10" t="s">
        <v>223</v>
      </c>
      <c r="L246" s="10" t="s">
        <v>731</v>
      </c>
      <c r="M246" s="10" t="n">
        <v>40</v>
      </c>
      <c r="N246" s="10" t="n">
        <v>40</v>
      </c>
      <c r="O246" s="10" t="n">
        <f aca="false">M246-N246</f>
        <v>0</v>
      </c>
      <c r="P246" s="10" t="s">
        <v>732</v>
      </c>
      <c r="Q246" s="10" t="s">
        <v>359</v>
      </c>
      <c r="R246" s="10" t="s">
        <v>194</v>
      </c>
      <c r="S246" s="10" t="s">
        <v>93</v>
      </c>
    </row>
    <row r="247" customFormat="false" ht="15" hidden="false" customHeight="false" outlineLevel="0" collapsed="false">
      <c r="A247" s="10" t="s">
        <v>15</v>
      </c>
      <c r="B247" s="10" t="n">
        <v>47828</v>
      </c>
      <c r="C247" s="40" t="n">
        <v>46198</v>
      </c>
      <c r="D247" s="10" t="s">
        <v>26</v>
      </c>
      <c r="E247" s="10" t="s">
        <v>185</v>
      </c>
      <c r="F247" s="10" t="s">
        <v>733</v>
      </c>
      <c r="G247" s="10" t="s">
        <v>734</v>
      </c>
      <c r="H247" s="10" t="s">
        <v>39</v>
      </c>
      <c r="I247" s="10" t="s">
        <v>221</v>
      </c>
      <c r="J247" s="10" t="s">
        <v>189</v>
      </c>
      <c r="K247" s="10" t="s">
        <v>662</v>
      </c>
      <c r="L247" s="10" t="s">
        <v>361</v>
      </c>
      <c r="M247" s="10" t="n">
        <v>20</v>
      </c>
      <c r="N247" s="10" t="n">
        <v>20</v>
      </c>
      <c r="O247" s="10" t="n">
        <f aca="false">M247-N247</f>
        <v>0</v>
      </c>
      <c r="P247" s="10" t="s">
        <v>735</v>
      </c>
      <c r="Q247" s="10" t="s">
        <v>237</v>
      </c>
      <c r="R247" s="10" t="s">
        <v>194</v>
      </c>
      <c r="S247" s="10" t="s">
        <v>76</v>
      </c>
    </row>
    <row r="248" customFormat="false" ht="15" hidden="false" customHeight="false" outlineLevel="0" collapsed="false">
      <c r="A248" s="10" t="s">
        <v>15</v>
      </c>
      <c r="B248" s="10" t="n">
        <v>47843</v>
      </c>
      <c r="C248" s="40" t="n">
        <v>46198</v>
      </c>
      <c r="D248" s="10" t="s">
        <v>21</v>
      </c>
      <c r="E248" s="10" t="s">
        <v>185</v>
      </c>
      <c r="F248" s="10" t="s">
        <v>736</v>
      </c>
      <c r="G248" s="10" t="s">
        <v>737</v>
      </c>
      <c r="H248" s="10" t="s">
        <v>34</v>
      </c>
      <c r="I248" s="10" t="s">
        <v>205</v>
      </c>
      <c r="J248" s="10" t="s">
        <v>189</v>
      </c>
      <c r="K248" s="10" t="s">
        <v>731</v>
      </c>
      <c r="L248" s="10" t="s">
        <v>226</v>
      </c>
      <c r="M248" s="10" t="n">
        <v>20</v>
      </c>
      <c r="N248" s="10" t="n">
        <v>20</v>
      </c>
      <c r="O248" s="10" t="n">
        <f aca="false">M248-N248</f>
        <v>0</v>
      </c>
      <c r="P248" s="10" t="s">
        <v>738</v>
      </c>
      <c r="Q248" s="10" t="s">
        <v>501</v>
      </c>
      <c r="R248" s="10" t="s">
        <v>194</v>
      </c>
      <c r="S248" s="10" t="s">
        <v>73</v>
      </c>
    </row>
    <row r="249" customFormat="false" ht="15" hidden="false" customHeight="false" outlineLevel="0" collapsed="false">
      <c r="A249" s="10" t="s">
        <v>15</v>
      </c>
      <c r="B249" s="10" t="n">
        <v>47845</v>
      </c>
      <c r="C249" s="40" t="n">
        <v>46198</v>
      </c>
      <c r="D249" s="10" t="s">
        <v>21</v>
      </c>
      <c r="E249" s="10" t="s">
        <v>185</v>
      </c>
      <c r="F249" s="10" t="s">
        <v>736</v>
      </c>
      <c r="G249" s="10" t="s">
        <v>737</v>
      </c>
      <c r="H249" s="10" t="s">
        <v>34</v>
      </c>
      <c r="I249" s="10" t="s">
        <v>205</v>
      </c>
      <c r="J249" s="10" t="s">
        <v>189</v>
      </c>
      <c r="K249" s="10" t="s">
        <v>739</v>
      </c>
      <c r="L249" s="10" t="s">
        <v>740</v>
      </c>
      <c r="M249" s="10" t="n">
        <v>10</v>
      </c>
      <c r="N249" s="10" t="n">
        <v>10</v>
      </c>
      <c r="O249" s="10" t="n">
        <f aca="false">M249-N249</f>
        <v>0</v>
      </c>
      <c r="P249" s="10" t="s">
        <v>741</v>
      </c>
      <c r="Q249" s="10" t="s">
        <v>501</v>
      </c>
      <c r="R249" s="10" t="s">
        <v>194</v>
      </c>
      <c r="S249" s="10" t="s">
        <v>73</v>
      </c>
    </row>
    <row r="250" customFormat="false" ht="15" hidden="false" customHeight="false" outlineLevel="0" collapsed="false">
      <c r="A250" s="10" t="s">
        <v>15</v>
      </c>
      <c r="B250" s="10" t="n">
        <v>47871</v>
      </c>
      <c r="C250" s="40" t="n">
        <v>46198</v>
      </c>
      <c r="D250" s="10" t="s">
        <v>26</v>
      </c>
      <c r="E250" s="10" t="s">
        <v>185</v>
      </c>
      <c r="F250" s="10" t="s">
        <v>742</v>
      </c>
      <c r="G250" s="10" t="s">
        <v>743</v>
      </c>
      <c r="H250" s="10" t="s">
        <v>34</v>
      </c>
      <c r="I250" s="10" t="s">
        <v>205</v>
      </c>
      <c r="J250" s="10" t="s">
        <v>189</v>
      </c>
      <c r="K250" s="10" t="s">
        <v>228</v>
      </c>
      <c r="L250" s="10" t="s">
        <v>199</v>
      </c>
      <c r="M250" s="10" t="n">
        <v>60</v>
      </c>
      <c r="N250" s="10" t="n">
        <v>60</v>
      </c>
      <c r="O250" s="10" t="n">
        <f aca="false">M250-N250</f>
        <v>0</v>
      </c>
      <c r="P250" s="10"/>
      <c r="Q250" s="10" t="s">
        <v>237</v>
      </c>
      <c r="R250" s="10" t="s">
        <v>194</v>
      </c>
      <c r="S250" s="10" t="s">
        <v>147</v>
      </c>
    </row>
    <row r="251" customFormat="false" ht="15" hidden="false" customHeight="false" outlineLevel="0" collapsed="false">
      <c r="A251" s="10" t="s">
        <v>15</v>
      </c>
      <c r="B251" s="10" t="n">
        <v>47872</v>
      </c>
      <c r="C251" s="40" t="n">
        <v>46198</v>
      </c>
      <c r="D251" s="10" t="s">
        <v>26</v>
      </c>
      <c r="E251" s="10" t="s">
        <v>185</v>
      </c>
      <c r="F251" s="10" t="s">
        <v>742</v>
      </c>
      <c r="G251" s="10" t="s">
        <v>743</v>
      </c>
      <c r="H251" s="10" t="s">
        <v>34</v>
      </c>
      <c r="I251" s="10" t="s">
        <v>205</v>
      </c>
      <c r="J251" s="10" t="s">
        <v>189</v>
      </c>
      <c r="K251" s="10" t="s">
        <v>199</v>
      </c>
      <c r="L251" s="10" t="s">
        <v>283</v>
      </c>
      <c r="M251" s="10" t="n">
        <v>60</v>
      </c>
      <c r="N251" s="10" t="n">
        <v>60</v>
      </c>
      <c r="O251" s="10" t="n">
        <f aca="false">M251-N251</f>
        <v>0</v>
      </c>
      <c r="P251" s="10"/>
      <c r="Q251" s="10" t="s">
        <v>237</v>
      </c>
      <c r="R251" s="10" t="s">
        <v>194</v>
      </c>
      <c r="S251" s="10" t="s">
        <v>147</v>
      </c>
    </row>
    <row r="252" customFormat="false" ht="15" hidden="false" customHeight="false" outlineLevel="0" collapsed="false">
      <c r="A252" s="10" t="s">
        <v>15</v>
      </c>
      <c r="B252" s="10" t="n">
        <v>47901</v>
      </c>
      <c r="C252" s="40" t="n">
        <v>46198</v>
      </c>
      <c r="D252" s="10" t="s">
        <v>24</v>
      </c>
      <c r="E252" s="10" t="s">
        <v>258</v>
      </c>
      <c r="F252" s="10" t="s">
        <v>219</v>
      </c>
      <c r="G252" s="10" t="s">
        <v>220</v>
      </c>
      <c r="H252" s="10" t="s">
        <v>39</v>
      </c>
      <c r="I252" s="10" t="s">
        <v>221</v>
      </c>
      <c r="J252" s="10" t="s">
        <v>189</v>
      </c>
      <c r="K252" s="10" t="s">
        <v>465</v>
      </c>
      <c r="L252" s="10" t="s">
        <v>332</v>
      </c>
      <c r="M252" s="10" t="n">
        <v>35</v>
      </c>
      <c r="N252" s="10" t="n">
        <v>35</v>
      </c>
      <c r="O252" s="10" t="n">
        <f aca="false">M252-N252</f>
        <v>0</v>
      </c>
      <c r="P252" s="10" t="s">
        <v>744</v>
      </c>
      <c r="Q252" s="10" t="s">
        <v>202</v>
      </c>
      <c r="R252" s="10" t="s">
        <v>194</v>
      </c>
      <c r="S252" s="10" t="s">
        <v>76</v>
      </c>
    </row>
    <row r="253" customFormat="false" ht="15" hidden="false" customHeight="false" outlineLevel="0" collapsed="false">
      <c r="A253" s="10" t="s">
        <v>15</v>
      </c>
      <c r="B253" s="10" t="n">
        <v>47903</v>
      </c>
      <c r="C253" s="40" t="n">
        <v>46198</v>
      </c>
      <c r="D253" s="10" t="s">
        <v>26</v>
      </c>
      <c r="E253" s="10" t="s">
        <v>258</v>
      </c>
      <c r="F253" s="10" t="s">
        <v>742</v>
      </c>
      <c r="G253" s="10" t="s">
        <v>743</v>
      </c>
      <c r="H253" s="10" t="s">
        <v>34</v>
      </c>
      <c r="I253" s="10" t="s">
        <v>205</v>
      </c>
      <c r="J253" s="10" t="s">
        <v>189</v>
      </c>
      <c r="K253" s="10" t="s">
        <v>256</v>
      </c>
      <c r="L253" s="10" t="s">
        <v>745</v>
      </c>
      <c r="M253" s="10" t="n">
        <v>30</v>
      </c>
      <c r="N253" s="10" t="n">
        <v>30</v>
      </c>
      <c r="O253" s="10" t="n">
        <f aca="false">M253-N253</f>
        <v>0</v>
      </c>
      <c r="P253" s="10" t="s">
        <v>746</v>
      </c>
      <c r="Q253" s="10" t="s">
        <v>208</v>
      </c>
      <c r="R253" s="10" t="s">
        <v>194</v>
      </c>
      <c r="S253" s="10" t="s">
        <v>73</v>
      </c>
    </row>
    <row r="254" customFormat="false" ht="15" hidden="false" customHeight="false" outlineLevel="0" collapsed="false">
      <c r="A254" s="10" t="s">
        <v>15</v>
      </c>
      <c r="B254" s="10" t="n">
        <v>47907</v>
      </c>
      <c r="C254" s="40" t="n">
        <v>46198</v>
      </c>
      <c r="D254" s="10" t="s">
        <v>26</v>
      </c>
      <c r="E254" s="10" t="s">
        <v>258</v>
      </c>
      <c r="F254" s="10" t="s">
        <v>742</v>
      </c>
      <c r="G254" s="10" t="s">
        <v>743</v>
      </c>
      <c r="H254" s="10" t="s">
        <v>34</v>
      </c>
      <c r="I254" s="10" t="s">
        <v>205</v>
      </c>
      <c r="J254" s="10" t="s">
        <v>189</v>
      </c>
      <c r="K254" s="10" t="s">
        <v>332</v>
      </c>
      <c r="L254" s="10" t="s">
        <v>335</v>
      </c>
      <c r="M254" s="10" t="n">
        <v>60</v>
      </c>
      <c r="N254" s="10" t="n">
        <v>60</v>
      </c>
      <c r="O254" s="10" t="n">
        <f aca="false">M254-N254</f>
        <v>0</v>
      </c>
      <c r="P254" s="10" t="s">
        <v>746</v>
      </c>
      <c r="Q254" s="10" t="s">
        <v>208</v>
      </c>
      <c r="R254" s="10" t="s">
        <v>194</v>
      </c>
      <c r="S254" s="10" t="s">
        <v>73</v>
      </c>
    </row>
    <row r="255" customFormat="false" ht="15" hidden="false" customHeight="false" outlineLevel="0" collapsed="false">
      <c r="A255" s="10" t="s">
        <v>15</v>
      </c>
      <c r="B255" s="10" t="n">
        <v>47911</v>
      </c>
      <c r="C255" s="40" t="n">
        <v>46198</v>
      </c>
      <c r="D255" s="10" t="s">
        <v>26</v>
      </c>
      <c r="E255" s="10" t="s">
        <v>258</v>
      </c>
      <c r="F255" s="10" t="s">
        <v>742</v>
      </c>
      <c r="G255" s="10" t="s">
        <v>743</v>
      </c>
      <c r="H255" s="10" t="s">
        <v>34</v>
      </c>
      <c r="I255" s="10" t="s">
        <v>205</v>
      </c>
      <c r="J255" s="10" t="s">
        <v>189</v>
      </c>
      <c r="K255" s="10" t="s">
        <v>337</v>
      </c>
      <c r="L255" s="10" t="s">
        <v>338</v>
      </c>
      <c r="M255" s="10" t="n">
        <v>15</v>
      </c>
      <c r="N255" s="10" t="n">
        <v>15</v>
      </c>
      <c r="O255" s="10" t="n">
        <f aca="false">M255-N255</f>
        <v>0</v>
      </c>
      <c r="P255" s="10" t="s">
        <v>747</v>
      </c>
      <c r="Q255" s="10" t="s">
        <v>208</v>
      </c>
      <c r="R255" s="10" t="s">
        <v>194</v>
      </c>
      <c r="S255" s="10" t="s">
        <v>86</v>
      </c>
    </row>
    <row r="256" customFormat="false" ht="15" hidden="false" customHeight="false" outlineLevel="0" collapsed="false">
      <c r="A256" s="10" t="s">
        <v>15</v>
      </c>
      <c r="B256" s="10" t="n">
        <v>47923</v>
      </c>
      <c r="C256" s="40" t="n">
        <v>46198</v>
      </c>
      <c r="D256" s="10" t="s">
        <v>26</v>
      </c>
      <c r="E256" s="10" t="s">
        <v>258</v>
      </c>
      <c r="F256" s="10" t="s">
        <v>742</v>
      </c>
      <c r="G256" s="10" t="s">
        <v>743</v>
      </c>
      <c r="H256" s="10" t="s">
        <v>34</v>
      </c>
      <c r="I256" s="10" t="s">
        <v>205</v>
      </c>
      <c r="J256" s="10" t="s">
        <v>189</v>
      </c>
      <c r="K256" s="10" t="s">
        <v>578</v>
      </c>
      <c r="L256" s="10" t="s">
        <v>748</v>
      </c>
      <c r="M256" s="10" t="n">
        <v>5</v>
      </c>
      <c r="N256" s="10" t="n">
        <v>5</v>
      </c>
      <c r="O256" s="10" t="n">
        <f aca="false">M256-N256</f>
        <v>0</v>
      </c>
      <c r="P256" s="10" t="s">
        <v>749</v>
      </c>
      <c r="Q256" s="10" t="s">
        <v>208</v>
      </c>
      <c r="R256" s="10" t="s">
        <v>194</v>
      </c>
      <c r="S256" s="10" t="s">
        <v>73</v>
      </c>
    </row>
    <row r="257" customFormat="false" ht="15" hidden="false" customHeight="false" outlineLevel="0" collapsed="false">
      <c r="A257" s="10" t="s">
        <v>15</v>
      </c>
      <c r="B257" s="10" t="n">
        <v>47924</v>
      </c>
      <c r="C257" s="40" t="n">
        <v>46198</v>
      </c>
      <c r="D257" s="10" t="s">
        <v>26</v>
      </c>
      <c r="E257" s="10" t="s">
        <v>258</v>
      </c>
      <c r="F257" s="10" t="s">
        <v>742</v>
      </c>
      <c r="G257" s="10" t="s">
        <v>743</v>
      </c>
      <c r="H257" s="10" t="s">
        <v>34</v>
      </c>
      <c r="I257" s="10" t="s">
        <v>205</v>
      </c>
      <c r="J257" s="10" t="s">
        <v>189</v>
      </c>
      <c r="K257" s="10" t="s">
        <v>750</v>
      </c>
      <c r="L257" s="10" t="s">
        <v>750</v>
      </c>
      <c r="M257" s="10" t="n">
        <v>0</v>
      </c>
      <c r="N257" s="10" t="n">
        <v>0</v>
      </c>
      <c r="O257" s="10" t="n">
        <f aca="false">M257-N257</f>
        <v>0</v>
      </c>
      <c r="P257" s="10" t="s">
        <v>751</v>
      </c>
      <c r="Q257" s="10" t="s">
        <v>208</v>
      </c>
      <c r="R257" s="10" t="s">
        <v>282</v>
      </c>
      <c r="S257" s="10" t="s">
        <v>73</v>
      </c>
    </row>
    <row r="258" customFormat="false" ht="15" hidden="false" customHeight="false" outlineLevel="0" collapsed="false">
      <c r="A258" s="10" t="s">
        <v>15</v>
      </c>
      <c r="B258" s="10" t="n">
        <v>47930</v>
      </c>
      <c r="C258" s="40" t="n">
        <v>46198</v>
      </c>
      <c r="D258" s="10" t="s">
        <v>26</v>
      </c>
      <c r="E258" s="10" t="s">
        <v>258</v>
      </c>
      <c r="F258" s="10" t="s">
        <v>742</v>
      </c>
      <c r="G258" s="10" t="s">
        <v>743</v>
      </c>
      <c r="H258" s="10" t="s">
        <v>37</v>
      </c>
      <c r="I258" s="10" t="s">
        <v>188</v>
      </c>
      <c r="J258" s="10" t="s">
        <v>189</v>
      </c>
      <c r="K258" s="10" t="s">
        <v>476</v>
      </c>
      <c r="L258" s="10" t="s">
        <v>461</v>
      </c>
      <c r="M258" s="10" t="n">
        <v>20</v>
      </c>
      <c r="N258" s="10" t="n">
        <v>20</v>
      </c>
      <c r="O258" s="10" t="n">
        <f aca="false">M258-N258</f>
        <v>0</v>
      </c>
      <c r="P258" s="10" t="s">
        <v>752</v>
      </c>
      <c r="Q258" s="10" t="s">
        <v>208</v>
      </c>
      <c r="R258" s="10" t="s">
        <v>194</v>
      </c>
      <c r="S258" s="10" t="s">
        <v>67</v>
      </c>
    </row>
    <row r="259" customFormat="false" ht="15" hidden="false" customHeight="false" outlineLevel="0" collapsed="false">
      <c r="A259" s="10" t="s">
        <v>15</v>
      </c>
      <c r="B259" s="10" t="n">
        <v>47972</v>
      </c>
      <c r="C259" s="40" t="n">
        <v>46199</v>
      </c>
      <c r="D259" s="10" t="s">
        <v>22</v>
      </c>
      <c r="E259" s="10" t="s">
        <v>185</v>
      </c>
      <c r="F259" s="10" t="s">
        <v>380</v>
      </c>
      <c r="G259" s="10" t="s">
        <v>381</v>
      </c>
      <c r="H259" s="10" t="s">
        <v>34</v>
      </c>
      <c r="I259" s="10" t="s">
        <v>205</v>
      </c>
      <c r="J259" s="10" t="s">
        <v>189</v>
      </c>
      <c r="K259" s="10" t="s">
        <v>753</v>
      </c>
      <c r="L259" s="10" t="s">
        <v>199</v>
      </c>
      <c r="M259" s="10" t="n">
        <v>24</v>
      </c>
      <c r="N259" s="10" t="n">
        <v>24</v>
      </c>
      <c r="O259" s="10" t="n">
        <f aca="false">M259-N259</f>
        <v>0</v>
      </c>
      <c r="P259" s="10" t="s">
        <v>754</v>
      </c>
      <c r="Q259" s="10" t="s">
        <v>243</v>
      </c>
      <c r="R259" s="10" t="s">
        <v>194</v>
      </c>
      <c r="S259" s="10" t="s">
        <v>102</v>
      </c>
    </row>
    <row r="260" customFormat="false" ht="15" hidden="false" customHeight="false" outlineLevel="0" collapsed="false">
      <c r="A260" s="10" t="s">
        <v>15</v>
      </c>
      <c r="B260" s="10" t="n">
        <v>47973</v>
      </c>
      <c r="C260" s="40" t="n">
        <v>46199</v>
      </c>
      <c r="D260" s="10" t="s">
        <v>22</v>
      </c>
      <c r="E260" s="10" t="s">
        <v>185</v>
      </c>
      <c r="F260" s="10" t="s">
        <v>380</v>
      </c>
      <c r="G260" s="10" t="s">
        <v>381</v>
      </c>
      <c r="H260" s="10" t="s">
        <v>34</v>
      </c>
      <c r="I260" s="10" t="s">
        <v>205</v>
      </c>
      <c r="J260" s="10" t="s">
        <v>189</v>
      </c>
      <c r="K260" s="10" t="s">
        <v>199</v>
      </c>
      <c r="L260" s="10" t="s">
        <v>283</v>
      </c>
      <c r="M260" s="10" t="n">
        <v>60</v>
      </c>
      <c r="N260" s="10" t="n">
        <v>60</v>
      </c>
      <c r="O260" s="10" t="n">
        <f aca="false">M260-N260</f>
        <v>0</v>
      </c>
      <c r="P260" s="10" t="s">
        <v>755</v>
      </c>
      <c r="Q260" s="10" t="s">
        <v>243</v>
      </c>
      <c r="R260" s="10" t="s">
        <v>194</v>
      </c>
      <c r="S260" s="10" t="s">
        <v>102</v>
      </c>
    </row>
    <row r="261" customFormat="false" ht="15" hidden="false" customHeight="false" outlineLevel="0" collapsed="false">
      <c r="A261" s="10" t="s">
        <v>15</v>
      </c>
      <c r="B261" s="10" t="n">
        <v>47993</v>
      </c>
      <c r="C261" s="40" t="n">
        <v>46199</v>
      </c>
      <c r="D261" s="10" t="s">
        <v>21</v>
      </c>
      <c r="E261" s="10" t="s">
        <v>185</v>
      </c>
      <c r="F261" s="10" t="s">
        <v>736</v>
      </c>
      <c r="G261" s="10" t="s">
        <v>737</v>
      </c>
      <c r="H261" s="10" t="s">
        <v>34</v>
      </c>
      <c r="I261" s="10" t="s">
        <v>205</v>
      </c>
      <c r="J261" s="10" t="s">
        <v>189</v>
      </c>
      <c r="K261" s="10" t="s">
        <v>756</v>
      </c>
      <c r="L261" s="10" t="s">
        <v>199</v>
      </c>
      <c r="M261" s="10" t="n">
        <v>21</v>
      </c>
      <c r="N261" s="10" t="n">
        <v>21</v>
      </c>
      <c r="O261" s="10" t="n">
        <f aca="false">M261-N261</f>
        <v>0</v>
      </c>
      <c r="P261" s="10" t="s">
        <v>757</v>
      </c>
      <c r="Q261" s="10" t="s">
        <v>501</v>
      </c>
      <c r="R261" s="10" t="s">
        <v>194</v>
      </c>
      <c r="S261" s="10" t="s">
        <v>76</v>
      </c>
    </row>
    <row r="262" customFormat="false" ht="15" hidden="false" customHeight="false" outlineLevel="0" collapsed="false">
      <c r="A262" s="10" t="s">
        <v>15</v>
      </c>
      <c r="B262" s="10" t="n">
        <v>48004</v>
      </c>
      <c r="C262" s="40" t="n">
        <v>46199</v>
      </c>
      <c r="D262" s="10" t="s">
        <v>22</v>
      </c>
      <c r="E262" s="10" t="s">
        <v>185</v>
      </c>
      <c r="F262" s="10" t="s">
        <v>380</v>
      </c>
      <c r="G262" s="10" t="s">
        <v>381</v>
      </c>
      <c r="H262" s="10" t="s">
        <v>34</v>
      </c>
      <c r="I262" s="10" t="s">
        <v>205</v>
      </c>
      <c r="J262" s="10" t="s">
        <v>189</v>
      </c>
      <c r="K262" s="10" t="s">
        <v>283</v>
      </c>
      <c r="L262" s="10" t="s">
        <v>758</v>
      </c>
      <c r="M262" s="10" t="n">
        <v>10</v>
      </c>
      <c r="N262" s="10" t="n">
        <v>10</v>
      </c>
      <c r="O262" s="10" t="n">
        <f aca="false">M262-N262</f>
        <v>0</v>
      </c>
      <c r="P262" s="10" t="s">
        <v>759</v>
      </c>
      <c r="Q262" s="10" t="s">
        <v>243</v>
      </c>
      <c r="R262" s="10" t="s">
        <v>194</v>
      </c>
      <c r="S262" s="10" t="s">
        <v>102</v>
      </c>
    </row>
    <row r="263" customFormat="false" ht="15" hidden="false" customHeight="false" outlineLevel="0" collapsed="false">
      <c r="A263" s="10" t="s">
        <v>15</v>
      </c>
      <c r="B263" s="10" t="n">
        <v>48013</v>
      </c>
      <c r="C263" s="40" t="n">
        <v>46199</v>
      </c>
      <c r="D263" s="10" t="s">
        <v>29</v>
      </c>
      <c r="E263" s="10" t="s">
        <v>185</v>
      </c>
      <c r="F263" s="10" t="s">
        <v>430</v>
      </c>
      <c r="G263" s="10" t="s">
        <v>431</v>
      </c>
      <c r="H263" s="10" t="s">
        <v>522</v>
      </c>
      <c r="I263" s="10" t="s">
        <v>523</v>
      </c>
      <c r="J263" s="10" t="s">
        <v>189</v>
      </c>
      <c r="K263" s="10" t="s">
        <v>226</v>
      </c>
      <c r="L263" s="10" t="s">
        <v>760</v>
      </c>
      <c r="M263" s="10" t="n">
        <v>25</v>
      </c>
      <c r="N263" s="10" t="n">
        <v>25</v>
      </c>
      <c r="O263" s="10" t="n">
        <f aca="false">M263-N263</f>
        <v>0</v>
      </c>
      <c r="P263" s="10" t="s">
        <v>761</v>
      </c>
      <c r="Q263" s="10" t="s">
        <v>359</v>
      </c>
      <c r="R263" s="10" t="s">
        <v>194</v>
      </c>
      <c r="S263" s="10" t="s">
        <v>122</v>
      </c>
    </row>
    <row r="264" customFormat="false" ht="15" hidden="false" customHeight="false" outlineLevel="0" collapsed="false">
      <c r="A264" s="10" t="s">
        <v>15</v>
      </c>
      <c r="B264" s="10" t="n">
        <v>48017</v>
      </c>
      <c r="C264" s="40" t="n">
        <v>46199</v>
      </c>
      <c r="D264" s="10" t="s">
        <v>24</v>
      </c>
      <c r="E264" s="10" t="s">
        <v>258</v>
      </c>
      <c r="F264" s="10" t="s">
        <v>219</v>
      </c>
      <c r="G264" s="10" t="s">
        <v>220</v>
      </c>
      <c r="H264" s="10" t="s">
        <v>36</v>
      </c>
      <c r="I264" s="10" t="s">
        <v>331</v>
      </c>
      <c r="J264" s="10" t="s">
        <v>189</v>
      </c>
      <c r="K264" s="10" t="s">
        <v>762</v>
      </c>
      <c r="L264" s="10" t="s">
        <v>763</v>
      </c>
      <c r="M264" s="10" t="n">
        <v>10</v>
      </c>
      <c r="N264" s="10" t="n">
        <v>10</v>
      </c>
      <c r="O264" s="10" t="n">
        <f aca="false">M264-N264</f>
        <v>0</v>
      </c>
      <c r="P264" s="10" t="s">
        <v>764</v>
      </c>
      <c r="Q264" s="10" t="s">
        <v>202</v>
      </c>
      <c r="R264" s="10" t="s">
        <v>194</v>
      </c>
      <c r="S264" s="10" t="s">
        <v>67</v>
      </c>
    </row>
    <row r="265" customFormat="false" ht="15" hidden="false" customHeight="false" outlineLevel="0" collapsed="false">
      <c r="A265" s="10" t="s">
        <v>16</v>
      </c>
      <c r="B265" s="10" t="n">
        <v>48066</v>
      </c>
      <c r="C265" s="40" t="n">
        <v>46205</v>
      </c>
      <c r="D265" s="10" t="s">
        <v>25</v>
      </c>
      <c r="E265" s="10" t="s">
        <v>185</v>
      </c>
      <c r="F265" s="10" t="s">
        <v>318</v>
      </c>
      <c r="G265" s="10" t="s">
        <v>319</v>
      </c>
      <c r="H265" s="10" t="s">
        <v>765</v>
      </c>
      <c r="I265" s="10" t="s">
        <v>766</v>
      </c>
      <c r="J265" s="10" t="s">
        <v>189</v>
      </c>
      <c r="K265" s="10" t="s">
        <v>312</v>
      </c>
      <c r="L265" s="10" t="s">
        <v>502</v>
      </c>
      <c r="M265" s="10" t="n">
        <v>10</v>
      </c>
      <c r="N265" s="10" t="n">
        <v>10</v>
      </c>
      <c r="O265" s="10" t="n">
        <f aca="false">M265-N265</f>
        <v>0</v>
      </c>
      <c r="P265" s="10"/>
      <c r="Q265" s="10" t="s">
        <v>359</v>
      </c>
      <c r="R265" s="10" t="s">
        <v>194</v>
      </c>
      <c r="S265" s="10" t="s">
        <v>147</v>
      </c>
    </row>
    <row r="266" customFormat="false" ht="15" hidden="false" customHeight="false" outlineLevel="0" collapsed="false">
      <c r="A266" s="10" t="s">
        <v>16</v>
      </c>
      <c r="B266" s="10" t="n">
        <v>48069</v>
      </c>
      <c r="C266" s="40" t="n">
        <v>46205</v>
      </c>
      <c r="D266" s="10" t="s">
        <v>25</v>
      </c>
      <c r="E266" s="10" t="s">
        <v>185</v>
      </c>
      <c r="F266" s="10" t="s">
        <v>318</v>
      </c>
      <c r="G266" s="10" t="s">
        <v>319</v>
      </c>
      <c r="H266" s="10" t="s">
        <v>34</v>
      </c>
      <c r="I266" s="10" t="s">
        <v>205</v>
      </c>
      <c r="J266" s="10" t="s">
        <v>189</v>
      </c>
      <c r="K266" s="10" t="s">
        <v>316</v>
      </c>
      <c r="L266" s="10" t="s">
        <v>767</v>
      </c>
      <c r="M266" s="10" t="n">
        <v>40</v>
      </c>
      <c r="N266" s="10" t="n">
        <v>40</v>
      </c>
      <c r="O266" s="10" t="n">
        <f aca="false">M266-N266</f>
        <v>0</v>
      </c>
      <c r="P266" s="10" t="s">
        <v>768</v>
      </c>
      <c r="Q266" s="10" t="s">
        <v>359</v>
      </c>
      <c r="R266" s="10" t="s">
        <v>194</v>
      </c>
      <c r="S266" s="10" t="s">
        <v>89</v>
      </c>
    </row>
    <row r="267" customFormat="false" ht="15" hidden="false" customHeight="false" outlineLevel="0" collapsed="false">
      <c r="A267" s="10" t="s">
        <v>16</v>
      </c>
      <c r="B267" s="10" t="n">
        <v>48199</v>
      </c>
      <c r="C267" s="40" t="n">
        <v>46206</v>
      </c>
      <c r="D267" s="10" t="s">
        <v>21</v>
      </c>
      <c r="E267" s="10" t="s">
        <v>185</v>
      </c>
      <c r="F267" s="10" t="s">
        <v>736</v>
      </c>
      <c r="G267" s="10" t="s">
        <v>737</v>
      </c>
      <c r="H267" s="10" t="s">
        <v>34</v>
      </c>
      <c r="I267" s="10" t="s">
        <v>205</v>
      </c>
      <c r="J267" s="10" t="s">
        <v>189</v>
      </c>
      <c r="K267" s="10" t="s">
        <v>495</v>
      </c>
      <c r="L267" s="10" t="s">
        <v>769</v>
      </c>
      <c r="M267" s="10" t="n">
        <v>55</v>
      </c>
      <c r="N267" s="10" t="n">
        <v>40</v>
      </c>
      <c r="O267" s="10" t="n">
        <f aca="false">M267-N267</f>
        <v>15</v>
      </c>
      <c r="P267" s="10" t="s">
        <v>770</v>
      </c>
      <c r="Q267" s="10" t="s">
        <v>448</v>
      </c>
      <c r="R267" s="10" t="s">
        <v>282</v>
      </c>
      <c r="S267" s="10" t="s">
        <v>63</v>
      </c>
    </row>
    <row r="268" customFormat="false" ht="15" hidden="false" customHeight="false" outlineLevel="0" collapsed="false">
      <c r="A268" s="10" t="s">
        <v>16</v>
      </c>
      <c r="B268" s="10" t="n">
        <v>48296</v>
      </c>
      <c r="C268" s="40" t="n">
        <v>46207</v>
      </c>
      <c r="D268" s="10" t="s">
        <v>21</v>
      </c>
      <c r="E268" s="10" t="s">
        <v>185</v>
      </c>
      <c r="F268" s="10" t="s">
        <v>445</v>
      </c>
      <c r="G268" s="10" t="s">
        <v>446</v>
      </c>
      <c r="H268" s="10" t="s">
        <v>771</v>
      </c>
      <c r="I268" s="10" t="s">
        <v>771</v>
      </c>
      <c r="J268" s="10" t="s">
        <v>384</v>
      </c>
      <c r="K268" s="10" t="s">
        <v>223</v>
      </c>
      <c r="L268" s="10" t="s">
        <v>226</v>
      </c>
      <c r="M268" s="10" t="n">
        <v>60</v>
      </c>
      <c r="N268" s="10" t="n">
        <v>60</v>
      </c>
      <c r="O268" s="10" t="n">
        <f aca="false">M268-N268</f>
        <v>0</v>
      </c>
      <c r="P268" s="10" t="s">
        <v>772</v>
      </c>
      <c r="Q268" s="10" t="s">
        <v>448</v>
      </c>
      <c r="R268" s="10" t="s">
        <v>194</v>
      </c>
      <c r="S268" s="10" t="s">
        <v>145</v>
      </c>
    </row>
    <row r="269" customFormat="false" ht="15" hidden="false" customHeight="false" outlineLevel="0" collapsed="false">
      <c r="A269" s="10" t="s">
        <v>16</v>
      </c>
      <c r="B269" s="10" t="n">
        <v>48298</v>
      </c>
      <c r="C269" s="40" t="n">
        <v>46207</v>
      </c>
      <c r="D269" s="10" t="s">
        <v>21</v>
      </c>
      <c r="E269" s="10" t="s">
        <v>185</v>
      </c>
      <c r="F269" s="10" t="s">
        <v>445</v>
      </c>
      <c r="G269" s="10" t="s">
        <v>446</v>
      </c>
      <c r="H269" s="10" t="s">
        <v>771</v>
      </c>
      <c r="I269" s="10" t="s">
        <v>771</v>
      </c>
      <c r="J269" s="10" t="s">
        <v>384</v>
      </c>
      <c r="K269" s="10" t="s">
        <v>301</v>
      </c>
      <c r="L269" s="10" t="s">
        <v>228</v>
      </c>
      <c r="M269" s="10" t="n">
        <v>30</v>
      </c>
      <c r="N269" s="10" t="n">
        <v>30</v>
      </c>
      <c r="O269" s="10" t="n">
        <f aca="false">M269-N269</f>
        <v>0</v>
      </c>
      <c r="P269" s="10" t="s">
        <v>773</v>
      </c>
      <c r="Q269" s="10" t="s">
        <v>448</v>
      </c>
      <c r="R269" s="10" t="s">
        <v>194</v>
      </c>
      <c r="S269" s="10" t="s">
        <v>145</v>
      </c>
    </row>
    <row r="270" customFormat="false" ht="15" hidden="false" customHeight="false" outlineLevel="0" collapsed="false">
      <c r="A270" s="10" t="s">
        <v>16</v>
      </c>
      <c r="B270" s="10" t="n">
        <v>48315</v>
      </c>
      <c r="C270" s="40" t="n">
        <v>46207</v>
      </c>
      <c r="D270" s="10" t="s">
        <v>21</v>
      </c>
      <c r="E270" s="10" t="s">
        <v>185</v>
      </c>
      <c r="F270" s="10" t="s">
        <v>445</v>
      </c>
      <c r="G270" s="10" t="s">
        <v>446</v>
      </c>
      <c r="H270" s="10" t="s">
        <v>34</v>
      </c>
      <c r="I270" s="10" t="s">
        <v>205</v>
      </c>
      <c r="J270" s="10" t="s">
        <v>189</v>
      </c>
      <c r="K270" s="10" t="s">
        <v>228</v>
      </c>
      <c r="L270" s="10" t="s">
        <v>774</v>
      </c>
      <c r="M270" s="10" t="n">
        <v>25</v>
      </c>
      <c r="N270" s="10" t="n">
        <v>25</v>
      </c>
      <c r="O270" s="10" t="n">
        <f aca="false">M270-N270</f>
        <v>0</v>
      </c>
      <c r="P270" s="10" t="s">
        <v>775</v>
      </c>
      <c r="Q270" s="10" t="s">
        <v>448</v>
      </c>
      <c r="R270" s="10" t="s">
        <v>194</v>
      </c>
      <c r="S270" s="10" t="s">
        <v>148</v>
      </c>
    </row>
    <row r="271" customFormat="false" ht="15" hidden="false" customHeight="false" outlineLevel="0" collapsed="false">
      <c r="A271" s="10" t="s">
        <v>16</v>
      </c>
      <c r="B271" s="10" t="n">
        <v>48351</v>
      </c>
      <c r="C271" s="40" t="n">
        <v>46207</v>
      </c>
      <c r="D271" s="10" t="s">
        <v>25</v>
      </c>
      <c r="E271" s="10" t="s">
        <v>258</v>
      </c>
      <c r="F271" s="10" t="s">
        <v>411</v>
      </c>
      <c r="G271" s="10" t="s">
        <v>412</v>
      </c>
      <c r="H271" s="10" t="s">
        <v>38</v>
      </c>
      <c r="I271" s="10" t="s">
        <v>415</v>
      </c>
      <c r="J271" s="10" t="s">
        <v>189</v>
      </c>
      <c r="K271" s="10" t="s">
        <v>681</v>
      </c>
      <c r="L271" s="10" t="s">
        <v>332</v>
      </c>
      <c r="M271" s="10" t="n">
        <v>20</v>
      </c>
      <c r="N271" s="10" t="n">
        <v>20</v>
      </c>
      <c r="O271" s="10" t="n">
        <f aca="false">M271-N271</f>
        <v>0</v>
      </c>
      <c r="P271" s="10" t="s">
        <v>418</v>
      </c>
      <c r="Q271" s="10" t="s">
        <v>366</v>
      </c>
      <c r="R271" s="10" t="s">
        <v>194</v>
      </c>
      <c r="S271" s="10" t="s">
        <v>93</v>
      </c>
    </row>
    <row r="272" customFormat="false" ht="15" hidden="false" customHeight="false" outlineLevel="0" collapsed="false">
      <c r="A272" s="10" t="s">
        <v>16</v>
      </c>
      <c r="B272" s="10" t="n">
        <v>48441</v>
      </c>
      <c r="C272" s="40" t="n">
        <v>46209</v>
      </c>
      <c r="D272" s="10" t="s">
        <v>25</v>
      </c>
      <c r="E272" s="10" t="s">
        <v>185</v>
      </c>
      <c r="F272" s="10" t="s">
        <v>411</v>
      </c>
      <c r="G272" s="10" t="s">
        <v>412</v>
      </c>
      <c r="H272" s="10" t="s">
        <v>776</v>
      </c>
      <c r="I272" s="10" t="s">
        <v>393</v>
      </c>
      <c r="J272" s="10" t="s">
        <v>189</v>
      </c>
      <c r="K272" s="10" t="s">
        <v>228</v>
      </c>
      <c r="L272" s="10" t="s">
        <v>777</v>
      </c>
      <c r="M272" s="10" t="n">
        <v>5</v>
      </c>
      <c r="N272" s="10" t="n">
        <v>5</v>
      </c>
      <c r="O272" s="10" t="n">
        <f aca="false">M272-N272</f>
        <v>0</v>
      </c>
      <c r="P272" s="10" t="s">
        <v>778</v>
      </c>
      <c r="Q272" s="10" t="s">
        <v>359</v>
      </c>
      <c r="R272" s="10" t="s">
        <v>194</v>
      </c>
      <c r="S272" s="10" t="s">
        <v>99</v>
      </c>
    </row>
    <row r="273" customFormat="false" ht="15" hidden="false" customHeight="false" outlineLevel="0" collapsed="false">
      <c r="A273" s="10" t="s">
        <v>16</v>
      </c>
      <c r="B273" s="10" t="n">
        <v>48453</v>
      </c>
      <c r="C273" s="40" t="n">
        <v>46209</v>
      </c>
      <c r="D273" s="10" t="s">
        <v>28</v>
      </c>
      <c r="E273" s="10" t="s">
        <v>185</v>
      </c>
      <c r="F273" s="10" t="s">
        <v>779</v>
      </c>
      <c r="G273" s="10" t="s">
        <v>780</v>
      </c>
      <c r="H273" s="10" t="s">
        <v>34</v>
      </c>
      <c r="I273" s="10" t="s">
        <v>205</v>
      </c>
      <c r="J273" s="10" t="s">
        <v>189</v>
      </c>
      <c r="K273" s="10" t="s">
        <v>576</v>
      </c>
      <c r="L273" s="10" t="s">
        <v>226</v>
      </c>
      <c r="M273" s="10" t="n">
        <v>25</v>
      </c>
      <c r="N273" s="10" t="n">
        <v>25</v>
      </c>
      <c r="O273" s="10" t="n">
        <f aca="false">M273-N273</f>
        <v>0</v>
      </c>
      <c r="P273" s="10" t="s">
        <v>781</v>
      </c>
      <c r="Q273" s="10" t="s">
        <v>202</v>
      </c>
      <c r="R273" s="10" t="s">
        <v>194</v>
      </c>
      <c r="S273" s="10" t="s">
        <v>133</v>
      </c>
    </row>
    <row r="274" customFormat="false" ht="15" hidden="false" customHeight="false" outlineLevel="0" collapsed="false">
      <c r="A274" s="10" t="s">
        <v>16</v>
      </c>
      <c r="B274" s="10" t="n">
        <v>48463</v>
      </c>
      <c r="C274" s="40" t="n">
        <v>46209</v>
      </c>
      <c r="D274" s="10" t="s">
        <v>24</v>
      </c>
      <c r="E274" s="10" t="s">
        <v>185</v>
      </c>
      <c r="F274" s="10" t="s">
        <v>782</v>
      </c>
      <c r="G274" s="10" t="s">
        <v>783</v>
      </c>
      <c r="H274" s="10" t="s">
        <v>392</v>
      </c>
      <c r="I274" s="10" t="s">
        <v>393</v>
      </c>
      <c r="J274" s="10" t="s">
        <v>189</v>
      </c>
      <c r="K274" s="10" t="s">
        <v>301</v>
      </c>
      <c r="L274" s="10" t="s">
        <v>228</v>
      </c>
      <c r="M274" s="10" t="n">
        <v>30</v>
      </c>
      <c r="N274" s="10" t="n">
        <v>30</v>
      </c>
      <c r="O274" s="10" t="n">
        <f aca="false">M274-N274</f>
        <v>0</v>
      </c>
      <c r="P274" s="10" t="s">
        <v>784</v>
      </c>
      <c r="Q274" s="10" t="s">
        <v>193</v>
      </c>
      <c r="R274" s="10" t="s">
        <v>282</v>
      </c>
      <c r="S274" s="10" t="s">
        <v>99</v>
      </c>
    </row>
    <row r="275" customFormat="false" ht="15" hidden="false" customHeight="false" outlineLevel="0" collapsed="false">
      <c r="A275" s="10" t="s">
        <v>16</v>
      </c>
      <c r="B275" s="10" t="n">
        <v>48464</v>
      </c>
      <c r="C275" s="40" t="n">
        <v>46209</v>
      </c>
      <c r="D275" s="10" t="s">
        <v>24</v>
      </c>
      <c r="E275" s="10" t="s">
        <v>185</v>
      </c>
      <c r="F275" s="10" t="s">
        <v>782</v>
      </c>
      <c r="G275" s="10" t="s">
        <v>783</v>
      </c>
      <c r="H275" s="10" t="s">
        <v>776</v>
      </c>
      <c r="I275" s="10" t="s">
        <v>393</v>
      </c>
      <c r="J275" s="10" t="s">
        <v>189</v>
      </c>
      <c r="K275" s="10" t="s">
        <v>228</v>
      </c>
      <c r="L275" s="10" t="s">
        <v>199</v>
      </c>
      <c r="M275" s="10" t="n">
        <v>60</v>
      </c>
      <c r="N275" s="10" t="n">
        <v>60</v>
      </c>
      <c r="O275" s="10" t="n">
        <f aca="false">M275-N275</f>
        <v>0</v>
      </c>
      <c r="P275" s="10" t="s">
        <v>785</v>
      </c>
      <c r="Q275" s="10" t="s">
        <v>193</v>
      </c>
      <c r="R275" s="10" t="s">
        <v>194</v>
      </c>
      <c r="S275" s="10" t="s">
        <v>99</v>
      </c>
    </row>
    <row r="276" customFormat="false" ht="15" hidden="false" customHeight="false" outlineLevel="0" collapsed="false">
      <c r="A276" s="10" t="s">
        <v>16</v>
      </c>
      <c r="B276" s="10" t="n">
        <v>48465</v>
      </c>
      <c r="C276" s="40" t="n">
        <v>46209</v>
      </c>
      <c r="D276" s="10" t="s">
        <v>24</v>
      </c>
      <c r="E276" s="10" t="s">
        <v>185</v>
      </c>
      <c r="F276" s="10" t="s">
        <v>782</v>
      </c>
      <c r="G276" s="10" t="s">
        <v>783</v>
      </c>
      <c r="H276" s="10" t="s">
        <v>776</v>
      </c>
      <c r="I276" s="10" t="s">
        <v>393</v>
      </c>
      <c r="J276" s="10" t="s">
        <v>189</v>
      </c>
      <c r="K276" s="10" t="s">
        <v>199</v>
      </c>
      <c r="L276" s="10" t="s">
        <v>254</v>
      </c>
      <c r="M276" s="10" t="n">
        <v>30</v>
      </c>
      <c r="N276" s="10" t="n">
        <v>30</v>
      </c>
      <c r="O276" s="10" t="n">
        <f aca="false">M276-N276</f>
        <v>0</v>
      </c>
      <c r="P276" s="10" t="s">
        <v>786</v>
      </c>
      <c r="Q276" s="10" t="s">
        <v>193</v>
      </c>
      <c r="R276" s="10" t="s">
        <v>194</v>
      </c>
      <c r="S276" s="10" t="s">
        <v>76</v>
      </c>
    </row>
    <row r="277" customFormat="false" ht="15" hidden="false" customHeight="false" outlineLevel="0" collapsed="false">
      <c r="A277" s="10" t="s">
        <v>16</v>
      </c>
      <c r="B277" s="10" t="n">
        <v>48535</v>
      </c>
      <c r="C277" s="40" t="n">
        <v>46210</v>
      </c>
      <c r="D277" s="10" t="s">
        <v>21</v>
      </c>
      <c r="E277" s="10" t="s">
        <v>185</v>
      </c>
      <c r="F277" s="10" t="s">
        <v>445</v>
      </c>
      <c r="G277" s="10" t="s">
        <v>446</v>
      </c>
      <c r="H277" s="10" t="s">
        <v>34</v>
      </c>
      <c r="I277" s="10" t="s">
        <v>205</v>
      </c>
      <c r="J277" s="10" t="s">
        <v>189</v>
      </c>
      <c r="K277" s="10" t="s">
        <v>787</v>
      </c>
      <c r="L277" s="10" t="s">
        <v>648</v>
      </c>
      <c r="M277" s="10" t="n">
        <v>18</v>
      </c>
      <c r="N277" s="10" t="n">
        <v>18</v>
      </c>
      <c r="O277" s="10" t="n">
        <f aca="false">M277-N277</f>
        <v>0</v>
      </c>
      <c r="P277" s="10" t="s">
        <v>788</v>
      </c>
      <c r="Q277" s="10" t="s">
        <v>448</v>
      </c>
      <c r="R277" s="10" t="s">
        <v>194</v>
      </c>
      <c r="S277" s="10" t="s">
        <v>148</v>
      </c>
    </row>
    <row r="278" customFormat="false" ht="15" hidden="false" customHeight="false" outlineLevel="0" collapsed="false">
      <c r="A278" s="10" t="s">
        <v>16</v>
      </c>
      <c r="B278" s="10" t="n">
        <v>48541</v>
      </c>
      <c r="C278" s="40" t="n">
        <v>46210</v>
      </c>
      <c r="D278" s="10" t="s">
        <v>24</v>
      </c>
      <c r="E278" s="10" t="s">
        <v>185</v>
      </c>
      <c r="F278" s="10" t="s">
        <v>782</v>
      </c>
      <c r="G278" s="10" t="s">
        <v>783</v>
      </c>
      <c r="H278" s="10" t="s">
        <v>548</v>
      </c>
      <c r="I278" s="10" t="s">
        <v>549</v>
      </c>
      <c r="J278" s="10" t="s">
        <v>384</v>
      </c>
      <c r="K278" s="10" t="s">
        <v>789</v>
      </c>
      <c r="L278" s="10" t="s">
        <v>191</v>
      </c>
      <c r="M278" s="10" t="n">
        <v>22</v>
      </c>
      <c r="N278" s="10" t="n">
        <v>22</v>
      </c>
      <c r="O278" s="10" t="n">
        <f aca="false">M278-N278</f>
        <v>0</v>
      </c>
      <c r="P278" s="10" t="s">
        <v>790</v>
      </c>
      <c r="Q278" s="10" t="s">
        <v>193</v>
      </c>
      <c r="R278" s="10" t="s">
        <v>282</v>
      </c>
      <c r="S278" s="10" t="s">
        <v>67</v>
      </c>
    </row>
    <row r="279" customFormat="false" ht="15" hidden="false" customHeight="false" outlineLevel="0" collapsed="false">
      <c r="A279" s="10" t="s">
        <v>16</v>
      </c>
      <c r="B279" s="10" t="n">
        <v>48584</v>
      </c>
      <c r="C279" s="40" t="n">
        <v>46210</v>
      </c>
      <c r="D279" s="10" t="s">
        <v>25</v>
      </c>
      <c r="E279" s="10" t="s">
        <v>185</v>
      </c>
      <c r="F279" s="10" t="s">
        <v>259</v>
      </c>
      <c r="G279" s="10" t="s">
        <v>260</v>
      </c>
      <c r="H279" s="10" t="s">
        <v>36</v>
      </c>
      <c r="I279" s="10" t="s">
        <v>331</v>
      </c>
      <c r="J279" s="10" t="s">
        <v>189</v>
      </c>
      <c r="K279" s="10" t="s">
        <v>327</v>
      </c>
      <c r="L279" s="10" t="s">
        <v>283</v>
      </c>
      <c r="M279" s="10" t="n">
        <v>10</v>
      </c>
      <c r="N279" s="10" t="n">
        <v>10</v>
      </c>
      <c r="O279" s="10" t="n">
        <f aca="false">M279-N279</f>
        <v>0</v>
      </c>
      <c r="P279" s="10" t="s">
        <v>791</v>
      </c>
      <c r="Q279" s="10" t="s">
        <v>359</v>
      </c>
      <c r="R279" s="10" t="s">
        <v>194</v>
      </c>
      <c r="S279" s="10" t="s">
        <v>67</v>
      </c>
    </row>
    <row r="280" customFormat="false" ht="15" hidden="false" customHeight="false" outlineLevel="0" collapsed="false">
      <c r="A280" s="10" t="s">
        <v>16</v>
      </c>
      <c r="B280" s="10" t="n">
        <v>48594</v>
      </c>
      <c r="C280" s="40" t="n">
        <v>46210</v>
      </c>
      <c r="D280" s="10" t="s">
        <v>25</v>
      </c>
      <c r="E280" s="10" t="s">
        <v>185</v>
      </c>
      <c r="F280" s="10" t="s">
        <v>259</v>
      </c>
      <c r="G280" s="10" t="s">
        <v>260</v>
      </c>
      <c r="H280" s="10" t="s">
        <v>36</v>
      </c>
      <c r="I280" s="10" t="s">
        <v>331</v>
      </c>
      <c r="J280" s="10" t="s">
        <v>189</v>
      </c>
      <c r="K280" s="10" t="s">
        <v>283</v>
      </c>
      <c r="L280" s="10" t="s">
        <v>507</v>
      </c>
      <c r="M280" s="10" t="n">
        <v>15</v>
      </c>
      <c r="N280" s="10" t="n">
        <v>15</v>
      </c>
      <c r="O280" s="10" t="n">
        <f aca="false">M280-N280</f>
        <v>0</v>
      </c>
      <c r="P280" s="10"/>
      <c r="Q280" s="10" t="s">
        <v>359</v>
      </c>
      <c r="R280" s="10" t="s">
        <v>194</v>
      </c>
      <c r="S280" s="10" t="s">
        <v>67</v>
      </c>
    </row>
    <row r="281" customFormat="false" ht="15" hidden="false" customHeight="false" outlineLevel="0" collapsed="false">
      <c r="A281" s="10" t="s">
        <v>16</v>
      </c>
      <c r="B281" s="10" t="n">
        <v>48662</v>
      </c>
      <c r="C281" s="40" t="n">
        <v>46211</v>
      </c>
      <c r="D281" s="10" t="s">
        <v>25</v>
      </c>
      <c r="E281" s="10" t="s">
        <v>185</v>
      </c>
      <c r="F281" s="10" t="s">
        <v>259</v>
      </c>
      <c r="G281" s="10" t="s">
        <v>260</v>
      </c>
      <c r="H281" s="10" t="s">
        <v>34</v>
      </c>
      <c r="I281" s="10" t="s">
        <v>205</v>
      </c>
      <c r="J281" s="10" t="s">
        <v>189</v>
      </c>
      <c r="K281" s="10" t="s">
        <v>792</v>
      </c>
      <c r="L281" s="10" t="s">
        <v>496</v>
      </c>
      <c r="M281" s="10" t="n">
        <v>10</v>
      </c>
      <c r="N281" s="10" t="n">
        <v>10</v>
      </c>
      <c r="O281" s="10" t="n">
        <f aca="false">M281-N281</f>
        <v>0</v>
      </c>
      <c r="P281" s="10" t="s">
        <v>793</v>
      </c>
      <c r="Q281" s="10" t="s">
        <v>359</v>
      </c>
      <c r="R281" s="10" t="s">
        <v>194</v>
      </c>
      <c r="S281" s="10" t="s">
        <v>115</v>
      </c>
    </row>
    <row r="282" customFormat="false" ht="15" hidden="false" customHeight="false" outlineLevel="0" collapsed="false">
      <c r="A282" s="10" t="s">
        <v>16</v>
      </c>
      <c r="B282" s="10" t="n">
        <v>48664</v>
      </c>
      <c r="C282" s="40" t="n">
        <v>46211</v>
      </c>
      <c r="D282" s="10" t="s">
        <v>25</v>
      </c>
      <c r="E282" s="10" t="s">
        <v>185</v>
      </c>
      <c r="F282" s="10" t="s">
        <v>259</v>
      </c>
      <c r="G282" s="10" t="s">
        <v>260</v>
      </c>
      <c r="H282" s="10" t="s">
        <v>34</v>
      </c>
      <c r="I282" s="10" t="s">
        <v>205</v>
      </c>
      <c r="J282" s="10" t="s">
        <v>189</v>
      </c>
      <c r="K282" s="10" t="s">
        <v>794</v>
      </c>
      <c r="L282" s="10" t="s">
        <v>254</v>
      </c>
      <c r="M282" s="10" t="n">
        <v>24</v>
      </c>
      <c r="N282" s="10" t="n">
        <v>24</v>
      </c>
      <c r="O282" s="10" t="n">
        <f aca="false">M282-N282</f>
        <v>0</v>
      </c>
      <c r="P282" s="10" t="s">
        <v>793</v>
      </c>
      <c r="Q282" s="10" t="s">
        <v>359</v>
      </c>
      <c r="R282" s="10" t="s">
        <v>282</v>
      </c>
      <c r="S282" s="10" t="s">
        <v>115</v>
      </c>
    </row>
    <row r="283" customFormat="false" ht="15" hidden="false" customHeight="false" outlineLevel="0" collapsed="false">
      <c r="A283" s="10" t="s">
        <v>16</v>
      </c>
      <c r="B283" s="10" t="n">
        <v>48720</v>
      </c>
      <c r="C283" s="40" t="n">
        <v>46211</v>
      </c>
      <c r="D283" s="10" t="s">
        <v>25</v>
      </c>
      <c r="E283" s="10" t="s">
        <v>258</v>
      </c>
      <c r="F283" s="10" t="s">
        <v>259</v>
      </c>
      <c r="G283" s="10" t="s">
        <v>260</v>
      </c>
      <c r="H283" s="10" t="s">
        <v>43</v>
      </c>
      <c r="I283" s="10" t="s">
        <v>249</v>
      </c>
      <c r="J283" s="10" t="s">
        <v>189</v>
      </c>
      <c r="K283" s="10" t="s">
        <v>460</v>
      </c>
      <c r="L283" s="10" t="s">
        <v>795</v>
      </c>
      <c r="M283" s="10" t="n">
        <v>15</v>
      </c>
      <c r="N283" s="10" t="n">
        <v>15</v>
      </c>
      <c r="O283" s="10" t="n">
        <f aca="false">M283-N283</f>
        <v>0</v>
      </c>
      <c r="P283" s="10" t="s">
        <v>796</v>
      </c>
      <c r="Q283" s="10" t="s">
        <v>366</v>
      </c>
      <c r="R283" s="10" t="s">
        <v>282</v>
      </c>
      <c r="S283" s="10" t="s">
        <v>115</v>
      </c>
    </row>
    <row r="284" customFormat="false" ht="15" hidden="false" customHeight="false" outlineLevel="0" collapsed="false">
      <c r="A284" s="10" t="s">
        <v>16</v>
      </c>
      <c r="B284" s="10" t="n">
        <v>48795</v>
      </c>
      <c r="C284" s="40" t="n">
        <v>46212</v>
      </c>
      <c r="D284" s="10" t="s">
        <v>20</v>
      </c>
      <c r="E284" s="10" t="s">
        <v>185</v>
      </c>
      <c r="F284" s="10" t="s">
        <v>540</v>
      </c>
      <c r="G284" s="10" t="s">
        <v>541</v>
      </c>
      <c r="H284" s="10" t="s">
        <v>34</v>
      </c>
      <c r="I284" s="10" t="s">
        <v>205</v>
      </c>
      <c r="J284" s="10" t="s">
        <v>189</v>
      </c>
      <c r="K284" s="10" t="s">
        <v>223</v>
      </c>
      <c r="L284" s="10" t="s">
        <v>226</v>
      </c>
      <c r="M284" s="10" t="n">
        <v>60</v>
      </c>
      <c r="N284" s="10" t="n">
        <v>60</v>
      </c>
      <c r="O284" s="10" t="n">
        <f aca="false">M284-N284</f>
        <v>0</v>
      </c>
      <c r="P284" s="10" t="s">
        <v>797</v>
      </c>
      <c r="Q284" s="10" t="s">
        <v>225</v>
      </c>
      <c r="R284" s="10" t="s">
        <v>194</v>
      </c>
      <c r="S284" s="10" t="s">
        <v>83</v>
      </c>
    </row>
    <row r="285" customFormat="false" ht="15" hidden="false" customHeight="false" outlineLevel="0" collapsed="false">
      <c r="A285" s="10" t="s">
        <v>16</v>
      </c>
      <c r="B285" s="10" t="n">
        <v>48797</v>
      </c>
      <c r="C285" s="40" t="n">
        <v>46212</v>
      </c>
      <c r="D285" s="10" t="s">
        <v>20</v>
      </c>
      <c r="E285" s="10" t="s">
        <v>185</v>
      </c>
      <c r="F285" s="10" t="s">
        <v>540</v>
      </c>
      <c r="G285" s="10" t="s">
        <v>541</v>
      </c>
      <c r="H285" s="10" t="s">
        <v>34</v>
      </c>
      <c r="I285" s="10" t="s">
        <v>205</v>
      </c>
      <c r="J285" s="10" t="s">
        <v>189</v>
      </c>
      <c r="K285" s="10" t="s">
        <v>226</v>
      </c>
      <c r="L285" s="10" t="s">
        <v>798</v>
      </c>
      <c r="M285" s="10" t="n">
        <v>10</v>
      </c>
      <c r="N285" s="10" t="n">
        <v>10</v>
      </c>
      <c r="O285" s="10" t="n">
        <f aca="false">M285-N285</f>
        <v>0</v>
      </c>
      <c r="P285" s="10" t="s">
        <v>799</v>
      </c>
      <c r="Q285" s="10" t="s">
        <v>225</v>
      </c>
      <c r="R285" s="10" t="s">
        <v>194</v>
      </c>
      <c r="S285" s="10" t="s">
        <v>83</v>
      </c>
    </row>
    <row r="286" customFormat="false" ht="15" hidden="false" customHeight="false" outlineLevel="0" collapsed="false">
      <c r="A286" s="10" t="s">
        <v>16</v>
      </c>
      <c r="B286" s="10" t="n">
        <v>48805</v>
      </c>
      <c r="C286" s="40" t="n">
        <v>46212</v>
      </c>
      <c r="D286" s="10" t="s">
        <v>22</v>
      </c>
      <c r="E286" s="10" t="s">
        <v>258</v>
      </c>
      <c r="F286" s="10" t="s">
        <v>380</v>
      </c>
      <c r="G286" s="10" t="s">
        <v>381</v>
      </c>
      <c r="H286" s="10" t="s">
        <v>34</v>
      </c>
      <c r="I286" s="10" t="s">
        <v>205</v>
      </c>
      <c r="J286" s="10" t="s">
        <v>189</v>
      </c>
      <c r="K286" s="10" t="s">
        <v>256</v>
      </c>
      <c r="L286" s="10" t="s">
        <v>800</v>
      </c>
      <c r="M286" s="10" t="n">
        <v>8</v>
      </c>
      <c r="N286" s="10" t="n">
        <v>8</v>
      </c>
      <c r="O286" s="10" t="n">
        <f aca="false">M286-N286</f>
        <v>0</v>
      </c>
      <c r="P286" s="10" t="s">
        <v>801</v>
      </c>
      <c r="Q286" s="10" t="s">
        <v>243</v>
      </c>
      <c r="R286" s="10" t="s">
        <v>194</v>
      </c>
      <c r="S286" s="10" t="s">
        <v>83</v>
      </c>
    </row>
    <row r="287" customFormat="false" ht="15" hidden="false" customHeight="false" outlineLevel="0" collapsed="false">
      <c r="A287" s="10" t="s">
        <v>16</v>
      </c>
      <c r="B287" s="10" t="n">
        <v>48858</v>
      </c>
      <c r="C287" s="40" t="n">
        <v>46213</v>
      </c>
      <c r="D287" s="10" t="s">
        <v>25</v>
      </c>
      <c r="E287" s="10" t="s">
        <v>185</v>
      </c>
      <c r="F287" s="10" t="s">
        <v>802</v>
      </c>
      <c r="G287" s="10" t="s">
        <v>803</v>
      </c>
      <c r="H287" s="10" t="s">
        <v>36</v>
      </c>
      <c r="I287" s="10" t="s">
        <v>331</v>
      </c>
      <c r="J287" s="10" t="s">
        <v>189</v>
      </c>
      <c r="K287" s="10" t="s">
        <v>294</v>
      </c>
      <c r="L287" s="10" t="s">
        <v>295</v>
      </c>
      <c r="M287" s="10" t="n">
        <v>8</v>
      </c>
      <c r="N287" s="10" t="n">
        <v>8</v>
      </c>
      <c r="O287" s="10" t="n">
        <f aca="false">M287-N287</f>
        <v>0</v>
      </c>
      <c r="P287" s="10" t="s">
        <v>163</v>
      </c>
      <c r="Q287" s="10" t="s">
        <v>359</v>
      </c>
      <c r="R287" s="10" t="s">
        <v>194</v>
      </c>
      <c r="S287" s="10" t="s">
        <v>67</v>
      </c>
    </row>
    <row r="288" customFormat="false" ht="15" hidden="false" customHeight="false" outlineLevel="0" collapsed="false">
      <c r="A288" s="10" t="s">
        <v>16</v>
      </c>
      <c r="B288" s="10" t="n">
        <v>48861</v>
      </c>
      <c r="C288" s="40" t="n">
        <v>46213</v>
      </c>
      <c r="D288" s="10" t="s">
        <v>21</v>
      </c>
      <c r="E288" s="10" t="s">
        <v>185</v>
      </c>
      <c r="F288" s="10" t="s">
        <v>445</v>
      </c>
      <c r="G288" s="10" t="s">
        <v>446</v>
      </c>
      <c r="H288" s="10" t="s">
        <v>34</v>
      </c>
      <c r="I288" s="10" t="s">
        <v>205</v>
      </c>
      <c r="J288" s="10" t="s">
        <v>189</v>
      </c>
      <c r="K288" s="10" t="s">
        <v>804</v>
      </c>
      <c r="L288" s="10" t="s">
        <v>805</v>
      </c>
      <c r="M288" s="10" t="n">
        <v>22</v>
      </c>
      <c r="N288" s="10" t="n">
        <v>22</v>
      </c>
      <c r="O288" s="10" t="n">
        <f aca="false">M288-N288</f>
        <v>0</v>
      </c>
      <c r="P288" s="10" t="s">
        <v>806</v>
      </c>
      <c r="Q288" s="10" t="s">
        <v>448</v>
      </c>
      <c r="R288" s="10" t="s">
        <v>282</v>
      </c>
      <c r="S288" s="10" t="s">
        <v>70</v>
      </c>
    </row>
    <row r="289" customFormat="false" ht="15" hidden="false" customHeight="false" outlineLevel="0" collapsed="false">
      <c r="A289" s="10" t="s">
        <v>16</v>
      </c>
      <c r="B289" s="10" t="n">
        <v>48882</v>
      </c>
      <c r="C289" s="40" t="n">
        <v>46213</v>
      </c>
      <c r="D289" s="10" t="s">
        <v>21</v>
      </c>
      <c r="E289" s="10" t="s">
        <v>185</v>
      </c>
      <c r="F289" s="10" t="s">
        <v>445</v>
      </c>
      <c r="G289" s="10" t="s">
        <v>446</v>
      </c>
      <c r="H289" s="10" t="s">
        <v>392</v>
      </c>
      <c r="I289" s="10" t="s">
        <v>393</v>
      </c>
      <c r="J289" s="10" t="s">
        <v>189</v>
      </c>
      <c r="K289" s="10" t="s">
        <v>228</v>
      </c>
      <c r="L289" s="10" t="s">
        <v>807</v>
      </c>
      <c r="M289" s="10" t="n">
        <v>48</v>
      </c>
      <c r="N289" s="10" t="n">
        <v>48</v>
      </c>
      <c r="O289" s="10" t="n">
        <f aca="false">M289-N289</f>
        <v>0</v>
      </c>
      <c r="P289" s="10" t="s">
        <v>808</v>
      </c>
      <c r="Q289" s="10" t="s">
        <v>448</v>
      </c>
      <c r="R289" s="10" t="s">
        <v>194</v>
      </c>
      <c r="S289" s="10" t="s">
        <v>67</v>
      </c>
    </row>
    <row r="290" customFormat="false" ht="15" hidden="false" customHeight="false" outlineLevel="0" collapsed="false">
      <c r="A290" s="10" t="s">
        <v>16</v>
      </c>
      <c r="B290" s="10" t="n">
        <v>48901</v>
      </c>
      <c r="C290" s="40" t="n">
        <v>46213</v>
      </c>
      <c r="D290" s="10" t="s">
        <v>21</v>
      </c>
      <c r="E290" s="10" t="s">
        <v>185</v>
      </c>
      <c r="F290" s="10" t="s">
        <v>445</v>
      </c>
      <c r="G290" s="10" t="s">
        <v>446</v>
      </c>
      <c r="H290" s="10" t="s">
        <v>392</v>
      </c>
      <c r="I290" s="10" t="s">
        <v>393</v>
      </c>
      <c r="J290" s="10" t="s">
        <v>189</v>
      </c>
      <c r="K290" s="10" t="s">
        <v>809</v>
      </c>
      <c r="L290" s="10" t="s">
        <v>256</v>
      </c>
      <c r="M290" s="10" t="n">
        <v>20</v>
      </c>
      <c r="N290" s="10" t="n">
        <v>20</v>
      </c>
      <c r="O290" s="10" t="n">
        <f aca="false">M290-N290</f>
        <v>0</v>
      </c>
      <c r="P290" s="10" t="s">
        <v>810</v>
      </c>
      <c r="Q290" s="10" t="s">
        <v>448</v>
      </c>
      <c r="R290" s="10" t="s">
        <v>194</v>
      </c>
      <c r="S290" s="10" t="s">
        <v>67</v>
      </c>
    </row>
    <row r="291" customFormat="false" ht="15" hidden="false" customHeight="false" outlineLevel="0" collapsed="false">
      <c r="A291" s="10" t="s">
        <v>16</v>
      </c>
      <c r="B291" s="10" t="n">
        <v>49036</v>
      </c>
      <c r="C291" s="40" t="n">
        <v>46214</v>
      </c>
      <c r="D291" s="10" t="s">
        <v>24</v>
      </c>
      <c r="E291" s="10" t="s">
        <v>258</v>
      </c>
      <c r="F291" s="10" t="s">
        <v>811</v>
      </c>
      <c r="G291" s="10" t="s">
        <v>812</v>
      </c>
      <c r="H291" s="10" t="s">
        <v>776</v>
      </c>
      <c r="I291" s="10" t="s">
        <v>393</v>
      </c>
      <c r="J291" s="10" t="s">
        <v>189</v>
      </c>
      <c r="K291" s="10" t="s">
        <v>199</v>
      </c>
      <c r="L291" s="10" t="s">
        <v>254</v>
      </c>
      <c r="M291" s="10" t="n">
        <v>30</v>
      </c>
      <c r="N291" s="10" t="n">
        <v>30</v>
      </c>
      <c r="O291" s="10" t="n">
        <f aca="false">M291-N291</f>
        <v>0</v>
      </c>
      <c r="P291" s="10" t="s">
        <v>813</v>
      </c>
      <c r="Q291" s="10" t="s">
        <v>437</v>
      </c>
      <c r="R291" s="10" t="s">
        <v>194</v>
      </c>
      <c r="S291" s="10" t="s">
        <v>99</v>
      </c>
    </row>
    <row r="292" customFormat="false" ht="15" hidden="false" customHeight="false" outlineLevel="0" collapsed="false">
      <c r="A292" s="10" t="s">
        <v>16</v>
      </c>
      <c r="B292" s="10" t="n">
        <v>49037</v>
      </c>
      <c r="C292" s="40" t="n">
        <v>46214</v>
      </c>
      <c r="D292" s="10" t="s">
        <v>24</v>
      </c>
      <c r="E292" s="10" t="s">
        <v>258</v>
      </c>
      <c r="F292" s="10" t="s">
        <v>811</v>
      </c>
      <c r="G292" s="10" t="s">
        <v>812</v>
      </c>
      <c r="H292" s="10" t="s">
        <v>39</v>
      </c>
      <c r="I292" s="10" t="s">
        <v>221</v>
      </c>
      <c r="J292" s="10" t="s">
        <v>189</v>
      </c>
      <c r="K292" s="10" t="s">
        <v>254</v>
      </c>
      <c r="L292" s="10" t="s">
        <v>283</v>
      </c>
      <c r="M292" s="10" t="n">
        <v>30</v>
      </c>
      <c r="N292" s="10" t="n">
        <v>30</v>
      </c>
      <c r="O292" s="10" t="n">
        <f aca="false">M292-N292</f>
        <v>0</v>
      </c>
      <c r="P292" s="10" t="s">
        <v>814</v>
      </c>
      <c r="Q292" s="10" t="s">
        <v>437</v>
      </c>
      <c r="R292" s="10" t="s">
        <v>194</v>
      </c>
      <c r="S292" s="10" t="s">
        <v>89</v>
      </c>
    </row>
    <row r="293" customFormat="false" ht="15" hidden="false" customHeight="false" outlineLevel="0" collapsed="false">
      <c r="A293" s="10" t="s">
        <v>16</v>
      </c>
      <c r="B293" s="10" t="n">
        <v>49051</v>
      </c>
      <c r="C293" s="40" t="n">
        <v>46214</v>
      </c>
      <c r="D293" s="10" t="s">
        <v>22</v>
      </c>
      <c r="E293" s="10" t="s">
        <v>258</v>
      </c>
      <c r="F293" s="10" t="s">
        <v>632</v>
      </c>
      <c r="G293" s="10" t="s">
        <v>633</v>
      </c>
      <c r="H293" s="10" t="s">
        <v>43</v>
      </c>
      <c r="I293" s="10" t="s">
        <v>249</v>
      </c>
      <c r="J293" s="10" t="s">
        <v>189</v>
      </c>
      <c r="K293" s="10" t="s">
        <v>815</v>
      </c>
      <c r="L293" s="10" t="s">
        <v>335</v>
      </c>
      <c r="M293" s="10" t="n">
        <v>50</v>
      </c>
      <c r="N293" s="10" t="n">
        <v>50</v>
      </c>
      <c r="O293" s="10" t="n">
        <f aca="false">M293-N293</f>
        <v>0</v>
      </c>
      <c r="P293" s="10" t="s">
        <v>816</v>
      </c>
      <c r="Q293" s="10" t="s">
        <v>243</v>
      </c>
      <c r="R293" s="10" t="s">
        <v>194</v>
      </c>
      <c r="S293" s="10" t="s">
        <v>89</v>
      </c>
    </row>
    <row r="294" customFormat="false" ht="15" hidden="false" customHeight="false" outlineLevel="0" collapsed="false">
      <c r="A294" s="10" t="s">
        <v>16</v>
      </c>
      <c r="B294" s="10" t="n">
        <v>49094</v>
      </c>
      <c r="C294" s="40" t="n">
        <v>46217</v>
      </c>
      <c r="D294" s="10" t="s">
        <v>22</v>
      </c>
      <c r="E294" s="10" t="s">
        <v>185</v>
      </c>
      <c r="F294" s="10" t="s">
        <v>632</v>
      </c>
      <c r="G294" s="10" t="s">
        <v>633</v>
      </c>
      <c r="H294" s="10" t="s">
        <v>817</v>
      </c>
      <c r="I294" s="10" t="s">
        <v>818</v>
      </c>
      <c r="J294" s="10" t="s">
        <v>819</v>
      </c>
      <c r="K294" s="10" t="s">
        <v>280</v>
      </c>
      <c r="L294" s="10" t="s">
        <v>199</v>
      </c>
      <c r="M294" s="10" t="n">
        <v>31</v>
      </c>
      <c r="N294" s="10" t="n">
        <v>36</v>
      </c>
      <c r="O294" s="10" t="n">
        <f aca="false">M294-N294</f>
        <v>-5</v>
      </c>
      <c r="P294" s="10" t="s">
        <v>820</v>
      </c>
      <c r="Q294" s="10" t="s">
        <v>243</v>
      </c>
      <c r="R294" s="10" t="s">
        <v>194</v>
      </c>
      <c r="S294" s="10" t="s">
        <v>136</v>
      </c>
    </row>
    <row r="295" customFormat="false" ht="15" hidden="false" customHeight="false" outlineLevel="0" collapsed="false">
      <c r="A295" s="10" t="s">
        <v>16</v>
      </c>
      <c r="B295" s="10" t="n">
        <v>49119</v>
      </c>
      <c r="C295" s="40" t="n">
        <v>46217</v>
      </c>
      <c r="D295" s="10" t="s">
        <v>27</v>
      </c>
      <c r="E295" s="10" t="s">
        <v>258</v>
      </c>
      <c r="F295" s="10" t="s">
        <v>264</v>
      </c>
      <c r="G295" s="10" t="s">
        <v>265</v>
      </c>
      <c r="H295" s="10" t="s">
        <v>821</v>
      </c>
      <c r="I295" s="10" t="s">
        <v>822</v>
      </c>
      <c r="J295" s="10" t="s">
        <v>189</v>
      </c>
      <c r="K295" s="10" t="s">
        <v>823</v>
      </c>
      <c r="L295" s="10" t="s">
        <v>256</v>
      </c>
      <c r="M295" s="10" t="n">
        <v>33</v>
      </c>
      <c r="N295" s="10" t="n">
        <v>8</v>
      </c>
      <c r="O295" s="10" t="n">
        <f aca="false">M295-N295</f>
        <v>25</v>
      </c>
      <c r="P295" s="10" t="s">
        <v>824</v>
      </c>
      <c r="Q295" s="10" t="s">
        <v>218</v>
      </c>
      <c r="R295" s="10" t="s">
        <v>194</v>
      </c>
      <c r="S295" s="10" t="s">
        <v>99</v>
      </c>
    </row>
    <row r="296" customFormat="false" ht="15" hidden="false" customHeight="false" outlineLevel="0" collapsed="false">
      <c r="A296" s="10" t="s">
        <v>16</v>
      </c>
      <c r="B296" s="10" t="n">
        <v>49172</v>
      </c>
      <c r="C296" s="40" t="n">
        <v>46217</v>
      </c>
      <c r="D296" s="10" t="s">
        <v>27</v>
      </c>
      <c r="E296" s="10" t="s">
        <v>258</v>
      </c>
      <c r="F296" s="10" t="s">
        <v>440</v>
      </c>
      <c r="G296" s="10" t="s">
        <v>441</v>
      </c>
      <c r="H296" s="10" t="s">
        <v>821</v>
      </c>
      <c r="I296" s="10" t="s">
        <v>822</v>
      </c>
      <c r="J296" s="10" t="s">
        <v>189</v>
      </c>
      <c r="K296" s="10" t="s">
        <v>825</v>
      </c>
      <c r="L296" s="10" t="s">
        <v>826</v>
      </c>
      <c r="M296" s="10" t="n">
        <v>43</v>
      </c>
      <c r="N296" s="10" t="n">
        <v>32</v>
      </c>
      <c r="O296" s="10" t="n">
        <f aca="false">M296-N296</f>
        <v>11</v>
      </c>
      <c r="P296" s="10" t="s">
        <v>827</v>
      </c>
      <c r="Q296" s="10" t="s">
        <v>218</v>
      </c>
      <c r="R296" s="10" t="s">
        <v>194</v>
      </c>
      <c r="S296" s="10" t="s">
        <v>148</v>
      </c>
    </row>
    <row r="297" customFormat="false" ht="15" hidden="false" customHeight="false" outlineLevel="0" collapsed="false">
      <c r="A297" s="10" t="s">
        <v>16</v>
      </c>
      <c r="B297" s="10" t="n">
        <v>49186</v>
      </c>
      <c r="C297" s="40" t="n">
        <v>46218</v>
      </c>
      <c r="D297" s="10" t="s">
        <v>22</v>
      </c>
      <c r="E297" s="10" t="s">
        <v>185</v>
      </c>
      <c r="F297" s="10" t="s">
        <v>632</v>
      </c>
      <c r="G297" s="10" t="s">
        <v>633</v>
      </c>
      <c r="H297" s="10" t="s">
        <v>828</v>
      </c>
      <c r="I297" s="10" t="s">
        <v>829</v>
      </c>
      <c r="J297" s="10" t="s">
        <v>189</v>
      </c>
      <c r="K297" s="10" t="s">
        <v>295</v>
      </c>
      <c r="L297" s="10" t="s">
        <v>537</v>
      </c>
      <c r="M297" s="10" t="n">
        <v>27</v>
      </c>
      <c r="N297" s="10" t="n">
        <v>30</v>
      </c>
      <c r="O297" s="10" t="n">
        <f aca="false">M297-N297</f>
        <v>-3</v>
      </c>
      <c r="P297" s="10" t="s">
        <v>830</v>
      </c>
      <c r="Q297" s="10" t="s">
        <v>243</v>
      </c>
      <c r="R297" s="10" t="s">
        <v>194</v>
      </c>
      <c r="S297" s="10" t="s">
        <v>136</v>
      </c>
    </row>
    <row r="298" customFormat="false" ht="15" hidden="false" customHeight="false" outlineLevel="0" collapsed="false">
      <c r="A298" s="10" t="s">
        <v>16</v>
      </c>
      <c r="B298" s="10" t="n">
        <v>49209</v>
      </c>
      <c r="C298" s="40" t="n">
        <v>46218</v>
      </c>
      <c r="D298" s="10" t="s">
        <v>24</v>
      </c>
      <c r="E298" s="10" t="s">
        <v>185</v>
      </c>
      <c r="F298" s="10" t="s">
        <v>831</v>
      </c>
      <c r="G298" s="10" t="s">
        <v>832</v>
      </c>
      <c r="H298" s="10" t="s">
        <v>34</v>
      </c>
      <c r="I298" s="10" t="s">
        <v>205</v>
      </c>
      <c r="J298" s="10" t="s">
        <v>189</v>
      </c>
      <c r="K298" s="10" t="s">
        <v>833</v>
      </c>
      <c r="L298" s="10" t="s">
        <v>223</v>
      </c>
      <c r="M298" s="10" t="n">
        <v>41</v>
      </c>
      <c r="N298" s="10" t="n">
        <v>41</v>
      </c>
      <c r="O298" s="10" t="n">
        <f aca="false">M298-N298</f>
        <v>0</v>
      </c>
      <c r="P298" s="10" t="s">
        <v>834</v>
      </c>
      <c r="Q298" s="10" t="s">
        <v>225</v>
      </c>
      <c r="R298" s="10" t="s">
        <v>194</v>
      </c>
      <c r="S298" s="10" t="s">
        <v>99</v>
      </c>
    </row>
    <row r="299" customFormat="false" ht="15" hidden="false" customHeight="false" outlineLevel="0" collapsed="false">
      <c r="A299" s="10" t="s">
        <v>16</v>
      </c>
      <c r="B299" s="10" t="n">
        <v>49210</v>
      </c>
      <c r="C299" s="40" t="n">
        <v>46218</v>
      </c>
      <c r="D299" s="10" t="s">
        <v>24</v>
      </c>
      <c r="E299" s="10" t="s">
        <v>185</v>
      </c>
      <c r="F299" s="10" t="s">
        <v>831</v>
      </c>
      <c r="G299" s="10" t="s">
        <v>832</v>
      </c>
      <c r="H299" s="10" t="s">
        <v>34</v>
      </c>
      <c r="I299" s="10" t="s">
        <v>205</v>
      </c>
      <c r="J299" s="10" t="s">
        <v>189</v>
      </c>
      <c r="K299" s="10" t="s">
        <v>223</v>
      </c>
      <c r="L299" s="10" t="s">
        <v>835</v>
      </c>
      <c r="M299" s="10" t="n">
        <v>30</v>
      </c>
      <c r="N299" s="10" t="n">
        <v>30</v>
      </c>
      <c r="O299" s="10" t="n">
        <f aca="false">M299-N299</f>
        <v>0</v>
      </c>
      <c r="P299" s="10" t="s">
        <v>834</v>
      </c>
      <c r="Q299" s="10" t="s">
        <v>225</v>
      </c>
      <c r="R299" s="10" t="s">
        <v>194</v>
      </c>
      <c r="S299" s="10" t="s">
        <v>99</v>
      </c>
    </row>
    <row r="300" customFormat="false" ht="15" hidden="false" customHeight="false" outlineLevel="0" collapsed="false">
      <c r="A300" s="10" t="s">
        <v>16</v>
      </c>
      <c r="B300" s="10" t="n">
        <v>49211</v>
      </c>
      <c r="C300" s="40" t="n">
        <v>46218</v>
      </c>
      <c r="D300" s="10" t="s">
        <v>24</v>
      </c>
      <c r="E300" s="10" t="s">
        <v>185</v>
      </c>
      <c r="F300" s="10" t="s">
        <v>831</v>
      </c>
      <c r="G300" s="10" t="s">
        <v>832</v>
      </c>
      <c r="H300" s="10" t="s">
        <v>34</v>
      </c>
      <c r="I300" s="10" t="s">
        <v>205</v>
      </c>
      <c r="J300" s="10" t="s">
        <v>189</v>
      </c>
      <c r="K300" s="10" t="s">
        <v>226</v>
      </c>
      <c r="L300" s="10" t="s">
        <v>228</v>
      </c>
      <c r="M300" s="10" t="n">
        <v>60</v>
      </c>
      <c r="N300" s="10" t="n">
        <v>60</v>
      </c>
      <c r="O300" s="10" t="n">
        <f aca="false">M300-N300</f>
        <v>0</v>
      </c>
      <c r="P300" s="10" t="s">
        <v>834</v>
      </c>
      <c r="Q300" s="10" t="s">
        <v>225</v>
      </c>
      <c r="R300" s="10" t="s">
        <v>194</v>
      </c>
      <c r="S300" s="10" t="s">
        <v>99</v>
      </c>
    </row>
    <row r="301" customFormat="false" ht="15" hidden="false" customHeight="false" outlineLevel="0" collapsed="false">
      <c r="A301" s="10" t="s">
        <v>16</v>
      </c>
      <c r="B301" s="10" t="n">
        <v>49212</v>
      </c>
      <c r="C301" s="40" t="n">
        <v>46218</v>
      </c>
      <c r="D301" s="10" t="s">
        <v>24</v>
      </c>
      <c r="E301" s="10" t="s">
        <v>185</v>
      </c>
      <c r="F301" s="10" t="s">
        <v>831</v>
      </c>
      <c r="G301" s="10" t="s">
        <v>832</v>
      </c>
      <c r="H301" s="10" t="s">
        <v>34</v>
      </c>
      <c r="I301" s="10" t="s">
        <v>205</v>
      </c>
      <c r="J301" s="10" t="s">
        <v>189</v>
      </c>
      <c r="K301" s="10" t="s">
        <v>228</v>
      </c>
      <c r="L301" s="10" t="s">
        <v>199</v>
      </c>
      <c r="M301" s="10" t="n">
        <v>60</v>
      </c>
      <c r="N301" s="10" t="n">
        <v>60</v>
      </c>
      <c r="O301" s="10" t="n">
        <f aca="false">M301-N301</f>
        <v>0</v>
      </c>
      <c r="P301" s="10" t="s">
        <v>836</v>
      </c>
      <c r="Q301" s="10" t="s">
        <v>225</v>
      </c>
      <c r="R301" s="10" t="s">
        <v>194</v>
      </c>
      <c r="S301" s="10" t="s">
        <v>99</v>
      </c>
    </row>
    <row r="302" customFormat="false" ht="15" hidden="false" customHeight="false" outlineLevel="0" collapsed="false">
      <c r="A302" s="10" t="s">
        <v>16</v>
      </c>
      <c r="B302" s="10" t="n">
        <v>49230</v>
      </c>
      <c r="C302" s="40" t="n">
        <v>46218</v>
      </c>
      <c r="D302" s="10" t="s">
        <v>24</v>
      </c>
      <c r="E302" s="10" t="s">
        <v>185</v>
      </c>
      <c r="F302" s="10" t="s">
        <v>837</v>
      </c>
      <c r="G302" s="10" t="s">
        <v>838</v>
      </c>
      <c r="H302" s="10" t="s">
        <v>38</v>
      </c>
      <c r="I302" s="10" t="s">
        <v>415</v>
      </c>
      <c r="J302" s="10" t="s">
        <v>189</v>
      </c>
      <c r="K302" s="10" t="s">
        <v>507</v>
      </c>
      <c r="L302" s="10" t="s">
        <v>256</v>
      </c>
      <c r="M302" s="10" t="n">
        <v>45</v>
      </c>
      <c r="N302" s="10" t="n">
        <v>45</v>
      </c>
      <c r="O302" s="10" t="n">
        <f aca="false">M302-N302</f>
        <v>0</v>
      </c>
      <c r="P302" s="10" t="s">
        <v>647</v>
      </c>
      <c r="Q302" s="10" t="s">
        <v>437</v>
      </c>
      <c r="R302" s="10" t="s">
        <v>194</v>
      </c>
      <c r="S302" s="10" t="s">
        <v>93</v>
      </c>
    </row>
    <row r="303" customFormat="false" ht="15" hidden="false" customHeight="false" outlineLevel="0" collapsed="false">
      <c r="A303" s="10" t="s">
        <v>16</v>
      </c>
      <c r="B303" s="10" t="n">
        <v>49332</v>
      </c>
      <c r="C303" s="40" t="n">
        <v>46219</v>
      </c>
      <c r="D303" s="10" t="s">
        <v>21</v>
      </c>
      <c r="E303" s="10" t="s">
        <v>258</v>
      </c>
      <c r="F303" s="10" t="s">
        <v>839</v>
      </c>
      <c r="G303" s="10" t="s">
        <v>840</v>
      </c>
      <c r="H303" s="10" t="s">
        <v>841</v>
      </c>
      <c r="I303" s="10" t="s">
        <v>842</v>
      </c>
      <c r="J303" s="10" t="s">
        <v>189</v>
      </c>
      <c r="K303" s="10" t="s">
        <v>256</v>
      </c>
      <c r="L303" s="10" t="s">
        <v>332</v>
      </c>
      <c r="M303" s="10" t="n">
        <v>60</v>
      </c>
      <c r="N303" s="10" t="n">
        <v>60</v>
      </c>
      <c r="O303" s="10" t="n">
        <f aca="false">M303-N303</f>
        <v>0</v>
      </c>
      <c r="P303" s="10" t="s">
        <v>843</v>
      </c>
      <c r="Q303" s="10" t="s">
        <v>448</v>
      </c>
      <c r="R303" s="10" t="s">
        <v>194</v>
      </c>
      <c r="S303" s="10" t="s">
        <v>140</v>
      </c>
    </row>
    <row r="304" customFormat="false" ht="15" hidden="false" customHeight="false" outlineLevel="0" collapsed="false">
      <c r="A304" s="10" t="s">
        <v>16</v>
      </c>
      <c r="B304" s="10" t="n">
        <v>49413</v>
      </c>
      <c r="C304" s="40" t="n">
        <v>46220</v>
      </c>
      <c r="D304" s="10" t="s">
        <v>22</v>
      </c>
      <c r="E304" s="10" t="s">
        <v>185</v>
      </c>
      <c r="F304" s="10" t="s">
        <v>238</v>
      </c>
      <c r="G304" s="10" t="s">
        <v>239</v>
      </c>
      <c r="H304" s="10" t="s">
        <v>43</v>
      </c>
      <c r="I304" s="10" t="s">
        <v>249</v>
      </c>
      <c r="J304" s="10" t="s">
        <v>189</v>
      </c>
      <c r="K304" s="10" t="s">
        <v>280</v>
      </c>
      <c r="L304" s="10" t="s">
        <v>199</v>
      </c>
      <c r="M304" s="10" t="n">
        <v>36</v>
      </c>
      <c r="N304" s="10" t="n">
        <v>36</v>
      </c>
      <c r="O304" s="10" t="n">
        <f aca="false">M304-N304</f>
        <v>0</v>
      </c>
      <c r="P304" s="10" t="s">
        <v>844</v>
      </c>
      <c r="Q304" s="10" t="s">
        <v>243</v>
      </c>
      <c r="R304" s="10" t="s">
        <v>194</v>
      </c>
      <c r="S304" s="10" t="s">
        <v>125</v>
      </c>
    </row>
    <row r="305" customFormat="false" ht="15" hidden="false" customHeight="false" outlineLevel="0" collapsed="false">
      <c r="A305" s="10" t="s">
        <v>16</v>
      </c>
      <c r="B305" s="10" t="n">
        <v>49443</v>
      </c>
      <c r="C305" s="40" t="n">
        <v>46220</v>
      </c>
      <c r="D305" s="10" t="s">
        <v>25</v>
      </c>
      <c r="E305" s="10" t="s">
        <v>258</v>
      </c>
      <c r="F305" s="10" t="s">
        <v>353</v>
      </c>
      <c r="G305" s="10" t="s">
        <v>354</v>
      </c>
      <c r="H305" s="10" t="s">
        <v>34</v>
      </c>
      <c r="I305" s="10" t="s">
        <v>205</v>
      </c>
      <c r="J305" s="10" t="s">
        <v>189</v>
      </c>
      <c r="K305" s="10" t="s">
        <v>338</v>
      </c>
      <c r="L305" s="10" t="s">
        <v>845</v>
      </c>
      <c r="M305" s="10" t="n">
        <v>12</v>
      </c>
      <c r="N305" s="10" t="n">
        <v>12</v>
      </c>
      <c r="O305" s="10" t="n">
        <f aca="false">M305-N305</f>
        <v>0</v>
      </c>
      <c r="P305" s="10" t="s">
        <v>846</v>
      </c>
      <c r="Q305" s="10" t="s">
        <v>359</v>
      </c>
      <c r="R305" s="10" t="s">
        <v>194</v>
      </c>
      <c r="S305" s="10" t="s">
        <v>70</v>
      </c>
    </row>
    <row r="306" customFormat="false" ht="15" hidden="false" customHeight="false" outlineLevel="0" collapsed="false">
      <c r="A306" s="10" t="s">
        <v>16</v>
      </c>
      <c r="B306" s="10" t="n">
        <v>49550</v>
      </c>
      <c r="C306" s="40" t="n">
        <v>46224</v>
      </c>
      <c r="D306" s="10" t="s">
        <v>25</v>
      </c>
      <c r="E306" s="10" t="s">
        <v>185</v>
      </c>
      <c r="F306" s="10" t="s">
        <v>353</v>
      </c>
      <c r="G306" s="10" t="s">
        <v>354</v>
      </c>
      <c r="H306" s="10" t="s">
        <v>765</v>
      </c>
      <c r="I306" s="10" t="s">
        <v>766</v>
      </c>
      <c r="J306" s="10" t="s">
        <v>189</v>
      </c>
      <c r="K306" s="10" t="s">
        <v>255</v>
      </c>
      <c r="L306" s="10" t="s">
        <v>190</v>
      </c>
      <c r="M306" s="10" t="n">
        <v>10</v>
      </c>
      <c r="N306" s="10" t="n">
        <v>10</v>
      </c>
      <c r="O306" s="10" t="n">
        <f aca="false">M306-N306</f>
        <v>0</v>
      </c>
      <c r="P306" s="10"/>
      <c r="Q306" s="10" t="s">
        <v>359</v>
      </c>
      <c r="R306" s="10" t="s">
        <v>194</v>
      </c>
      <c r="S306" s="10" t="s">
        <v>147</v>
      </c>
    </row>
    <row r="307" customFormat="false" ht="15" hidden="false" customHeight="false" outlineLevel="0" collapsed="false">
      <c r="A307" s="10" t="s">
        <v>16</v>
      </c>
      <c r="B307" s="10" t="n">
        <v>49647</v>
      </c>
      <c r="C307" s="40" t="n">
        <v>46225</v>
      </c>
      <c r="D307" s="10" t="s">
        <v>21</v>
      </c>
      <c r="E307" s="10" t="s">
        <v>185</v>
      </c>
      <c r="F307" s="10" t="s">
        <v>847</v>
      </c>
      <c r="G307" s="10" t="s">
        <v>848</v>
      </c>
      <c r="H307" s="10" t="s">
        <v>841</v>
      </c>
      <c r="I307" s="10" t="s">
        <v>842</v>
      </c>
      <c r="J307" s="10" t="s">
        <v>189</v>
      </c>
      <c r="K307" s="10" t="s">
        <v>255</v>
      </c>
      <c r="L307" s="10" t="s">
        <v>191</v>
      </c>
      <c r="M307" s="10" t="n">
        <v>60</v>
      </c>
      <c r="N307" s="10" t="n">
        <v>60</v>
      </c>
      <c r="O307" s="10" t="n">
        <f aca="false">M307-N307</f>
        <v>0</v>
      </c>
      <c r="P307" s="10" t="s">
        <v>849</v>
      </c>
      <c r="Q307" s="10" t="s">
        <v>448</v>
      </c>
      <c r="R307" s="10" t="s">
        <v>194</v>
      </c>
      <c r="S307" s="10" t="s">
        <v>140</v>
      </c>
    </row>
    <row r="308" customFormat="false" ht="15" hidden="false" customHeight="false" outlineLevel="0" collapsed="false">
      <c r="A308" s="10" t="s">
        <v>16</v>
      </c>
      <c r="B308" s="10" t="n">
        <v>49818</v>
      </c>
      <c r="C308" s="40" t="n">
        <v>46227</v>
      </c>
      <c r="D308" s="10" t="s">
        <v>20</v>
      </c>
      <c r="E308" s="10" t="s">
        <v>185</v>
      </c>
      <c r="F308" s="10" t="s">
        <v>540</v>
      </c>
      <c r="G308" s="10" t="s">
        <v>541</v>
      </c>
      <c r="H308" s="10" t="s">
        <v>349</v>
      </c>
      <c r="I308" s="10" t="s">
        <v>350</v>
      </c>
      <c r="J308" s="10" t="s">
        <v>189</v>
      </c>
      <c r="K308" s="10" t="s">
        <v>255</v>
      </c>
      <c r="L308" s="10" t="s">
        <v>502</v>
      </c>
      <c r="M308" s="10" t="n">
        <v>30</v>
      </c>
      <c r="N308" s="10" t="n">
        <v>30</v>
      </c>
      <c r="O308" s="10" t="n">
        <f aca="false">M308-N308</f>
        <v>0</v>
      </c>
      <c r="P308" s="10" t="s">
        <v>850</v>
      </c>
      <c r="Q308" s="10" t="s">
        <v>225</v>
      </c>
      <c r="R308" s="10" t="s">
        <v>194</v>
      </c>
      <c r="S308" s="10" t="s">
        <v>112</v>
      </c>
    </row>
    <row r="309" customFormat="false" ht="15" hidden="false" customHeight="false" outlineLevel="0" collapsed="false">
      <c r="A309" s="10" t="s">
        <v>16</v>
      </c>
      <c r="B309" s="10" t="n">
        <v>50075</v>
      </c>
      <c r="C309" s="40" t="n">
        <v>46231</v>
      </c>
      <c r="D309" s="10" t="s">
        <v>23</v>
      </c>
      <c r="E309" s="10" t="s">
        <v>185</v>
      </c>
      <c r="F309" s="10" t="s">
        <v>851</v>
      </c>
      <c r="G309" s="10" t="s">
        <v>852</v>
      </c>
      <c r="H309" s="10" t="s">
        <v>34</v>
      </c>
      <c r="I309" s="10" t="s">
        <v>205</v>
      </c>
      <c r="J309" s="10" t="s">
        <v>189</v>
      </c>
      <c r="K309" s="10" t="s">
        <v>402</v>
      </c>
      <c r="L309" s="10" t="s">
        <v>191</v>
      </c>
      <c r="M309" s="10" t="n">
        <v>20</v>
      </c>
      <c r="N309" s="10" t="n">
        <v>20</v>
      </c>
      <c r="O309" s="10" t="n">
        <f aca="false">M309-N309</f>
        <v>0</v>
      </c>
      <c r="P309" s="10" t="s">
        <v>853</v>
      </c>
      <c r="Q309" s="10" t="s">
        <v>218</v>
      </c>
      <c r="R309" s="10" t="s">
        <v>194</v>
      </c>
      <c r="S309" s="10" t="s">
        <v>73</v>
      </c>
    </row>
    <row r="310" customFormat="false" ht="15" hidden="false" customHeight="false" outlineLevel="0" collapsed="false">
      <c r="A310" s="10" t="s">
        <v>16</v>
      </c>
      <c r="B310" s="10" t="n">
        <v>50077</v>
      </c>
      <c r="C310" s="40" t="n">
        <v>46231</v>
      </c>
      <c r="D310" s="10" t="s">
        <v>23</v>
      </c>
      <c r="E310" s="10" t="s">
        <v>185</v>
      </c>
      <c r="F310" s="10" t="s">
        <v>851</v>
      </c>
      <c r="G310" s="10" t="s">
        <v>852</v>
      </c>
      <c r="H310" s="10" t="s">
        <v>34</v>
      </c>
      <c r="I310" s="10" t="s">
        <v>205</v>
      </c>
      <c r="J310" s="10" t="s">
        <v>189</v>
      </c>
      <c r="K310" s="10" t="s">
        <v>191</v>
      </c>
      <c r="L310" s="10" t="s">
        <v>369</v>
      </c>
      <c r="M310" s="10" t="n">
        <v>40</v>
      </c>
      <c r="N310" s="10" t="n">
        <v>40</v>
      </c>
      <c r="O310" s="10" t="n">
        <f aca="false">M310-N310</f>
        <v>0</v>
      </c>
      <c r="P310" s="10" t="s">
        <v>854</v>
      </c>
      <c r="Q310" s="10" t="s">
        <v>218</v>
      </c>
      <c r="R310" s="10" t="s">
        <v>194</v>
      </c>
      <c r="S310" s="10" t="s">
        <v>73</v>
      </c>
    </row>
    <row r="311" customFormat="false" ht="15" hidden="false" customHeight="false" outlineLevel="0" collapsed="false">
      <c r="A311" s="10" t="s">
        <v>16</v>
      </c>
      <c r="B311" s="10" t="n">
        <v>50078</v>
      </c>
      <c r="C311" s="40" t="n">
        <v>46231</v>
      </c>
      <c r="D311" s="10" t="s">
        <v>23</v>
      </c>
      <c r="E311" s="10" t="s">
        <v>185</v>
      </c>
      <c r="F311" s="10" t="s">
        <v>851</v>
      </c>
      <c r="G311" s="10" t="s">
        <v>852</v>
      </c>
      <c r="H311" s="10" t="s">
        <v>34</v>
      </c>
      <c r="I311" s="10" t="s">
        <v>205</v>
      </c>
      <c r="J311" s="10" t="s">
        <v>189</v>
      </c>
      <c r="K311" s="10" t="s">
        <v>369</v>
      </c>
      <c r="L311" s="10" t="s">
        <v>295</v>
      </c>
      <c r="M311" s="10" t="n">
        <v>20</v>
      </c>
      <c r="N311" s="10" t="n">
        <v>20</v>
      </c>
      <c r="O311" s="10" t="n">
        <f aca="false">M311-N311</f>
        <v>0</v>
      </c>
      <c r="P311" s="10" t="s">
        <v>855</v>
      </c>
      <c r="Q311" s="10" t="s">
        <v>218</v>
      </c>
      <c r="R311" s="10" t="s">
        <v>194</v>
      </c>
      <c r="S311" s="10" t="s">
        <v>89</v>
      </c>
    </row>
    <row r="312" customFormat="false" ht="15" hidden="false" customHeight="false" outlineLevel="0" collapsed="false">
      <c r="A312" s="10" t="s">
        <v>16</v>
      </c>
      <c r="B312" s="10" t="n">
        <v>50085</v>
      </c>
      <c r="C312" s="40" t="n">
        <v>46231</v>
      </c>
      <c r="D312" s="10" t="s">
        <v>23</v>
      </c>
      <c r="E312" s="10" t="s">
        <v>185</v>
      </c>
      <c r="F312" s="10" t="s">
        <v>851</v>
      </c>
      <c r="G312" s="10" t="s">
        <v>852</v>
      </c>
      <c r="H312" s="10" t="s">
        <v>392</v>
      </c>
      <c r="I312" s="10" t="s">
        <v>393</v>
      </c>
      <c r="J312" s="10" t="s">
        <v>189</v>
      </c>
      <c r="K312" s="10" t="s">
        <v>856</v>
      </c>
      <c r="L312" s="10" t="s">
        <v>857</v>
      </c>
      <c r="M312" s="10" t="n">
        <v>10</v>
      </c>
      <c r="N312" s="10" t="n">
        <v>14</v>
      </c>
      <c r="O312" s="10" t="n">
        <f aca="false">M312-N312</f>
        <v>-4</v>
      </c>
      <c r="P312" s="10" t="s">
        <v>858</v>
      </c>
      <c r="Q312" s="10" t="s">
        <v>218</v>
      </c>
      <c r="R312" s="10" t="s">
        <v>194</v>
      </c>
      <c r="S312" s="10" t="s">
        <v>73</v>
      </c>
    </row>
    <row r="313" customFormat="false" ht="15" hidden="false" customHeight="false" outlineLevel="0" collapsed="false">
      <c r="A313" s="10" t="s">
        <v>16</v>
      </c>
      <c r="B313" s="10" t="n">
        <v>50146</v>
      </c>
      <c r="C313" s="40" t="n">
        <v>46231</v>
      </c>
      <c r="D313" s="10" t="s">
        <v>26</v>
      </c>
      <c r="E313" s="10" t="s">
        <v>258</v>
      </c>
      <c r="F313" s="10" t="s">
        <v>859</v>
      </c>
      <c r="G313" s="10" t="s">
        <v>860</v>
      </c>
      <c r="H313" s="10" t="s">
        <v>34</v>
      </c>
      <c r="I313" s="10" t="s">
        <v>205</v>
      </c>
      <c r="J313" s="10" t="s">
        <v>189</v>
      </c>
      <c r="K313" s="10" t="s">
        <v>861</v>
      </c>
      <c r="L313" s="10" t="s">
        <v>462</v>
      </c>
      <c r="M313" s="10" t="n">
        <v>90</v>
      </c>
      <c r="N313" s="10" t="n">
        <v>30</v>
      </c>
      <c r="O313" s="10" t="n">
        <f aca="false">M313-N313</f>
        <v>60</v>
      </c>
      <c r="P313" s="10" t="s">
        <v>862</v>
      </c>
      <c r="Q313" s="10" t="s">
        <v>863</v>
      </c>
      <c r="R313" s="10" t="s">
        <v>194</v>
      </c>
      <c r="S313" s="10" t="s">
        <v>105</v>
      </c>
    </row>
    <row r="314" customFormat="false" ht="15" hidden="false" customHeight="false" outlineLevel="0" collapsed="false">
      <c r="A314" s="10" t="s">
        <v>16</v>
      </c>
      <c r="B314" s="10" t="n">
        <v>50153</v>
      </c>
      <c r="C314" s="40" t="n">
        <v>46231</v>
      </c>
      <c r="D314" s="10" t="s">
        <v>26</v>
      </c>
      <c r="E314" s="10" t="s">
        <v>258</v>
      </c>
      <c r="F314" s="10" t="s">
        <v>859</v>
      </c>
      <c r="G314" s="10" t="s">
        <v>860</v>
      </c>
      <c r="H314" s="10" t="s">
        <v>34</v>
      </c>
      <c r="I314" s="10" t="s">
        <v>205</v>
      </c>
      <c r="J314" s="10" t="s">
        <v>189</v>
      </c>
      <c r="K314" s="10" t="s">
        <v>462</v>
      </c>
      <c r="L314" s="10" t="s">
        <v>290</v>
      </c>
      <c r="M314" s="10" t="n">
        <v>60</v>
      </c>
      <c r="N314" s="10" t="n">
        <v>60</v>
      </c>
      <c r="O314" s="10" t="n">
        <f aca="false">M314-N314</f>
        <v>0</v>
      </c>
      <c r="P314" s="10" t="s">
        <v>864</v>
      </c>
      <c r="Q314" s="10" t="s">
        <v>863</v>
      </c>
      <c r="R314" s="10" t="s">
        <v>194</v>
      </c>
      <c r="S314" s="10" t="s">
        <v>105</v>
      </c>
    </row>
    <row r="315" customFormat="false" ht="15" hidden="false" customHeight="false" outlineLevel="0" collapsed="false">
      <c r="A315" s="10" t="s">
        <v>16</v>
      </c>
      <c r="B315" s="10" t="n">
        <v>50154</v>
      </c>
      <c r="C315" s="40" t="n">
        <v>46231</v>
      </c>
      <c r="D315" s="10" t="s">
        <v>26</v>
      </c>
      <c r="E315" s="10" t="s">
        <v>258</v>
      </c>
      <c r="F315" s="10" t="s">
        <v>859</v>
      </c>
      <c r="G315" s="10" t="s">
        <v>860</v>
      </c>
      <c r="H315" s="10" t="s">
        <v>34</v>
      </c>
      <c r="I315" s="10" t="s">
        <v>205</v>
      </c>
      <c r="J315" s="10" t="s">
        <v>189</v>
      </c>
      <c r="K315" s="10" t="s">
        <v>290</v>
      </c>
      <c r="L315" s="10" t="s">
        <v>460</v>
      </c>
      <c r="M315" s="10" t="n">
        <v>60</v>
      </c>
      <c r="N315" s="10" t="n">
        <v>60</v>
      </c>
      <c r="O315" s="10" t="n">
        <f aca="false">M315-N315</f>
        <v>0</v>
      </c>
      <c r="P315" s="10" t="s">
        <v>864</v>
      </c>
      <c r="Q315" s="10" t="s">
        <v>863</v>
      </c>
      <c r="R315" s="10" t="s">
        <v>194</v>
      </c>
      <c r="S315" s="10" t="s">
        <v>105</v>
      </c>
    </row>
    <row r="316" customFormat="false" ht="15" hidden="false" customHeight="false" outlineLevel="0" collapsed="false">
      <c r="A316" s="10" t="s">
        <v>16</v>
      </c>
      <c r="B316" s="10" t="n">
        <v>50155</v>
      </c>
      <c r="C316" s="40" t="n">
        <v>46231</v>
      </c>
      <c r="D316" s="10" t="s">
        <v>26</v>
      </c>
      <c r="E316" s="10" t="s">
        <v>258</v>
      </c>
      <c r="F316" s="10" t="s">
        <v>859</v>
      </c>
      <c r="G316" s="10" t="s">
        <v>860</v>
      </c>
      <c r="H316" s="10" t="s">
        <v>34</v>
      </c>
      <c r="I316" s="10" t="s">
        <v>205</v>
      </c>
      <c r="J316" s="10" t="s">
        <v>189</v>
      </c>
      <c r="K316" s="10" t="s">
        <v>460</v>
      </c>
      <c r="L316" s="10" t="s">
        <v>865</v>
      </c>
      <c r="M316" s="10" t="n">
        <v>60</v>
      </c>
      <c r="N316" s="10" t="n">
        <v>30</v>
      </c>
      <c r="O316" s="10" t="n">
        <f aca="false">M316-N316</f>
        <v>30</v>
      </c>
      <c r="P316" s="10" t="s">
        <v>864</v>
      </c>
      <c r="Q316" s="10" t="s">
        <v>863</v>
      </c>
      <c r="R316" s="10" t="s">
        <v>194</v>
      </c>
      <c r="S316" s="10" t="s">
        <v>105</v>
      </c>
    </row>
    <row r="317" customFormat="false" ht="15" hidden="false" customHeight="false" outlineLevel="0" collapsed="false">
      <c r="A317" s="10" t="s">
        <v>16</v>
      </c>
      <c r="B317" s="10" t="n">
        <v>50181</v>
      </c>
      <c r="C317" s="40" t="n">
        <v>46232</v>
      </c>
      <c r="D317" s="10" t="s">
        <v>25</v>
      </c>
      <c r="E317" s="10" t="s">
        <v>185</v>
      </c>
      <c r="F317" s="10" t="s">
        <v>318</v>
      </c>
      <c r="G317" s="10" t="s">
        <v>319</v>
      </c>
      <c r="H317" s="10" t="s">
        <v>36</v>
      </c>
      <c r="I317" s="10" t="s">
        <v>331</v>
      </c>
      <c r="J317" s="10" t="s">
        <v>189</v>
      </c>
      <c r="K317" s="10" t="s">
        <v>866</v>
      </c>
      <c r="L317" s="10" t="s">
        <v>363</v>
      </c>
      <c r="M317" s="10" t="n">
        <v>4</v>
      </c>
      <c r="N317" s="10" t="n">
        <v>4</v>
      </c>
      <c r="O317" s="10" t="n">
        <f aca="false">M317-N317</f>
        <v>0</v>
      </c>
      <c r="P317" s="10" t="s">
        <v>163</v>
      </c>
      <c r="Q317" s="10" t="s">
        <v>359</v>
      </c>
      <c r="R317" s="10" t="s">
        <v>282</v>
      </c>
      <c r="S317" s="10" t="s">
        <v>67</v>
      </c>
    </row>
    <row r="318" customFormat="false" ht="15" hidden="false" customHeight="false" outlineLevel="0" collapsed="false">
      <c r="A318" s="10" t="s">
        <v>16</v>
      </c>
      <c r="B318" s="10" t="n">
        <v>50235</v>
      </c>
      <c r="C318" s="40" t="n">
        <v>46232</v>
      </c>
      <c r="D318" s="10" t="s">
        <v>26</v>
      </c>
      <c r="E318" s="10" t="s">
        <v>258</v>
      </c>
      <c r="F318" s="10" t="s">
        <v>859</v>
      </c>
      <c r="G318" s="10" t="s">
        <v>860</v>
      </c>
      <c r="H318" s="10" t="s">
        <v>37</v>
      </c>
      <c r="I318" s="10" t="s">
        <v>188</v>
      </c>
      <c r="J318" s="10" t="s">
        <v>189</v>
      </c>
      <c r="K318" s="10" t="s">
        <v>290</v>
      </c>
      <c r="L318" s="10" t="s">
        <v>867</v>
      </c>
      <c r="M318" s="10" t="n">
        <v>25</v>
      </c>
      <c r="N318" s="10" t="n">
        <v>25</v>
      </c>
      <c r="O318" s="10" t="n">
        <f aca="false">M318-N318</f>
        <v>0</v>
      </c>
      <c r="P318" s="10" t="s">
        <v>868</v>
      </c>
      <c r="Q318" s="10" t="s">
        <v>863</v>
      </c>
      <c r="R318" s="10" t="s">
        <v>194</v>
      </c>
      <c r="S318" s="10" t="s">
        <v>67</v>
      </c>
    </row>
    <row r="319" customFormat="false" ht="15" hidden="false" customHeight="false" outlineLevel="0" collapsed="false">
      <c r="A319" s="10" t="s">
        <v>16</v>
      </c>
      <c r="B319" s="10" t="n">
        <v>50267</v>
      </c>
      <c r="C319" s="40" t="n">
        <v>46233</v>
      </c>
      <c r="D319" s="10" t="s">
        <v>26</v>
      </c>
      <c r="E319" s="10" t="s">
        <v>185</v>
      </c>
      <c r="F319" s="10" t="s">
        <v>859</v>
      </c>
      <c r="G319" s="10" t="s">
        <v>860</v>
      </c>
      <c r="H319" s="10" t="s">
        <v>869</v>
      </c>
      <c r="I319" s="10" t="s">
        <v>870</v>
      </c>
      <c r="J319" s="10" t="s">
        <v>189</v>
      </c>
      <c r="K319" s="10" t="s">
        <v>866</v>
      </c>
      <c r="L319" s="10" t="s">
        <v>199</v>
      </c>
      <c r="M319" s="10" t="n">
        <v>17</v>
      </c>
      <c r="N319" s="10" t="n">
        <v>17</v>
      </c>
      <c r="O319" s="10" t="n">
        <f aca="false">M319-N319</f>
        <v>0</v>
      </c>
      <c r="P319" s="10" t="s">
        <v>871</v>
      </c>
      <c r="Q319" s="10" t="s">
        <v>237</v>
      </c>
      <c r="R319" s="10" t="s">
        <v>194</v>
      </c>
      <c r="S319" s="10" t="s">
        <v>76</v>
      </c>
    </row>
  </sheetData>
  <autoFilter ref="A1:S3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3" min="13" style="0" width="80"/>
  </cols>
  <sheetData>
    <row r="1" customFormat="false" ht="19.7" hidden="false" customHeight="false" outlineLevel="0" collapsed="false">
      <c r="A1" s="1"/>
      <c r="B1" s="26" t="s">
        <v>872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/>
      <c r="B2" s="3" t="s">
        <v>873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35.05" hidden="false" customHeight="false" outlineLevel="0" collapsed="false">
      <c r="A4" s="1"/>
      <c r="B4" s="9" t="s">
        <v>9</v>
      </c>
      <c r="C4" s="9" t="s">
        <v>874</v>
      </c>
      <c r="D4" s="9" t="s">
        <v>46</v>
      </c>
      <c r="E4" s="9" t="s">
        <v>18</v>
      </c>
      <c r="F4" s="9" t="s">
        <v>32</v>
      </c>
      <c r="G4" s="9" t="s">
        <v>875</v>
      </c>
      <c r="H4" s="9" t="s">
        <v>876</v>
      </c>
      <c r="I4" s="9" t="s">
        <v>11</v>
      </c>
      <c r="J4" s="9" t="s">
        <v>12</v>
      </c>
      <c r="K4" s="9" t="s">
        <v>877</v>
      </c>
      <c r="L4" s="9" t="s">
        <v>878</v>
      </c>
      <c r="M4" s="9" t="s">
        <v>879</v>
      </c>
    </row>
    <row r="5" customFormat="false" ht="15" hidden="false" customHeight="false" outlineLevel="0" collapsed="false">
      <c r="A5" s="1"/>
      <c r="B5" s="10" t="s">
        <v>13</v>
      </c>
      <c r="C5" s="10" t="n">
        <v>1</v>
      </c>
      <c r="D5" s="40" t="n">
        <v>46035</v>
      </c>
      <c r="E5" s="10" t="s">
        <v>22</v>
      </c>
      <c r="F5" s="10" t="s">
        <v>34</v>
      </c>
      <c r="G5" s="10" t="s">
        <v>185</v>
      </c>
      <c r="H5" s="10" t="n">
        <f aca="false">COUNTIFS(Datos!$C$2:$C$319,D5,Datos!$D$2:$D$319,E5,Datos!$H$2:$H$319,F5)</f>
        <v>1</v>
      </c>
      <c r="I5" s="10" t="n">
        <f aca="false">SUMIFS(Datos!$M$2:$M$319,Datos!$C$2:$C$319,D5,Datos!$D$2:$D$319,E5,Datos!$H$2:$H$319,F5)</f>
        <v>480</v>
      </c>
      <c r="J5" s="12" t="n">
        <f aca="false">I5/60</f>
        <v>8</v>
      </c>
      <c r="K5" s="10" t="s">
        <v>255</v>
      </c>
      <c r="L5" s="10" t="s">
        <v>256</v>
      </c>
      <c r="M5" s="18" t="s">
        <v>257</v>
      </c>
    </row>
    <row r="6" customFormat="false" ht="23.85" hidden="false" customHeight="false" outlineLevel="0" collapsed="false">
      <c r="A6" s="1"/>
      <c r="B6" s="10" t="s">
        <v>13</v>
      </c>
      <c r="C6" s="10" t="n">
        <v>2</v>
      </c>
      <c r="D6" s="40" t="n">
        <v>46048</v>
      </c>
      <c r="E6" s="10" t="s">
        <v>25</v>
      </c>
      <c r="F6" s="10" t="s">
        <v>406</v>
      </c>
      <c r="G6" s="10" t="s">
        <v>185</v>
      </c>
      <c r="H6" s="10" t="n">
        <f aca="false">COUNTIFS(Datos!$C$2:$C$319,D6,Datos!$D$2:$D$319,E6,Datos!$H$2:$H$319,F6)</f>
        <v>3</v>
      </c>
      <c r="I6" s="10" t="n">
        <f aca="false">SUMIFS(Datos!$M$2:$M$319,Datos!$C$2:$C$319,D6,Datos!$D$2:$D$319,E6,Datos!$H$2:$H$319,F6)</f>
        <v>200</v>
      </c>
      <c r="J6" s="12" t="n">
        <f aca="false">I6/60</f>
        <v>3.33333333333333</v>
      </c>
      <c r="K6" s="10" t="s">
        <v>255</v>
      </c>
      <c r="L6" s="10" t="s">
        <v>301</v>
      </c>
      <c r="M6" s="18" t="s">
        <v>880</v>
      </c>
    </row>
    <row r="7" customFormat="false" ht="15" hidden="false" customHeight="false" outlineLevel="0" collapsed="false">
      <c r="A7" s="1"/>
      <c r="B7" s="10" t="s">
        <v>13</v>
      </c>
      <c r="C7" s="10" t="n">
        <v>3</v>
      </c>
      <c r="D7" s="40" t="n">
        <v>46024</v>
      </c>
      <c r="E7" s="10" t="s">
        <v>25</v>
      </c>
      <c r="F7" s="10" t="s">
        <v>37</v>
      </c>
      <c r="G7" s="10" t="s">
        <v>185</v>
      </c>
      <c r="H7" s="10" t="n">
        <f aca="false">COUNTIFS(Datos!$C$2:$C$319,D7,Datos!$D$2:$D$319,E7,Datos!$H$2:$H$319,F7)</f>
        <v>1</v>
      </c>
      <c r="I7" s="10" t="n">
        <f aca="false">SUMIFS(Datos!$M$2:$M$319,Datos!$C$2:$C$319,D7,Datos!$D$2:$D$319,E7,Datos!$H$2:$H$319,F7)</f>
        <v>180</v>
      </c>
      <c r="J7" s="12" t="n">
        <f aca="false">I7/60</f>
        <v>3</v>
      </c>
      <c r="K7" s="10" t="s">
        <v>255</v>
      </c>
      <c r="L7" s="10" t="s">
        <v>223</v>
      </c>
      <c r="M7" s="18" t="s">
        <v>320</v>
      </c>
    </row>
    <row r="8" customFormat="false" ht="35.05" hidden="false" customHeight="false" outlineLevel="0" collapsed="false">
      <c r="A8" s="1"/>
      <c r="B8" s="10" t="s">
        <v>13</v>
      </c>
      <c r="C8" s="10" t="n">
        <v>4</v>
      </c>
      <c r="D8" s="40" t="n">
        <v>46037</v>
      </c>
      <c r="E8" s="10" t="s">
        <v>22</v>
      </c>
      <c r="F8" s="10" t="s">
        <v>274</v>
      </c>
      <c r="G8" s="10" t="s">
        <v>185</v>
      </c>
      <c r="H8" s="10" t="n">
        <f aca="false">COUNTIFS(Datos!$C$2:$C$319,D8,Datos!$D$2:$D$319,E8,Datos!$H$2:$H$319,F8)</f>
        <v>5</v>
      </c>
      <c r="I8" s="10" t="n">
        <f aca="false">SUMIFS(Datos!$M$2:$M$319,Datos!$C$2:$C$319,D8,Datos!$D$2:$D$319,E8,Datos!$H$2:$H$319,F8)</f>
        <v>177</v>
      </c>
      <c r="J8" s="12" t="n">
        <f aca="false">I8/60</f>
        <v>2.95</v>
      </c>
      <c r="K8" s="10" t="s">
        <v>278</v>
      </c>
      <c r="L8" s="10" t="s">
        <v>285</v>
      </c>
      <c r="M8" s="18" t="s">
        <v>881</v>
      </c>
    </row>
    <row r="9" customFormat="false" ht="15" hidden="false" customHeight="false" outlineLevel="0" collapsed="false">
      <c r="A9" s="1"/>
      <c r="B9" s="10" t="s">
        <v>13</v>
      </c>
      <c r="C9" s="10" t="n">
        <v>5</v>
      </c>
      <c r="D9" s="40" t="n">
        <v>46035</v>
      </c>
      <c r="E9" s="10" t="s">
        <v>24</v>
      </c>
      <c r="F9" s="10" t="s">
        <v>39</v>
      </c>
      <c r="G9" s="10" t="s">
        <v>185</v>
      </c>
      <c r="H9" s="10" t="n">
        <f aca="false">COUNTIFS(Datos!$C$2:$C$319,D9,Datos!$D$2:$D$319,E9,Datos!$H$2:$H$319,F9)</f>
        <v>3</v>
      </c>
      <c r="I9" s="10" t="n">
        <f aca="false">SUMIFS(Datos!$M$2:$M$319,Datos!$C$2:$C$319,D9,Datos!$D$2:$D$319,E9,Datos!$H$2:$H$319,F9)</f>
        <v>155</v>
      </c>
      <c r="J9" s="12" t="n">
        <f aca="false">I9/60</f>
        <v>2.58333333333333</v>
      </c>
      <c r="K9" s="10" t="s">
        <v>222</v>
      </c>
      <c r="L9" s="10" t="s">
        <v>199</v>
      </c>
      <c r="M9" s="18" t="s">
        <v>882</v>
      </c>
    </row>
    <row r="10" customFormat="false" ht="35.05" hidden="false" customHeight="false" outlineLevel="0" collapsed="false">
      <c r="A10" s="1"/>
      <c r="B10" s="10" t="s">
        <v>13</v>
      </c>
      <c r="C10" s="10" t="n">
        <v>5</v>
      </c>
      <c r="D10" s="40" t="n">
        <v>46041</v>
      </c>
      <c r="E10" s="10" t="s">
        <v>23</v>
      </c>
      <c r="F10" s="10" t="s">
        <v>36</v>
      </c>
      <c r="G10" s="10" t="s">
        <v>258</v>
      </c>
      <c r="H10" s="10" t="n">
        <f aca="false">COUNTIFS(Datos!$C$2:$C$319,D10,Datos!$D$2:$D$319,E10,Datos!$H$2:$H$319,F10)</f>
        <v>4</v>
      </c>
      <c r="I10" s="10" t="n">
        <f aca="false">SUMIFS(Datos!$M$2:$M$319,Datos!$C$2:$C$319,D10,Datos!$D$2:$D$319,E10,Datos!$H$2:$H$319,F10)</f>
        <v>155</v>
      </c>
      <c r="J10" s="12" t="n">
        <f aca="false">I10/60</f>
        <v>2.58333333333333</v>
      </c>
      <c r="K10" s="10" t="s">
        <v>256</v>
      </c>
      <c r="L10" s="10" t="s">
        <v>344</v>
      </c>
      <c r="M10" s="18" t="s">
        <v>883</v>
      </c>
    </row>
    <row r="11" customFormat="false" ht="23.85" hidden="false" customHeight="false" outlineLevel="0" collapsed="false">
      <c r="A11" s="1"/>
      <c r="B11" s="10" t="s">
        <v>13</v>
      </c>
      <c r="C11" s="10" t="n">
        <v>7</v>
      </c>
      <c r="D11" s="40" t="n">
        <v>46044</v>
      </c>
      <c r="E11" s="10" t="s">
        <v>24</v>
      </c>
      <c r="F11" s="10" t="s">
        <v>34</v>
      </c>
      <c r="G11" s="10" t="s">
        <v>185</v>
      </c>
      <c r="H11" s="10" t="n">
        <f aca="false">COUNTIFS(Datos!$C$2:$C$319,D11,Datos!$D$2:$D$319,E11,Datos!$H$2:$H$319,F11)</f>
        <v>3</v>
      </c>
      <c r="I11" s="10" t="n">
        <f aca="false">SUMIFS(Datos!$M$2:$M$319,Datos!$C$2:$C$319,D11,Datos!$D$2:$D$319,E11,Datos!$H$2:$H$319,F11)</f>
        <v>86</v>
      </c>
      <c r="J11" s="12" t="n">
        <f aca="false">I11/60</f>
        <v>1.43333333333333</v>
      </c>
      <c r="K11" s="10" t="s">
        <v>369</v>
      </c>
      <c r="L11" s="10" t="s">
        <v>372</v>
      </c>
      <c r="M11" s="18" t="s">
        <v>370</v>
      </c>
    </row>
    <row r="12" customFormat="false" ht="15" hidden="false" customHeight="false" outlineLevel="0" collapsed="false">
      <c r="A12" s="1"/>
      <c r="B12" s="10" t="s">
        <v>13</v>
      </c>
      <c r="C12" s="10" t="n">
        <v>7</v>
      </c>
      <c r="D12" s="40" t="n">
        <v>46045</v>
      </c>
      <c r="E12" s="10" t="s">
        <v>24</v>
      </c>
      <c r="F12" s="10" t="s">
        <v>39</v>
      </c>
      <c r="G12" s="10" t="s">
        <v>185</v>
      </c>
      <c r="H12" s="10" t="n">
        <f aca="false">COUNTIFS(Datos!$C$2:$C$319,D12,Datos!$D$2:$D$319,E12,Datos!$H$2:$H$319,F12)</f>
        <v>3</v>
      </c>
      <c r="I12" s="10" t="n">
        <f aca="false">SUMIFS(Datos!$M$2:$M$319,Datos!$C$2:$C$319,D12,Datos!$D$2:$D$319,E12,Datos!$H$2:$H$319,F12)</f>
        <v>86</v>
      </c>
      <c r="J12" s="12" t="n">
        <f aca="false">I12/60</f>
        <v>1.43333333333333</v>
      </c>
      <c r="K12" s="10" t="s">
        <v>297</v>
      </c>
      <c r="L12" s="10" t="s">
        <v>256</v>
      </c>
      <c r="M12" s="18" t="s">
        <v>389</v>
      </c>
    </row>
    <row r="13" customFormat="false" ht="35.05" hidden="false" customHeight="false" outlineLevel="0" collapsed="false">
      <c r="A13" s="1"/>
      <c r="B13" s="10" t="s">
        <v>13</v>
      </c>
      <c r="C13" s="10" t="n">
        <v>9</v>
      </c>
      <c r="D13" s="40" t="n">
        <v>46038</v>
      </c>
      <c r="E13" s="10" t="s">
        <v>22</v>
      </c>
      <c r="F13" s="10" t="s">
        <v>34</v>
      </c>
      <c r="G13" s="10" t="s">
        <v>185</v>
      </c>
      <c r="H13" s="10" t="n">
        <f aca="false">COUNTIFS(Datos!$C$2:$C$319,D13,Datos!$D$2:$D$319,E13,Datos!$H$2:$H$319,F13)</f>
        <v>4</v>
      </c>
      <c r="I13" s="10" t="n">
        <f aca="false">SUMIFS(Datos!$M$2:$M$319,Datos!$C$2:$C$319,D13,Datos!$D$2:$D$319,E13,Datos!$H$2:$H$319,F13)</f>
        <v>76</v>
      </c>
      <c r="J13" s="12" t="n">
        <f aca="false">I13/60</f>
        <v>1.26666666666667</v>
      </c>
      <c r="K13" s="10" t="s">
        <v>294</v>
      </c>
      <c r="L13" s="10" t="s">
        <v>307</v>
      </c>
      <c r="M13" s="18" t="s">
        <v>884</v>
      </c>
    </row>
    <row r="14" customFormat="false" ht="15" hidden="false" customHeight="false" outlineLevel="0" collapsed="false">
      <c r="A14" s="1"/>
      <c r="B14" s="10" t="s">
        <v>13</v>
      </c>
      <c r="C14" s="10" t="n">
        <v>10</v>
      </c>
      <c r="D14" s="40" t="n">
        <v>46049</v>
      </c>
      <c r="E14" s="10" t="s">
        <v>27</v>
      </c>
      <c r="F14" s="10" t="s">
        <v>37</v>
      </c>
      <c r="G14" s="10" t="s">
        <v>185</v>
      </c>
      <c r="H14" s="10" t="n">
        <f aca="false">COUNTIFS(Datos!$C$2:$C$319,D14,Datos!$D$2:$D$319,E14,Datos!$H$2:$H$319,F14)</f>
        <v>2</v>
      </c>
      <c r="I14" s="10" t="n">
        <f aca="false">SUMIFS(Datos!$M$2:$M$319,Datos!$C$2:$C$319,D14,Datos!$D$2:$D$319,E14,Datos!$H$2:$H$319,F14)</f>
        <v>75</v>
      </c>
      <c r="J14" s="12" t="n">
        <f aca="false">I14/60</f>
        <v>1.25</v>
      </c>
      <c r="K14" s="10" t="s">
        <v>423</v>
      </c>
      <c r="L14" s="10" t="s">
        <v>425</v>
      </c>
      <c r="M14" s="18" t="s">
        <v>885</v>
      </c>
    </row>
    <row r="15" customFormat="false" ht="15" hidden="false" customHeight="false" outlineLevel="0" collapsed="false">
      <c r="A15" s="1"/>
      <c r="B15" s="10" t="s">
        <v>13</v>
      </c>
      <c r="C15" s="10" t="n">
        <v>11</v>
      </c>
      <c r="D15" s="40" t="n">
        <v>46036</v>
      </c>
      <c r="E15" s="10" t="s">
        <v>22</v>
      </c>
      <c r="F15" s="10" t="s">
        <v>43</v>
      </c>
      <c r="G15" s="10" t="s">
        <v>185</v>
      </c>
      <c r="H15" s="10" t="n">
        <f aca="false">COUNTIFS(Datos!$C$2:$C$319,D15,Datos!$D$2:$D$319,E15,Datos!$H$2:$H$319,F15)</f>
        <v>3</v>
      </c>
      <c r="I15" s="10" t="n">
        <f aca="false">SUMIFS(Datos!$M$2:$M$319,Datos!$C$2:$C$319,D15,Datos!$D$2:$D$319,E15,Datos!$H$2:$H$319,F15)</f>
        <v>74</v>
      </c>
      <c r="J15" s="12" t="n">
        <f aca="false">I15/60</f>
        <v>1.23333333333333</v>
      </c>
      <c r="K15" s="10" t="s">
        <v>252</v>
      </c>
      <c r="L15" s="10" t="s">
        <v>254</v>
      </c>
      <c r="M15" s="18" t="s">
        <v>251</v>
      </c>
    </row>
    <row r="16" customFormat="false" ht="15" hidden="false" customHeight="false" outlineLevel="0" collapsed="false">
      <c r="A16" s="1"/>
      <c r="B16" s="10" t="s">
        <v>13</v>
      </c>
      <c r="C16" s="10" t="n">
        <v>12</v>
      </c>
      <c r="D16" s="40" t="n">
        <v>46028</v>
      </c>
      <c r="E16" s="10" t="s">
        <v>26</v>
      </c>
      <c r="F16" s="10" t="s">
        <v>34</v>
      </c>
      <c r="G16" s="10" t="s">
        <v>185</v>
      </c>
      <c r="H16" s="10" t="n">
        <f aca="false">COUNTIFS(Datos!$C$2:$C$319,D16,Datos!$D$2:$D$319,E16,Datos!$H$2:$H$319,F16)</f>
        <v>3</v>
      </c>
      <c r="I16" s="10" t="n">
        <f aca="false">SUMIFS(Datos!$M$2:$M$319,Datos!$C$2:$C$319,D16,Datos!$D$2:$D$319,E16,Datos!$H$2:$H$319,F16)</f>
        <v>70</v>
      </c>
      <c r="J16" s="12" t="n">
        <f aca="false">I16/60</f>
        <v>1.16666666666667</v>
      </c>
      <c r="K16" s="10" t="s">
        <v>206</v>
      </c>
      <c r="L16" s="10" t="s">
        <v>211</v>
      </c>
      <c r="M16" s="18" t="s">
        <v>886</v>
      </c>
    </row>
    <row r="17" customFormat="false" ht="15" hidden="false" customHeight="false" outlineLevel="0" collapsed="false">
      <c r="A17" s="1"/>
      <c r="B17" s="10" t="s">
        <v>13</v>
      </c>
      <c r="C17" s="10" t="n">
        <v>12</v>
      </c>
      <c r="D17" s="40" t="n">
        <v>46039</v>
      </c>
      <c r="E17" s="10" t="s">
        <v>27</v>
      </c>
      <c r="F17" s="10" t="s">
        <v>37</v>
      </c>
      <c r="G17" s="10" t="s">
        <v>185</v>
      </c>
      <c r="H17" s="10" t="n">
        <f aca="false">COUNTIFS(Datos!$C$2:$C$319,D17,Datos!$D$2:$D$319,E17,Datos!$H$2:$H$319,F17)</f>
        <v>2</v>
      </c>
      <c r="I17" s="10" t="n">
        <f aca="false">SUMIFS(Datos!$M$2:$M$319,Datos!$C$2:$C$319,D17,Datos!$D$2:$D$319,E17,Datos!$H$2:$H$319,F17)</f>
        <v>70</v>
      </c>
      <c r="J17" s="12" t="n">
        <f aca="false">I17/60</f>
        <v>1.16666666666667</v>
      </c>
      <c r="K17" s="10" t="s">
        <v>316</v>
      </c>
      <c r="L17" s="10" t="s">
        <v>222</v>
      </c>
      <c r="M17" s="18" t="s">
        <v>317</v>
      </c>
    </row>
    <row r="18" customFormat="false" ht="15" hidden="false" customHeight="false" outlineLevel="0" collapsed="false">
      <c r="A18" s="1"/>
      <c r="B18" s="10" t="s">
        <v>13</v>
      </c>
      <c r="C18" s="10" t="n">
        <v>14</v>
      </c>
      <c r="D18" s="40" t="n">
        <v>46037</v>
      </c>
      <c r="E18" s="10" t="s">
        <v>24</v>
      </c>
      <c r="F18" s="10" t="s">
        <v>39</v>
      </c>
      <c r="G18" s="10" t="s">
        <v>258</v>
      </c>
      <c r="H18" s="10" t="n">
        <f aca="false">COUNTIFS(Datos!$C$2:$C$319,D18,Datos!$D$2:$D$319,E18,Datos!$H$2:$H$319,F18)</f>
        <v>2</v>
      </c>
      <c r="I18" s="10" t="n">
        <f aca="false">SUMIFS(Datos!$M$2:$M$319,Datos!$C$2:$C$319,D18,Datos!$D$2:$D$319,E18,Datos!$H$2:$H$319,F18)</f>
        <v>62</v>
      </c>
      <c r="J18" s="12" t="n">
        <f aca="false">I18/60</f>
        <v>1.03333333333333</v>
      </c>
      <c r="K18" s="10" t="s">
        <v>289</v>
      </c>
      <c r="L18" s="10" t="s">
        <v>292</v>
      </c>
      <c r="M18" s="18" t="s">
        <v>887</v>
      </c>
    </row>
    <row r="19" customFormat="false" ht="15" hidden="false" customHeight="false" outlineLevel="0" collapsed="false">
      <c r="A19" s="1"/>
      <c r="B19" s="10" t="s">
        <v>13</v>
      </c>
      <c r="C19" s="10" t="n">
        <v>15</v>
      </c>
      <c r="D19" s="40" t="n">
        <v>46040</v>
      </c>
      <c r="E19" s="10" t="s">
        <v>24</v>
      </c>
      <c r="F19" s="10" t="s">
        <v>37</v>
      </c>
      <c r="G19" s="10" t="s">
        <v>340</v>
      </c>
      <c r="H19" s="10" t="n">
        <f aca="false">COUNTIFS(Datos!$C$2:$C$319,D19,Datos!$D$2:$D$319,E19,Datos!$H$2:$H$319,F19)</f>
        <v>1</v>
      </c>
      <c r="I19" s="10" t="n">
        <f aca="false">SUMIFS(Datos!$M$2:$M$319,Datos!$C$2:$C$319,D19,Datos!$D$2:$D$319,E19,Datos!$H$2:$H$319,F19)</f>
        <v>60</v>
      </c>
      <c r="J19" s="12" t="n">
        <f aca="false">I19/60</f>
        <v>1</v>
      </c>
      <c r="K19" s="10" t="s">
        <v>309</v>
      </c>
      <c r="L19" s="10" t="s">
        <v>255</v>
      </c>
      <c r="M19" s="18" t="s">
        <v>343</v>
      </c>
    </row>
    <row r="20" customFormat="false" ht="15" hidden="false" customHeight="false" outlineLevel="0" collapsed="false">
      <c r="A20" s="1"/>
      <c r="B20" s="10" t="s">
        <v>13</v>
      </c>
      <c r="C20" s="10" t="n">
        <v>15</v>
      </c>
      <c r="D20" s="40" t="n">
        <v>46050</v>
      </c>
      <c r="E20" s="10" t="s">
        <v>26</v>
      </c>
      <c r="F20" s="10" t="s">
        <v>38</v>
      </c>
      <c r="G20" s="10" t="s">
        <v>258</v>
      </c>
      <c r="H20" s="10" t="n">
        <f aca="false">COUNTIFS(Datos!$C$2:$C$319,D20,Datos!$D$2:$D$319,E20,Datos!$H$2:$H$319,F20)</f>
        <v>1</v>
      </c>
      <c r="I20" s="10" t="n">
        <f aca="false">SUMIFS(Datos!$M$2:$M$319,Datos!$C$2:$C$319,D20,Datos!$D$2:$D$319,E20,Datos!$H$2:$H$319,F20)</f>
        <v>60</v>
      </c>
      <c r="J20" s="12" t="n">
        <f aca="false">I20/60</f>
        <v>1</v>
      </c>
      <c r="K20" s="10" t="s">
        <v>256</v>
      </c>
      <c r="L20" s="10" t="s">
        <v>332</v>
      </c>
      <c r="M20" s="18" t="s">
        <v>436</v>
      </c>
    </row>
    <row r="21" customFormat="false" ht="15" hidden="false" customHeight="false" outlineLevel="0" collapsed="false">
      <c r="A21" s="1"/>
      <c r="B21" s="10" t="s">
        <v>13</v>
      </c>
      <c r="C21" s="10" t="n">
        <v>17</v>
      </c>
      <c r="D21" s="40" t="n">
        <v>46027</v>
      </c>
      <c r="E21" s="10" t="s">
        <v>27</v>
      </c>
      <c r="F21" s="10" t="s">
        <v>37</v>
      </c>
      <c r="G21" s="10" t="s">
        <v>185</v>
      </c>
      <c r="H21" s="10" t="n">
        <f aca="false">COUNTIFS(Datos!$C$2:$C$319,D21,Datos!$D$2:$D$319,E21,Datos!$H$2:$H$319,F21)</f>
        <v>1</v>
      </c>
      <c r="I21" s="10" t="n">
        <f aca="false">SUMIFS(Datos!$M$2:$M$319,Datos!$C$2:$C$319,D21,Datos!$D$2:$D$319,E21,Datos!$H$2:$H$319,F21)</f>
        <v>50</v>
      </c>
      <c r="J21" s="12" t="n">
        <f aca="false">I21/60</f>
        <v>0.833333333333333</v>
      </c>
      <c r="K21" s="10" t="s">
        <v>190</v>
      </c>
      <c r="L21" s="10" t="s">
        <v>191</v>
      </c>
      <c r="M21" s="18" t="s">
        <v>192</v>
      </c>
    </row>
    <row r="22" customFormat="false" ht="15" hidden="false" customHeight="false" outlineLevel="0" collapsed="false">
      <c r="A22" s="1"/>
      <c r="B22" s="10" t="s">
        <v>13</v>
      </c>
      <c r="C22" s="10" t="n">
        <v>17</v>
      </c>
      <c r="D22" s="40" t="n">
        <v>46045</v>
      </c>
      <c r="E22" s="10" t="s">
        <v>23</v>
      </c>
      <c r="F22" s="10" t="s">
        <v>392</v>
      </c>
      <c r="G22" s="10" t="s">
        <v>258</v>
      </c>
      <c r="H22" s="10" t="n">
        <f aca="false">COUNTIFS(Datos!$C$2:$C$319,D22,Datos!$D$2:$D$319,E22,Datos!$H$2:$H$319,F22)</f>
        <v>1</v>
      </c>
      <c r="I22" s="10" t="n">
        <f aca="false">SUMIFS(Datos!$M$2:$M$319,Datos!$C$2:$C$319,D22,Datos!$D$2:$D$319,E22,Datos!$H$2:$H$319,F22)</f>
        <v>50</v>
      </c>
      <c r="J22" s="12" t="n">
        <f aca="false">I22/60</f>
        <v>0.833333333333333</v>
      </c>
      <c r="K22" s="10" t="s">
        <v>394</v>
      </c>
      <c r="L22" s="10" t="s">
        <v>395</v>
      </c>
      <c r="M22" s="18" t="s">
        <v>396</v>
      </c>
    </row>
    <row r="23" customFormat="false" ht="23.85" hidden="false" customHeight="false" outlineLevel="0" collapsed="false">
      <c r="A23" s="1"/>
      <c r="B23" s="10" t="s">
        <v>13</v>
      </c>
      <c r="C23" s="10" t="n">
        <v>19</v>
      </c>
      <c r="D23" s="40" t="n">
        <v>46036</v>
      </c>
      <c r="E23" s="10" t="s">
        <v>22</v>
      </c>
      <c r="F23" s="10" t="s">
        <v>34</v>
      </c>
      <c r="G23" s="10" t="s">
        <v>185</v>
      </c>
      <c r="H23" s="10" t="n">
        <f aca="false">COUNTIFS(Datos!$C$2:$C$319,D23,Datos!$D$2:$D$319,E23,Datos!$H$2:$H$319,F23)</f>
        <v>3</v>
      </c>
      <c r="I23" s="10" t="n">
        <f aca="false">SUMIFS(Datos!$M$2:$M$319,Datos!$C$2:$C$319,D23,Datos!$D$2:$D$319,E23,Datos!$H$2:$H$319,F23)</f>
        <v>48</v>
      </c>
      <c r="J23" s="12" t="n">
        <f aca="false">I23/60</f>
        <v>0.8</v>
      </c>
      <c r="K23" s="10" t="s">
        <v>240</v>
      </c>
      <c r="L23" s="10" t="s">
        <v>223</v>
      </c>
      <c r="M23" s="18" t="s">
        <v>888</v>
      </c>
    </row>
    <row r="24" customFormat="false" ht="15" hidden="false" customHeight="false" outlineLevel="0" collapsed="false">
      <c r="A24" s="1"/>
      <c r="B24" s="10" t="s">
        <v>13</v>
      </c>
      <c r="C24" s="10" t="n">
        <v>20</v>
      </c>
      <c r="D24" s="40" t="n">
        <v>46051</v>
      </c>
      <c r="E24" s="10" t="s">
        <v>24</v>
      </c>
      <c r="F24" s="10" t="s">
        <v>37</v>
      </c>
      <c r="G24" s="10" t="s">
        <v>185</v>
      </c>
      <c r="H24" s="10" t="n">
        <f aca="false">COUNTIFS(Datos!$C$2:$C$319,D24,Datos!$D$2:$D$319,E24,Datos!$H$2:$H$319,F24)</f>
        <v>1</v>
      </c>
      <c r="I24" s="10" t="n">
        <f aca="false">SUMIFS(Datos!$M$2:$M$319,Datos!$C$2:$C$319,D24,Datos!$D$2:$D$319,E24,Datos!$H$2:$H$319,F24)</f>
        <v>44</v>
      </c>
      <c r="J24" s="12" t="n">
        <f aca="false">I24/60</f>
        <v>0.733333333333333</v>
      </c>
      <c r="K24" s="10" t="s">
        <v>191</v>
      </c>
      <c r="L24" s="10" t="s">
        <v>245</v>
      </c>
      <c r="M24" s="18" t="s">
        <v>889</v>
      </c>
    </row>
    <row r="25" customFormat="false" ht="15" hidden="false" customHeight="false" outlineLevel="0" collapsed="false">
      <c r="A25" s="1"/>
      <c r="B25" s="10" t="s">
        <v>13</v>
      </c>
      <c r="C25" s="10" t="n">
        <v>21</v>
      </c>
      <c r="D25" s="40" t="n">
        <v>46052</v>
      </c>
      <c r="E25" s="10" t="s">
        <v>27</v>
      </c>
      <c r="F25" s="10" t="s">
        <v>36</v>
      </c>
      <c r="G25" s="10" t="s">
        <v>185</v>
      </c>
      <c r="H25" s="10" t="n">
        <f aca="false">COUNTIFS(Datos!$C$2:$C$319,D25,Datos!$D$2:$D$319,E25,Datos!$H$2:$H$319,F25)</f>
        <v>2</v>
      </c>
      <c r="I25" s="10" t="n">
        <f aca="false">SUMIFS(Datos!$M$2:$M$319,Datos!$C$2:$C$319,D25,Datos!$D$2:$D$319,E25,Datos!$H$2:$H$319,F25)</f>
        <v>43</v>
      </c>
      <c r="J25" s="12" t="n">
        <f aca="false">I25/60</f>
        <v>0.716666666666667</v>
      </c>
      <c r="K25" s="10" t="s">
        <v>442</v>
      </c>
      <c r="L25" s="10" t="s">
        <v>444</v>
      </c>
      <c r="M25" s="18" t="s">
        <v>443</v>
      </c>
    </row>
    <row r="26" customFormat="false" ht="15" hidden="false" customHeight="false" outlineLevel="0" collapsed="false">
      <c r="A26" s="1"/>
      <c r="B26" s="10" t="s">
        <v>13</v>
      </c>
      <c r="C26" s="10" t="n">
        <v>22</v>
      </c>
      <c r="D26" s="40" t="n">
        <v>46048</v>
      </c>
      <c r="E26" s="10" t="s">
        <v>25</v>
      </c>
      <c r="F26" s="10" t="s">
        <v>38</v>
      </c>
      <c r="G26" s="10" t="s">
        <v>258</v>
      </c>
      <c r="H26" s="10" t="n">
        <f aca="false">COUNTIFS(Datos!$C$2:$C$319,D26,Datos!$D$2:$D$319,E26,Datos!$H$2:$H$319,F26)</f>
        <v>1</v>
      </c>
      <c r="I26" s="10" t="n">
        <f aca="false">SUMIFS(Datos!$M$2:$M$319,Datos!$C$2:$C$319,D26,Datos!$D$2:$D$319,E26,Datos!$H$2:$H$319,F26)</f>
        <v>40</v>
      </c>
      <c r="J26" s="12" t="n">
        <f aca="false">I26/60</f>
        <v>0.666666666666667</v>
      </c>
      <c r="K26" s="10" t="s">
        <v>416</v>
      </c>
      <c r="L26" s="10" t="s">
        <v>417</v>
      </c>
      <c r="M26" s="18" t="s">
        <v>418</v>
      </c>
    </row>
    <row r="27" customFormat="false" ht="15" hidden="false" customHeight="false" outlineLevel="0" collapsed="false">
      <c r="A27" s="1"/>
      <c r="B27" s="10" t="s">
        <v>13</v>
      </c>
      <c r="C27" s="10" t="n">
        <v>22</v>
      </c>
      <c r="D27" s="40" t="n">
        <v>46049</v>
      </c>
      <c r="E27" s="10" t="s">
        <v>24</v>
      </c>
      <c r="F27" s="10" t="s">
        <v>34</v>
      </c>
      <c r="G27" s="10" t="s">
        <v>258</v>
      </c>
      <c r="H27" s="10" t="n">
        <f aca="false">COUNTIFS(Datos!$C$2:$C$319,D27,Datos!$D$2:$D$319,E27,Datos!$H$2:$H$319,F27)</f>
        <v>1</v>
      </c>
      <c r="I27" s="10" t="n">
        <f aca="false">SUMIFS(Datos!$M$2:$M$319,Datos!$C$2:$C$319,D27,Datos!$D$2:$D$319,E27,Datos!$H$2:$H$319,F27)</f>
        <v>40</v>
      </c>
      <c r="J27" s="12" t="n">
        <f aca="false">I27/60</f>
        <v>0.666666666666667</v>
      </c>
      <c r="K27" s="10" t="s">
        <v>416</v>
      </c>
      <c r="L27" s="10" t="s">
        <v>417</v>
      </c>
      <c r="M27" s="18" t="s">
        <v>429</v>
      </c>
    </row>
    <row r="28" customFormat="false" ht="15" hidden="false" customHeight="false" outlineLevel="0" collapsed="false">
      <c r="A28" s="1"/>
      <c r="B28" s="10" t="s">
        <v>13</v>
      </c>
      <c r="C28" s="10" t="n">
        <v>24</v>
      </c>
      <c r="D28" s="40" t="n">
        <v>46037</v>
      </c>
      <c r="E28" s="10" t="s">
        <v>22</v>
      </c>
      <c r="F28" s="10" t="s">
        <v>40</v>
      </c>
      <c r="G28" s="10" t="s">
        <v>185</v>
      </c>
      <c r="H28" s="10" t="n">
        <f aca="false">COUNTIFS(Datos!$C$2:$C$319,D28,Datos!$D$2:$D$319,E28,Datos!$H$2:$H$319,F28)</f>
        <v>1</v>
      </c>
      <c r="I28" s="10" t="n">
        <f aca="false">SUMIFS(Datos!$M$2:$M$319,Datos!$C$2:$C$319,D28,Datos!$D$2:$D$319,E28,Datos!$H$2:$H$319,F28)</f>
        <v>34</v>
      </c>
      <c r="J28" s="12" t="n">
        <f aca="false">I28/60</f>
        <v>0.566666666666667</v>
      </c>
      <c r="K28" s="10" t="s">
        <v>269</v>
      </c>
      <c r="L28" s="10" t="s">
        <v>226</v>
      </c>
      <c r="M28" s="18" t="s">
        <v>270</v>
      </c>
    </row>
    <row r="29" customFormat="false" ht="15" hidden="false" customHeight="false" outlineLevel="0" collapsed="false">
      <c r="A29" s="1"/>
      <c r="B29" s="10" t="s">
        <v>13</v>
      </c>
      <c r="C29" s="10" t="n">
        <v>25</v>
      </c>
      <c r="D29" s="40" t="n">
        <v>46038</v>
      </c>
      <c r="E29" s="10" t="s">
        <v>24</v>
      </c>
      <c r="F29" s="10" t="s">
        <v>39</v>
      </c>
      <c r="G29" s="10" t="s">
        <v>185</v>
      </c>
      <c r="H29" s="10" t="n">
        <f aca="false">COUNTIFS(Datos!$C$2:$C$319,D29,Datos!$D$2:$D$319,E29,Datos!$H$2:$H$319,F29)</f>
        <v>1</v>
      </c>
      <c r="I29" s="10" t="n">
        <f aca="false">SUMIFS(Datos!$M$2:$M$319,Datos!$C$2:$C$319,D29,Datos!$D$2:$D$319,E29,Datos!$H$2:$H$319,F29)</f>
        <v>30</v>
      </c>
      <c r="J29" s="12" t="n">
        <f aca="false">I29/60</f>
        <v>0.5</v>
      </c>
      <c r="K29" s="10" t="s">
        <v>210</v>
      </c>
      <c r="L29" s="10" t="s">
        <v>297</v>
      </c>
      <c r="M29" s="18" t="s">
        <v>298</v>
      </c>
    </row>
    <row r="30" customFormat="false" ht="15" hidden="false" customHeight="false" outlineLevel="0" collapsed="false">
      <c r="A30" s="1"/>
      <c r="B30" s="10" t="s">
        <v>13</v>
      </c>
      <c r="C30" s="10" t="n">
        <v>25</v>
      </c>
      <c r="D30" s="40" t="n">
        <v>46048</v>
      </c>
      <c r="E30" s="10" t="s">
        <v>25</v>
      </c>
      <c r="F30" s="10" t="s">
        <v>43</v>
      </c>
      <c r="G30" s="10" t="s">
        <v>258</v>
      </c>
      <c r="H30" s="10" t="n">
        <f aca="false">COUNTIFS(Datos!$C$2:$C$319,D30,Datos!$D$2:$D$319,E30,Datos!$H$2:$H$319,F30)</f>
        <v>1</v>
      </c>
      <c r="I30" s="10" t="n">
        <f aca="false">SUMIFS(Datos!$M$2:$M$319,Datos!$C$2:$C$319,D30,Datos!$D$2:$D$319,E30,Datos!$H$2:$H$319,F30)</f>
        <v>30</v>
      </c>
      <c r="J30" s="12" t="n">
        <f aca="false">I30/60</f>
        <v>0.5</v>
      </c>
      <c r="K30" s="10" t="s">
        <v>332</v>
      </c>
      <c r="L30" s="10" t="s">
        <v>413</v>
      </c>
      <c r="M30" s="18" t="s">
        <v>414</v>
      </c>
    </row>
    <row r="31" customFormat="false" ht="15" hidden="false" customHeight="false" outlineLevel="0" collapsed="false">
      <c r="A31" s="1"/>
      <c r="B31" s="10" t="s">
        <v>13</v>
      </c>
      <c r="C31" s="10" t="n">
        <v>27</v>
      </c>
      <c r="D31" s="40" t="n">
        <v>46030</v>
      </c>
      <c r="E31" s="10" t="s">
        <v>27</v>
      </c>
      <c r="F31" s="10" t="s">
        <v>213</v>
      </c>
      <c r="G31" s="10" t="s">
        <v>185</v>
      </c>
      <c r="H31" s="10" t="n">
        <f aca="false">COUNTIFS(Datos!$C$2:$C$319,D31,Datos!$D$2:$D$319,E31,Datos!$H$2:$H$319,F31)</f>
        <v>1</v>
      </c>
      <c r="I31" s="10" t="n">
        <f aca="false">SUMIFS(Datos!$M$2:$M$319,Datos!$C$2:$C$319,D31,Datos!$D$2:$D$319,E31,Datos!$H$2:$H$319,F31)</f>
        <v>26</v>
      </c>
      <c r="J31" s="12" t="n">
        <f aca="false">I31/60</f>
        <v>0.433333333333333</v>
      </c>
      <c r="K31" s="10" t="s">
        <v>215</v>
      </c>
      <c r="L31" s="10" t="s">
        <v>216</v>
      </c>
      <c r="M31" s="18" t="s">
        <v>217</v>
      </c>
    </row>
    <row r="32" customFormat="false" ht="15" hidden="false" customHeight="false" outlineLevel="0" collapsed="false">
      <c r="A32" s="1"/>
      <c r="B32" s="10" t="s">
        <v>13</v>
      </c>
      <c r="C32" s="10" t="n">
        <v>28</v>
      </c>
      <c r="D32" s="40" t="n">
        <v>46049</v>
      </c>
      <c r="E32" s="10" t="s">
        <v>27</v>
      </c>
      <c r="F32" s="10" t="s">
        <v>43</v>
      </c>
      <c r="G32" s="10" t="s">
        <v>185</v>
      </c>
      <c r="H32" s="10" t="n">
        <f aca="false">COUNTIFS(Datos!$C$2:$C$319,D32,Datos!$D$2:$D$319,E32,Datos!$H$2:$H$319,F32)</f>
        <v>1</v>
      </c>
      <c r="I32" s="10" t="n">
        <f aca="false">SUMIFS(Datos!$M$2:$M$319,Datos!$C$2:$C$319,D32,Datos!$D$2:$D$319,E32,Datos!$H$2:$H$319,F32)</f>
        <v>24</v>
      </c>
      <c r="J32" s="12" t="n">
        <f aca="false">I32/60</f>
        <v>0.4</v>
      </c>
      <c r="K32" s="10" t="s">
        <v>421</v>
      </c>
      <c r="L32" s="10" t="s">
        <v>245</v>
      </c>
      <c r="M32" s="18" t="s">
        <v>422</v>
      </c>
    </row>
    <row r="33" customFormat="false" ht="15" hidden="false" customHeight="false" outlineLevel="0" collapsed="false">
      <c r="A33" s="1"/>
      <c r="B33" s="10" t="s">
        <v>13</v>
      </c>
      <c r="C33" s="10" t="n">
        <v>29</v>
      </c>
      <c r="D33" s="40" t="n">
        <v>46043</v>
      </c>
      <c r="E33" s="10" t="s">
        <v>23</v>
      </c>
      <c r="F33" s="10" t="s">
        <v>37</v>
      </c>
      <c r="G33" s="10" t="s">
        <v>185</v>
      </c>
      <c r="H33" s="10" t="n">
        <f aca="false">COUNTIFS(Datos!$C$2:$C$319,D33,Datos!$D$2:$D$319,E33,Datos!$H$2:$H$319,F33)</f>
        <v>1</v>
      </c>
      <c r="I33" s="10" t="n">
        <f aca="false">SUMIFS(Datos!$M$2:$M$319,Datos!$C$2:$C$319,D33,Datos!$D$2:$D$319,E33,Datos!$H$2:$H$319,F33)</f>
        <v>23</v>
      </c>
      <c r="J33" s="12" t="n">
        <f aca="false">I33/60</f>
        <v>0.383333333333333</v>
      </c>
      <c r="K33" s="10" t="s">
        <v>360</v>
      </c>
      <c r="L33" s="10" t="s">
        <v>361</v>
      </c>
      <c r="M33" s="18" t="s">
        <v>362</v>
      </c>
    </row>
    <row r="34" customFormat="false" ht="15" hidden="false" customHeight="false" outlineLevel="0" collapsed="false">
      <c r="A34" s="1"/>
      <c r="B34" s="10" t="s">
        <v>13</v>
      </c>
      <c r="C34" s="10" t="n">
        <v>30</v>
      </c>
      <c r="D34" s="40" t="n">
        <v>46046</v>
      </c>
      <c r="E34" s="10" t="s">
        <v>27</v>
      </c>
      <c r="F34" s="10" t="s">
        <v>42</v>
      </c>
      <c r="G34" s="10" t="s">
        <v>185</v>
      </c>
      <c r="H34" s="10" t="n">
        <f aca="false">COUNTIFS(Datos!$C$2:$C$319,D34,Datos!$D$2:$D$319,E34,Datos!$H$2:$H$319,F34)</f>
        <v>1</v>
      </c>
      <c r="I34" s="10" t="n">
        <f aca="false">SUMIFS(Datos!$M$2:$M$319,Datos!$C$2:$C$319,D34,Datos!$D$2:$D$319,E34,Datos!$H$2:$H$319,F34)</f>
        <v>22</v>
      </c>
      <c r="J34" s="12" t="n">
        <f aca="false">I34/60</f>
        <v>0.366666666666667</v>
      </c>
      <c r="K34" s="10" t="s">
        <v>399</v>
      </c>
      <c r="L34" s="10" t="s">
        <v>400</v>
      </c>
      <c r="M34" s="18" t="s">
        <v>401</v>
      </c>
    </row>
    <row r="35" customFormat="false" ht="15" hidden="false" customHeight="false" outlineLevel="0" collapsed="false">
      <c r="A35" s="1"/>
      <c r="B35" s="10" t="s">
        <v>13</v>
      </c>
      <c r="C35" s="10" t="n">
        <v>31</v>
      </c>
      <c r="D35" s="40" t="n">
        <v>46042</v>
      </c>
      <c r="E35" s="10" t="s">
        <v>25</v>
      </c>
      <c r="F35" s="10" t="s">
        <v>355</v>
      </c>
      <c r="G35" s="10" t="s">
        <v>258</v>
      </c>
      <c r="H35" s="10" t="n">
        <f aca="false">COUNTIFS(Datos!$C$2:$C$319,D35,Datos!$D$2:$D$319,E35,Datos!$H$2:$H$319,F35)</f>
        <v>1</v>
      </c>
      <c r="I35" s="10" t="n">
        <f aca="false">SUMIFS(Datos!$M$2:$M$319,Datos!$C$2:$C$319,D35,Datos!$D$2:$D$319,E35,Datos!$H$2:$H$319,F35)</f>
        <v>20</v>
      </c>
      <c r="J35" s="12" t="n">
        <f aca="false">I35/60</f>
        <v>0.333333333333333</v>
      </c>
      <c r="K35" s="10" t="s">
        <v>357</v>
      </c>
      <c r="L35" s="10" t="s">
        <v>338</v>
      </c>
      <c r="M35" s="18" t="s">
        <v>358</v>
      </c>
    </row>
    <row r="36" customFormat="false" ht="15" hidden="false" customHeight="false" outlineLevel="0" collapsed="false">
      <c r="A36" s="1"/>
      <c r="B36" s="10" t="s">
        <v>13</v>
      </c>
      <c r="C36" s="10" t="n">
        <v>31</v>
      </c>
      <c r="D36" s="40" t="n">
        <v>46046</v>
      </c>
      <c r="E36" s="10" t="s">
        <v>27</v>
      </c>
      <c r="F36" s="10" t="s">
        <v>36</v>
      </c>
      <c r="G36" s="10" t="s">
        <v>185</v>
      </c>
      <c r="H36" s="10" t="n">
        <f aca="false">COUNTIFS(Datos!$C$2:$C$319,D36,Datos!$D$2:$D$319,E36,Datos!$H$2:$H$319,F36)</f>
        <v>1</v>
      </c>
      <c r="I36" s="10" t="n">
        <f aca="false">SUMIFS(Datos!$M$2:$M$319,Datos!$C$2:$C$319,D36,Datos!$D$2:$D$319,E36,Datos!$H$2:$H$319,F36)</f>
        <v>20</v>
      </c>
      <c r="J36" s="12" t="n">
        <f aca="false">I36/60</f>
        <v>0.333333333333333</v>
      </c>
      <c r="K36" s="10" t="s">
        <v>312</v>
      </c>
      <c r="L36" s="10" t="s">
        <v>402</v>
      </c>
      <c r="M36" s="18" t="s">
        <v>403</v>
      </c>
    </row>
    <row r="37" customFormat="false" ht="15" hidden="false" customHeight="false" outlineLevel="0" collapsed="false">
      <c r="A37" s="1"/>
      <c r="B37" s="10" t="s">
        <v>13</v>
      </c>
      <c r="C37" s="10" t="n">
        <v>33</v>
      </c>
      <c r="D37" s="40" t="n">
        <v>46027</v>
      </c>
      <c r="E37" s="10" t="s">
        <v>28</v>
      </c>
      <c r="F37" s="10" t="s">
        <v>197</v>
      </c>
      <c r="G37" s="10" t="s">
        <v>185</v>
      </c>
      <c r="H37" s="10" t="n">
        <f aca="false">COUNTIFS(Datos!$C$2:$C$319,D37,Datos!$D$2:$D$319,E37,Datos!$H$2:$H$319,F37)</f>
        <v>1</v>
      </c>
      <c r="I37" s="10" t="n">
        <f aca="false">SUMIFS(Datos!$M$2:$M$319,Datos!$C$2:$C$319,D37,Datos!$D$2:$D$319,E37,Datos!$H$2:$H$319,F37)</f>
        <v>15</v>
      </c>
      <c r="J37" s="12" t="n">
        <f aca="false">I37/60</f>
        <v>0.25</v>
      </c>
      <c r="K37" s="10" t="s">
        <v>199</v>
      </c>
      <c r="L37" s="10" t="s">
        <v>200</v>
      </c>
      <c r="M37" s="18" t="s">
        <v>201</v>
      </c>
    </row>
    <row r="38" customFormat="false" ht="15" hidden="false" customHeight="false" outlineLevel="0" collapsed="false">
      <c r="A38" s="1"/>
      <c r="B38" s="10" t="s">
        <v>13</v>
      </c>
      <c r="C38" s="10" t="n">
        <v>33</v>
      </c>
      <c r="D38" s="40" t="n">
        <v>46039</v>
      </c>
      <c r="E38" s="10" t="s">
        <v>22</v>
      </c>
      <c r="F38" s="10" t="s">
        <v>40</v>
      </c>
      <c r="G38" s="10" t="s">
        <v>185</v>
      </c>
      <c r="H38" s="10" t="n">
        <f aca="false">COUNTIFS(Datos!$C$2:$C$319,D38,Datos!$D$2:$D$319,E38,Datos!$H$2:$H$319,F38)</f>
        <v>1</v>
      </c>
      <c r="I38" s="10" t="n">
        <f aca="false">SUMIFS(Datos!$M$2:$M$319,Datos!$C$2:$C$319,D38,Datos!$D$2:$D$319,E38,Datos!$H$2:$H$319,F38)</f>
        <v>15</v>
      </c>
      <c r="J38" s="12" t="n">
        <f aca="false">I38/60</f>
        <v>0.25</v>
      </c>
      <c r="K38" s="10" t="s">
        <v>309</v>
      </c>
      <c r="L38" s="10" t="s">
        <v>310</v>
      </c>
      <c r="M38" s="18" t="s">
        <v>311</v>
      </c>
    </row>
    <row r="39" customFormat="false" ht="15" hidden="false" customHeight="false" outlineLevel="0" collapsed="false">
      <c r="A39" s="1"/>
      <c r="B39" s="10" t="s">
        <v>13</v>
      </c>
      <c r="C39" s="10" t="n">
        <v>33</v>
      </c>
      <c r="D39" s="40" t="n">
        <v>46044</v>
      </c>
      <c r="E39" s="10" t="s">
        <v>24</v>
      </c>
      <c r="F39" s="10" t="s">
        <v>39</v>
      </c>
      <c r="G39" s="10" t="s">
        <v>185</v>
      </c>
      <c r="H39" s="10" t="n">
        <f aca="false">COUNTIFS(Datos!$C$2:$C$319,D39,Datos!$D$2:$D$319,E39,Datos!$H$2:$H$319,F39)</f>
        <v>1</v>
      </c>
      <c r="I39" s="10" t="n">
        <f aca="false">SUMIFS(Datos!$M$2:$M$319,Datos!$C$2:$C$319,D39,Datos!$D$2:$D$319,E39,Datos!$H$2:$H$319,F39)</f>
        <v>15</v>
      </c>
      <c r="J39" s="12" t="n">
        <f aca="false">I39/60</f>
        <v>0.25</v>
      </c>
      <c r="K39" s="10" t="s">
        <v>373</v>
      </c>
      <c r="L39" s="10" t="s">
        <v>283</v>
      </c>
      <c r="M39" s="18" t="s">
        <v>374</v>
      </c>
    </row>
    <row r="40" customFormat="false" ht="15" hidden="false" customHeight="false" outlineLevel="0" collapsed="false">
      <c r="A40" s="1"/>
      <c r="B40" s="10" t="s">
        <v>13</v>
      </c>
      <c r="C40" s="10" t="n">
        <v>33</v>
      </c>
      <c r="D40" s="40" t="n">
        <v>46045</v>
      </c>
      <c r="E40" s="10" t="s">
        <v>24</v>
      </c>
      <c r="F40" s="10" t="s">
        <v>34</v>
      </c>
      <c r="G40" s="10" t="s">
        <v>185</v>
      </c>
      <c r="H40" s="10" t="n">
        <f aca="false">COUNTIFS(Datos!$C$2:$C$319,D40,Datos!$D$2:$D$319,E40,Datos!$H$2:$H$319,F40)</f>
        <v>1</v>
      </c>
      <c r="I40" s="10" t="n">
        <f aca="false">SUMIFS(Datos!$M$2:$M$319,Datos!$C$2:$C$319,D40,Datos!$D$2:$D$319,E40,Datos!$H$2:$H$319,F40)</f>
        <v>15</v>
      </c>
      <c r="J40" s="12" t="n">
        <f aca="false">I40/60</f>
        <v>0.25</v>
      </c>
      <c r="K40" s="10" t="s">
        <v>241</v>
      </c>
      <c r="L40" s="10" t="s">
        <v>191</v>
      </c>
      <c r="M40" s="18" t="s">
        <v>375</v>
      </c>
    </row>
    <row r="41" customFormat="false" ht="15" hidden="false" customHeight="false" outlineLevel="0" collapsed="false">
      <c r="A41" s="1"/>
      <c r="B41" s="10" t="s">
        <v>13</v>
      </c>
      <c r="C41" s="10" t="n">
        <v>37</v>
      </c>
      <c r="D41" s="40" t="n">
        <v>46050</v>
      </c>
      <c r="E41" s="10" t="s">
        <v>29</v>
      </c>
      <c r="F41" s="10" t="s">
        <v>34</v>
      </c>
      <c r="G41" s="10" t="s">
        <v>185</v>
      </c>
      <c r="H41" s="10" t="n">
        <f aca="false">COUNTIFS(Datos!$C$2:$C$319,D41,Datos!$D$2:$D$319,E41,Datos!$H$2:$H$319,F41)</f>
        <v>1</v>
      </c>
      <c r="I41" s="10" t="n">
        <f aca="false">SUMIFS(Datos!$M$2:$M$319,Datos!$C$2:$C$319,D41,Datos!$D$2:$D$319,E41,Datos!$H$2:$H$319,F41)</f>
        <v>12</v>
      </c>
      <c r="J41" s="12" t="n">
        <f aca="false">I41/60</f>
        <v>0.2</v>
      </c>
      <c r="K41" s="10" t="s">
        <v>223</v>
      </c>
      <c r="L41" s="10" t="s">
        <v>226</v>
      </c>
      <c r="M41" s="18" t="s">
        <v>432</v>
      </c>
    </row>
    <row r="42" customFormat="false" ht="15" hidden="false" customHeight="false" outlineLevel="0" collapsed="false">
      <c r="A42" s="1"/>
      <c r="B42" s="10" t="s">
        <v>13</v>
      </c>
      <c r="C42" s="10" t="n">
        <v>38</v>
      </c>
      <c r="D42" s="40" t="n">
        <v>46036</v>
      </c>
      <c r="E42" s="10" t="s">
        <v>25</v>
      </c>
      <c r="F42" s="10" t="s">
        <v>43</v>
      </c>
      <c r="G42" s="10" t="s">
        <v>258</v>
      </c>
      <c r="H42" s="10" t="n">
        <f aca="false">COUNTIFS(Datos!$C$2:$C$319,D42,Datos!$D$2:$D$319,E42,Datos!$H$2:$H$319,F42)</f>
        <v>1</v>
      </c>
      <c r="I42" s="10" t="n">
        <f aca="false">SUMIFS(Datos!$M$2:$M$319,Datos!$C$2:$C$319,D42,Datos!$D$2:$D$319,E42,Datos!$H$2:$H$319,F42)</f>
        <v>10</v>
      </c>
      <c r="J42" s="12" t="n">
        <f aca="false">I42/60</f>
        <v>0.166666666666667</v>
      </c>
      <c r="K42" s="10" t="s">
        <v>261</v>
      </c>
      <c r="L42" s="10" t="s">
        <v>262</v>
      </c>
      <c r="M42" s="18" t="s">
        <v>263</v>
      </c>
    </row>
    <row r="43" customFormat="false" ht="23.85" hidden="false" customHeight="false" outlineLevel="0" collapsed="false">
      <c r="A43" s="1"/>
      <c r="B43" s="10" t="s">
        <v>13</v>
      </c>
      <c r="C43" s="10" t="n">
        <v>38</v>
      </c>
      <c r="D43" s="40" t="n">
        <v>46037</v>
      </c>
      <c r="E43" s="10" t="s">
        <v>22</v>
      </c>
      <c r="F43" s="10" t="s">
        <v>34</v>
      </c>
      <c r="G43" s="10" t="s">
        <v>185</v>
      </c>
      <c r="H43" s="10" t="n">
        <f aca="false">COUNTIFS(Datos!$C$2:$C$319,D43,Datos!$D$2:$D$319,E43,Datos!$H$2:$H$319,F43)</f>
        <v>1</v>
      </c>
      <c r="I43" s="10" t="n">
        <f aca="false">SUMIFS(Datos!$M$2:$M$319,Datos!$C$2:$C$319,D43,Datos!$D$2:$D$319,E43,Datos!$H$2:$H$319,F43)</f>
        <v>10</v>
      </c>
      <c r="J43" s="12" t="n">
        <f aca="false">I43/60</f>
        <v>0.166666666666667</v>
      </c>
      <c r="K43" s="10" t="s">
        <v>271</v>
      </c>
      <c r="L43" s="10" t="s">
        <v>272</v>
      </c>
      <c r="M43" s="18" t="s">
        <v>273</v>
      </c>
    </row>
    <row r="44" customFormat="false" ht="15" hidden="false" customHeight="false" outlineLevel="0" collapsed="false">
      <c r="A44" s="1"/>
      <c r="B44" s="10" t="s">
        <v>13</v>
      </c>
      <c r="C44" s="10" t="n">
        <v>38</v>
      </c>
      <c r="D44" s="40" t="n">
        <v>46039</v>
      </c>
      <c r="E44" s="10" t="s">
        <v>22</v>
      </c>
      <c r="F44" s="10" t="s">
        <v>34</v>
      </c>
      <c r="G44" s="10" t="s">
        <v>185</v>
      </c>
      <c r="H44" s="10" t="n">
        <f aca="false">COUNTIFS(Datos!$C$2:$C$319,D44,Datos!$D$2:$D$319,E44,Datos!$H$2:$H$319,F44)</f>
        <v>1</v>
      </c>
      <c r="I44" s="10" t="n">
        <f aca="false">SUMIFS(Datos!$M$2:$M$319,Datos!$C$2:$C$319,D44,Datos!$D$2:$D$319,E44,Datos!$H$2:$H$319,F44)</f>
        <v>10</v>
      </c>
      <c r="J44" s="12" t="n">
        <f aca="false">I44/60</f>
        <v>0.166666666666667</v>
      </c>
      <c r="K44" s="10" t="s">
        <v>190</v>
      </c>
      <c r="L44" s="10" t="s">
        <v>312</v>
      </c>
      <c r="M44" s="18" t="s">
        <v>313</v>
      </c>
    </row>
    <row r="45" customFormat="false" ht="15" hidden="false" customHeight="false" outlineLevel="0" collapsed="false">
      <c r="A45" s="1"/>
      <c r="B45" s="10" t="s">
        <v>13</v>
      </c>
      <c r="C45" s="10" t="n">
        <v>38</v>
      </c>
      <c r="D45" s="40" t="n">
        <v>46041</v>
      </c>
      <c r="E45" s="10" t="s">
        <v>22</v>
      </c>
      <c r="F45" s="10" t="s">
        <v>274</v>
      </c>
      <c r="G45" s="10" t="s">
        <v>185</v>
      </c>
      <c r="H45" s="10" t="n">
        <f aca="false">COUNTIFS(Datos!$C$2:$C$319,D45,Datos!$D$2:$D$319,E45,Datos!$H$2:$H$319,F45)</f>
        <v>1</v>
      </c>
      <c r="I45" s="10" t="n">
        <f aca="false">SUMIFS(Datos!$M$2:$M$319,Datos!$C$2:$C$319,D45,Datos!$D$2:$D$319,E45,Datos!$H$2:$H$319,F45)</f>
        <v>10</v>
      </c>
      <c r="J45" s="12" t="n">
        <f aca="false">I45/60</f>
        <v>0.166666666666667</v>
      </c>
      <c r="K45" s="10" t="s">
        <v>327</v>
      </c>
      <c r="L45" s="10" t="s">
        <v>283</v>
      </c>
      <c r="M45" s="18" t="s">
        <v>328</v>
      </c>
    </row>
    <row r="46" customFormat="false" ht="15" hidden="false" customHeight="false" outlineLevel="0" collapsed="false">
      <c r="A46" s="1"/>
      <c r="B46" s="10" t="s">
        <v>13</v>
      </c>
      <c r="C46" s="10" t="n">
        <v>38</v>
      </c>
      <c r="D46" s="40" t="n">
        <v>46041</v>
      </c>
      <c r="E46" s="10" t="s">
        <v>26</v>
      </c>
      <c r="F46" s="10" t="s">
        <v>42</v>
      </c>
      <c r="G46" s="10" t="s">
        <v>185</v>
      </c>
      <c r="H46" s="10" t="n">
        <f aca="false">COUNTIFS(Datos!$C$2:$C$319,D46,Datos!$D$2:$D$319,E46,Datos!$H$2:$H$319,F46)</f>
        <v>1</v>
      </c>
      <c r="I46" s="10" t="n">
        <f aca="false">SUMIFS(Datos!$M$2:$M$319,Datos!$C$2:$C$319,D46,Datos!$D$2:$D$319,E46,Datos!$H$2:$H$319,F46)</f>
        <v>10</v>
      </c>
      <c r="J46" s="12" t="n">
        <f aca="false">I46/60</f>
        <v>0.166666666666667</v>
      </c>
      <c r="K46" s="10" t="s">
        <v>255</v>
      </c>
      <c r="L46" s="10" t="s">
        <v>190</v>
      </c>
      <c r="M46" s="18" t="s">
        <v>324</v>
      </c>
    </row>
    <row r="47" customFormat="false" ht="15" hidden="false" customHeight="false" outlineLevel="0" collapsed="false">
      <c r="A47" s="1"/>
      <c r="B47" s="10" t="s">
        <v>13</v>
      </c>
      <c r="C47" s="10" t="n">
        <v>38</v>
      </c>
      <c r="D47" s="40" t="n">
        <v>46042</v>
      </c>
      <c r="E47" s="10" t="s">
        <v>26</v>
      </c>
      <c r="F47" s="10" t="s">
        <v>34</v>
      </c>
      <c r="G47" s="10" t="s">
        <v>185</v>
      </c>
      <c r="H47" s="10" t="n">
        <f aca="false">COUNTIFS(Datos!$C$2:$C$319,D47,Datos!$D$2:$D$319,E47,Datos!$H$2:$H$319,F47)</f>
        <v>1</v>
      </c>
      <c r="I47" s="10" t="n">
        <f aca="false">SUMIFS(Datos!$M$2:$M$319,Datos!$C$2:$C$319,D47,Datos!$D$2:$D$319,E47,Datos!$H$2:$H$319,F47)</f>
        <v>10</v>
      </c>
      <c r="J47" s="12" t="n">
        <f aca="false">I47/60</f>
        <v>0.166666666666667</v>
      </c>
      <c r="K47" s="10" t="s">
        <v>255</v>
      </c>
      <c r="L47" s="10" t="s">
        <v>190</v>
      </c>
      <c r="M47" s="18" t="s">
        <v>346</v>
      </c>
    </row>
    <row r="48" customFormat="false" ht="15" hidden="false" customHeight="false" outlineLevel="0" collapsed="false">
      <c r="A48" s="1"/>
      <c r="B48" s="10" t="s">
        <v>13</v>
      </c>
      <c r="C48" s="10" t="n">
        <v>44</v>
      </c>
      <c r="D48" s="40" t="n">
        <v>46043</v>
      </c>
      <c r="E48" s="10" t="s">
        <v>25</v>
      </c>
      <c r="F48" s="10" t="s">
        <v>36</v>
      </c>
      <c r="G48" s="10" t="s">
        <v>185</v>
      </c>
      <c r="H48" s="10" t="n">
        <f aca="false">COUNTIFS(Datos!$C$2:$C$319,D48,Datos!$D$2:$D$319,E48,Datos!$H$2:$H$319,F48)</f>
        <v>1</v>
      </c>
      <c r="I48" s="10" t="n">
        <f aca="false">SUMIFS(Datos!$M$2:$M$319,Datos!$C$2:$C$319,D48,Datos!$D$2:$D$319,E48,Datos!$H$2:$H$319,F48)</f>
        <v>9</v>
      </c>
      <c r="J48" s="12" t="n">
        <f aca="false">I48/60</f>
        <v>0.15</v>
      </c>
      <c r="K48" s="10" t="s">
        <v>363</v>
      </c>
      <c r="L48" s="10" t="s">
        <v>364</v>
      </c>
      <c r="M48" s="18" t="s">
        <v>365</v>
      </c>
    </row>
    <row r="49" customFormat="false" ht="15" hidden="false" customHeight="false" outlineLevel="0" collapsed="false">
      <c r="A49" s="1"/>
      <c r="B49" s="10" t="s">
        <v>13</v>
      </c>
      <c r="C49" s="10" t="n">
        <v>45</v>
      </c>
      <c r="D49" s="40" t="n">
        <v>46038</v>
      </c>
      <c r="E49" s="10" t="s">
        <v>22</v>
      </c>
      <c r="F49" s="10" t="s">
        <v>232</v>
      </c>
      <c r="G49" s="10" t="s">
        <v>185</v>
      </c>
      <c r="H49" s="10" t="n">
        <f aca="false">COUNTIFS(Datos!$C$2:$C$319,D49,Datos!$D$2:$D$319,E49,Datos!$H$2:$H$319,F49)</f>
        <v>1</v>
      </c>
      <c r="I49" s="10" t="n">
        <f aca="false">SUMIFS(Datos!$M$2:$M$319,Datos!$C$2:$C$319,D49,Datos!$D$2:$D$319,E49,Datos!$H$2:$H$319,F49)</f>
        <v>6</v>
      </c>
      <c r="J49" s="12" t="n">
        <f aca="false">I49/60</f>
        <v>0.1</v>
      </c>
      <c r="K49" s="10" t="s">
        <v>299</v>
      </c>
      <c r="L49" s="10" t="s">
        <v>226</v>
      </c>
      <c r="M49" s="18" t="s">
        <v>300</v>
      </c>
    </row>
    <row r="50" customFormat="false" ht="15" hidden="false" customHeight="false" outlineLevel="0" collapsed="false">
      <c r="A50" s="1"/>
      <c r="B50" s="10" t="s">
        <v>13</v>
      </c>
      <c r="C50" s="10" t="n">
        <v>45</v>
      </c>
      <c r="D50" s="40" t="n">
        <v>46042</v>
      </c>
      <c r="E50" s="10" t="s">
        <v>20</v>
      </c>
      <c r="F50" s="10" t="s">
        <v>349</v>
      </c>
      <c r="G50" s="10" t="s">
        <v>185</v>
      </c>
      <c r="H50" s="10" t="n">
        <f aca="false">COUNTIFS(Datos!$C$2:$C$319,D50,Datos!$D$2:$D$319,E50,Datos!$H$2:$H$319,F50)</f>
        <v>1</v>
      </c>
      <c r="I50" s="10" t="n">
        <f aca="false">SUMIFS(Datos!$M$2:$M$319,Datos!$C$2:$C$319,D50,Datos!$D$2:$D$319,E50,Datos!$H$2:$H$319,F50)</f>
        <v>6</v>
      </c>
      <c r="J50" s="12" t="n">
        <f aca="false">I50/60</f>
        <v>0.1</v>
      </c>
      <c r="K50" s="10" t="s">
        <v>255</v>
      </c>
      <c r="L50" s="10" t="s">
        <v>351</v>
      </c>
      <c r="M50" s="18" t="s">
        <v>352</v>
      </c>
    </row>
    <row r="51" customFormat="false" ht="15" hidden="false" customHeight="false" outlineLevel="0" collapsed="false">
      <c r="A51" s="1"/>
      <c r="B51" s="10" t="s">
        <v>13</v>
      </c>
      <c r="C51" s="10" t="n">
        <v>45</v>
      </c>
      <c r="D51" s="40" t="n">
        <v>46045</v>
      </c>
      <c r="E51" s="10" t="s">
        <v>24</v>
      </c>
      <c r="F51" s="10" t="s">
        <v>232</v>
      </c>
      <c r="G51" s="10" t="s">
        <v>185</v>
      </c>
      <c r="H51" s="10" t="n">
        <f aca="false">COUNTIFS(Datos!$C$2:$C$319,D51,Datos!$D$2:$D$319,E51,Datos!$H$2:$H$319,F51)</f>
        <v>1</v>
      </c>
      <c r="I51" s="10" t="n">
        <f aca="false">SUMIFS(Datos!$M$2:$M$319,Datos!$C$2:$C$319,D51,Datos!$D$2:$D$319,E51,Datos!$H$2:$H$319,F51)</f>
        <v>6</v>
      </c>
      <c r="J51" s="12" t="n">
        <f aca="false">I51/60</f>
        <v>0.1</v>
      </c>
      <c r="K51" s="10" t="s">
        <v>376</v>
      </c>
      <c r="L51" s="10" t="s">
        <v>377</v>
      </c>
      <c r="M51" s="18" t="s">
        <v>378</v>
      </c>
    </row>
    <row r="52" customFormat="false" ht="15" hidden="false" customHeight="false" outlineLevel="0" collapsed="false">
      <c r="A52" s="1"/>
      <c r="B52" s="10" t="s">
        <v>13</v>
      </c>
      <c r="C52" s="10" t="n">
        <v>48</v>
      </c>
      <c r="D52" s="40" t="n">
        <v>46045</v>
      </c>
      <c r="E52" s="10" t="s">
        <v>22</v>
      </c>
      <c r="F52" s="10" t="s">
        <v>382</v>
      </c>
      <c r="G52" s="10" t="s">
        <v>185</v>
      </c>
      <c r="H52" s="10" t="n">
        <f aca="false">COUNTIFS(Datos!$C$2:$C$319,D52,Datos!$D$2:$D$319,E52,Datos!$H$2:$H$319,F52)</f>
        <v>1</v>
      </c>
      <c r="I52" s="10" t="n">
        <f aca="false">SUMIFS(Datos!$M$2:$M$319,Datos!$C$2:$C$319,D52,Datos!$D$2:$D$319,E52,Datos!$H$2:$H$319,F52)</f>
        <v>5</v>
      </c>
      <c r="J52" s="12" t="n">
        <f aca="false">I52/60</f>
        <v>0.0833333333333333</v>
      </c>
      <c r="K52" s="10" t="s">
        <v>385</v>
      </c>
      <c r="L52" s="10" t="s">
        <v>376</v>
      </c>
      <c r="M52" s="18" t="s">
        <v>889</v>
      </c>
    </row>
    <row r="53" customFormat="false" ht="15" hidden="false" customHeight="false" outlineLevel="0" collapsed="false">
      <c r="A53" s="1"/>
      <c r="B53" s="10" t="s">
        <v>13</v>
      </c>
      <c r="C53" s="10" t="n">
        <v>49</v>
      </c>
      <c r="D53" s="40" t="n">
        <v>46035</v>
      </c>
      <c r="E53" s="10" t="s">
        <v>26</v>
      </c>
      <c r="F53" s="10" t="s">
        <v>232</v>
      </c>
      <c r="G53" s="10" t="s">
        <v>185</v>
      </c>
      <c r="H53" s="10" t="n">
        <f aca="false">COUNTIFS(Datos!$C$2:$C$319,D53,Datos!$D$2:$D$319,E53,Datos!$H$2:$H$319,F53)</f>
        <v>1</v>
      </c>
      <c r="I53" s="10" t="n">
        <f aca="false">SUMIFS(Datos!$M$2:$M$319,Datos!$C$2:$C$319,D53,Datos!$D$2:$D$319,E53,Datos!$H$2:$H$319,F53)</f>
        <v>4</v>
      </c>
      <c r="J53" s="12" t="n">
        <f aca="false">I53/60</f>
        <v>0.0666666666666667</v>
      </c>
      <c r="K53" s="10" t="s">
        <v>223</v>
      </c>
      <c r="L53" s="10" t="s">
        <v>235</v>
      </c>
      <c r="M53" s="18" t="s">
        <v>236</v>
      </c>
    </row>
    <row r="54" customFormat="false" ht="15" hidden="false" customHeight="false" outlineLevel="0" collapsed="false">
      <c r="A54" s="1"/>
      <c r="B54" s="10" t="s">
        <v>13</v>
      </c>
      <c r="C54" s="10" t="n">
        <v>49</v>
      </c>
      <c r="D54" s="40" t="n">
        <v>46037</v>
      </c>
      <c r="E54" s="10" t="s">
        <v>27</v>
      </c>
      <c r="F54" s="10" t="s">
        <v>43</v>
      </c>
      <c r="G54" s="10" t="s">
        <v>185</v>
      </c>
      <c r="H54" s="10" t="n">
        <f aca="false">COUNTIFS(Datos!$C$2:$C$319,D54,Datos!$D$2:$D$319,E54,Datos!$H$2:$H$319,F54)</f>
        <v>1</v>
      </c>
      <c r="I54" s="10" t="n">
        <f aca="false">SUMIFS(Datos!$M$2:$M$319,Datos!$C$2:$C$319,D54,Datos!$D$2:$D$319,E54,Datos!$H$2:$H$319,F54)</f>
        <v>4</v>
      </c>
      <c r="J54" s="12" t="n">
        <f aca="false">I54/60</f>
        <v>0.0666666666666667</v>
      </c>
      <c r="K54" s="10" t="s">
        <v>266</v>
      </c>
      <c r="L54" s="10" t="s">
        <v>191</v>
      </c>
      <c r="M54" s="18" t="s">
        <v>267</v>
      </c>
    </row>
    <row r="55" customFormat="false" ht="15" hidden="false" customHeight="false" outlineLevel="0" collapsed="false">
      <c r="A55" s="1"/>
      <c r="B55" s="10" t="s">
        <v>14</v>
      </c>
      <c r="C55" s="10" t="n">
        <v>1</v>
      </c>
      <c r="D55" s="40" t="n">
        <v>46164</v>
      </c>
      <c r="E55" s="10" t="s">
        <v>20</v>
      </c>
      <c r="F55" s="10" t="s">
        <v>35</v>
      </c>
      <c r="G55" s="10" t="s">
        <v>185</v>
      </c>
      <c r="H55" s="10" t="n">
        <f aca="false">COUNTIFS(Datos!$C$2:$C$319,D55,Datos!$D$2:$D$319,E55,Datos!$H$2:$H$319,F55)</f>
        <v>8</v>
      </c>
      <c r="I55" s="10" t="n">
        <f aca="false">SUMIFS(Datos!$M$2:$M$319,Datos!$C$2:$C$319,D55,Datos!$D$2:$D$319,E55,Datos!$H$2:$H$319,F55)</f>
        <v>420</v>
      </c>
      <c r="J55" s="12" t="n">
        <f aca="false">I55/60</f>
        <v>7</v>
      </c>
      <c r="K55" s="10" t="s">
        <v>255</v>
      </c>
      <c r="L55" s="10" t="s">
        <v>283</v>
      </c>
      <c r="M55" s="18" t="s">
        <v>889</v>
      </c>
    </row>
    <row r="56" customFormat="false" ht="15" hidden="false" customHeight="false" outlineLevel="0" collapsed="false">
      <c r="A56" s="1"/>
      <c r="B56" s="10" t="s">
        <v>14</v>
      </c>
      <c r="C56" s="10" t="n">
        <v>2</v>
      </c>
      <c r="D56" s="40" t="n">
        <v>46165</v>
      </c>
      <c r="E56" s="10" t="s">
        <v>20</v>
      </c>
      <c r="F56" s="10" t="s">
        <v>35</v>
      </c>
      <c r="G56" s="10" t="s">
        <v>185</v>
      </c>
      <c r="H56" s="10" t="n">
        <f aca="false">COUNTIFS(Datos!$C$2:$C$319,D56,Datos!$D$2:$D$319,E56,Datos!$H$2:$H$319,F56)</f>
        <v>1</v>
      </c>
      <c r="I56" s="10" t="n">
        <f aca="false">SUMIFS(Datos!$M$2:$M$319,Datos!$C$2:$C$319,D56,Datos!$D$2:$D$319,E56,Datos!$H$2:$H$319,F56)</f>
        <v>400</v>
      </c>
      <c r="J56" s="12" t="n">
        <f aca="false">I56/60</f>
        <v>6.66666666666667</v>
      </c>
      <c r="K56" s="10" t="s">
        <v>608</v>
      </c>
      <c r="L56" s="10" t="s">
        <v>199</v>
      </c>
      <c r="M56" s="18" t="s">
        <v>609</v>
      </c>
    </row>
    <row r="57" customFormat="false" ht="15" hidden="false" customHeight="false" outlineLevel="0" collapsed="false">
      <c r="A57" s="1"/>
      <c r="B57" s="10" t="s">
        <v>14</v>
      </c>
      <c r="C57" s="10" t="n">
        <v>3</v>
      </c>
      <c r="D57" s="40" t="n">
        <v>46158</v>
      </c>
      <c r="E57" s="10" t="s">
        <v>20</v>
      </c>
      <c r="F57" s="10" t="s">
        <v>34</v>
      </c>
      <c r="G57" s="10" t="s">
        <v>258</v>
      </c>
      <c r="H57" s="10" t="n">
        <f aca="false">COUNTIFS(Datos!$C$2:$C$319,D57,Datos!$D$2:$D$319,E57,Datos!$H$2:$H$319,F57)</f>
        <v>6</v>
      </c>
      <c r="I57" s="10" t="n">
        <f aca="false">SUMIFS(Datos!$M$2:$M$319,Datos!$C$2:$C$319,D57,Datos!$D$2:$D$319,E57,Datos!$H$2:$H$319,F57)</f>
        <v>348</v>
      </c>
      <c r="J57" s="12" t="n">
        <f aca="false">I57/60</f>
        <v>5.8</v>
      </c>
      <c r="K57" s="10" t="s">
        <v>199</v>
      </c>
      <c r="L57" s="10" t="s">
        <v>462</v>
      </c>
      <c r="M57" s="18" t="s">
        <v>890</v>
      </c>
    </row>
    <row r="58" customFormat="false" ht="15" hidden="false" customHeight="false" outlineLevel="0" collapsed="false">
      <c r="A58" s="1"/>
      <c r="B58" s="10" t="s">
        <v>14</v>
      </c>
      <c r="C58" s="10" t="n">
        <v>4</v>
      </c>
      <c r="D58" s="40" t="n">
        <v>46146</v>
      </c>
      <c r="E58" s="10" t="s">
        <v>28</v>
      </c>
      <c r="F58" s="10" t="s">
        <v>41</v>
      </c>
      <c r="G58" s="10" t="s">
        <v>258</v>
      </c>
      <c r="H58" s="10" t="n">
        <f aca="false">COUNTIFS(Datos!$C$2:$C$319,D58,Datos!$D$2:$D$319,E58,Datos!$H$2:$H$319,F58)</f>
        <v>7</v>
      </c>
      <c r="I58" s="10" t="n">
        <f aca="false">SUMIFS(Datos!$M$2:$M$319,Datos!$C$2:$C$319,D58,Datos!$D$2:$D$319,E58,Datos!$H$2:$H$319,F58)</f>
        <v>298</v>
      </c>
      <c r="J58" s="12" t="n">
        <f aca="false">I58/60</f>
        <v>4.96666666666667</v>
      </c>
      <c r="K58" s="10" t="s">
        <v>332</v>
      </c>
      <c r="L58" s="10" t="s">
        <v>464</v>
      </c>
      <c r="M58" s="18" t="s">
        <v>891</v>
      </c>
    </row>
    <row r="59" customFormat="false" ht="79.85" hidden="false" customHeight="false" outlineLevel="0" collapsed="false">
      <c r="A59" s="1"/>
      <c r="B59" s="10" t="s">
        <v>14</v>
      </c>
      <c r="C59" s="10" t="n">
        <v>5</v>
      </c>
      <c r="D59" s="40" t="n">
        <v>46164</v>
      </c>
      <c r="E59" s="10" t="s">
        <v>20</v>
      </c>
      <c r="F59" s="10" t="s">
        <v>34</v>
      </c>
      <c r="G59" s="10" t="s">
        <v>258</v>
      </c>
      <c r="H59" s="10" t="n">
        <f aca="false">COUNTIFS(Datos!$C$2:$C$319,D59,Datos!$D$2:$D$319,E59,Datos!$H$2:$H$319,F59)</f>
        <v>6</v>
      </c>
      <c r="I59" s="10" t="n">
        <f aca="false">SUMIFS(Datos!$M$2:$M$319,Datos!$C$2:$C$319,D59,Datos!$D$2:$D$319,E59,Datos!$H$2:$H$319,F59)</f>
        <v>294</v>
      </c>
      <c r="J59" s="12" t="n">
        <f aca="false">I59/60</f>
        <v>4.9</v>
      </c>
      <c r="K59" s="10" t="s">
        <v>256</v>
      </c>
      <c r="L59" s="10" t="s">
        <v>395</v>
      </c>
      <c r="M59" s="18" t="s">
        <v>892</v>
      </c>
    </row>
    <row r="60" customFormat="false" ht="35.05" hidden="false" customHeight="false" outlineLevel="0" collapsed="false">
      <c r="A60" s="1"/>
      <c r="B60" s="10" t="s">
        <v>14</v>
      </c>
      <c r="C60" s="10" t="n">
        <v>6</v>
      </c>
      <c r="D60" s="40" t="n">
        <v>46163</v>
      </c>
      <c r="E60" s="10" t="s">
        <v>20</v>
      </c>
      <c r="F60" s="10" t="s">
        <v>34</v>
      </c>
      <c r="G60" s="10" t="s">
        <v>258</v>
      </c>
      <c r="H60" s="10" t="n">
        <f aca="false">COUNTIFS(Datos!$C$2:$C$319,D60,Datos!$D$2:$D$319,E60,Datos!$H$2:$H$319,F60)</f>
        <v>4</v>
      </c>
      <c r="I60" s="10" t="n">
        <f aca="false">SUMIFS(Datos!$M$2:$M$319,Datos!$C$2:$C$319,D60,Datos!$D$2:$D$319,E60,Datos!$H$2:$H$319,F60)</f>
        <v>208</v>
      </c>
      <c r="J60" s="12" t="n">
        <f aca="false">I60/60</f>
        <v>3.46666666666667</v>
      </c>
      <c r="K60" s="10" t="s">
        <v>462</v>
      </c>
      <c r="L60" s="10" t="s">
        <v>395</v>
      </c>
      <c r="M60" s="18" t="s">
        <v>893</v>
      </c>
    </row>
    <row r="61" customFormat="false" ht="15" hidden="false" customHeight="false" outlineLevel="0" collapsed="false">
      <c r="A61" s="1"/>
      <c r="B61" s="10" t="s">
        <v>14</v>
      </c>
      <c r="C61" s="10" t="n">
        <v>7</v>
      </c>
      <c r="D61" s="40" t="n">
        <v>46161</v>
      </c>
      <c r="E61" s="10" t="s">
        <v>20</v>
      </c>
      <c r="F61" s="10" t="s">
        <v>35</v>
      </c>
      <c r="G61" s="10" t="s">
        <v>185</v>
      </c>
      <c r="H61" s="10" t="n">
        <f aca="false">COUNTIFS(Datos!$C$2:$C$319,D61,Datos!$D$2:$D$319,E61,Datos!$H$2:$H$319,F61)</f>
        <v>7</v>
      </c>
      <c r="I61" s="10" t="n">
        <f aca="false">SUMIFS(Datos!$M$2:$M$319,Datos!$C$2:$C$319,D61,Datos!$D$2:$D$319,E61,Datos!$H$2:$H$319,F61)</f>
        <v>203</v>
      </c>
      <c r="J61" s="12" t="n">
        <f aca="false">I61/60</f>
        <v>3.38333333333333</v>
      </c>
      <c r="K61" s="10" t="s">
        <v>552</v>
      </c>
      <c r="L61" s="10" t="s">
        <v>256</v>
      </c>
      <c r="M61" s="18" t="s">
        <v>894</v>
      </c>
    </row>
    <row r="62" customFormat="false" ht="15" hidden="false" customHeight="false" outlineLevel="0" collapsed="false">
      <c r="A62" s="1"/>
      <c r="B62" s="10" t="s">
        <v>14</v>
      </c>
      <c r="C62" s="10" t="n">
        <v>8</v>
      </c>
      <c r="D62" s="40" t="n">
        <v>46165</v>
      </c>
      <c r="E62" s="10" t="s">
        <v>21</v>
      </c>
      <c r="F62" s="10" t="s">
        <v>604</v>
      </c>
      <c r="G62" s="10" t="s">
        <v>185</v>
      </c>
      <c r="H62" s="10" t="n">
        <f aca="false">COUNTIFS(Datos!$C$2:$C$319,D62,Datos!$D$2:$D$319,E62,Datos!$H$2:$H$319,F62)</f>
        <v>2</v>
      </c>
      <c r="I62" s="10" t="n">
        <f aca="false">SUMIFS(Datos!$M$2:$M$319,Datos!$C$2:$C$319,D62,Datos!$D$2:$D$319,E62,Datos!$H$2:$H$319,F62)</f>
        <v>170</v>
      </c>
      <c r="J62" s="12" t="n">
        <f aca="false">I62/60</f>
        <v>2.83333333333333</v>
      </c>
      <c r="K62" s="10" t="s">
        <v>210</v>
      </c>
      <c r="L62" s="10" t="s">
        <v>199</v>
      </c>
      <c r="M62" s="18" t="s">
        <v>895</v>
      </c>
    </row>
    <row r="63" customFormat="false" ht="15" hidden="false" customHeight="false" outlineLevel="0" collapsed="false">
      <c r="A63" s="1"/>
      <c r="B63" s="10" t="s">
        <v>14</v>
      </c>
      <c r="C63" s="10" t="n">
        <v>9</v>
      </c>
      <c r="D63" s="40" t="n">
        <v>46170</v>
      </c>
      <c r="E63" s="10" t="s">
        <v>23</v>
      </c>
      <c r="F63" s="10" t="s">
        <v>40</v>
      </c>
      <c r="G63" s="10" t="s">
        <v>185</v>
      </c>
      <c r="H63" s="10" t="n">
        <f aca="false">COUNTIFS(Datos!$C$2:$C$319,D63,Datos!$D$2:$D$319,E63,Datos!$H$2:$H$319,F63)</f>
        <v>4</v>
      </c>
      <c r="I63" s="10" t="n">
        <f aca="false">SUMIFS(Datos!$M$2:$M$319,Datos!$C$2:$C$319,D63,Datos!$D$2:$D$319,E63,Datos!$H$2:$H$319,F63)</f>
        <v>154</v>
      </c>
      <c r="J63" s="12" t="n">
        <f aca="false">I63/60</f>
        <v>2.56666666666667</v>
      </c>
      <c r="K63" s="10" t="s">
        <v>502</v>
      </c>
      <c r="L63" s="10" t="s">
        <v>226</v>
      </c>
      <c r="M63" s="18" t="s">
        <v>896</v>
      </c>
    </row>
    <row r="64" customFormat="false" ht="15" hidden="false" customHeight="false" outlineLevel="0" collapsed="false">
      <c r="A64" s="1"/>
      <c r="B64" s="10" t="s">
        <v>14</v>
      </c>
      <c r="C64" s="10" t="n">
        <v>10</v>
      </c>
      <c r="D64" s="40" t="n">
        <v>46165</v>
      </c>
      <c r="E64" s="10" t="s">
        <v>21</v>
      </c>
      <c r="F64" s="10" t="s">
        <v>197</v>
      </c>
      <c r="G64" s="10" t="s">
        <v>258</v>
      </c>
      <c r="H64" s="10" t="n">
        <f aca="false">COUNTIFS(Datos!$C$2:$C$319,D64,Datos!$D$2:$D$319,E64,Datos!$H$2:$H$319,F64)</f>
        <v>1</v>
      </c>
      <c r="I64" s="10" t="n">
        <f aca="false">SUMIFS(Datos!$M$2:$M$319,Datos!$C$2:$C$319,D64,Datos!$D$2:$D$319,E64,Datos!$H$2:$H$319,F64)</f>
        <v>140</v>
      </c>
      <c r="J64" s="12" t="n">
        <f aca="false">I64/60</f>
        <v>2.33333333333333</v>
      </c>
      <c r="K64" s="10" t="s">
        <v>254</v>
      </c>
      <c r="L64" s="10" t="s">
        <v>610</v>
      </c>
      <c r="M64" s="18" t="s">
        <v>611</v>
      </c>
    </row>
    <row r="65" customFormat="false" ht="15" hidden="false" customHeight="false" outlineLevel="0" collapsed="false">
      <c r="A65" s="1"/>
      <c r="B65" s="10" t="s">
        <v>14</v>
      </c>
      <c r="C65" s="10" t="n">
        <v>11</v>
      </c>
      <c r="D65" s="40" t="n">
        <v>46158</v>
      </c>
      <c r="E65" s="10" t="s">
        <v>20</v>
      </c>
      <c r="F65" s="10" t="s">
        <v>35</v>
      </c>
      <c r="G65" s="10" t="s">
        <v>185</v>
      </c>
      <c r="H65" s="10" t="n">
        <f aca="false">COUNTIFS(Datos!$C$2:$C$319,D65,Datos!$D$2:$D$319,E65,Datos!$H$2:$H$319,F65)</f>
        <v>3</v>
      </c>
      <c r="I65" s="10" t="n">
        <f aca="false">SUMIFS(Datos!$M$2:$M$319,Datos!$C$2:$C$319,D65,Datos!$D$2:$D$319,E65,Datos!$H$2:$H$319,F65)</f>
        <v>130</v>
      </c>
      <c r="J65" s="12" t="n">
        <f aca="false">I65/60</f>
        <v>2.16666666666667</v>
      </c>
      <c r="K65" s="10" t="s">
        <v>542</v>
      </c>
      <c r="L65" s="10" t="s">
        <v>199</v>
      </c>
      <c r="M65" s="18" t="s">
        <v>897</v>
      </c>
    </row>
    <row r="66" customFormat="false" ht="15" hidden="false" customHeight="false" outlineLevel="0" collapsed="false">
      <c r="A66" s="1"/>
      <c r="B66" s="10" t="s">
        <v>14</v>
      </c>
      <c r="C66" s="10" t="n">
        <v>12</v>
      </c>
      <c r="D66" s="40" t="n">
        <v>46155</v>
      </c>
      <c r="E66" s="10" t="s">
        <v>20</v>
      </c>
      <c r="F66" s="10" t="s">
        <v>34</v>
      </c>
      <c r="G66" s="10" t="s">
        <v>258</v>
      </c>
      <c r="H66" s="10" t="n">
        <f aca="false">COUNTIFS(Datos!$C$2:$C$319,D66,Datos!$D$2:$D$319,E66,Datos!$H$2:$H$319,F66)</f>
        <v>2</v>
      </c>
      <c r="I66" s="10" t="n">
        <f aca="false">SUMIFS(Datos!$M$2:$M$319,Datos!$C$2:$C$319,D66,Datos!$D$2:$D$319,E66,Datos!$H$2:$H$319,F66)</f>
        <v>120</v>
      </c>
      <c r="J66" s="12" t="n">
        <f aca="false">I66/60</f>
        <v>2</v>
      </c>
      <c r="K66" s="10" t="s">
        <v>256</v>
      </c>
      <c r="L66" s="10" t="s">
        <v>515</v>
      </c>
      <c r="M66" s="18" t="s">
        <v>898</v>
      </c>
    </row>
    <row r="67" customFormat="false" ht="15" hidden="false" customHeight="false" outlineLevel="0" collapsed="false">
      <c r="A67" s="1"/>
      <c r="B67" s="10" t="s">
        <v>14</v>
      </c>
      <c r="C67" s="10" t="n">
        <v>13</v>
      </c>
      <c r="D67" s="40" t="n">
        <v>46149</v>
      </c>
      <c r="E67" s="10" t="s">
        <v>21</v>
      </c>
      <c r="F67" s="10" t="s">
        <v>34</v>
      </c>
      <c r="G67" s="10" t="s">
        <v>899</v>
      </c>
      <c r="H67" s="10" t="n">
        <f aca="false">COUNTIFS(Datos!$C$2:$C$319,D67,Datos!$D$2:$D$319,E67,Datos!$H$2:$H$319,F67)</f>
        <v>3</v>
      </c>
      <c r="I67" s="10" t="n">
        <f aca="false">SUMIFS(Datos!$M$2:$M$319,Datos!$C$2:$C$319,D67,Datos!$D$2:$D$319,E67,Datos!$H$2:$H$319,F67)</f>
        <v>105</v>
      </c>
      <c r="J67" s="12" t="n">
        <f aca="false">I67/60</f>
        <v>1.75</v>
      </c>
      <c r="K67" s="10" t="s">
        <v>255</v>
      </c>
      <c r="L67" s="10" t="s">
        <v>290</v>
      </c>
      <c r="M67" s="18" t="s">
        <v>900</v>
      </c>
    </row>
    <row r="68" customFormat="false" ht="15" hidden="false" customHeight="false" outlineLevel="0" collapsed="false">
      <c r="A68" s="1"/>
      <c r="B68" s="10" t="s">
        <v>14</v>
      </c>
      <c r="C68" s="10" t="n">
        <v>14</v>
      </c>
      <c r="D68" s="40" t="n">
        <v>46146</v>
      </c>
      <c r="E68" s="10" t="s">
        <v>21</v>
      </c>
      <c r="F68" s="10" t="s">
        <v>34</v>
      </c>
      <c r="G68" s="10" t="s">
        <v>899</v>
      </c>
      <c r="H68" s="10" t="n">
        <f aca="false">COUNTIFS(Datos!$C$2:$C$319,D68,Datos!$D$2:$D$319,E68,Datos!$H$2:$H$319,F68)</f>
        <v>3</v>
      </c>
      <c r="I68" s="10" t="n">
        <f aca="false">SUMIFS(Datos!$M$2:$M$319,Datos!$C$2:$C$319,D68,Datos!$D$2:$D$319,E68,Datos!$H$2:$H$319,F68)</f>
        <v>104</v>
      </c>
      <c r="J68" s="12" t="n">
        <f aca="false">I68/60</f>
        <v>1.73333333333333</v>
      </c>
      <c r="K68" s="10" t="s">
        <v>191</v>
      </c>
      <c r="L68" s="10" t="s">
        <v>256</v>
      </c>
      <c r="M68" s="18" t="s">
        <v>901</v>
      </c>
    </row>
    <row r="69" customFormat="false" ht="15" hidden="false" customHeight="false" outlineLevel="0" collapsed="false">
      <c r="A69" s="1"/>
      <c r="B69" s="10" t="s">
        <v>14</v>
      </c>
      <c r="C69" s="10" t="n">
        <v>15</v>
      </c>
      <c r="D69" s="40" t="n">
        <v>46171</v>
      </c>
      <c r="E69" s="10" t="s">
        <v>23</v>
      </c>
      <c r="F69" s="10" t="s">
        <v>42</v>
      </c>
      <c r="G69" s="10" t="s">
        <v>185</v>
      </c>
      <c r="H69" s="10" t="n">
        <f aca="false">COUNTIFS(Datos!$C$2:$C$319,D69,Datos!$D$2:$D$319,E69,Datos!$H$2:$H$319,F69)</f>
        <v>2</v>
      </c>
      <c r="I69" s="10" t="n">
        <f aca="false">SUMIFS(Datos!$M$2:$M$319,Datos!$C$2:$C$319,D69,Datos!$D$2:$D$319,E69,Datos!$H$2:$H$319,F69)</f>
        <v>85</v>
      </c>
      <c r="J69" s="12" t="n">
        <f aca="false">I69/60</f>
        <v>1.41666666666667</v>
      </c>
      <c r="K69" s="10" t="s">
        <v>640</v>
      </c>
      <c r="L69" s="10" t="s">
        <v>226</v>
      </c>
      <c r="M69" s="18" t="s">
        <v>641</v>
      </c>
    </row>
    <row r="70" customFormat="false" ht="46.25" hidden="false" customHeight="false" outlineLevel="0" collapsed="false">
      <c r="A70" s="1"/>
      <c r="B70" s="10" t="s">
        <v>14</v>
      </c>
      <c r="C70" s="10" t="n">
        <v>16</v>
      </c>
      <c r="D70" s="40" t="n">
        <v>46147</v>
      </c>
      <c r="E70" s="10" t="s">
        <v>22</v>
      </c>
      <c r="F70" s="10" t="s">
        <v>349</v>
      </c>
      <c r="G70" s="10" t="s">
        <v>258</v>
      </c>
      <c r="H70" s="10" t="n">
        <f aca="false">COUNTIFS(Datos!$C$2:$C$319,D70,Datos!$D$2:$D$319,E70,Datos!$H$2:$H$319,F70)</f>
        <v>3</v>
      </c>
      <c r="I70" s="10" t="n">
        <f aca="false">SUMIFS(Datos!$M$2:$M$319,Datos!$C$2:$C$319,D70,Datos!$D$2:$D$319,E70,Datos!$H$2:$H$319,F70)</f>
        <v>83</v>
      </c>
      <c r="J70" s="12" t="n">
        <f aca="false">I70/60</f>
        <v>1.38333333333333</v>
      </c>
      <c r="K70" s="10" t="s">
        <v>256</v>
      </c>
      <c r="L70" s="10" t="s">
        <v>460</v>
      </c>
      <c r="M70" s="18" t="s">
        <v>902</v>
      </c>
    </row>
    <row r="71" customFormat="false" ht="15" hidden="false" customHeight="false" outlineLevel="0" collapsed="false">
      <c r="A71" s="1"/>
      <c r="B71" s="10" t="s">
        <v>14</v>
      </c>
      <c r="C71" s="10" t="n">
        <v>17</v>
      </c>
      <c r="D71" s="40" t="n">
        <v>46155</v>
      </c>
      <c r="E71" s="10" t="s">
        <v>20</v>
      </c>
      <c r="F71" s="10" t="s">
        <v>35</v>
      </c>
      <c r="G71" s="10" t="s">
        <v>185</v>
      </c>
      <c r="H71" s="10" t="n">
        <f aca="false">COUNTIFS(Datos!$C$2:$C$319,D71,Datos!$D$2:$D$319,E71,Datos!$H$2:$H$319,F71)</f>
        <v>2</v>
      </c>
      <c r="I71" s="10" t="n">
        <f aca="false">SUMIFS(Datos!$M$2:$M$319,Datos!$C$2:$C$319,D71,Datos!$D$2:$D$319,E71,Datos!$H$2:$H$319,F71)</f>
        <v>75</v>
      </c>
      <c r="J71" s="12" t="n">
        <f aca="false">I71/60</f>
        <v>1.25</v>
      </c>
      <c r="K71" s="10" t="s">
        <v>504</v>
      </c>
      <c r="L71" s="10" t="s">
        <v>256</v>
      </c>
      <c r="M71" s="18" t="s">
        <v>903</v>
      </c>
    </row>
    <row r="72" customFormat="false" ht="15" hidden="false" customHeight="false" outlineLevel="0" collapsed="false">
      <c r="A72" s="1"/>
      <c r="B72" s="10" t="s">
        <v>14</v>
      </c>
      <c r="C72" s="10" t="n">
        <v>17</v>
      </c>
      <c r="D72" s="40" t="n">
        <v>46156</v>
      </c>
      <c r="E72" s="10" t="s">
        <v>23</v>
      </c>
      <c r="F72" s="10" t="s">
        <v>34</v>
      </c>
      <c r="G72" s="10" t="s">
        <v>185</v>
      </c>
      <c r="H72" s="10" t="n">
        <f aca="false">COUNTIFS(Datos!$C$2:$C$319,D72,Datos!$D$2:$D$319,E72,Datos!$H$2:$H$319,F72)</f>
        <v>2</v>
      </c>
      <c r="I72" s="10" t="n">
        <f aca="false">SUMIFS(Datos!$M$2:$M$319,Datos!$C$2:$C$319,D72,Datos!$D$2:$D$319,E72,Datos!$H$2:$H$319,F72)</f>
        <v>75</v>
      </c>
      <c r="J72" s="12" t="n">
        <f aca="false">I72/60</f>
        <v>1.25</v>
      </c>
      <c r="K72" s="10" t="s">
        <v>241</v>
      </c>
      <c r="L72" s="10" t="s">
        <v>295</v>
      </c>
      <c r="M72" s="18" t="s">
        <v>904</v>
      </c>
    </row>
    <row r="73" customFormat="false" ht="23.85" hidden="false" customHeight="false" outlineLevel="0" collapsed="false">
      <c r="A73" s="1"/>
      <c r="B73" s="10" t="s">
        <v>14</v>
      </c>
      <c r="C73" s="10" t="n">
        <v>19</v>
      </c>
      <c r="D73" s="40" t="n">
        <v>46162</v>
      </c>
      <c r="E73" s="10" t="s">
        <v>20</v>
      </c>
      <c r="F73" s="10" t="s">
        <v>35</v>
      </c>
      <c r="G73" s="10" t="s">
        <v>185</v>
      </c>
      <c r="H73" s="10" t="n">
        <f aca="false">COUNTIFS(Datos!$C$2:$C$319,D73,Datos!$D$2:$D$319,E73,Datos!$H$2:$H$319,F73)</f>
        <v>3</v>
      </c>
      <c r="I73" s="10" t="n">
        <f aca="false">SUMIFS(Datos!$M$2:$M$319,Datos!$C$2:$C$319,D73,Datos!$D$2:$D$319,E73,Datos!$H$2:$H$319,F73)</f>
        <v>74</v>
      </c>
      <c r="J73" s="12" t="n">
        <f aca="false">I73/60</f>
        <v>1.23333333333333</v>
      </c>
      <c r="K73" s="10" t="s">
        <v>568</v>
      </c>
      <c r="L73" s="10" t="s">
        <v>283</v>
      </c>
      <c r="M73" s="18" t="s">
        <v>905</v>
      </c>
    </row>
    <row r="74" customFormat="false" ht="15" hidden="false" customHeight="false" outlineLevel="0" collapsed="false">
      <c r="A74" s="1"/>
      <c r="B74" s="10" t="s">
        <v>14</v>
      </c>
      <c r="C74" s="10" t="n">
        <v>20</v>
      </c>
      <c r="D74" s="40" t="n">
        <v>46165</v>
      </c>
      <c r="E74" s="10" t="s">
        <v>25</v>
      </c>
      <c r="F74" s="10" t="s">
        <v>38</v>
      </c>
      <c r="G74" s="10" t="s">
        <v>258</v>
      </c>
      <c r="H74" s="10" t="n">
        <f aca="false">COUNTIFS(Datos!$C$2:$C$319,D74,Datos!$D$2:$D$319,E74,Datos!$H$2:$H$319,F74)</f>
        <v>1</v>
      </c>
      <c r="I74" s="10" t="n">
        <f aca="false">SUMIFS(Datos!$M$2:$M$319,Datos!$C$2:$C$319,D74,Datos!$D$2:$D$319,E74,Datos!$H$2:$H$319,F74)</f>
        <v>60</v>
      </c>
      <c r="J74" s="12" t="n">
        <f aca="false">I74/60</f>
        <v>1</v>
      </c>
      <c r="K74" s="10" t="s">
        <v>335</v>
      </c>
      <c r="L74" s="10" t="s">
        <v>416</v>
      </c>
      <c r="M74" s="18" t="s">
        <v>612</v>
      </c>
    </row>
    <row r="75" customFormat="false" ht="15" hidden="false" customHeight="false" outlineLevel="0" collapsed="false">
      <c r="A75" s="1"/>
      <c r="B75" s="10" t="s">
        <v>14</v>
      </c>
      <c r="C75" s="10" t="n">
        <v>21</v>
      </c>
      <c r="D75" s="40" t="n">
        <v>46163</v>
      </c>
      <c r="E75" s="10" t="s">
        <v>20</v>
      </c>
      <c r="F75" s="10" t="s">
        <v>35</v>
      </c>
      <c r="G75" s="10" t="s">
        <v>185</v>
      </c>
      <c r="H75" s="10" t="n">
        <f aca="false">COUNTIFS(Datos!$C$2:$C$319,D75,Datos!$D$2:$D$319,E75,Datos!$H$2:$H$319,F75)</f>
        <v>2</v>
      </c>
      <c r="I75" s="10" t="n">
        <f aca="false">SUMIFS(Datos!$M$2:$M$319,Datos!$C$2:$C$319,D75,Datos!$D$2:$D$319,E75,Datos!$H$2:$H$319,F75)</f>
        <v>53</v>
      </c>
      <c r="J75" s="12" t="n">
        <f aca="false">I75/60</f>
        <v>0.883333333333333</v>
      </c>
      <c r="K75" s="10" t="s">
        <v>574</v>
      </c>
      <c r="L75" s="10" t="s">
        <v>226</v>
      </c>
      <c r="M75" s="18" t="s">
        <v>906</v>
      </c>
    </row>
    <row r="76" customFormat="false" ht="15" hidden="false" customHeight="false" outlineLevel="0" collapsed="false">
      <c r="A76" s="1"/>
      <c r="B76" s="10" t="s">
        <v>14</v>
      </c>
      <c r="C76" s="10" t="n">
        <v>22</v>
      </c>
      <c r="D76" s="40" t="n">
        <v>46170</v>
      </c>
      <c r="E76" s="10" t="s">
        <v>20</v>
      </c>
      <c r="F76" s="10" t="s">
        <v>349</v>
      </c>
      <c r="G76" s="10" t="s">
        <v>185</v>
      </c>
      <c r="H76" s="10" t="n">
        <f aca="false">COUNTIFS(Datos!$C$2:$C$319,D76,Datos!$D$2:$D$319,E76,Datos!$H$2:$H$319,F76)</f>
        <v>2</v>
      </c>
      <c r="I76" s="10" t="n">
        <f aca="false">SUMIFS(Datos!$M$2:$M$319,Datos!$C$2:$C$319,D76,Datos!$D$2:$D$319,E76,Datos!$H$2:$H$319,F76)</f>
        <v>51</v>
      </c>
      <c r="J76" s="12" t="n">
        <f aca="false">I76/60</f>
        <v>0.85</v>
      </c>
      <c r="K76" s="10" t="s">
        <v>247</v>
      </c>
      <c r="L76" s="10" t="s">
        <v>228</v>
      </c>
      <c r="M76" s="18" t="s">
        <v>907</v>
      </c>
    </row>
    <row r="77" customFormat="false" ht="15" hidden="false" customHeight="false" outlineLevel="0" collapsed="false">
      <c r="A77" s="1"/>
      <c r="B77" s="10" t="s">
        <v>14</v>
      </c>
      <c r="C77" s="10" t="n">
        <v>23</v>
      </c>
      <c r="D77" s="40" t="n">
        <v>46146</v>
      </c>
      <c r="E77" s="10" t="s">
        <v>22</v>
      </c>
      <c r="F77" s="10" t="s">
        <v>349</v>
      </c>
      <c r="G77" s="10" t="s">
        <v>258</v>
      </c>
      <c r="H77" s="10" t="n">
        <f aca="false">COUNTIFS(Datos!$C$2:$C$319,D77,Datos!$D$2:$D$319,E77,Datos!$H$2:$H$319,F77)</f>
        <v>3</v>
      </c>
      <c r="I77" s="10" t="n">
        <f aca="false">SUMIFS(Datos!$M$2:$M$319,Datos!$C$2:$C$319,D77,Datos!$D$2:$D$319,E77,Datos!$H$2:$H$319,F77)</f>
        <v>50</v>
      </c>
      <c r="J77" s="12" t="n">
        <f aca="false">I77/60</f>
        <v>0.833333333333333</v>
      </c>
      <c r="K77" s="10" t="s">
        <v>357</v>
      </c>
      <c r="L77" s="10" t="s">
        <v>416</v>
      </c>
      <c r="M77" s="18" t="s">
        <v>908</v>
      </c>
    </row>
    <row r="78" customFormat="false" ht="23.85" hidden="false" customHeight="false" outlineLevel="0" collapsed="false">
      <c r="A78" s="1"/>
      <c r="B78" s="10" t="s">
        <v>14</v>
      </c>
      <c r="C78" s="10" t="n">
        <v>24</v>
      </c>
      <c r="D78" s="40" t="n">
        <v>46167</v>
      </c>
      <c r="E78" s="10" t="s">
        <v>29</v>
      </c>
      <c r="F78" s="10" t="s">
        <v>42</v>
      </c>
      <c r="G78" s="10" t="s">
        <v>185</v>
      </c>
      <c r="H78" s="10" t="n">
        <f aca="false">COUNTIFS(Datos!$C$2:$C$319,D78,Datos!$D$2:$D$319,E78,Datos!$H$2:$H$319,F78)</f>
        <v>2</v>
      </c>
      <c r="I78" s="10" t="n">
        <f aca="false">SUMIFS(Datos!$M$2:$M$319,Datos!$C$2:$C$319,D78,Datos!$D$2:$D$319,E78,Datos!$H$2:$H$319,F78)</f>
        <v>46</v>
      </c>
      <c r="J78" s="12" t="n">
        <f aca="false">I78/60</f>
        <v>0.766666666666667</v>
      </c>
      <c r="K78" s="10" t="s">
        <v>615</v>
      </c>
      <c r="L78" s="10" t="s">
        <v>256</v>
      </c>
      <c r="M78" s="18" t="s">
        <v>909</v>
      </c>
    </row>
    <row r="79" customFormat="false" ht="15" hidden="false" customHeight="false" outlineLevel="0" collapsed="false">
      <c r="A79" s="1"/>
      <c r="B79" s="10" t="s">
        <v>14</v>
      </c>
      <c r="C79" s="10" t="n">
        <v>25</v>
      </c>
      <c r="D79" s="40" t="n">
        <v>46156</v>
      </c>
      <c r="E79" s="10" t="s">
        <v>20</v>
      </c>
      <c r="F79" s="10" t="s">
        <v>35</v>
      </c>
      <c r="G79" s="10" t="s">
        <v>185</v>
      </c>
      <c r="H79" s="10" t="n">
        <f aca="false">COUNTIFS(Datos!$C$2:$C$319,D79,Datos!$D$2:$D$319,E79,Datos!$H$2:$H$319,F79)</f>
        <v>1</v>
      </c>
      <c r="I79" s="10" t="n">
        <f aca="false">SUMIFS(Datos!$M$2:$M$319,Datos!$C$2:$C$319,D79,Datos!$D$2:$D$319,E79,Datos!$H$2:$H$319,F79)</f>
        <v>45</v>
      </c>
      <c r="J79" s="12" t="n">
        <f aca="false">I79/60</f>
        <v>0.75</v>
      </c>
      <c r="K79" s="10" t="s">
        <v>316</v>
      </c>
      <c r="L79" s="10" t="s">
        <v>295</v>
      </c>
      <c r="M79" s="18" t="s">
        <v>519</v>
      </c>
    </row>
    <row r="80" customFormat="false" ht="15" hidden="false" customHeight="false" outlineLevel="0" collapsed="false">
      <c r="A80" s="1"/>
      <c r="B80" s="10" t="s">
        <v>14</v>
      </c>
      <c r="C80" s="10" t="n">
        <v>26</v>
      </c>
      <c r="D80" s="40" t="n">
        <v>46171</v>
      </c>
      <c r="E80" s="10" t="s">
        <v>24</v>
      </c>
      <c r="F80" s="10" t="s">
        <v>38</v>
      </c>
      <c r="G80" s="10" t="s">
        <v>258</v>
      </c>
      <c r="H80" s="10" t="n">
        <f aca="false">COUNTIFS(Datos!$C$2:$C$319,D80,Datos!$D$2:$D$319,E80,Datos!$H$2:$H$319,F80)</f>
        <v>1</v>
      </c>
      <c r="I80" s="10" t="n">
        <f aca="false">SUMIFS(Datos!$M$2:$M$319,Datos!$C$2:$C$319,D80,Datos!$D$2:$D$319,E80,Datos!$H$2:$H$319,F80)</f>
        <v>42</v>
      </c>
      <c r="J80" s="12" t="n">
        <f aca="false">I80/60</f>
        <v>0.7</v>
      </c>
      <c r="K80" s="10" t="s">
        <v>332</v>
      </c>
      <c r="L80" s="10" t="s">
        <v>646</v>
      </c>
      <c r="M80" s="18" t="s">
        <v>647</v>
      </c>
    </row>
    <row r="81" customFormat="false" ht="15" hidden="false" customHeight="false" outlineLevel="0" collapsed="false">
      <c r="A81" s="1"/>
      <c r="B81" s="10" t="s">
        <v>14</v>
      </c>
      <c r="C81" s="10" t="n">
        <v>27</v>
      </c>
      <c r="D81" s="40" t="n">
        <v>46156</v>
      </c>
      <c r="E81" s="10" t="s">
        <v>21</v>
      </c>
      <c r="F81" s="10" t="s">
        <v>522</v>
      </c>
      <c r="G81" s="10" t="s">
        <v>258</v>
      </c>
      <c r="H81" s="10" t="n">
        <f aca="false">COUNTIFS(Datos!$C$2:$C$319,D81,Datos!$D$2:$D$319,E81,Datos!$H$2:$H$319,F81)</f>
        <v>1</v>
      </c>
      <c r="I81" s="10" t="n">
        <f aca="false">SUMIFS(Datos!$M$2:$M$319,Datos!$C$2:$C$319,D81,Datos!$D$2:$D$319,E81,Datos!$H$2:$H$319,F81)</f>
        <v>39</v>
      </c>
      <c r="J81" s="12" t="n">
        <f aca="false">I81/60</f>
        <v>0.65</v>
      </c>
      <c r="K81" s="10" t="s">
        <v>256</v>
      </c>
      <c r="L81" s="10" t="s">
        <v>524</v>
      </c>
      <c r="M81" s="18" t="s">
        <v>525</v>
      </c>
    </row>
    <row r="82" customFormat="false" ht="15" hidden="false" customHeight="false" outlineLevel="0" collapsed="false">
      <c r="A82" s="1"/>
      <c r="B82" s="10" t="s">
        <v>14</v>
      </c>
      <c r="C82" s="10" t="n">
        <v>28</v>
      </c>
      <c r="D82" s="40" t="n">
        <v>46161</v>
      </c>
      <c r="E82" s="10" t="s">
        <v>24</v>
      </c>
      <c r="F82" s="10" t="s">
        <v>39</v>
      </c>
      <c r="G82" s="10" t="s">
        <v>185</v>
      </c>
      <c r="H82" s="10" t="n">
        <f aca="false">COUNTIFS(Datos!$C$2:$C$319,D82,Datos!$D$2:$D$319,E82,Datos!$H$2:$H$319,F82)</f>
        <v>1</v>
      </c>
      <c r="I82" s="10" t="n">
        <f aca="false">SUMIFS(Datos!$M$2:$M$319,Datos!$C$2:$C$319,D82,Datos!$D$2:$D$319,E82,Datos!$H$2:$H$319,F82)</f>
        <v>38</v>
      </c>
      <c r="J82" s="12" t="n">
        <f aca="false">I82/60</f>
        <v>0.633333333333333</v>
      </c>
      <c r="K82" s="10" t="s">
        <v>550</v>
      </c>
      <c r="L82" s="10" t="s">
        <v>226</v>
      </c>
      <c r="M82" s="18" t="s">
        <v>551</v>
      </c>
    </row>
    <row r="83" customFormat="false" ht="15" hidden="false" customHeight="false" outlineLevel="0" collapsed="false">
      <c r="A83" s="1"/>
      <c r="B83" s="10" t="s">
        <v>14</v>
      </c>
      <c r="C83" s="10" t="n">
        <v>29</v>
      </c>
      <c r="D83" s="40" t="n">
        <v>46170</v>
      </c>
      <c r="E83" s="10" t="s">
        <v>22</v>
      </c>
      <c r="F83" s="10" t="s">
        <v>40</v>
      </c>
      <c r="G83" s="10" t="s">
        <v>185</v>
      </c>
      <c r="H83" s="10" t="n">
        <f aca="false">COUNTIFS(Datos!$C$2:$C$319,D83,Datos!$D$2:$D$319,E83,Datos!$H$2:$H$319,F83)</f>
        <v>1</v>
      </c>
      <c r="I83" s="10" t="n">
        <f aca="false">SUMIFS(Datos!$M$2:$M$319,Datos!$C$2:$C$319,D83,Datos!$D$2:$D$319,E83,Datos!$H$2:$H$319,F83)</f>
        <v>37</v>
      </c>
      <c r="J83" s="12" t="n">
        <f aca="false">I83/60</f>
        <v>0.616666666666667</v>
      </c>
      <c r="K83" s="10" t="s">
        <v>253</v>
      </c>
      <c r="L83" s="10" t="s">
        <v>634</v>
      </c>
      <c r="M83" s="18" t="s">
        <v>635</v>
      </c>
    </row>
    <row r="84" customFormat="false" ht="15" hidden="false" customHeight="false" outlineLevel="0" collapsed="false">
      <c r="A84" s="1"/>
      <c r="B84" s="10" t="s">
        <v>14</v>
      </c>
      <c r="C84" s="10" t="n">
        <v>30</v>
      </c>
      <c r="D84" s="40" t="n">
        <v>46155</v>
      </c>
      <c r="E84" s="10" t="s">
        <v>23</v>
      </c>
      <c r="F84" s="10" t="s">
        <v>37</v>
      </c>
      <c r="G84" s="10" t="s">
        <v>185</v>
      </c>
      <c r="H84" s="10" t="n">
        <f aca="false">COUNTIFS(Datos!$C$2:$C$319,D84,Datos!$D$2:$D$319,E84,Datos!$H$2:$H$319,F84)</f>
        <v>1</v>
      </c>
      <c r="I84" s="10" t="n">
        <f aca="false">SUMIFS(Datos!$M$2:$M$319,Datos!$C$2:$C$319,D84,Datos!$D$2:$D$319,E84,Datos!$H$2:$H$319,F84)</f>
        <v>34</v>
      </c>
      <c r="J84" s="12" t="n">
        <f aca="false">I84/60</f>
        <v>0.566666666666667</v>
      </c>
      <c r="K84" s="10" t="s">
        <v>509</v>
      </c>
      <c r="L84" s="10" t="s">
        <v>510</v>
      </c>
      <c r="M84" s="18" t="s">
        <v>511</v>
      </c>
    </row>
    <row r="85" customFormat="false" ht="15" hidden="false" customHeight="false" outlineLevel="0" collapsed="false">
      <c r="A85" s="1"/>
      <c r="B85" s="10" t="s">
        <v>14</v>
      </c>
      <c r="C85" s="10" t="n">
        <v>30</v>
      </c>
      <c r="D85" s="40" t="n">
        <v>46171</v>
      </c>
      <c r="E85" s="10" t="s">
        <v>23</v>
      </c>
      <c r="F85" s="10" t="s">
        <v>40</v>
      </c>
      <c r="G85" s="10" t="s">
        <v>185</v>
      </c>
      <c r="H85" s="10" t="n">
        <f aca="false">COUNTIFS(Datos!$C$2:$C$319,D85,Datos!$D$2:$D$319,E85,Datos!$H$2:$H$319,F85)</f>
        <v>1</v>
      </c>
      <c r="I85" s="10" t="n">
        <f aca="false">SUMIFS(Datos!$M$2:$M$319,Datos!$C$2:$C$319,D85,Datos!$D$2:$D$319,E85,Datos!$H$2:$H$319,F85)</f>
        <v>34</v>
      </c>
      <c r="J85" s="12" t="n">
        <f aca="false">I85/60</f>
        <v>0.566666666666667</v>
      </c>
      <c r="K85" s="10" t="s">
        <v>495</v>
      </c>
      <c r="L85" s="10" t="s">
        <v>642</v>
      </c>
      <c r="M85" s="18" t="s">
        <v>643</v>
      </c>
    </row>
    <row r="86" customFormat="false" ht="15" hidden="false" customHeight="false" outlineLevel="0" collapsed="false">
      <c r="A86" s="1"/>
      <c r="B86" s="10" t="s">
        <v>14</v>
      </c>
      <c r="C86" s="10" t="n">
        <v>32</v>
      </c>
      <c r="D86" s="40" t="n">
        <v>46157</v>
      </c>
      <c r="E86" s="10" t="s">
        <v>21</v>
      </c>
      <c r="F86" s="10" t="s">
        <v>34</v>
      </c>
      <c r="G86" s="10" t="s">
        <v>258</v>
      </c>
      <c r="H86" s="10" t="n">
        <f aca="false">COUNTIFS(Datos!$C$2:$C$319,D86,Datos!$D$2:$D$319,E86,Datos!$H$2:$H$319,F86)</f>
        <v>1</v>
      </c>
      <c r="I86" s="10" t="n">
        <f aca="false">SUMIFS(Datos!$M$2:$M$319,Datos!$C$2:$C$319,D86,Datos!$D$2:$D$319,E86,Datos!$H$2:$H$319,F86)</f>
        <v>32</v>
      </c>
      <c r="J86" s="12" t="n">
        <f aca="false">I86/60</f>
        <v>0.533333333333333</v>
      </c>
      <c r="K86" s="10" t="s">
        <v>530</v>
      </c>
      <c r="L86" s="10" t="s">
        <v>417</v>
      </c>
      <c r="M86" s="18" t="s">
        <v>531</v>
      </c>
    </row>
    <row r="87" customFormat="false" ht="15" hidden="false" customHeight="false" outlineLevel="0" collapsed="false">
      <c r="A87" s="1"/>
      <c r="B87" s="10" t="s">
        <v>14</v>
      </c>
      <c r="C87" s="10" t="n">
        <v>33</v>
      </c>
      <c r="D87" s="40" t="n">
        <v>46155</v>
      </c>
      <c r="E87" s="10" t="s">
        <v>23</v>
      </c>
      <c r="F87" s="10" t="s">
        <v>34</v>
      </c>
      <c r="G87" s="10" t="s">
        <v>185</v>
      </c>
      <c r="H87" s="10" t="n">
        <f aca="false">COUNTIFS(Datos!$C$2:$C$319,D87,Datos!$D$2:$D$319,E87,Datos!$H$2:$H$319,F87)</f>
        <v>1</v>
      </c>
      <c r="I87" s="10" t="n">
        <f aca="false">SUMIFS(Datos!$M$2:$M$319,Datos!$C$2:$C$319,D87,Datos!$D$2:$D$319,E87,Datos!$H$2:$H$319,F87)</f>
        <v>30</v>
      </c>
      <c r="J87" s="12" t="n">
        <f aca="false">I87/60</f>
        <v>0.5</v>
      </c>
      <c r="K87" s="10" t="s">
        <v>502</v>
      </c>
      <c r="L87" s="10" t="s">
        <v>191</v>
      </c>
      <c r="M87" s="18" t="s">
        <v>503</v>
      </c>
    </row>
    <row r="88" customFormat="false" ht="23.85" hidden="false" customHeight="false" outlineLevel="0" collapsed="false">
      <c r="A88" s="1"/>
      <c r="B88" s="10" t="s">
        <v>14</v>
      </c>
      <c r="C88" s="10" t="n">
        <v>33</v>
      </c>
      <c r="D88" s="40" t="n">
        <v>46158</v>
      </c>
      <c r="E88" s="10" t="s">
        <v>21</v>
      </c>
      <c r="F88" s="10" t="s">
        <v>34</v>
      </c>
      <c r="G88" s="10" t="s">
        <v>185</v>
      </c>
      <c r="H88" s="10" t="n">
        <f aca="false">COUNTIFS(Datos!$C$2:$C$319,D88,Datos!$D$2:$D$319,E88,Datos!$H$2:$H$319,F88)</f>
        <v>1</v>
      </c>
      <c r="I88" s="10" t="n">
        <f aca="false">SUMIFS(Datos!$M$2:$M$319,Datos!$C$2:$C$319,D88,Datos!$D$2:$D$319,E88,Datos!$H$2:$H$319,F88)</f>
        <v>30</v>
      </c>
      <c r="J88" s="12" t="n">
        <f aca="false">I88/60</f>
        <v>0.5</v>
      </c>
      <c r="K88" s="10" t="s">
        <v>532</v>
      </c>
      <c r="L88" s="10" t="s">
        <v>533</v>
      </c>
      <c r="M88" s="18" t="s">
        <v>534</v>
      </c>
    </row>
    <row r="89" customFormat="false" ht="15" hidden="false" customHeight="false" outlineLevel="0" collapsed="false">
      <c r="A89" s="1"/>
      <c r="B89" s="10" t="s">
        <v>14</v>
      </c>
      <c r="C89" s="10" t="n">
        <v>33</v>
      </c>
      <c r="D89" s="40" t="n">
        <v>46168</v>
      </c>
      <c r="E89" s="10" t="s">
        <v>23</v>
      </c>
      <c r="F89" s="10" t="s">
        <v>392</v>
      </c>
      <c r="G89" s="10" t="s">
        <v>185</v>
      </c>
      <c r="H89" s="10" t="n">
        <f aca="false">COUNTIFS(Datos!$C$2:$C$319,D89,Datos!$D$2:$D$319,E89,Datos!$H$2:$H$319,F89)</f>
        <v>1</v>
      </c>
      <c r="I89" s="10" t="n">
        <f aca="false">SUMIFS(Datos!$M$2:$M$319,Datos!$C$2:$C$319,D89,Datos!$D$2:$D$319,E89,Datos!$H$2:$H$319,F89)</f>
        <v>30</v>
      </c>
      <c r="J89" s="12" t="n">
        <f aca="false">I89/60</f>
        <v>0.5</v>
      </c>
      <c r="K89" s="10" t="s">
        <v>537</v>
      </c>
      <c r="L89" s="10" t="s">
        <v>223</v>
      </c>
      <c r="M89" s="18" t="s">
        <v>623</v>
      </c>
    </row>
    <row r="90" customFormat="false" ht="15" hidden="false" customHeight="false" outlineLevel="0" collapsed="false">
      <c r="A90" s="1"/>
      <c r="B90" s="10" t="s">
        <v>14</v>
      </c>
      <c r="C90" s="10" t="n">
        <v>36</v>
      </c>
      <c r="D90" s="40" t="n">
        <v>46171</v>
      </c>
      <c r="E90" s="10" t="s">
        <v>21</v>
      </c>
      <c r="F90" s="10" t="s">
        <v>34</v>
      </c>
      <c r="G90" s="10" t="s">
        <v>185</v>
      </c>
      <c r="H90" s="10" t="n">
        <f aca="false">COUNTIFS(Datos!$C$2:$C$319,D90,Datos!$D$2:$D$319,E90,Datos!$H$2:$H$319,F90)</f>
        <v>1</v>
      </c>
      <c r="I90" s="10" t="n">
        <f aca="false">SUMIFS(Datos!$M$2:$M$319,Datos!$C$2:$C$319,D90,Datos!$D$2:$D$319,E90,Datos!$H$2:$H$319,F90)</f>
        <v>28</v>
      </c>
      <c r="J90" s="12" t="n">
        <f aca="false">I90/60</f>
        <v>0.466666666666667</v>
      </c>
      <c r="K90" s="10" t="s">
        <v>191</v>
      </c>
      <c r="L90" s="10" t="s">
        <v>636</v>
      </c>
      <c r="M90" s="18" t="s">
        <v>637</v>
      </c>
    </row>
    <row r="91" customFormat="false" ht="15" hidden="false" customHeight="false" outlineLevel="0" collapsed="false">
      <c r="A91" s="1"/>
      <c r="B91" s="10" t="s">
        <v>14</v>
      </c>
      <c r="C91" s="10" t="n">
        <v>37</v>
      </c>
      <c r="D91" s="40" t="n">
        <v>46158</v>
      </c>
      <c r="E91" s="10" t="s">
        <v>26</v>
      </c>
      <c r="F91" s="10" t="s">
        <v>41</v>
      </c>
      <c r="G91" s="10" t="s">
        <v>185</v>
      </c>
      <c r="H91" s="10" t="n">
        <f aca="false">COUNTIFS(Datos!$C$2:$C$319,D91,Datos!$D$2:$D$319,E91,Datos!$H$2:$H$319,F91)</f>
        <v>1</v>
      </c>
      <c r="I91" s="10" t="n">
        <f aca="false">SUMIFS(Datos!$M$2:$M$319,Datos!$C$2:$C$319,D91,Datos!$D$2:$D$319,E91,Datos!$H$2:$H$319,F91)</f>
        <v>26</v>
      </c>
      <c r="J91" s="12" t="n">
        <f aca="false">I91/60</f>
        <v>0.433333333333333</v>
      </c>
      <c r="K91" s="10" t="s">
        <v>537</v>
      </c>
      <c r="L91" s="10" t="s">
        <v>538</v>
      </c>
      <c r="M91" s="18" t="s">
        <v>539</v>
      </c>
    </row>
    <row r="92" customFormat="false" ht="15" hidden="false" customHeight="false" outlineLevel="0" collapsed="false">
      <c r="A92" s="1"/>
      <c r="B92" s="10" t="s">
        <v>14</v>
      </c>
      <c r="C92" s="10" t="n">
        <v>38</v>
      </c>
      <c r="D92" s="40" t="n">
        <v>46147</v>
      </c>
      <c r="E92" s="10" t="s">
        <v>21</v>
      </c>
      <c r="F92" s="10" t="s">
        <v>34</v>
      </c>
      <c r="G92" s="10" t="s">
        <v>258</v>
      </c>
      <c r="H92" s="10" t="n">
        <f aca="false">COUNTIFS(Datos!$C$2:$C$319,D92,Datos!$D$2:$D$319,E92,Datos!$H$2:$H$319,F92)</f>
        <v>1</v>
      </c>
      <c r="I92" s="10" t="n">
        <f aca="false">SUMIFS(Datos!$M$2:$M$319,Datos!$C$2:$C$319,D92,Datos!$D$2:$D$319,E92,Datos!$H$2:$H$319,F92)</f>
        <v>24</v>
      </c>
      <c r="J92" s="12" t="n">
        <f aca="false">I92/60</f>
        <v>0.4</v>
      </c>
      <c r="K92" s="10" t="s">
        <v>467</v>
      </c>
      <c r="L92" s="10" t="s">
        <v>335</v>
      </c>
      <c r="M92" s="18" t="s">
        <v>468</v>
      </c>
    </row>
    <row r="93" customFormat="false" ht="15" hidden="false" customHeight="false" outlineLevel="0" collapsed="false">
      <c r="A93" s="1"/>
      <c r="B93" s="10" t="s">
        <v>14</v>
      </c>
      <c r="C93" s="10" t="n">
        <v>38</v>
      </c>
      <c r="D93" s="40" t="n">
        <v>46148</v>
      </c>
      <c r="E93" s="10" t="s">
        <v>22</v>
      </c>
      <c r="F93" s="10" t="s">
        <v>42</v>
      </c>
      <c r="G93" s="10" t="s">
        <v>258</v>
      </c>
      <c r="H93" s="10" t="n">
        <f aca="false">COUNTIFS(Datos!$C$2:$C$319,D93,Datos!$D$2:$D$319,E93,Datos!$H$2:$H$319,F93)</f>
        <v>1</v>
      </c>
      <c r="I93" s="10" t="n">
        <f aca="false">SUMIFS(Datos!$M$2:$M$319,Datos!$C$2:$C$319,D93,Datos!$D$2:$D$319,E93,Datos!$H$2:$H$319,F93)</f>
        <v>24</v>
      </c>
      <c r="J93" s="12" t="n">
        <f aca="false">I93/60</f>
        <v>0.4</v>
      </c>
      <c r="K93" s="10" t="s">
        <v>290</v>
      </c>
      <c r="L93" s="10" t="s">
        <v>474</v>
      </c>
      <c r="M93" s="18" t="s">
        <v>478</v>
      </c>
    </row>
    <row r="94" customFormat="false" ht="15" hidden="false" customHeight="false" outlineLevel="0" collapsed="false">
      <c r="A94" s="1"/>
      <c r="B94" s="10" t="s">
        <v>14</v>
      </c>
      <c r="C94" s="10" t="n">
        <v>40</v>
      </c>
      <c r="D94" s="40" t="n">
        <v>46147</v>
      </c>
      <c r="E94" s="10" t="s">
        <v>21</v>
      </c>
      <c r="F94" s="10" t="s">
        <v>197</v>
      </c>
      <c r="G94" s="10" t="s">
        <v>258</v>
      </c>
      <c r="H94" s="10" t="n">
        <f aca="false">COUNTIFS(Datos!$C$2:$C$319,D94,Datos!$D$2:$D$319,E94,Datos!$H$2:$H$319,F94)</f>
        <v>1</v>
      </c>
      <c r="I94" s="10" t="n">
        <f aca="false">SUMIFS(Datos!$M$2:$M$319,Datos!$C$2:$C$319,D94,Datos!$D$2:$D$319,E94,Datos!$H$2:$H$319,F94)</f>
        <v>20</v>
      </c>
      <c r="J94" s="12" t="n">
        <f aca="false">I94/60</f>
        <v>0.333333333333333</v>
      </c>
      <c r="K94" s="10" t="s">
        <v>476</v>
      </c>
      <c r="L94" s="10" t="s">
        <v>461</v>
      </c>
      <c r="M94" s="18" t="s">
        <v>477</v>
      </c>
    </row>
    <row r="95" customFormat="false" ht="15" hidden="false" customHeight="false" outlineLevel="0" collapsed="false">
      <c r="A95" s="1"/>
      <c r="B95" s="10" t="s">
        <v>14</v>
      </c>
      <c r="C95" s="10" t="n">
        <v>40</v>
      </c>
      <c r="D95" s="40" t="n">
        <v>46154</v>
      </c>
      <c r="E95" s="10" t="s">
        <v>23</v>
      </c>
      <c r="F95" s="10" t="s">
        <v>392</v>
      </c>
      <c r="G95" s="10" t="s">
        <v>185</v>
      </c>
      <c r="H95" s="10" t="n">
        <f aca="false">COUNTIFS(Datos!$C$2:$C$319,D95,Datos!$D$2:$D$319,E95,Datos!$H$2:$H$319,F95)</f>
        <v>1</v>
      </c>
      <c r="I95" s="10" t="n">
        <f aca="false">SUMIFS(Datos!$M$2:$M$319,Datos!$C$2:$C$319,D95,Datos!$D$2:$D$319,E95,Datos!$H$2:$H$319,F95)</f>
        <v>20</v>
      </c>
      <c r="J95" s="12" t="n">
        <f aca="false">I95/60</f>
        <v>0.333333333333333</v>
      </c>
      <c r="K95" s="10" t="s">
        <v>495</v>
      </c>
      <c r="L95" s="10" t="s">
        <v>496</v>
      </c>
      <c r="M95" s="18" t="s">
        <v>497</v>
      </c>
    </row>
    <row r="96" customFormat="false" ht="15" hidden="false" customHeight="false" outlineLevel="0" collapsed="false">
      <c r="A96" s="1"/>
      <c r="B96" s="10" t="s">
        <v>14</v>
      </c>
      <c r="C96" s="10" t="n">
        <v>40</v>
      </c>
      <c r="D96" s="40" t="n">
        <v>46155</v>
      </c>
      <c r="E96" s="10" t="s">
        <v>20</v>
      </c>
      <c r="F96" s="10" t="s">
        <v>349</v>
      </c>
      <c r="G96" s="10" t="s">
        <v>185</v>
      </c>
      <c r="H96" s="10" t="n">
        <f aca="false">COUNTIFS(Datos!$C$2:$C$319,D96,Datos!$D$2:$D$319,E96,Datos!$H$2:$H$319,F96)</f>
        <v>1</v>
      </c>
      <c r="I96" s="10" t="n">
        <f aca="false">SUMIFS(Datos!$M$2:$M$319,Datos!$C$2:$C$319,D96,Datos!$D$2:$D$319,E96,Datos!$H$2:$H$319,F96)</f>
        <v>20</v>
      </c>
      <c r="J96" s="12" t="n">
        <f aca="false">I96/60</f>
        <v>0.333333333333333</v>
      </c>
      <c r="K96" s="10" t="s">
        <v>297</v>
      </c>
      <c r="L96" s="10" t="s">
        <v>223</v>
      </c>
      <c r="M96" s="18" t="s">
        <v>506</v>
      </c>
    </row>
    <row r="97" customFormat="false" ht="15" hidden="false" customHeight="false" outlineLevel="0" collapsed="false">
      <c r="A97" s="1"/>
      <c r="B97" s="10" t="s">
        <v>14</v>
      </c>
      <c r="C97" s="10" t="n">
        <v>40</v>
      </c>
      <c r="D97" s="40" t="n">
        <v>46164</v>
      </c>
      <c r="E97" s="10" t="s">
        <v>23</v>
      </c>
      <c r="F97" s="10" t="s">
        <v>590</v>
      </c>
      <c r="G97" s="10" t="s">
        <v>185</v>
      </c>
      <c r="H97" s="10" t="n">
        <f aca="false">COUNTIFS(Datos!$C$2:$C$319,D97,Datos!$D$2:$D$319,E97,Datos!$H$2:$H$319,F97)</f>
        <v>1</v>
      </c>
      <c r="I97" s="10" t="n">
        <f aca="false">SUMIFS(Datos!$M$2:$M$319,Datos!$C$2:$C$319,D97,Datos!$D$2:$D$319,E97,Datos!$H$2:$H$319,F97)</f>
        <v>20</v>
      </c>
      <c r="J97" s="12" t="n">
        <f aca="false">I97/60</f>
        <v>0.333333333333333</v>
      </c>
      <c r="K97" s="10" t="s">
        <v>576</v>
      </c>
      <c r="L97" s="10" t="s">
        <v>592</v>
      </c>
      <c r="M97" s="18" t="s">
        <v>593</v>
      </c>
    </row>
    <row r="98" customFormat="false" ht="15" hidden="false" customHeight="false" outlineLevel="0" collapsed="false">
      <c r="A98" s="1"/>
      <c r="B98" s="10" t="s">
        <v>14</v>
      </c>
      <c r="C98" s="10" t="n">
        <v>40</v>
      </c>
      <c r="D98" s="40" t="n">
        <v>46170</v>
      </c>
      <c r="E98" s="10" t="s">
        <v>28</v>
      </c>
      <c r="F98" s="10" t="s">
        <v>34</v>
      </c>
      <c r="G98" s="10" t="s">
        <v>185</v>
      </c>
      <c r="H98" s="10" t="n">
        <f aca="false">COUNTIFS(Datos!$C$2:$C$319,D98,Datos!$D$2:$D$319,E98,Datos!$H$2:$H$319,F98)</f>
        <v>1</v>
      </c>
      <c r="I98" s="10" t="n">
        <f aca="false">SUMIFS(Datos!$M$2:$M$319,Datos!$C$2:$C$319,D98,Datos!$D$2:$D$319,E98,Datos!$H$2:$H$319,F98)</f>
        <v>20</v>
      </c>
      <c r="J98" s="12" t="n">
        <f aca="false">I98/60</f>
        <v>0.333333333333333</v>
      </c>
      <c r="K98" s="10" t="s">
        <v>191</v>
      </c>
      <c r="L98" s="10" t="s">
        <v>421</v>
      </c>
      <c r="M98" s="18" t="s">
        <v>625</v>
      </c>
    </row>
    <row r="99" customFormat="false" ht="15" hidden="false" customHeight="false" outlineLevel="0" collapsed="false">
      <c r="A99" s="1"/>
      <c r="B99" s="10" t="s">
        <v>14</v>
      </c>
      <c r="C99" s="10" t="n">
        <v>45</v>
      </c>
      <c r="D99" s="40" t="n">
        <v>46154</v>
      </c>
      <c r="E99" s="10" t="s">
        <v>20</v>
      </c>
      <c r="F99" s="10" t="s">
        <v>35</v>
      </c>
      <c r="G99" s="10" t="s">
        <v>185</v>
      </c>
      <c r="H99" s="10" t="n">
        <f aca="false">COUNTIFS(Datos!$C$2:$C$319,D99,Datos!$D$2:$D$319,E99,Datos!$H$2:$H$319,F99)</f>
        <v>1</v>
      </c>
      <c r="I99" s="10" t="n">
        <f aca="false">SUMIFS(Datos!$M$2:$M$319,Datos!$C$2:$C$319,D99,Datos!$D$2:$D$319,E99,Datos!$H$2:$H$319,F99)</f>
        <v>17</v>
      </c>
      <c r="J99" s="12" t="n">
        <f aca="false">I99/60</f>
        <v>0.283333333333333</v>
      </c>
      <c r="K99" s="10" t="s">
        <v>499</v>
      </c>
      <c r="L99" s="10" t="s">
        <v>295</v>
      </c>
      <c r="M99" s="18" t="s">
        <v>500</v>
      </c>
    </row>
    <row r="100" customFormat="false" ht="15" hidden="false" customHeight="false" outlineLevel="0" collapsed="false">
      <c r="A100" s="1"/>
      <c r="B100" s="10" t="s">
        <v>14</v>
      </c>
      <c r="C100" s="10" t="n">
        <v>45</v>
      </c>
      <c r="D100" s="40" t="n">
        <v>46168</v>
      </c>
      <c r="E100" s="10" t="s">
        <v>29</v>
      </c>
      <c r="F100" s="10" t="s">
        <v>34</v>
      </c>
      <c r="G100" s="10" t="s">
        <v>185</v>
      </c>
      <c r="H100" s="10" t="n">
        <f aca="false">COUNTIFS(Datos!$C$2:$C$319,D100,Datos!$D$2:$D$319,E100,Datos!$H$2:$H$319,F100)</f>
        <v>1</v>
      </c>
      <c r="I100" s="10" t="n">
        <f aca="false">SUMIFS(Datos!$M$2:$M$319,Datos!$C$2:$C$319,D100,Datos!$D$2:$D$319,E100,Datos!$H$2:$H$319,F100)</f>
        <v>17</v>
      </c>
      <c r="J100" s="12" t="n">
        <f aca="false">I100/60</f>
        <v>0.283333333333333</v>
      </c>
      <c r="K100" s="10" t="s">
        <v>499</v>
      </c>
      <c r="L100" s="10" t="s">
        <v>295</v>
      </c>
      <c r="M100" s="18" t="s">
        <v>620</v>
      </c>
    </row>
    <row r="101" customFormat="false" ht="15" hidden="false" customHeight="false" outlineLevel="0" collapsed="false">
      <c r="A101" s="1"/>
      <c r="B101" s="10" t="s">
        <v>14</v>
      </c>
      <c r="C101" s="10" t="n">
        <v>47</v>
      </c>
      <c r="D101" s="40" t="n">
        <v>46147</v>
      </c>
      <c r="E101" s="10" t="s">
        <v>25</v>
      </c>
      <c r="F101" s="10" t="s">
        <v>43</v>
      </c>
      <c r="G101" s="10" t="s">
        <v>258</v>
      </c>
      <c r="H101" s="10" t="n">
        <f aca="false">COUNTIFS(Datos!$C$2:$C$319,D101,Datos!$D$2:$D$319,E101,Datos!$H$2:$H$319,F101)</f>
        <v>1</v>
      </c>
      <c r="I101" s="10" t="n">
        <f aca="false">SUMIFS(Datos!$M$2:$M$319,Datos!$C$2:$C$319,D101,Datos!$D$2:$D$319,E101,Datos!$H$2:$H$319,F101)</f>
        <v>16</v>
      </c>
      <c r="J101" s="12" t="n">
        <f aca="false">I101/60</f>
        <v>0.266666666666667</v>
      </c>
      <c r="K101" s="10" t="s">
        <v>469</v>
      </c>
      <c r="L101" s="10" t="s">
        <v>470</v>
      </c>
      <c r="M101" s="18" t="s">
        <v>471</v>
      </c>
    </row>
    <row r="102" customFormat="false" ht="15" hidden="false" customHeight="false" outlineLevel="0" collapsed="false">
      <c r="A102" s="1"/>
      <c r="B102" s="10" t="s">
        <v>14</v>
      </c>
      <c r="C102" s="10" t="n">
        <v>47</v>
      </c>
      <c r="D102" s="40" t="n">
        <v>46149</v>
      </c>
      <c r="E102" s="10" t="s">
        <v>28</v>
      </c>
      <c r="F102" s="10" t="s">
        <v>485</v>
      </c>
      <c r="G102" s="10" t="s">
        <v>258</v>
      </c>
      <c r="H102" s="10" t="n">
        <f aca="false">COUNTIFS(Datos!$C$2:$C$319,D102,Datos!$D$2:$D$319,E102,Datos!$H$2:$H$319,F102)</f>
        <v>1</v>
      </c>
      <c r="I102" s="10" t="n">
        <f aca="false">SUMIFS(Datos!$M$2:$M$319,Datos!$C$2:$C$319,D102,Datos!$D$2:$D$319,E102,Datos!$H$2:$H$319,F102)</f>
        <v>16</v>
      </c>
      <c r="J102" s="12" t="n">
        <f aca="false">I102/60</f>
        <v>0.266666666666667</v>
      </c>
      <c r="K102" s="10" t="s">
        <v>487</v>
      </c>
      <c r="L102" s="10" t="s">
        <v>488</v>
      </c>
      <c r="M102" s="18" t="s">
        <v>489</v>
      </c>
    </row>
    <row r="103" customFormat="false" ht="23.85" hidden="false" customHeight="false" outlineLevel="0" collapsed="false">
      <c r="A103" s="1"/>
      <c r="B103" s="10" t="s">
        <v>14</v>
      </c>
      <c r="C103" s="10" t="n">
        <v>47</v>
      </c>
      <c r="D103" s="40" t="n">
        <v>46149</v>
      </c>
      <c r="E103" s="10" t="s">
        <v>22</v>
      </c>
      <c r="F103" s="10" t="s">
        <v>349</v>
      </c>
      <c r="G103" s="10" t="s">
        <v>258</v>
      </c>
      <c r="H103" s="10" t="n">
        <f aca="false">COUNTIFS(Datos!$C$2:$C$319,D103,Datos!$D$2:$D$319,E103,Datos!$H$2:$H$319,F103)</f>
        <v>1</v>
      </c>
      <c r="I103" s="10" t="n">
        <f aca="false">SUMIFS(Datos!$M$2:$M$319,Datos!$C$2:$C$319,D103,Datos!$D$2:$D$319,E103,Datos!$H$2:$H$319,F103)</f>
        <v>16</v>
      </c>
      <c r="J103" s="12" t="n">
        <f aca="false">I103/60</f>
        <v>0.266666666666667</v>
      </c>
      <c r="K103" s="10" t="s">
        <v>256</v>
      </c>
      <c r="L103" s="10" t="s">
        <v>483</v>
      </c>
      <c r="M103" s="18" t="s">
        <v>484</v>
      </c>
    </row>
    <row r="104" customFormat="false" ht="15" hidden="false" customHeight="false" outlineLevel="0" collapsed="false">
      <c r="A104" s="1"/>
      <c r="B104" s="10" t="s">
        <v>14</v>
      </c>
      <c r="C104" s="10" t="n">
        <v>47</v>
      </c>
      <c r="D104" s="40" t="n">
        <v>46161</v>
      </c>
      <c r="E104" s="10" t="s">
        <v>23</v>
      </c>
      <c r="F104" s="10" t="s">
        <v>548</v>
      </c>
      <c r="G104" s="10" t="s">
        <v>185</v>
      </c>
      <c r="H104" s="10" t="n">
        <f aca="false">COUNTIFS(Datos!$C$2:$C$319,D104,Datos!$D$2:$D$319,E104,Datos!$H$2:$H$319,F104)</f>
        <v>1</v>
      </c>
      <c r="I104" s="10" t="n">
        <f aca="false">SUMIFS(Datos!$M$2:$M$319,Datos!$C$2:$C$319,D104,Datos!$D$2:$D$319,E104,Datos!$H$2:$H$319,F104)</f>
        <v>16</v>
      </c>
      <c r="J104" s="12" t="n">
        <f aca="false">I104/60</f>
        <v>0.266666666666667</v>
      </c>
      <c r="K104" s="10" t="s">
        <v>297</v>
      </c>
      <c r="L104" s="10" t="s">
        <v>538</v>
      </c>
      <c r="M104" s="18" t="s">
        <v>889</v>
      </c>
    </row>
    <row r="105" customFormat="false" ht="15" hidden="false" customHeight="false" outlineLevel="0" collapsed="false">
      <c r="A105" s="1"/>
      <c r="B105" s="10" t="s">
        <v>14</v>
      </c>
      <c r="C105" s="10" t="n">
        <v>47</v>
      </c>
      <c r="D105" s="40" t="n">
        <v>46162</v>
      </c>
      <c r="E105" s="10" t="s">
        <v>24</v>
      </c>
      <c r="F105" s="10" t="s">
        <v>34</v>
      </c>
      <c r="G105" s="10" t="s">
        <v>185</v>
      </c>
      <c r="H105" s="10" t="n">
        <f aca="false">COUNTIFS(Datos!$C$2:$C$319,D105,Datos!$D$2:$D$319,E105,Datos!$H$2:$H$319,F105)</f>
        <v>1</v>
      </c>
      <c r="I105" s="10" t="n">
        <f aca="false">SUMIFS(Datos!$M$2:$M$319,Datos!$C$2:$C$319,D105,Datos!$D$2:$D$319,E105,Datos!$H$2:$H$319,F105)</f>
        <v>16</v>
      </c>
      <c r="J105" s="12" t="n">
        <f aca="false">I105/60</f>
        <v>0.266666666666667</v>
      </c>
      <c r="K105" s="10" t="s">
        <v>301</v>
      </c>
      <c r="L105" s="10" t="s">
        <v>566</v>
      </c>
      <c r="M105" s="18" t="s">
        <v>567</v>
      </c>
    </row>
    <row r="106" customFormat="false" ht="15" hidden="false" customHeight="false" outlineLevel="0" collapsed="false">
      <c r="A106" s="1"/>
      <c r="B106" s="10" t="s">
        <v>14</v>
      </c>
      <c r="C106" s="10" t="n">
        <v>52</v>
      </c>
      <c r="D106" s="40" t="n">
        <v>46154</v>
      </c>
      <c r="E106" s="10" t="s">
        <v>24</v>
      </c>
      <c r="F106" s="10" t="s">
        <v>39</v>
      </c>
      <c r="G106" s="10" t="s">
        <v>185</v>
      </c>
      <c r="H106" s="10" t="n">
        <f aca="false">COUNTIFS(Datos!$C$2:$C$319,D106,Datos!$D$2:$D$319,E106,Datos!$H$2:$H$319,F106)</f>
        <v>1</v>
      </c>
      <c r="I106" s="10" t="n">
        <f aca="false">SUMIFS(Datos!$M$2:$M$319,Datos!$C$2:$C$319,D106,Datos!$D$2:$D$319,E106,Datos!$H$2:$H$319,F106)</f>
        <v>15</v>
      </c>
      <c r="J106" s="12" t="n">
        <f aca="false">I106/60</f>
        <v>0.25</v>
      </c>
      <c r="K106" s="10" t="s">
        <v>491</v>
      </c>
      <c r="L106" s="10" t="s">
        <v>301</v>
      </c>
      <c r="M106" s="18" t="s">
        <v>492</v>
      </c>
    </row>
    <row r="107" customFormat="false" ht="15" hidden="false" customHeight="false" outlineLevel="0" collapsed="false">
      <c r="A107" s="1"/>
      <c r="B107" s="10" t="s">
        <v>14</v>
      </c>
      <c r="C107" s="10" t="n">
        <v>52</v>
      </c>
      <c r="D107" s="40" t="n">
        <v>46161</v>
      </c>
      <c r="E107" s="10" t="s">
        <v>29</v>
      </c>
      <c r="F107" s="10" t="s">
        <v>34</v>
      </c>
      <c r="G107" s="10" t="s">
        <v>258</v>
      </c>
      <c r="H107" s="10" t="n">
        <f aca="false">COUNTIFS(Datos!$C$2:$C$319,D107,Datos!$D$2:$D$319,E107,Datos!$H$2:$H$319,F107)</f>
        <v>1</v>
      </c>
      <c r="I107" s="10" t="n">
        <f aca="false">SUMIFS(Datos!$M$2:$M$319,Datos!$C$2:$C$319,D107,Datos!$D$2:$D$319,E107,Datos!$H$2:$H$319,F107)</f>
        <v>15</v>
      </c>
      <c r="J107" s="12" t="n">
        <f aca="false">I107/60</f>
        <v>0.25</v>
      </c>
      <c r="K107" s="10" t="s">
        <v>561</v>
      </c>
      <c r="L107" s="10" t="s">
        <v>460</v>
      </c>
      <c r="M107" s="18" t="s">
        <v>562</v>
      </c>
    </row>
    <row r="108" customFormat="false" ht="15" hidden="false" customHeight="false" outlineLevel="0" collapsed="false">
      <c r="A108" s="1"/>
      <c r="B108" s="10" t="s">
        <v>14</v>
      </c>
      <c r="C108" s="10" t="n">
        <v>52</v>
      </c>
      <c r="D108" s="40" t="n">
        <v>46164</v>
      </c>
      <c r="E108" s="10" t="s">
        <v>23</v>
      </c>
      <c r="F108" s="10" t="s">
        <v>40</v>
      </c>
      <c r="G108" s="10" t="s">
        <v>185</v>
      </c>
      <c r="H108" s="10" t="n">
        <f aca="false">COUNTIFS(Datos!$C$2:$C$319,D108,Datos!$D$2:$D$319,E108,Datos!$H$2:$H$319,F108)</f>
        <v>1</v>
      </c>
      <c r="I108" s="10" t="n">
        <f aca="false">SUMIFS(Datos!$M$2:$M$319,Datos!$C$2:$C$319,D108,Datos!$D$2:$D$319,E108,Datos!$H$2:$H$319,F108)</f>
        <v>15</v>
      </c>
      <c r="J108" s="12" t="n">
        <f aca="false">I108/60</f>
        <v>0.25</v>
      </c>
      <c r="K108" s="10" t="s">
        <v>587</v>
      </c>
      <c r="L108" s="10" t="s">
        <v>588</v>
      </c>
      <c r="M108" s="18" t="s">
        <v>589</v>
      </c>
    </row>
    <row r="109" customFormat="false" ht="15" hidden="false" customHeight="false" outlineLevel="0" collapsed="false">
      <c r="A109" s="1"/>
      <c r="B109" s="10" t="s">
        <v>14</v>
      </c>
      <c r="C109" s="10" t="n">
        <v>55</v>
      </c>
      <c r="D109" s="40" t="n">
        <v>46157</v>
      </c>
      <c r="E109" s="10" t="s">
        <v>23</v>
      </c>
      <c r="F109" s="10" t="s">
        <v>40</v>
      </c>
      <c r="G109" s="10" t="s">
        <v>185</v>
      </c>
      <c r="H109" s="10" t="n">
        <f aca="false">COUNTIFS(Datos!$C$2:$C$319,D109,Datos!$D$2:$D$319,E109,Datos!$H$2:$H$319,F109)</f>
        <v>1</v>
      </c>
      <c r="I109" s="10" t="n">
        <f aca="false">SUMIFS(Datos!$M$2:$M$319,Datos!$C$2:$C$319,D109,Datos!$D$2:$D$319,E109,Datos!$H$2:$H$319,F109)</f>
        <v>14</v>
      </c>
      <c r="J109" s="12" t="n">
        <f aca="false">I109/60</f>
        <v>0.233333333333333</v>
      </c>
      <c r="K109" s="10" t="s">
        <v>528</v>
      </c>
      <c r="L109" s="10" t="s">
        <v>529</v>
      </c>
      <c r="M109" s="18" t="s">
        <v>889</v>
      </c>
    </row>
    <row r="110" customFormat="false" ht="15" hidden="false" customHeight="false" outlineLevel="0" collapsed="false">
      <c r="A110" s="1"/>
      <c r="B110" s="10" t="s">
        <v>14</v>
      </c>
      <c r="C110" s="10" t="n">
        <v>56</v>
      </c>
      <c r="D110" s="40" t="n">
        <v>46162</v>
      </c>
      <c r="E110" s="10" t="s">
        <v>23</v>
      </c>
      <c r="F110" s="10" t="s">
        <v>563</v>
      </c>
      <c r="G110" s="10" t="s">
        <v>185</v>
      </c>
      <c r="H110" s="10" t="n">
        <f aca="false">COUNTIFS(Datos!$C$2:$C$319,D110,Datos!$D$2:$D$319,E110,Datos!$H$2:$H$319,F110)</f>
        <v>1</v>
      </c>
      <c r="I110" s="10" t="n">
        <f aca="false">SUMIFS(Datos!$M$2:$M$319,Datos!$C$2:$C$319,D110,Datos!$D$2:$D$319,E110,Datos!$H$2:$H$319,F110)</f>
        <v>12</v>
      </c>
      <c r="J110" s="12" t="n">
        <f aca="false">I110/60</f>
        <v>0.2</v>
      </c>
      <c r="K110" s="10" t="s">
        <v>191</v>
      </c>
      <c r="L110" s="10" t="s">
        <v>565</v>
      </c>
      <c r="M110" s="18" t="s">
        <v>518</v>
      </c>
    </row>
    <row r="111" customFormat="false" ht="15" hidden="false" customHeight="false" outlineLevel="0" collapsed="false">
      <c r="A111" s="1"/>
      <c r="B111" s="10" t="s">
        <v>14</v>
      </c>
      <c r="C111" s="10" t="n">
        <v>57</v>
      </c>
      <c r="D111" s="40" t="n">
        <v>46164</v>
      </c>
      <c r="E111" s="10" t="s">
        <v>23</v>
      </c>
      <c r="F111" s="10" t="s">
        <v>485</v>
      </c>
      <c r="G111" s="10" t="s">
        <v>185</v>
      </c>
      <c r="H111" s="10" t="n">
        <f aca="false">COUNTIFS(Datos!$C$2:$C$319,D111,Datos!$D$2:$D$319,E111,Datos!$H$2:$H$319,F111)</f>
        <v>1</v>
      </c>
      <c r="I111" s="10" t="n">
        <f aca="false">SUMIFS(Datos!$M$2:$M$319,Datos!$C$2:$C$319,D111,Datos!$D$2:$D$319,E111,Datos!$H$2:$H$319,F111)</f>
        <v>10</v>
      </c>
      <c r="J111" s="12" t="n">
        <f aca="false">I111/60</f>
        <v>0.166666666666667</v>
      </c>
      <c r="K111" s="10" t="s">
        <v>255</v>
      </c>
      <c r="L111" s="10" t="s">
        <v>190</v>
      </c>
      <c r="M111" s="18" t="s">
        <v>586</v>
      </c>
    </row>
    <row r="112" customFormat="false" ht="15" hidden="false" customHeight="false" outlineLevel="0" collapsed="false">
      <c r="A112" s="1"/>
      <c r="B112" s="10" t="s">
        <v>15</v>
      </c>
      <c r="C112" s="10" t="n">
        <v>1</v>
      </c>
      <c r="D112" s="40" t="n">
        <v>46184</v>
      </c>
      <c r="E112" s="10" t="s">
        <v>23</v>
      </c>
      <c r="F112" s="10" t="s">
        <v>36</v>
      </c>
      <c r="G112" s="10" t="s">
        <v>185</v>
      </c>
      <c r="H112" s="10" t="n">
        <f aca="false">COUNTIFS(Datos!$C$2:$C$319,D112,Datos!$D$2:$D$319,E112,Datos!$H$2:$H$319,F112)</f>
        <v>1</v>
      </c>
      <c r="I112" s="10" t="n">
        <f aca="false">SUMIFS(Datos!$M$2:$M$319,Datos!$C$2:$C$319,D112,Datos!$D$2:$D$319,E112,Datos!$H$2:$H$319,F112)</f>
        <v>440</v>
      </c>
      <c r="J112" s="12" t="n">
        <f aca="false">I112/60</f>
        <v>7.33333333333333</v>
      </c>
      <c r="K112" s="10" t="s">
        <v>402</v>
      </c>
      <c r="L112" s="10" t="s">
        <v>256</v>
      </c>
      <c r="M112" s="18" t="s">
        <v>693</v>
      </c>
    </row>
    <row r="113" customFormat="false" ht="15" hidden="false" customHeight="false" outlineLevel="0" collapsed="false">
      <c r="A113" s="1"/>
      <c r="B113" s="10" t="s">
        <v>15</v>
      </c>
      <c r="C113" s="10" t="n">
        <v>2</v>
      </c>
      <c r="D113" s="40" t="n">
        <v>46193</v>
      </c>
      <c r="E113" s="10" t="s">
        <v>20</v>
      </c>
      <c r="F113" s="10" t="s">
        <v>34</v>
      </c>
      <c r="G113" s="10" t="s">
        <v>185</v>
      </c>
      <c r="H113" s="10" t="n">
        <f aca="false">COUNTIFS(Datos!$C$2:$C$319,D113,Datos!$D$2:$D$319,E113,Datos!$H$2:$H$319,F113)</f>
        <v>7</v>
      </c>
      <c r="I113" s="10" t="n">
        <f aca="false">SUMIFS(Datos!$M$2:$M$319,Datos!$C$2:$C$319,D113,Datos!$D$2:$D$319,E113,Datos!$H$2:$H$319,F113)</f>
        <v>334</v>
      </c>
      <c r="J113" s="12" t="n">
        <f aca="false">I113/60</f>
        <v>5.56666666666667</v>
      </c>
      <c r="K113" s="10" t="s">
        <v>726</v>
      </c>
      <c r="L113" s="10" t="s">
        <v>199</v>
      </c>
      <c r="M113" s="18" t="s">
        <v>910</v>
      </c>
    </row>
    <row r="114" customFormat="false" ht="23.85" hidden="false" customHeight="false" outlineLevel="0" collapsed="false">
      <c r="A114" s="1"/>
      <c r="B114" s="10" t="s">
        <v>15</v>
      </c>
      <c r="C114" s="10" t="n">
        <v>3</v>
      </c>
      <c r="D114" s="40" t="n">
        <v>46198</v>
      </c>
      <c r="E114" s="10" t="s">
        <v>26</v>
      </c>
      <c r="F114" s="10" t="s">
        <v>34</v>
      </c>
      <c r="G114" s="10" t="s">
        <v>899</v>
      </c>
      <c r="H114" s="10" t="n">
        <f aca="false">COUNTIFS(Datos!$C$2:$C$319,D114,Datos!$D$2:$D$319,E114,Datos!$H$2:$H$319,F114)</f>
        <v>7</v>
      </c>
      <c r="I114" s="10" t="n">
        <f aca="false">SUMIFS(Datos!$M$2:$M$319,Datos!$C$2:$C$319,D114,Datos!$D$2:$D$319,E114,Datos!$H$2:$H$319,F114)</f>
        <v>230</v>
      </c>
      <c r="J114" s="12" t="n">
        <f aca="false">I114/60</f>
        <v>3.83333333333333</v>
      </c>
      <c r="K114" s="10" t="s">
        <v>228</v>
      </c>
      <c r="L114" s="10" t="s">
        <v>748</v>
      </c>
      <c r="M114" s="18" t="s">
        <v>911</v>
      </c>
    </row>
    <row r="115" customFormat="false" ht="15" hidden="false" customHeight="false" outlineLevel="0" collapsed="false">
      <c r="A115" s="1"/>
      <c r="B115" s="10" t="s">
        <v>15</v>
      </c>
      <c r="C115" s="10" t="n">
        <v>4</v>
      </c>
      <c r="D115" s="40" t="n">
        <v>46183</v>
      </c>
      <c r="E115" s="10" t="s">
        <v>27</v>
      </c>
      <c r="F115" s="10" t="s">
        <v>38</v>
      </c>
      <c r="G115" s="10" t="s">
        <v>185</v>
      </c>
      <c r="H115" s="10" t="n">
        <f aca="false">COUNTIFS(Datos!$C$2:$C$319,D115,Datos!$D$2:$D$319,E115,Datos!$H$2:$H$319,F115)</f>
        <v>3</v>
      </c>
      <c r="I115" s="10" t="n">
        <f aca="false">SUMIFS(Datos!$M$2:$M$319,Datos!$C$2:$C$319,D115,Datos!$D$2:$D$319,E115,Datos!$H$2:$H$319,F115)</f>
        <v>180</v>
      </c>
      <c r="J115" s="12" t="n">
        <f aca="false">I115/60</f>
        <v>3</v>
      </c>
      <c r="K115" s="10" t="s">
        <v>228</v>
      </c>
      <c r="L115" s="10" t="s">
        <v>256</v>
      </c>
      <c r="M115" s="18" t="s">
        <v>912</v>
      </c>
    </row>
    <row r="116" customFormat="false" ht="15" hidden="false" customHeight="false" outlineLevel="0" collapsed="false">
      <c r="A116" s="1"/>
      <c r="B116" s="10" t="s">
        <v>15</v>
      </c>
      <c r="C116" s="10" t="n">
        <v>5</v>
      </c>
      <c r="D116" s="40" t="n">
        <v>46190</v>
      </c>
      <c r="E116" s="10" t="s">
        <v>20</v>
      </c>
      <c r="F116" s="10" t="s">
        <v>34</v>
      </c>
      <c r="G116" s="10" t="s">
        <v>185</v>
      </c>
      <c r="H116" s="10" t="n">
        <f aca="false">COUNTIFS(Datos!$C$2:$C$319,D116,Datos!$D$2:$D$319,E116,Datos!$H$2:$H$319,F116)</f>
        <v>3</v>
      </c>
      <c r="I116" s="10" t="n">
        <f aca="false">SUMIFS(Datos!$M$2:$M$319,Datos!$C$2:$C$319,D116,Datos!$D$2:$D$319,E116,Datos!$H$2:$H$319,F116)</f>
        <v>170</v>
      </c>
      <c r="J116" s="12" t="n">
        <f aca="false">I116/60</f>
        <v>2.83333333333333</v>
      </c>
      <c r="K116" s="10" t="s">
        <v>255</v>
      </c>
      <c r="L116" s="10" t="s">
        <v>223</v>
      </c>
      <c r="M116" s="18" t="s">
        <v>553</v>
      </c>
    </row>
    <row r="117" customFormat="false" ht="15" hidden="false" customHeight="false" outlineLevel="0" collapsed="false">
      <c r="A117" s="1"/>
      <c r="B117" s="10" t="s">
        <v>15</v>
      </c>
      <c r="C117" s="10" t="n">
        <v>6</v>
      </c>
      <c r="D117" s="40" t="n">
        <v>46189</v>
      </c>
      <c r="E117" s="10" t="s">
        <v>20</v>
      </c>
      <c r="F117" s="10" t="s">
        <v>34</v>
      </c>
      <c r="G117" s="10" t="s">
        <v>185</v>
      </c>
      <c r="H117" s="10" t="n">
        <f aca="false">COUNTIFS(Datos!$C$2:$C$319,D117,Datos!$D$2:$D$319,E117,Datos!$H$2:$H$319,F117)</f>
        <v>3</v>
      </c>
      <c r="I117" s="10" t="n">
        <f aca="false">SUMIFS(Datos!$M$2:$M$319,Datos!$C$2:$C$319,D117,Datos!$D$2:$D$319,E117,Datos!$H$2:$H$319,F117)</f>
        <v>150</v>
      </c>
      <c r="J117" s="12" t="n">
        <f aca="false">I117/60</f>
        <v>2.5</v>
      </c>
      <c r="K117" s="10" t="s">
        <v>223</v>
      </c>
      <c r="L117" s="10" t="s">
        <v>199</v>
      </c>
      <c r="M117" s="18" t="s">
        <v>913</v>
      </c>
    </row>
    <row r="118" customFormat="false" ht="15" hidden="false" customHeight="false" outlineLevel="0" collapsed="false">
      <c r="A118" s="1"/>
      <c r="B118" s="10" t="s">
        <v>15</v>
      </c>
      <c r="C118" s="10" t="n">
        <v>7</v>
      </c>
      <c r="D118" s="40" t="n">
        <v>46174</v>
      </c>
      <c r="E118" s="10" t="s">
        <v>21</v>
      </c>
      <c r="F118" s="10" t="s">
        <v>650</v>
      </c>
      <c r="G118" s="10" t="s">
        <v>185</v>
      </c>
      <c r="H118" s="10" t="n">
        <f aca="false">COUNTIFS(Datos!$C$2:$C$319,D118,Datos!$D$2:$D$319,E118,Datos!$H$2:$H$319,F118)</f>
        <v>2</v>
      </c>
      <c r="I118" s="10" t="n">
        <f aca="false">SUMIFS(Datos!$M$2:$M$319,Datos!$C$2:$C$319,D118,Datos!$D$2:$D$319,E118,Datos!$H$2:$H$319,F118)</f>
        <v>120</v>
      </c>
      <c r="J118" s="12" t="n">
        <f aca="false">I118/60</f>
        <v>2</v>
      </c>
      <c r="K118" s="10" t="s">
        <v>255</v>
      </c>
      <c r="L118" s="10" t="s">
        <v>295</v>
      </c>
      <c r="M118" s="18" t="s">
        <v>914</v>
      </c>
    </row>
    <row r="119" customFormat="false" ht="15" hidden="false" customHeight="false" outlineLevel="0" collapsed="false">
      <c r="A119" s="1"/>
      <c r="B119" s="10" t="s">
        <v>15</v>
      </c>
      <c r="C119" s="10" t="n">
        <v>7</v>
      </c>
      <c r="D119" s="40" t="n">
        <v>46192</v>
      </c>
      <c r="E119" s="10" t="s">
        <v>20</v>
      </c>
      <c r="F119" s="10" t="s">
        <v>34</v>
      </c>
      <c r="G119" s="10" t="s">
        <v>185</v>
      </c>
      <c r="H119" s="10" t="n">
        <f aca="false">COUNTIFS(Datos!$C$2:$C$319,D119,Datos!$D$2:$D$319,E119,Datos!$H$2:$H$319,F119)</f>
        <v>2</v>
      </c>
      <c r="I119" s="10" t="n">
        <f aca="false">SUMIFS(Datos!$M$2:$M$319,Datos!$C$2:$C$319,D119,Datos!$D$2:$D$319,E119,Datos!$H$2:$H$319,F119)</f>
        <v>120</v>
      </c>
      <c r="J119" s="12" t="n">
        <f aca="false">I119/60</f>
        <v>2</v>
      </c>
      <c r="K119" s="10" t="s">
        <v>255</v>
      </c>
      <c r="L119" s="10" t="s">
        <v>295</v>
      </c>
      <c r="M119" s="18" t="s">
        <v>553</v>
      </c>
    </row>
    <row r="120" customFormat="false" ht="15" hidden="false" customHeight="false" outlineLevel="0" collapsed="false">
      <c r="A120" s="1"/>
      <c r="B120" s="10" t="s">
        <v>15</v>
      </c>
      <c r="C120" s="10" t="n">
        <v>9</v>
      </c>
      <c r="D120" s="40" t="n">
        <v>46175</v>
      </c>
      <c r="E120" s="10" t="s">
        <v>21</v>
      </c>
      <c r="F120" s="10" t="s">
        <v>42</v>
      </c>
      <c r="G120" s="10" t="s">
        <v>185</v>
      </c>
      <c r="H120" s="10" t="n">
        <f aca="false">COUNTIFS(Datos!$C$2:$C$319,D120,Datos!$D$2:$D$319,E120,Datos!$H$2:$H$319,F120)</f>
        <v>2</v>
      </c>
      <c r="I120" s="10" t="n">
        <f aca="false">SUMIFS(Datos!$M$2:$M$319,Datos!$C$2:$C$319,D120,Datos!$D$2:$D$319,E120,Datos!$H$2:$H$319,F120)</f>
        <v>110</v>
      </c>
      <c r="J120" s="12" t="n">
        <f aca="false">I120/60</f>
        <v>1.83333333333333</v>
      </c>
      <c r="K120" s="10" t="s">
        <v>191</v>
      </c>
      <c r="L120" s="10" t="s">
        <v>223</v>
      </c>
      <c r="M120" s="18" t="s">
        <v>915</v>
      </c>
    </row>
    <row r="121" customFormat="false" ht="23.85" hidden="false" customHeight="false" outlineLevel="0" collapsed="false">
      <c r="A121" s="1"/>
      <c r="B121" s="10" t="s">
        <v>15</v>
      </c>
      <c r="C121" s="10" t="n">
        <v>10</v>
      </c>
      <c r="D121" s="40" t="n">
        <v>46199</v>
      </c>
      <c r="E121" s="10" t="s">
        <v>22</v>
      </c>
      <c r="F121" s="10" t="s">
        <v>34</v>
      </c>
      <c r="G121" s="10" t="s">
        <v>185</v>
      </c>
      <c r="H121" s="10" t="n">
        <f aca="false">COUNTIFS(Datos!$C$2:$C$319,D121,Datos!$D$2:$D$319,E121,Datos!$H$2:$H$319,F121)</f>
        <v>3</v>
      </c>
      <c r="I121" s="10" t="n">
        <f aca="false">SUMIFS(Datos!$M$2:$M$319,Datos!$C$2:$C$319,D121,Datos!$D$2:$D$319,E121,Datos!$H$2:$H$319,F121)</f>
        <v>94</v>
      </c>
      <c r="J121" s="12" t="n">
        <f aca="false">I121/60</f>
        <v>1.56666666666667</v>
      </c>
      <c r="K121" s="10" t="s">
        <v>753</v>
      </c>
      <c r="L121" s="10" t="s">
        <v>758</v>
      </c>
      <c r="M121" s="18" t="s">
        <v>916</v>
      </c>
    </row>
    <row r="122" customFormat="false" ht="15" hidden="false" customHeight="false" outlineLevel="0" collapsed="false">
      <c r="A122" s="1"/>
      <c r="B122" s="10" t="s">
        <v>15</v>
      </c>
      <c r="C122" s="10" t="n">
        <v>11</v>
      </c>
      <c r="D122" s="40" t="n">
        <v>46196</v>
      </c>
      <c r="E122" s="10" t="s">
        <v>25</v>
      </c>
      <c r="F122" s="10" t="s">
        <v>38</v>
      </c>
      <c r="G122" s="10" t="s">
        <v>185</v>
      </c>
      <c r="H122" s="10" t="n">
        <f aca="false">COUNTIFS(Datos!$C$2:$C$319,D122,Datos!$D$2:$D$319,E122,Datos!$H$2:$H$319,F122)</f>
        <v>2</v>
      </c>
      <c r="I122" s="10" t="n">
        <f aca="false">SUMIFS(Datos!$M$2:$M$319,Datos!$C$2:$C$319,D122,Datos!$D$2:$D$319,E122,Datos!$H$2:$H$319,F122)</f>
        <v>90</v>
      </c>
      <c r="J122" s="12" t="n">
        <f aca="false">I122/60</f>
        <v>1.5</v>
      </c>
      <c r="K122" s="10" t="s">
        <v>210</v>
      </c>
      <c r="L122" s="10" t="s">
        <v>731</v>
      </c>
      <c r="M122" s="18" t="s">
        <v>917</v>
      </c>
    </row>
    <row r="123" customFormat="false" ht="23.85" hidden="false" customHeight="false" outlineLevel="0" collapsed="false">
      <c r="A123" s="1"/>
      <c r="B123" s="10" t="s">
        <v>15</v>
      </c>
      <c r="C123" s="10" t="n">
        <v>12</v>
      </c>
      <c r="D123" s="40" t="n">
        <v>46184</v>
      </c>
      <c r="E123" s="10" t="s">
        <v>29</v>
      </c>
      <c r="F123" s="10" t="s">
        <v>34</v>
      </c>
      <c r="G123" s="10" t="s">
        <v>185</v>
      </c>
      <c r="H123" s="10" t="n">
        <f aca="false">COUNTIFS(Datos!$C$2:$C$319,D123,Datos!$D$2:$D$319,E123,Datos!$H$2:$H$319,F123)</f>
        <v>3</v>
      </c>
      <c r="I123" s="10" t="n">
        <f aca="false">SUMIFS(Datos!$M$2:$M$319,Datos!$C$2:$C$319,D123,Datos!$D$2:$D$319,E123,Datos!$H$2:$H$319,F123)</f>
        <v>70</v>
      </c>
      <c r="J123" s="12" t="n">
        <f aca="false">I123/60</f>
        <v>1.16666666666667</v>
      </c>
      <c r="K123" s="10" t="s">
        <v>361</v>
      </c>
      <c r="L123" s="10" t="s">
        <v>588</v>
      </c>
      <c r="M123" s="18" t="s">
        <v>918</v>
      </c>
    </row>
    <row r="124" customFormat="false" ht="15" hidden="false" customHeight="false" outlineLevel="0" collapsed="false">
      <c r="A124" s="1"/>
      <c r="B124" s="10" t="s">
        <v>15</v>
      </c>
      <c r="C124" s="10" t="n">
        <v>13</v>
      </c>
      <c r="D124" s="40" t="n">
        <v>46186</v>
      </c>
      <c r="E124" s="10" t="s">
        <v>21</v>
      </c>
      <c r="F124" s="10" t="s">
        <v>34</v>
      </c>
      <c r="G124" s="10" t="s">
        <v>258</v>
      </c>
      <c r="H124" s="10" t="n">
        <f aca="false">COUNTIFS(Datos!$C$2:$C$319,D124,Datos!$D$2:$D$319,E124,Datos!$H$2:$H$319,F124)</f>
        <v>2</v>
      </c>
      <c r="I124" s="10" t="n">
        <f aca="false">SUMIFS(Datos!$M$2:$M$319,Datos!$C$2:$C$319,D124,Datos!$D$2:$D$319,E124,Datos!$H$2:$H$319,F124)</f>
        <v>62</v>
      </c>
      <c r="J124" s="12" t="n">
        <f aca="false">I124/60</f>
        <v>1.03333333333333</v>
      </c>
      <c r="K124" s="10" t="s">
        <v>702</v>
      </c>
      <c r="L124" s="10" t="s">
        <v>332</v>
      </c>
      <c r="M124" s="18" t="s">
        <v>919</v>
      </c>
    </row>
    <row r="125" customFormat="false" ht="15" hidden="false" customHeight="false" outlineLevel="0" collapsed="false">
      <c r="A125" s="1"/>
      <c r="B125" s="10" t="s">
        <v>15</v>
      </c>
      <c r="C125" s="10" t="n">
        <v>14</v>
      </c>
      <c r="D125" s="40" t="n">
        <v>46179</v>
      </c>
      <c r="E125" s="10" t="s">
        <v>29</v>
      </c>
      <c r="F125" s="10" t="s">
        <v>34</v>
      </c>
      <c r="G125" s="10" t="s">
        <v>185</v>
      </c>
      <c r="H125" s="10" t="n">
        <f aca="false">COUNTIFS(Datos!$C$2:$C$319,D125,Datos!$D$2:$D$319,E125,Datos!$H$2:$H$319,F125)</f>
        <v>2</v>
      </c>
      <c r="I125" s="10" t="n">
        <f aca="false">SUMIFS(Datos!$M$2:$M$319,Datos!$C$2:$C$319,D125,Datos!$D$2:$D$319,E125,Datos!$H$2:$H$319,F125)</f>
        <v>60</v>
      </c>
      <c r="J125" s="12" t="n">
        <f aca="false">I125/60</f>
        <v>1</v>
      </c>
      <c r="K125" s="10" t="s">
        <v>361</v>
      </c>
      <c r="L125" s="10" t="s">
        <v>537</v>
      </c>
      <c r="M125" s="18" t="s">
        <v>920</v>
      </c>
    </row>
    <row r="126" customFormat="false" ht="15" hidden="false" customHeight="false" outlineLevel="0" collapsed="false">
      <c r="A126" s="1"/>
      <c r="B126" s="10" t="s">
        <v>15</v>
      </c>
      <c r="C126" s="10" t="n">
        <v>15</v>
      </c>
      <c r="D126" s="40" t="n">
        <v>46183</v>
      </c>
      <c r="E126" s="10" t="s">
        <v>23</v>
      </c>
      <c r="F126" s="10" t="s">
        <v>36</v>
      </c>
      <c r="G126" s="10" t="s">
        <v>258</v>
      </c>
      <c r="H126" s="10" t="n">
        <f aca="false">COUNTIFS(Datos!$C$2:$C$319,D126,Datos!$D$2:$D$319,E126,Datos!$H$2:$H$319,F126)</f>
        <v>1</v>
      </c>
      <c r="I126" s="10" t="n">
        <f aca="false">SUMIFS(Datos!$M$2:$M$319,Datos!$C$2:$C$319,D126,Datos!$D$2:$D$319,E126,Datos!$H$2:$H$319,F126)</f>
        <v>58</v>
      </c>
      <c r="J126" s="12" t="n">
        <f aca="false">I126/60</f>
        <v>0.966666666666667</v>
      </c>
      <c r="K126" s="10" t="s">
        <v>686</v>
      </c>
      <c r="L126" s="10" t="s">
        <v>461</v>
      </c>
      <c r="M126" s="18" t="s">
        <v>687</v>
      </c>
    </row>
    <row r="127" customFormat="false" ht="15" hidden="false" customHeight="false" outlineLevel="0" collapsed="false">
      <c r="A127" s="1"/>
      <c r="B127" s="10" t="s">
        <v>15</v>
      </c>
      <c r="C127" s="10" t="n">
        <v>16</v>
      </c>
      <c r="D127" s="40" t="n">
        <v>46176</v>
      </c>
      <c r="E127" s="10" t="s">
        <v>29</v>
      </c>
      <c r="F127" s="10" t="s">
        <v>34</v>
      </c>
      <c r="G127" s="10" t="s">
        <v>899</v>
      </c>
      <c r="H127" s="10" t="n">
        <f aca="false">COUNTIFS(Datos!$C$2:$C$319,D127,Datos!$D$2:$D$319,E127,Datos!$H$2:$H$319,F127)</f>
        <v>3</v>
      </c>
      <c r="I127" s="10" t="n">
        <f aca="false">SUMIFS(Datos!$M$2:$M$319,Datos!$C$2:$C$319,D127,Datos!$D$2:$D$319,E127,Datos!$H$2:$H$319,F127)</f>
        <v>57</v>
      </c>
      <c r="J127" s="12" t="n">
        <f aca="false">I127/60</f>
        <v>0.95</v>
      </c>
      <c r="K127" s="10" t="s">
        <v>662</v>
      </c>
      <c r="L127" s="10" t="s">
        <v>578</v>
      </c>
      <c r="M127" s="18" t="s">
        <v>921</v>
      </c>
    </row>
    <row r="128" customFormat="false" ht="15" hidden="false" customHeight="false" outlineLevel="0" collapsed="false">
      <c r="A128" s="1"/>
      <c r="B128" s="10" t="s">
        <v>15</v>
      </c>
      <c r="C128" s="10" t="n">
        <v>17</v>
      </c>
      <c r="D128" s="40" t="n">
        <v>46191</v>
      </c>
      <c r="E128" s="10" t="s">
        <v>21</v>
      </c>
      <c r="F128" s="10" t="s">
        <v>34</v>
      </c>
      <c r="G128" s="10" t="s">
        <v>185</v>
      </c>
      <c r="H128" s="10" t="n">
        <f aca="false">COUNTIFS(Datos!$C$2:$C$319,D128,Datos!$D$2:$D$319,E128,Datos!$H$2:$H$319,F128)</f>
        <v>2</v>
      </c>
      <c r="I128" s="10" t="n">
        <f aca="false">SUMIFS(Datos!$M$2:$M$319,Datos!$C$2:$C$319,D128,Datos!$D$2:$D$319,E128,Datos!$H$2:$H$319,F128)</f>
        <v>50</v>
      </c>
      <c r="J128" s="12" t="n">
        <f aca="false">I128/60</f>
        <v>0.833333333333333</v>
      </c>
      <c r="K128" s="10" t="s">
        <v>717</v>
      </c>
      <c r="L128" s="10" t="s">
        <v>295</v>
      </c>
      <c r="M128" s="18" t="s">
        <v>922</v>
      </c>
    </row>
    <row r="129" customFormat="false" ht="15" hidden="false" customHeight="false" outlineLevel="0" collapsed="false">
      <c r="A129" s="1"/>
      <c r="B129" s="10" t="s">
        <v>15</v>
      </c>
      <c r="C129" s="10" t="n">
        <v>18</v>
      </c>
      <c r="D129" s="40" t="n">
        <v>46192</v>
      </c>
      <c r="E129" s="10" t="s">
        <v>30</v>
      </c>
      <c r="F129" s="10" t="s">
        <v>34</v>
      </c>
      <c r="G129" s="10" t="s">
        <v>185</v>
      </c>
      <c r="H129" s="10" t="n">
        <f aca="false">COUNTIFS(Datos!$C$2:$C$319,D129,Datos!$D$2:$D$319,E129,Datos!$H$2:$H$319,F129)</f>
        <v>1</v>
      </c>
      <c r="I129" s="10" t="n">
        <f aca="false">SUMIFS(Datos!$M$2:$M$319,Datos!$C$2:$C$319,D129,Datos!$D$2:$D$319,E129,Datos!$H$2:$H$319,F129)</f>
        <v>42</v>
      </c>
      <c r="J129" s="12" t="n">
        <f aca="false">I129/60</f>
        <v>0.7</v>
      </c>
      <c r="K129" s="10" t="s">
        <v>724</v>
      </c>
      <c r="L129" s="10" t="s">
        <v>226</v>
      </c>
      <c r="M129" s="18" t="s">
        <v>725</v>
      </c>
    </row>
    <row r="130" customFormat="false" ht="15" hidden="false" customHeight="false" outlineLevel="0" collapsed="false">
      <c r="A130" s="1"/>
      <c r="B130" s="10" t="s">
        <v>15</v>
      </c>
      <c r="C130" s="10" t="n">
        <v>19</v>
      </c>
      <c r="D130" s="40" t="n">
        <v>46183</v>
      </c>
      <c r="E130" s="10" t="s">
        <v>21</v>
      </c>
      <c r="F130" s="10" t="s">
        <v>34</v>
      </c>
      <c r="G130" s="10" t="s">
        <v>258</v>
      </c>
      <c r="H130" s="10" t="n">
        <f aca="false">COUNTIFS(Datos!$C$2:$C$319,D130,Datos!$D$2:$D$319,E130,Datos!$H$2:$H$319,F130)</f>
        <v>1</v>
      </c>
      <c r="I130" s="10" t="n">
        <f aca="false">SUMIFS(Datos!$M$2:$M$319,Datos!$C$2:$C$319,D130,Datos!$D$2:$D$319,E130,Datos!$H$2:$H$319,F130)</f>
        <v>35</v>
      </c>
      <c r="J130" s="12" t="n">
        <f aca="false">I130/60</f>
        <v>0.583333333333333</v>
      </c>
      <c r="K130" s="10" t="s">
        <v>688</v>
      </c>
      <c r="L130" s="10" t="s">
        <v>461</v>
      </c>
      <c r="M130" s="18" t="s">
        <v>689</v>
      </c>
    </row>
    <row r="131" customFormat="false" ht="15" hidden="false" customHeight="false" outlineLevel="0" collapsed="false">
      <c r="A131" s="1"/>
      <c r="B131" s="10" t="s">
        <v>15</v>
      </c>
      <c r="C131" s="10" t="n">
        <v>19</v>
      </c>
      <c r="D131" s="40" t="n">
        <v>46184</v>
      </c>
      <c r="E131" s="10" t="s">
        <v>27</v>
      </c>
      <c r="F131" s="10" t="s">
        <v>406</v>
      </c>
      <c r="G131" s="10" t="s">
        <v>258</v>
      </c>
      <c r="H131" s="10" t="n">
        <f aca="false">COUNTIFS(Datos!$C$2:$C$319,D131,Datos!$D$2:$D$319,E131,Datos!$H$2:$H$319,F131)</f>
        <v>1</v>
      </c>
      <c r="I131" s="10" t="n">
        <f aca="false">SUMIFS(Datos!$M$2:$M$319,Datos!$C$2:$C$319,D131,Datos!$D$2:$D$319,E131,Datos!$H$2:$H$319,F131)</f>
        <v>35</v>
      </c>
      <c r="J131" s="12" t="n">
        <f aca="false">I131/60</f>
        <v>0.583333333333333</v>
      </c>
      <c r="K131" s="10" t="s">
        <v>694</v>
      </c>
      <c r="L131" s="10" t="s">
        <v>395</v>
      </c>
      <c r="M131" s="18" t="s">
        <v>695</v>
      </c>
    </row>
    <row r="132" customFormat="false" ht="15" hidden="false" customHeight="false" outlineLevel="0" collapsed="false">
      <c r="A132" s="1"/>
      <c r="B132" s="10" t="s">
        <v>15</v>
      </c>
      <c r="C132" s="10" t="n">
        <v>19</v>
      </c>
      <c r="D132" s="40" t="n">
        <v>46190</v>
      </c>
      <c r="E132" s="10" t="s">
        <v>21</v>
      </c>
      <c r="F132" s="10" t="s">
        <v>707</v>
      </c>
      <c r="G132" s="10" t="s">
        <v>185</v>
      </c>
      <c r="H132" s="10" t="n">
        <f aca="false">COUNTIFS(Datos!$C$2:$C$319,D132,Datos!$D$2:$D$319,E132,Datos!$H$2:$H$319,F132)</f>
        <v>3</v>
      </c>
      <c r="I132" s="10" t="n">
        <f aca="false">SUMIFS(Datos!$M$2:$M$319,Datos!$C$2:$C$319,D132,Datos!$D$2:$D$319,E132,Datos!$H$2:$H$319,F132)</f>
        <v>35</v>
      </c>
      <c r="J132" s="12" t="n">
        <f aca="false">I132/60</f>
        <v>0.583333333333333</v>
      </c>
      <c r="K132" s="10" t="s">
        <v>710</v>
      </c>
      <c r="L132" s="10" t="s">
        <v>715</v>
      </c>
      <c r="M132" s="18" t="s">
        <v>923</v>
      </c>
    </row>
    <row r="133" customFormat="false" ht="15" hidden="false" customHeight="false" outlineLevel="0" collapsed="false">
      <c r="A133" s="1"/>
      <c r="B133" s="10" t="s">
        <v>15</v>
      </c>
      <c r="C133" s="10" t="n">
        <v>19</v>
      </c>
      <c r="D133" s="40" t="n">
        <v>46198</v>
      </c>
      <c r="E133" s="10" t="s">
        <v>24</v>
      </c>
      <c r="F133" s="10" t="s">
        <v>39</v>
      </c>
      <c r="G133" s="10" t="s">
        <v>258</v>
      </c>
      <c r="H133" s="10" t="n">
        <f aca="false">COUNTIFS(Datos!$C$2:$C$319,D133,Datos!$D$2:$D$319,E133,Datos!$H$2:$H$319,F133)</f>
        <v>1</v>
      </c>
      <c r="I133" s="10" t="n">
        <f aca="false">SUMIFS(Datos!$M$2:$M$319,Datos!$C$2:$C$319,D133,Datos!$D$2:$D$319,E133,Datos!$H$2:$H$319,F133)</f>
        <v>35</v>
      </c>
      <c r="J133" s="12" t="n">
        <f aca="false">I133/60</f>
        <v>0.583333333333333</v>
      </c>
      <c r="K133" s="10" t="s">
        <v>465</v>
      </c>
      <c r="L133" s="10" t="s">
        <v>332</v>
      </c>
      <c r="M133" s="18" t="s">
        <v>744</v>
      </c>
    </row>
    <row r="134" customFormat="false" ht="15" hidden="false" customHeight="false" outlineLevel="0" collapsed="false">
      <c r="A134" s="1"/>
      <c r="B134" s="10" t="s">
        <v>15</v>
      </c>
      <c r="C134" s="10" t="n">
        <v>23</v>
      </c>
      <c r="D134" s="40" t="n">
        <v>46175</v>
      </c>
      <c r="E134" s="10" t="s">
        <v>29</v>
      </c>
      <c r="F134" s="10" t="s">
        <v>34</v>
      </c>
      <c r="G134" s="10" t="s">
        <v>185</v>
      </c>
      <c r="H134" s="10" t="n">
        <f aca="false">COUNTIFS(Datos!$C$2:$C$319,D134,Datos!$D$2:$D$319,E134,Datos!$H$2:$H$319,F134)</f>
        <v>1</v>
      </c>
      <c r="I134" s="10" t="n">
        <f aca="false">SUMIFS(Datos!$M$2:$M$319,Datos!$C$2:$C$319,D134,Datos!$D$2:$D$319,E134,Datos!$H$2:$H$319,F134)</f>
        <v>33</v>
      </c>
      <c r="J134" s="12" t="n">
        <f aca="false">I134/60</f>
        <v>0.55</v>
      </c>
      <c r="K134" s="10" t="s">
        <v>191</v>
      </c>
      <c r="L134" s="10" t="s">
        <v>656</v>
      </c>
      <c r="M134" s="18" t="s">
        <v>657</v>
      </c>
    </row>
    <row r="135" customFormat="false" ht="15" hidden="false" customHeight="false" outlineLevel="0" collapsed="false">
      <c r="A135" s="1"/>
      <c r="B135" s="10" t="s">
        <v>15</v>
      </c>
      <c r="C135" s="10" t="n">
        <v>23</v>
      </c>
      <c r="D135" s="40" t="n">
        <v>46185</v>
      </c>
      <c r="E135" s="10" t="s">
        <v>22</v>
      </c>
      <c r="F135" s="10" t="s">
        <v>40</v>
      </c>
      <c r="G135" s="10" t="s">
        <v>185</v>
      </c>
      <c r="H135" s="10" t="n">
        <f aca="false">COUNTIFS(Datos!$C$2:$C$319,D135,Datos!$D$2:$D$319,E135,Datos!$H$2:$H$319,F135)</f>
        <v>2</v>
      </c>
      <c r="I135" s="10" t="n">
        <f aca="false">SUMIFS(Datos!$M$2:$M$319,Datos!$C$2:$C$319,D135,Datos!$D$2:$D$319,E135,Datos!$H$2:$H$319,F135)</f>
        <v>33</v>
      </c>
      <c r="J135" s="12" t="n">
        <f aca="false">I135/60</f>
        <v>0.55</v>
      </c>
      <c r="K135" s="10" t="s">
        <v>699</v>
      </c>
      <c r="L135" s="10" t="s">
        <v>670</v>
      </c>
      <c r="M135" s="18" t="s">
        <v>924</v>
      </c>
    </row>
    <row r="136" customFormat="false" ht="15" hidden="false" customHeight="false" outlineLevel="0" collapsed="false">
      <c r="A136" s="1"/>
      <c r="B136" s="10" t="s">
        <v>15</v>
      </c>
      <c r="C136" s="10" t="n">
        <v>25</v>
      </c>
      <c r="D136" s="40" t="n">
        <v>46198</v>
      </c>
      <c r="E136" s="10" t="s">
        <v>21</v>
      </c>
      <c r="F136" s="10" t="s">
        <v>34</v>
      </c>
      <c r="G136" s="10" t="s">
        <v>185</v>
      </c>
      <c r="H136" s="10" t="n">
        <f aca="false">COUNTIFS(Datos!$C$2:$C$319,D136,Datos!$D$2:$D$319,E136,Datos!$H$2:$H$319,F136)</f>
        <v>2</v>
      </c>
      <c r="I136" s="10" t="n">
        <f aca="false">SUMIFS(Datos!$M$2:$M$319,Datos!$C$2:$C$319,D136,Datos!$D$2:$D$319,E136,Datos!$H$2:$H$319,F136)</f>
        <v>30</v>
      </c>
      <c r="J136" s="12" t="n">
        <f aca="false">I136/60</f>
        <v>0.5</v>
      </c>
      <c r="K136" s="10" t="s">
        <v>731</v>
      </c>
      <c r="L136" s="10" t="s">
        <v>740</v>
      </c>
      <c r="M136" s="18" t="s">
        <v>925</v>
      </c>
    </row>
    <row r="137" customFormat="false" ht="15" hidden="false" customHeight="false" outlineLevel="0" collapsed="false">
      <c r="A137" s="1"/>
      <c r="B137" s="10" t="s">
        <v>15</v>
      </c>
      <c r="C137" s="10" t="n">
        <v>26</v>
      </c>
      <c r="D137" s="40" t="n">
        <v>46182</v>
      </c>
      <c r="E137" s="10" t="s">
        <v>22</v>
      </c>
      <c r="F137" s="10" t="s">
        <v>40</v>
      </c>
      <c r="G137" s="10" t="s">
        <v>185</v>
      </c>
      <c r="H137" s="10" t="n">
        <f aca="false">COUNTIFS(Datos!$C$2:$C$319,D137,Datos!$D$2:$D$319,E137,Datos!$H$2:$H$319,F137)</f>
        <v>1</v>
      </c>
      <c r="I137" s="10" t="n">
        <f aca="false">SUMIFS(Datos!$M$2:$M$319,Datos!$C$2:$C$319,D137,Datos!$D$2:$D$319,E137,Datos!$H$2:$H$319,F137)</f>
        <v>27</v>
      </c>
      <c r="J137" s="12" t="n">
        <f aca="false">I137/60</f>
        <v>0.45</v>
      </c>
      <c r="K137" s="10" t="s">
        <v>255</v>
      </c>
      <c r="L137" s="10" t="s">
        <v>677</v>
      </c>
      <c r="M137" s="18" t="s">
        <v>678</v>
      </c>
    </row>
    <row r="138" customFormat="false" ht="15" hidden="false" customHeight="false" outlineLevel="0" collapsed="false">
      <c r="A138" s="1"/>
      <c r="B138" s="10" t="s">
        <v>15</v>
      </c>
      <c r="C138" s="10" t="n">
        <v>27</v>
      </c>
      <c r="D138" s="40" t="n">
        <v>46182</v>
      </c>
      <c r="E138" s="10" t="s">
        <v>27</v>
      </c>
      <c r="F138" s="10" t="s">
        <v>34</v>
      </c>
      <c r="G138" s="10" t="s">
        <v>185</v>
      </c>
      <c r="H138" s="10" t="n">
        <f aca="false">COUNTIFS(Datos!$C$2:$C$319,D138,Datos!$D$2:$D$319,E138,Datos!$H$2:$H$319,F138)</f>
        <v>1</v>
      </c>
      <c r="I138" s="10" t="n">
        <f aca="false">SUMIFS(Datos!$M$2:$M$319,Datos!$C$2:$C$319,D138,Datos!$D$2:$D$319,E138,Datos!$H$2:$H$319,F138)</f>
        <v>26</v>
      </c>
      <c r="J138" s="12" t="n">
        <f aca="false">I138/60</f>
        <v>0.433333333333333</v>
      </c>
      <c r="K138" s="10" t="s">
        <v>679</v>
      </c>
      <c r="L138" s="10" t="s">
        <v>327</v>
      </c>
      <c r="M138" s="18" t="s">
        <v>680</v>
      </c>
    </row>
    <row r="139" customFormat="false" ht="15" hidden="false" customHeight="false" outlineLevel="0" collapsed="false">
      <c r="A139" s="1"/>
      <c r="B139" s="10" t="s">
        <v>15</v>
      </c>
      <c r="C139" s="10" t="n">
        <v>28</v>
      </c>
      <c r="D139" s="40" t="n">
        <v>46199</v>
      </c>
      <c r="E139" s="10" t="s">
        <v>29</v>
      </c>
      <c r="F139" s="10" t="s">
        <v>522</v>
      </c>
      <c r="G139" s="10" t="s">
        <v>185</v>
      </c>
      <c r="H139" s="10" t="n">
        <f aca="false">COUNTIFS(Datos!$C$2:$C$319,D139,Datos!$D$2:$D$319,E139,Datos!$H$2:$H$319,F139)</f>
        <v>1</v>
      </c>
      <c r="I139" s="10" t="n">
        <f aca="false">SUMIFS(Datos!$M$2:$M$319,Datos!$C$2:$C$319,D139,Datos!$D$2:$D$319,E139,Datos!$H$2:$H$319,F139)</f>
        <v>25</v>
      </c>
      <c r="J139" s="12" t="n">
        <f aca="false">I139/60</f>
        <v>0.416666666666667</v>
      </c>
      <c r="K139" s="10" t="s">
        <v>226</v>
      </c>
      <c r="L139" s="10" t="s">
        <v>760</v>
      </c>
      <c r="M139" s="18" t="s">
        <v>761</v>
      </c>
    </row>
    <row r="140" customFormat="false" ht="15" hidden="false" customHeight="false" outlineLevel="0" collapsed="false">
      <c r="A140" s="1"/>
      <c r="B140" s="10" t="s">
        <v>15</v>
      </c>
      <c r="C140" s="10" t="n">
        <v>29</v>
      </c>
      <c r="D140" s="40" t="n">
        <v>46174</v>
      </c>
      <c r="E140" s="10" t="s">
        <v>28</v>
      </c>
      <c r="F140" s="10" t="s">
        <v>34</v>
      </c>
      <c r="G140" s="10" t="s">
        <v>185</v>
      </c>
      <c r="H140" s="10" t="n">
        <f aca="false">COUNTIFS(Datos!$C$2:$C$319,D140,Datos!$D$2:$D$319,E140,Datos!$H$2:$H$319,F140)</f>
        <v>1</v>
      </c>
      <c r="I140" s="10" t="n">
        <f aca="false">SUMIFS(Datos!$M$2:$M$319,Datos!$C$2:$C$319,D140,Datos!$D$2:$D$319,E140,Datos!$H$2:$H$319,F140)</f>
        <v>21</v>
      </c>
      <c r="J140" s="12" t="n">
        <f aca="false">I140/60</f>
        <v>0.35</v>
      </c>
      <c r="K140" s="10" t="s">
        <v>502</v>
      </c>
      <c r="L140" s="10" t="s">
        <v>648</v>
      </c>
      <c r="M140" s="18" t="s">
        <v>649</v>
      </c>
    </row>
    <row r="141" customFormat="false" ht="15" hidden="false" customHeight="false" outlineLevel="0" collapsed="false">
      <c r="A141" s="1"/>
      <c r="B141" s="10" t="s">
        <v>15</v>
      </c>
      <c r="C141" s="10" t="n">
        <v>29</v>
      </c>
      <c r="D141" s="40" t="n">
        <v>46199</v>
      </c>
      <c r="E141" s="10" t="s">
        <v>21</v>
      </c>
      <c r="F141" s="10" t="s">
        <v>34</v>
      </c>
      <c r="G141" s="10" t="s">
        <v>185</v>
      </c>
      <c r="H141" s="10" t="n">
        <f aca="false">COUNTIFS(Datos!$C$2:$C$319,D141,Datos!$D$2:$D$319,E141,Datos!$H$2:$H$319,F141)</f>
        <v>1</v>
      </c>
      <c r="I141" s="10" t="n">
        <f aca="false">SUMIFS(Datos!$M$2:$M$319,Datos!$C$2:$C$319,D141,Datos!$D$2:$D$319,E141,Datos!$H$2:$H$319,F141)</f>
        <v>21</v>
      </c>
      <c r="J141" s="12" t="n">
        <f aca="false">I141/60</f>
        <v>0.35</v>
      </c>
      <c r="K141" s="10" t="s">
        <v>756</v>
      </c>
      <c r="L141" s="10" t="s">
        <v>199</v>
      </c>
      <c r="M141" s="18" t="s">
        <v>757</v>
      </c>
    </row>
    <row r="142" customFormat="false" ht="15" hidden="false" customHeight="false" outlineLevel="0" collapsed="false">
      <c r="A142" s="1"/>
      <c r="B142" s="10" t="s">
        <v>15</v>
      </c>
      <c r="C142" s="10" t="n">
        <v>31</v>
      </c>
      <c r="D142" s="40" t="n">
        <v>46182</v>
      </c>
      <c r="E142" s="10" t="s">
        <v>21</v>
      </c>
      <c r="F142" s="10" t="s">
        <v>34</v>
      </c>
      <c r="G142" s="10" t="s">
        <v>258</v>
      </c>
      <c r="H142" s="10" t="n">
        <f aca="false">COUNTIFS(Datos!$C$2:$C$319,D142,Datos!$D$2:$D$319,E142,Datos!$H$2:$H$319,F142)</f>
        <v>1</v>
      </c>
      <c r="I142" s="10" t="n">
        <f aca="false">SUMIFS(Datos!$M$2:$M$319,Datos!$C$2:$C$319,D142,Datos!$D$2:$D$319,E142,Datos!$H$2:$H$319,F142)</f>
        <v>20</v>
      </c>
      <c r="J142" s="12" t="n">
        <f aca="false">I142/60</f>
        <v>0.333333333333333</v>
      </c>
      <c r="K142" s="10" t="s">
        <v>681</v>
      </c>
      <c r="L142" s="10" t="s">
        <v>332</v>
      </c>
      <c r="M142" s="18" t="s">
        <v>682</v>
      </c>
    </row>
    <row r="143" customFormat="false" ht="15" hidden="false" customHeight="false" outlineLevel="0" collapsed="false">
      <c r="A143" s="1"/>
      <c r="B143" s="10" t="s">
        <v>15</v>
      </c>
      <c r="C143" s="10" t="n">
        <v>31</v>
      </c>
      <c r="D143" s="40" t="n">
        <v>46198</v>
      </c>
      <c r="E143" s="10" t="s">
        <v>26</v>
      </c>
      <c r="F143" s="10" t="s">
        <v>37</v>
      </c>
      <c r="G143" s="10" t="s">
        <v>258</v>
      </c>
      <c r="H143" s="10" t="n">
        <f aca="false">COUNTIFS(Datos!$C$2:$C$319,D143,Datos!$D$2:$D$319,E143,Datos!$H$2:$H$319,F143)</f>
        <v>1</v>
      </c>
      <c r="I143" s="10" t="n">
        <f aca="false">SUMIFS(Datos!$M$2:$M$319,Datos!$C$2:$C$319,D143,Datos!$D$2:$D$319,E143,Datos!$H$2:$H$319,F143)</f>
        <v>20</v>
      </c>
      <c r="J143" s="12" t="n">
        <f aca="false">I143/60</f>
        <v>0.333333333333333</v>
      </c>
      <c r="K143" s="10" t="s">
        <v>476</v>
      </c>
      <c r="L143" s="10" t="s">
        <v>461</v>
      </c>
      <c r="M143" s="18" t="s">
        <v>752</v>
      </c>
    </row>
    <row r="144" customFormat="false" ht="15" hidden="false" customHeight="false" outlineLevel="0" collapsed="false">
      <c r="A144" s="1"/>
      <c r="B144" s="10" t="s">
        <v>15</v>
      </c>
      <c r="C144" s="10" t="n">
        <v>31</v>
      </c>
      <c r="D144" s="40" t="n">
        <v>46198</v>
      </c>
      <c r="E144" s="10" t="s">
        <v>26</v>
      </c>
      <c r="F144" s="10" t="s">
        <v>39</v>
      </c>
      <c r="G144" s="10" t="s">
        <v>185</v>
      </c>
      <c r="H144" s="10" t="n">
        <f aca="false">COUNTIFS(Datos!$C$2:$C$319,D144,Datos!$D$2:$D$319,E144,Datos!$H$2:$H$319,F144)</f>
        <v>1</v>
      </c>
      <c r="I144" s="10" t="n">
        <f aca="false">SUMIFS(Datos!$M$2:$M$319,Datos!$C$2:$C$319,D144,Datos!$D$2:$D$319,E144,Datos!$H$2:$H$319,F144)</f>
        <v>20</v>
      </c>
      <c r="J144" s="12" t="n">
        <f aca="false">I144/60</f>
        <v>0.333333333333333</v>
      </c>
      <c r="K144" s="10" t="s">
        <v>662</v>
      </c>
      <c r="L144" s="10" t="s">
        <v>361</v>
      </c>
      <c r="M144" s="18" t="s">
        <v>735</v>
      </c>
    </row>
    <row r="145" customFormat="false" ht="15" hidden="false" customHeight="false" outlineLevel="0" collapsed="false">
      <c r="A145" s="1"/>
      <c r="B145" s="10" t="s">
        <v>15</v>
      </c>
      <c r="C145" s="10" t="n">
        <v>34</v>
      </c>
      <c r="D145" s="40" t="n">
        <v>46196</v>
      </c>
      <c r="E145" s="10" t="s">
        <v>25</v>
      </c>
      <c r="F145" s="10" t="s">
        <v>548</v>
      </c>
      <c r="G145" s="10" t="s">
        <v>185</v>
      </c>
      <c r="H145" s="10" t="n">
        <f aca="false">COUNTIFS(Datos!$C$2:$C$319,D145,Datos!$D$2:$D$319,E145,Datos!$H$2:$H$319,F145)</f>
        <v>1</v>
      </c>
      <c r="I145" s="10" t="n">
        <f aca="false">SUMIFS(Datos!$M$2:$M$319,Datos!$C$2:$C$319,D145,Datos!$D$2:$D$319,E145,Datos!$H$2:$H$319,F145)</f>
        <v>15</v>
      </c>
      <c r="J145" s="12" t="n">
        <f aca="false">I145/60</f>
        <v>0.25</v>
      </c>
      <c r="K145" s="10" t="s">
        <v>727</v>
      </c>
      <c r="L145" s="10" t="s">
        <v>295</v>
      </c>
      <c r="M145" s="18" t="s">
        <v>730</v>
      </c>
    </row>
    <row r="146" customFormat="false" ht="15" hidden="false" customHeight="false" outlineLevel="0" collapsed="false">
      <c r="A146" s="1"/>
      <c r="B146" s="10" t="s">
        <v>15</v>
      </c>
      <c r="C146" s="10" t="n">
        <v>35</v>
      </c>
      <c r="D146" s="40" t="n">
        <v>46177</v>
      </c>
      <c r="E146" s="10" t="s">
        <v>25</v>
      </c>
      <c r="F146" s="10" t="s">
        <v>43</v>
      </c>
      <c r="G146" s="10" t="s">
        <v>185</v>
      </c>
      <c r="H146" s="10" t="n">
        <f aca="false">COUNTIFS(Datos!$C$2:$C$319,D146,Datos!$D$2:$D$319,E146,Datos!$H$2:$H$319,F146)</f>
        <v>1</v>
      </c>
      <c r="I146" s="10" t="n">
        <f aca="false">SUMIFS(Datos!$M$2:$M$319,Datos!$C$2:$C$319,D146,Datos!$D$2:$D$319,E146,Datos!$H$2:$H$319,F146)</f>
        <v>10</v>
      </c>
      <c r="J146" s="12" t="n">
        <f aca="false">I146/60</f>
        <v>0.166666666666667</v>
      </c>
      <c r="K146" s="10" t="s">
        <v>223</v>
      </c>
      <c r="L146" s="10" t="s">
        <v>670</v>
      </c>
      <c r="M146" s="18" t="s">
        <v>671</v>
      </c>
    </row>
    <row r="147" customFormat="false" ht="15" hidden="false" customHeight="false" outlineLevel="0" collapsed="false">
      <c r="A147" s="1"/>
      <c r="B147" s="10" t="s">
        <v>15</v>
      </c>
      <c r="C147" s="10" t="n">
        <v>35</v>
      </c>
      <c r="D147" s="40" t="n">
        <v>46178</v>
      </c>
      <c r="E147" s="10" t="s">
        <v>22</v>
      </c>
      <c r="F147" s="10" t="s">
        <v>349</v>
      </c>
      <c r="G147" s="10" t="s">
        <v>258</v>
      </c>
      <c r="H147" s="10" t="n">
        <f aca="false">COUNTIFS(Datos!$C$2:$C$319,D147,Datos!$D$2:$D$319,E147,Datos!$H$2:$H$319,F147)</f>
        <v>1</v>
      </c>
      <c r="I147" s="10" t="n">
        <f aca="false">SUMIFS(Datos!$M$2:$M$319,Datos!$C$2:$C$319,D147,Datos!$D$2:$D$319,E147,Datos!$H$2:$H$319,F147)</f>
        <v>10</v>
      </c>
      <c r="J147" s="12" t="n">
        <f aca="false">I147/60</f>
        <v>0.166666666666667</v>
      </c>
      <c r="K147" s="10" t="s">
        <v>610</v>
      </c>
      <c r="L147" s="10" t="s">
        <v>332</v>
      </c>
      <c r="M147" s="18" t="s">
        <v>672</v>
      </c>
    </row>
    <row r="148" customFormat="false" ht="15" hidden="false" customHeight="false" outlineLevel="0" collapsed="false">
      <c r="A148" s="1"/>
      <c r="B148" s="10" t="s">
        <v>15</v>
      </c>
      <c r="C148" s="10" t="n">
        <v>35</v>
      </c>
      <c r="D148" s="40" t="n">
        <v>46185</v>
      </c>
      <c r="E148" s="10" t="s">
        <v>25</v>
      </c>
      <c r="F148" s="10" t="s">
        <v>42</v>
      </c>
      <c r="G148" s="10" t="s">
        <v>185</v>
      </c>
      <c r="H148" s="10" t="n">
        <f aca="false">COUNTIFS(Datos!$C$2:$C$319,D148,Datos!$D$2:$D$319,E148,Datos!$H$2:$H$319,F148)</f>
        <v>1</v>
      </c>
      <c r="I148" s="10" t="n">
        <f aca="false">SUMIFS(Datos!$M$2:$M$319,Datos!$C$2:$C$319,D148,Datos!$D$2:$D$319,E148,Datos!$H$2:$H$319,F148)</f>
        <v>10</v>
      </c>
      <c r="J148" s="12" t="n">
        <f aca="false">I148/60</f>
        <v>0.166666666666667</v>
      </c>
      <c r="K148" s="10" t="s">
        <v>255</v>
      </c>
      <c r="L148" s="10" t="s">
        <v>190</v>
      </c>
      <c r="M148" s="18" t="s">
        <v>698</v>
      </c>
    </row>
    <row r="149" customFormat="false" ht="15" hidden="false" customHeight="false" outlineLevel="0" collapsed="false">
      <c r="A149" s="1"/>
      <c r="B149" s="10" t="s">
        <v>15</v>
      </c>
      <c r="C149" s="10" t="n">
        <v>35</v>
      </c>
      <c r="D149" s="40" t="n">
        <v>46199</v>
      </c>
      <c r="E149" s="10" t="s">
        <v>24</v>
      </c>
      <c r="F149" s="10" t="s">
        <v>36</v>
      </c>
      <c r="G149" s="10" t="s">
        <v>258</v>
      </c>
      <c r="H149" s="10" t="n">
        <f aca="false">COUNTIFS(Datos!$C$2:$C$319,D149,Datos!$D$2:$D$319,E149,Datos!$H$2:$H$319,F149)</f>
        <v>1</v>
      </c>
      <c r="I149" s="10" t="n">
        <f aca="false">SUMIFS(Datos!$M$2:$M$319,Datos!$C$2:$C$319,D149,Datos!$D$2:$D$319,E149,Datos!$H$2:$H$319,F149)</f>
        <v>10</v>
      </c>
      <c r="J149" s="12" t="n">
        <f aca="false">I149/60</f>
        <v>0.166666666666667</v>
      </c>
      <c r="K149" s="10" t="s">
        <v>762</v>
      </c>
      <c r="L149" s="10" t="s">
        <v>763</v>
      </c>
      <c r="M149" s="18" t="s">
        <v>764</v>
      </c>
    </row>
    <row r="150" customFormat="false" ht="15" hidden="false" customHeight="false" outlineLevel="0" collapsed="false">
      <c r="A150" s="1"/>
      <c r="B150" s="10" t="s">
        <v>16</v>
      </c>
      <c r="C150" s="10" t="n">
        <v>1</v>
      </c>
      <c r="D150" s="40" t="n">
        <v>46231</v>
      </c>
      <c r="E150" s="10" t="s">
        <v>26</v>
      </c>
      <c r="F150" s="10" t="s">
        <v>34</v>
      </c>
      <c r="G150" s="10" t="s">
        <v>258</v>
      </c>
      <c r="H150" s="10" t="n">
        <f aca="false">COUNTIFS(Datos!$C$2:$C$319,D150,Datos!$D$2:$D$319,E150,Datos!$H$2:$H$319,F150)</f>
        <v>4</v>
      </c>
      <c r="I150" s="10" t="n">
        <f aca="false">SUMIFS(Datos!$M$2:$M$319,Datos!$C$2:$C$319,D150,Datos!$D$2:$D$319,E150,Datos!$H$2:$H$319,F150)</f>
        <v>270</v>
      </c>
      <c r="J150" s="12" t="n">
        <f aca="false">I150/60</f>
        <v>4.5</v>
      </c>
      <c r="K150" s="10" t="s">
        <v>861</v>
      </c>
      <c r="L150" s="10" t="s">
        <v>865</v>
      </c>
      <c r="M150" s="18" t="s">
        <v>926</v>
      </c>
    </row>
    <row r="151" customFormat="false" ht="15" hidden="false" customHeight="false" outlineLevel="0" collapsed="false">
      <c r="A151" s="1"/>
      <c r="B151" s="10" t="s">
        <v>16</v>
      </c>
      <c r="C151" s="10" t="n">
        <v>2</v>
      </c>
      <c r="D151" s="40" t="n">
        <v>46218</v>
      </c>
      <c r="E151" s="10" t="s">
        <v>24</v>
      </c>
      <c r="F151" s="10" t="s">
        <v>34</v>
      </c>
      <c r="G151" s="10" t="s">
        <v>185</v>
      </c>
      <c r="H151" s="10" t="n">
        <f aca="false">COUNTIFS(Datos!$C$2:$C$319,D151,Datos!$D$2:$D$319,E151,Datos!$H$2:$H$319,F151)</f>
        <v>4</v>
      </c>
      <c r="I151" s="10" t="n">
        <f aca="false">SUMIFS(Datos!$M$2:$M$319,Datos!$C$2:$C$319,D151,Datos!$D$2:$D$319,E151,Datos!$H$2:$H$319,F151)</f>
        <v>191</v>
      </c>
      <c r="J151" s="12" t="n">
        <f aca="false">I151/60</f>
        <v>3.18333333333333</v>
      </c>
      <c r="K151" s="10" t="s">
        <v>833</v>
      </c>
      <c r="L151" s="10" t="s">
        <v>199</v>
      </c>
      <c r="M151" s="18" t="s">
        <v>927</v>
      </c>
    </row>
    <row r="152" customFormat="false" ht="15" hidden="false" customHeight="false" outlineLevel="0" collapsed="false">
      <c r="A152" s="1"/>
      <c r="B152" s="10" t="s">
        <v>16</v>
      </c>
      <c r="C152" s="10" t="n">
        <v>3</v>
      </c>
      <c r="D152" s="40" t="n">
        <v>46207</v>
      </c>
      <c r="E152" s="10" t="s">
        <v>21</v>
      </c>
      <c r="F152" s="10" t="s">
        <v>771</v>
      </c>
      <c r="G152" s="10" t="s">
        <v>185</v>
      </c>
      <c r="H152" s="10" t="n">
        <f aca="false">COUNTIFS(Datos!$C$2:$C$319,D152,Datos!$D$2:$D$319,E152,Datos!$H$2:$H$319,F152)</f>
        <v>2</v>
      </c>
      <c r="I152" s="10" t="n">
        <f aca="false">SUMIFS(Datos!$M$2:$M$319,Datos!$C$2:$C$319,D152,Datos!$D$2:$D$319,E152,Datos!$H$2:$H$319,F152)</f>
        <v>90</v>
      </c>
      <c r="J152" s="12" t="n">
        <f aca="false">I152/60</f>
        <v>1.5</v>
      </c>
      <c r="K152" s="10" t="s">
        <v>223</v>
      </c>
      <c r="L152" s="10" t="s">
        <v>228</v>
      </c>
      <c r="M152" s="18" t="s">
        <v>928</v>
      </c>
    </row>
    <row r="153" customFormat="false" ht="23.85" hidden="false" customHeight="false" outlineLevel="0" collapsed="false">
      <c r="A153" s="1"/>
      <c r="B153" s="10" t="s">
        <v>16</v>
      </c>
      <c r="C153" s="10" t="n">
        <v>3</v>
      </c>
      <c r="D153" s="40" t="n">
        <v>46209</v>
      </c>
      <c r="E153" s="10" t="s">
        <v>24</v>
      </c>
      <c r="F153" s="10" t="s">
        <v>776</v>
      </c>
      <c r="G153" s="10" t="s">
        <v>185</v>
      </c>
      <c r="H153" s="10" t="n">
        <f aca="false">COUNTIFS(Datos!$C$2:$C$319,D153,Datos!$D$2:$D$319,E153,Datos!$H$2:$H$319,F153)</f>
        <v>2</v>
      </c>
      <c r="I153" s="10" t="n">
        <f aca="false">SUMIFS(Datos!$M$2:$M$319,Datos!$C$2:$C$319,D153,Datos!$D$2:$D$319,E153,Datos!$H$2:$H$319,F153)</f>
        <v>90</v>
      </c>
      <c r="J153" s="12" t="n">
        <f aca="false">I153/60</f>
        <v>1.5</v>
      </c>
      <c r="K153" s="10" t="s">
        <v>228</v>
      </c>
      <c r="L153" s="10" t="s">
        <v>254</v>
      </c>
      <c r="M153" s="18" t="s">
        <v>929</v>
      </c>
    </row>
    <row r="154" customFormat="false" ht="23.85" hidden="false" customHeight="false" outlineLevel="0" collapsed="false">
      <c r="A154" s="1"/>
      <c r="B154" s="10" t="s">
        <v>16</v>
      </c>
      <c r="C154" s="10" t="n">
        <v>5</v>
      </c>
      <c r="D154" s="40" t="n">
        <v>46231</v>
      </c>
      <c r="E154" s="10" t="s">
        <v>23</v>
      </c>
      <c r="F154" s="10" t="s">
        <v>34</v>
      </c>
      <c r="G154" s="10" t="s">
        <v>185</v>
      </c>
      <c r="H154" s="10" t="n">
        <f aca="false">COUNTIFS(Datos!$C$2:$C$319,D154,Datos!$D$2:$D$319,E154,Datos!$H$2:$H$319,F154)</f>
        <v>3</v>
      </c>
      <c r="I154" s="10" t="n">
        <f aca="false">SUMIFS(Datos!$M$2:$M$319,Datos!$C$2:$C$319,D154,Datos!$D$2:$D$319,E154,Datos!$H$2:$H$319,F154)</f>
        <v>80</v>
      </c>
      <c r="J154" s="12" t="n">
        <f aca="false">I154/60</f>
        <v>1.33333333333333</v>
      </c>
      <c r="K154" s="10" t="s">
        <v>402</v>
      </c>
      <c r="L154" s="10" t="s">
        <v>295</v>
      </c>
      <c r="M154" s="18" t="s">
        <v>930</v>
      </c>
    </row>
    <row r="155" customFormat="false" ht="15" hidden="false" customHeight="false" outlineLevel="0" collapsed="false">
      <c r="A155" s="1"/>
      <c r="B155" s="10" t="s">
        <v>16</v>
      </c>
      <c r="C155" s="10" t="n">
        <v>6</v>
      </c>
      <c r="D155" s="40" t="n">
        <v>46217</v>
      </c>
      <c r="E155" s="10" t="s">
        <v>27</v>
      </c>
      <c r="F155" s="10" t="s">
        <v>821</v>
      </c>
      <c r="G155" s="10" t="s">
        <v>258</v>
      </c>
      <c r="H155" s="10" t="n">
        <f aca="false">COUNTIFS(Datos!$C$2:$C$319,D155,Datos!$D$2:$D$319,E155,Datos!$H$2:$H$319,F155)</f>
        <v>2</v>
      </c>
      <c r="I155" s="10" t="n">
        <f aca="false">SUMIFS(Datos!$M$2:$M$319,Datos!$C$2:$C$319,D155,Datos!$D$2:$D$319,E155,Datos!$H$2:$H$319,F155)</f>
        <v>76</v>
      </c>
      <c r="J155" s="12" t="n">
        <f aca="false">I155/60</f>
        <v>1.26666666666667</v>
      </c>
      <c r="K155" s="10" t="s">
        <v>823</v>
      </c>
      <c r="L155" s="10" t="s">
        <v>826</v>
      </c>
      <c r="M155" s="18" t="s">
        <v>931</v>
      </c>
    </row>
    <row r="156" customFormat="false" ht="15" hidden="false" customHeight="false" outlineLevel="0" collapsed="false">
      <c r="A156" s="1"/>
      <c r="B156" s="10" t="s">
        <v>16</v>
      </c>
      <c r="C156" s="10" t="n">
        <v>7</v>
      </c>
      <c r="D156" s="40" t="n">
        <v>46212</v>
      </c>
      <c r="E156" s="10" t="s">
        <v>20</v>
      </c>
      <c r="F156" s="10" t="s">
        <v>34</v>
      </c>
      <c r="G156" s="10" t="s">
        <v>185</v>
      </c>
      <c r="H156" s="10" t="n">
        <f aca="false">COUNTIFS(Datos!$C$2:$C$319,D156,Datos!$D$2:$D$319,E156,Datos!$H$2:$H$319,F156)</f>
        <v>2</v>
      </c>
      <c r="I156" s="10" t="n">
        <f aca="false">SUMIFS(Datos!$M$2:$M$319,Datos!$C$2:$C$319,D156,Datos!$D$2:$D$319,E156,Datos!$H$2:$H$319,F156)</f>
        <v>70</v>
      </c>
      <c r="J156" s="12" t="n">
        <f aca="false">I156/60</f>
        <v>1.16666666666667</v>
      </c>
      <c r="K156" s="10" t="s">
        <v>223</v>
      </c>
      <c r="L156" s="10" t="s">
        <v>798</v>
      </c>
      <c r="M156" s="18" t="s">
        <v>932</v>
      </c>
    </row>
    <row r="157" customFormat="false" ht="15" hidden="false" customHeight="false" outlineLevel="0" collapsed="false">
      <c r="A157" s="1"/>
      <c r="B157" s="10" t="s">
        <v>16</v>
      </c>
      <c r="C157" s="10" t="n">
        <v>8</v>
      </c>
      <c r="D157" s="40" t="n">
        <v>46213</v>
      </c>
      <c r="E157" s="10" t="s">
        <v>21</v>
      </c>
      <c r="F157" s="10" t="s">
        <v>392</v>
      </c>
      <c r="G157" s="10" t="s">
        <v>185</v>
      </c>
      <c r="H157" s="10" t="n">
        <f aca="false">COUNTIFS(Datos!$C$2:$C$319,D157,Datos!$D$2:$D$319,E157,Datos!$H$2:$H$319,F157)</f>
        <v>2</v>
      </c>
      <c r="I157" s="10" t="n">
        <f aca="false">SUMIFS(Datos!$M$2:$M$319,Datos!$C$2:$C$319,D157,Datos!$D$2:$D$319,E157,Datos!$H$2:$H$319,F157)</f>
        <v>68</v>
      </c>
      <c r="J157" s="12" t="n">
        <f aca="false">I157/60</f>
        <v>1.13333333333333</v>
      </c>
      <c r="K157" s="10" t="s">
        <v>228</v>
      </c>
      <c r="L157" s="10" t="s">
        <v>256</v>
      </c>
      <c r="M157" s="18" t="s">
        <v>933</v>
      </c>
    </row>
    <row r="158" customFormat="false" ht="15" hidden="false" customHeight="false" outlineLevel="0" collapsed="false">
      <c r="A158" s="1"/>
      <c r="B158" s="10" t="s">
        <v>16</v>
      </c>
      <c r="C158" s="10" t="n">
        <v>9</v>
      </c>
      <c r="D158" s="40" t="n">
        <v>46219</v>
      </c>
      <c r="E158" s="10" t="s">
        <v>21</v>
      </c>
      <c r="F158" s="10" t="s">
        <v>841</v>
      </c>
      <c r="G158" s="10" t="s">
        <v>258</v>
      </c>
      <c r="H158" s="10" t="n">
        <f aca="false">COUNTIFS(Datos!$C$2:$C$319,D158,Datos!$D$2:$D$319,E158,Datos!$H$2:$H$319,F158)</f>
        <v>1</v>
      </c>
      <c r="I158" s="10" t="n">
        <f aca="false">SUMIFS(Datos!$M$2:$M$319,Datos!$C$2:$C$319,D158,Datos!$D$2:$D$319,E158,Datos!$H$2:$H$319,F158)</f>
        <v>60</v>
      </c>
      <c r="J158" s="12" t="n">
        <f aca="false">I158/60</f>
        <v>1</v>
      </c>
      <c r="K158" s="10" t="s">
        <v>256</v>
      </c>
      <c r="L158" s="10" t="s">
        <v>332</v>
      </c>
      <c r="M158" s="18" t="s">
        <v>843</v>
      </c>
    </row>
    <row r="159" customFormat="false" ht="15" hidden="false" customHeight="false" outlineLevel="0" collapsed="false">
      <c r="A159" s="1"/>
      <c r="B159" s="10" t="s">
        <v>16</v>
      </c>
      <c r="C159" s="10" t="n">
        <v>9</v>
      </c>
      <c r="D159" s="40" t="n">
        <v>46225</v>
      </c>
      <c r="E159" s="10" t="s">
        <v>21</v>
      </c>
      <c r="F159" s="10" t="s">
        <v>841</v>
      </c>
      <c r="G159" s="10" t="s">
        <v>185</v>
      </c>
      <c r="H159" s="10" t="n">
        <f aca="false">COUNTIFS(Datos!$C$2:$C$319,D159,Datos!$D$2:$D$319,E159,Datos!$H$2:$H$319,F159)</f>
        <v>1</v>
      </c>
      <c r="I159" s="10" t="n">
        <f aca="false">SUMIFS(Datos!$M$2:$M$319,Datos!$C$2:$C$319,D159,Datos!$D$2:$D$319,E159,Datos!$H$2:$H$319,F159)</f>
        <v>60</v>
      </c>
      <c r="J159" s="12" t="n">
        <f aca="false">I159/60</f>
        <v>1</v>
      </c>
      <c r="K159" s="10" t="s">
        <v>255</v>
      </c>
      <c r="L159" s="10" t="s">
        <v>191</v>
      </c>
      <c r="M159" s="18" t="s">
        <v>849</v>
      </c>
    </row>
    <row r="160" customFormat="false" ht="15" hidden="false" customHeight="false" outlineLevel="0" collapsed="false">
      <c r="A160" s="1"/>
      <c r="B160" s="10" t="s">
        <v>16</v>
      </c>
      <c r="C160" s="10" t="n">
        <v>11</v>
      </c>
      <c r="D160" s="40" t="n">
        <v>46206</v>
      </c>
      <c r="E160" s="10" t="s">
        <v>21</v>
      </c>
      <c r="F160" s="10" t="s">
        <v>34</v>
      </c>
      <c r="G160" s="10" t="s">
        <v>185</v>
      </c>
      <c r="H160" s="10" t="n">
        <f aca="false">COUNTIFS(Datos!$C$2:$C$319,D160,Datos!$D$2:$D$319,E160,Datos!$H$2:$H$319,F160)</f>
        <v>1</v>
      </c>
      <c r="I160" s="10" t="n">
        <f aca="false">SUMIFS(Datos!$M$2:$M$319,Datos!$C$2:$C$319,D160,Datos!$D$2:$D$319,E160,Datos!$H$2:$H$319,F160)</f>
        <v>55</v>
      </c>
      <c r="J160" s="12" t="n">
        <f aca="false">I160/60</f>
        <v>0.916666666666667</v>
      </c>
      <c r="K160" s="10" t="s">
        <v>495</v>
      </c>
      <c r="L160" s="10" t="s">
        <v>769</v>
      </c>
      <c r="M160" s="18" t="s">
        <v>770</v>
      </c>
    </row>
    <row r="161" customFormat="false" ht="15" hidden="false" customHeight="false" outlineLevel="0" collapsed="false">
      <c r="A161" s="1"/>
      <c r="B161" s="10" t="s">
        <v>16</v>
      </c>
      <c r="C161" s="10" t="n">
        <v>12</v>
      </c>
      <c r="D161" s="40" t="n">
        <v>46214</v>
      </c>
      <c r="E161" s="10" t="s">
        <v>22</v>
      </c>
      <c r="F161" s="10" t="s">
        <v>43</v>
      </c>
      <c r="G161" s="10" t="s">
        <v>258</v>
      </c>
      <c r="H161" s="10" t="n">
        <f aca="false">COUNTIFS(Datos!$C$2:$C$319,D161,Datos!$D$2:$D$319,E161,Datos!$H$2:$H$319,F161)</f>
        <v>1</v>
      </c>
      <c r="I161" s="10" t="n">
        <f aca="false">SUMIFS(Datos!$M$2:$M$319,Datos!$C$2:$C$319,D161,Datos!$D$2:$D$319,E161,Datos!$H$2:$H$319,F161)</f>
        <v>50</v>
      </c>
      <c r="J161" s="12" t="n">
        <f aca="false">I161/60</f>
        <v>0.833333333333333</v>
      </c>
      <c r="K161" s="10" t="s">
        <v>815</v>
      </c>
      <c r="L161" s="10" t="s">
        <v>335</v>
      </c>
      <c r="M161" s="18" t="s">
        <v>816</v>
      </c>
    </row>
    <row r="162" customFormat="false" ht="15" hidden="false" customHeight="false" outlineLevel="0" collapsed="false">
      <c r="A162" s="1"/>
      <c r="B162" s="10" t="s">
        <v>16</v>
      </c>
      <c r="C162" s="10" t="n">
        <v>13</v>
      </c>
      <c r="D162" s="40" t="n">
        <v>46218</v>
      </c>
      <c r="E162" s="10" t="s">
        <v>24</v>
      </c>
      <c r="F162" s="10" t="s">
        <v>38</v>
      </c>
      <c r="G162" s="10" t="s">
        <v>185</v>
      </c>
      <c r="H162" s="10" t="n">
        <f aca="false">COUNTIFS(Datos!$C$2:$C$319,D162,Datos!$D$2:$D$319,E162,Datos!$H$2:$H$319,F162)</f>
        <v>1</v>
      </c>
      <c r="I162" s="10" t="n">
        <f aca="false">SUMIFS(Datos!$M$2:$M$319,Datos!$C$2:$C$319,D162,Datos!$D$2:$D$319,E162,Datos!$H$2:$H$319,F162)</f>
        <v>45</v>
      </c>
      <c r="J162" s="12" t="n">
        <f aca="false">I162/60</f>
        <v>0.75</v>
      </c>
      <c r="K162" s="10" t="s">
        <v>507</v>
      </c>
      <c r="L162" s="10" t="s">
        <v>256</v>
      </c>
      <c r="M162" s="18" t="s">
        <v>647</v>
      </c>
    </row>
    <row r="163" customFormat="false" ht="15" hidden="false" customHeight="false" outlineLevel="0" collapsed="false">
      <c r="A163" s="1"/>
      <c r="B163" s="10" t="s">
        <v>16</v>
      </c>
      <c r="C163" s="10" t="n">
        <v>14</v>
      </c>
      <c r="D163" s="40" t="n">
        <v>46205</v>
      </c>
      <c r="E163" s="10" t="s">
        <v>25</v>
      </c>
      <c r="F163" s="10" t="s">
        <v>34</v>
      </c>
      <c r="G163" s="10" t="s">
        <v>185</v>
      </c>
      <c r="H163" s="10" t="n">
        <f aca="false">COUNTIFS(Datos!$C$2:$C$319,D163,Datos!$D$2:$D$319,E163,Datos!$H$2:$H$319,F163)</f>
        <v>1</v>
      </c>
      <c r="I163" s="10" t="n">
        <f aca="false">SUMIFS(Datos!$M$2:$M$319,Datos!$C$2:$C$319,D163,Datos!$D$2:$D$319,E163,Datos!$H$2:$H$319,F163)</f>
        <v>40</v>
      </c>
      <c r="J163" s="12" t="n">
        <f aca="false">I163/60</f>
        <v>0.666666666666667</v>
      </c>
      <c r="K163" s="10" t="s">
        <v>316</v>
      </c>
      <c r="L163" s="10" t="s">
        <v>767</v>
      </c>
      <c r="M163" s="18" t="s">
        <v>768</v>
      </c>
    </row>
    <row r="164" customFormat="false" ht="15" hidden="false" customHeight="false" outlineLevel="0" collapsed="false">
      <c r="A164" s="1"/>
      <c r="B164" s="10" t="s">
        <v>16</v>
      </c>
      <c r="C164" s="10" t="n">
        <v>15</v>
      </c>
      <c r="D164" s="40" t="n">
        <v>46220</v>
      </c>
      <c r="E164" s="10" t="s">
        <v>22</v>
      </c>
      <c r="F164" s="10" t="s">
        <v>43</v>
      </c>
      <c r="G164" s="10" t="s">
        <v>185</v>
      </c>
      <c r="H164" s="10" t="n">
        <f aca="false">COUNTIFS(Datos!$C$2:$C$319,D164,Datos!$D$2:$D$319,E164,Datos!$H$2:$H$319,F164)</f>
        <v>1</v>
      </c>
      <c r="I164" s="10" t="n">
        <f aca="false">SUMIFS(Datos!$M$2:$M$319,Datos!$C$2:$C$319,D164,Datos!$D$2:$D$319,E164,Datos!$H$2:$H$319,F164)</f>
        <v>36</v>
      </c>
      <c r="J164" s="12" t="n">
        <f aca="false">I164/60</f>
        <v>0.6</v>
      </c>
      <c r="K164" s="10" t="s">
        <v>280</v>
      </c>
      <c r="L164" s="10" t="s">
        <v>199</v>
      </c>
      <c r="M164" s="18" t="s">
        <v>844</v>
      </c>
    </row>
    <row r="165" customFormat="false" ht="15" hidden="false" customHeight="false" outlineLevel="0" collapsed="false">
      <c r="A165" s="1"/>
      <c r="B165" s="10" t="s">
        <v>16</v>
      </c>
      <c r="C165" s="10" t="n">
        <v>16</v>
      </c>
      <c r="D165" s="40" t="n">
        <v>46211</v>
      </c>
      <c r="E165" s="10" t="s">
        <v>25</v>
      </c>
      <c r="F165" s="10" t="s">
        <v>34</v>
      </c>
      <c r="G165" s="10" t="s">
        <v>185</v>
      </c>
      <c r="H165" s="10" t="n">
        <f aca="false">COUNTIFS(Datos!$C$2:$C$319,D165,Datos!$D$2:$D$319,E165,Datos!$H$2:$H$319,F165)</f>
        <v>2</v>
      </c>
      <c r="I165" s="10" t="n">
        <f aca="false">SUMIFS(Datos!$M$2:$M$319,Datos!$C$2:$C$319,D165,Datos!$D$2:$D$319,E165,Datos!$H$2:$H$319,F165)</f>
        <v>34</v>
      </c>
      <c r="J165" s="12" t="n">
        <f aca="false">I165/60</f>
        <v>0.566666666666667</v>
      </c>
      <c r="K165" s="10" t="s">
        <v>792</v>
      </c>
      <c r="L165" s="10" t="s">
        <v>254</v>
      </c>
      <c r="M165" s="18" t="s">
        <v>793</v>
      </c>
    </row>
    <row r="166" customFormat="false" ht="15" hidden="false" customHeight="false" outlineLevel="0" collapsed="false">
      <c r="A166" s="1"/>
      <c r="B166" s="10" t="s">
        <v>16</v>
      </c>
      <c r="C166" s="10" t="n">
        <v>17</v>
      </c>
      <c r="D166" s="40" t="n">
        <v>46217</v>
      </c>
      <c r="E166" s="10" t="s">
        <v>22</v>
      </c>
      <c r="F166" s="10" t="s">
        <v>817</v>
      </c>
      <c r="G166" s="10" t="s">
        <v>185</v>
      </c>
      <c r="H166" s="10" t="n">
        <f aca="false">COUNTIFS(Datos!$C$2:$C$319,D166,Datos!$D$2:$D$319,E166,Datos!$H$2:$H$319,F166)</f>
        <v>1</v>
      </c>
      <c r="I166" s="10" t="n">
        <f aca="false">SUMIFS(Datos!$M$2:$M$319,Datos!$C$2:$C$319,D166,Datos!$D$2:$D$319,E166,Datos!$H$2:$H$319,F166)</f>
        <v>31</v>
      </c>
      <c r="J166" s="12" t="n">
        <f aca="false">I166/60</f>
        <v>0.516666666666667</v>
      </c>
      <c r="K166" s="10" t="s">
        <v>280</v>
      </c>
      <c r="L166" s="10" t="s">
        <v>199</v>
      </c>
      <c r="M166" s="18" t="s">
        <v>820</v>
      </c>
    </row>
    <row r="167" customFormat="false" ht="15" hidden="false" customHeight="false" outlineLevel="0" collapsed="false">
      <c r="A167" s="1"/>
      <c r="B167" s="10" t="s">
        <v>16</v>
      </c>
      <c r="C167" s="10" t="n">
        <v>18</v>
      </c>
      <c r="D167" s="40" t="n">
        <v>46209</v>
      </c>
      <c r="E167" s="10" t="s">
        <v>24</v>
      </c>
      <c r="F167" s="10" t="s">
        <v>392</v>
      </c>
      <c r="G167" s="10" t="s">
        <v>185</v>
      </c>
      <c r="H167" s="10" t="n">
        <f aca="false">COUNTIFS(Datos!$C$2:$C$319,D167,Datos!$D$2:$D$319,E167,Datos!$H$2:$H$319,F167)</f>
        <v>1</v>
      </c>
      <c r="I167" s="10" t="n">
        <f aca="false">SUMIFS(Datos!$M$2:$M$319,Datos!$C$2:$C$319,D167,Datos!$D$2:$D$319,E167,Datos!$H$2:$H$319,F167)</f>
        <v>30</v>
      </c>
      <c r="J167" s="12" t="n">
        <f aca="false">I167/60</f>
        <v>0.5</v>
      </c>
      <c r="K167" s="10" t="s">
        <v>301</v>
      </c>
      <c r="L167" s="10" t="s">
        <v>228</v>
      </c>
      <c r="M167" s="18" t="s">
        <v>784</v>
      </c>
    </row>
    <row r="168" customFormat="false" ht="15" hidden="false" customHeight="false" outlineLevel="0" collapsed="false">
      <c r="A168" s="1"/>
      <c r="B168" s="10" t="s">
        <v>16</v>
      </c>
      <c r="C168" s="10" t="n">
        <v>18</v>
      </c>
      <c r="D168" s="40" t="n">
        <v>46214</v>
      </c>
      <c r="E168" s="10" t="s">
        <v>24</v>
      </c>
      <c r="F168" s="10" t="s">
        <v>776</v>
      </c>
      <c r="G168" s="10" t="s">
        <v>258</v>
      </c>
      <c r="H168" s="10" t="n">
        <f aca="false">COUNTIFS(Datos!$C$2:$C$319,D168,Datos!$D$2:$D$319,E168,Datos!$H$2:$H$319,F168)</f>
        <v>1</v>
      </c>
      <c r="I168" s="10" t="n">
        <f aca="false">SUMIFS(Datos!$M$2:$M$319,Datos!$C$2:$C$319,D168,Datos!$D$2:$D$319,E168,Datos!$H$2:$H$319,F168)</f>
        <v>30</v>
      </c>
      <c r="J168" s="12" t="n">
        <f aca="false">I168/60</f>
        <v>0.5</v>
      </c>
      <c r="K168" s="10" t="s">
        <v>199</v>
      </c>
      <c r="L168" s="10" t="s">
        <v>254</v>
      </c>
      <c r="M168" s="18" t="s">
        <v>813</v>
      </c>
    </row>
    <row r="169" customFormat="false" ht="23.85" hidden="false" customHeight="false" outlineLevel="0" collapsed="false">
      <c r="A169" s="1"/>
      <c r="B169" s="10" t="s">
        <v>16</v>
      </c>
      <c r="C169" s="10" t="n">
        <v>18</v>
      </c>
      <c r="D169" s="40" t="n">
        <v>46214</v>
      </c>
      <c r="E169" s="10" t="s">
        <v>24</v>
      </c>
      <c r="F169" s="10" t="s">
        <v>39</v>
      </c>
      <c r="G169" s="10" t="s">
        <v>258</v>
      </c>
      <c r="H169" s="10" t="n">
        <f aca="false">COUNTIFS(Datos!$C$2:$C$319,D169,Datos!$D$2:$D$319,E169,Datos!$H$2:$H$319,F169)</f>
        <v>1</v>
      </c>
      <c r="I169" s="10" t="n">
        <f aca="false">SUMIFS(Datos!$M$2:$M$319,Datos!$C$2:$C$319,D169,Datos!$D$2:$D$319,E169,Datos!$H$2:$H$319,F169)</f>
        <v>30</v>
      </c>
      <c r="J169" s="12" t="n">
        <f aca="false">I169/60</f>
        <v>0.5</v>
      </c>
      <c r="K169" s="10" t="s">
        <v>254</v>
      </c>
      <c r="L169" s="10" t="s">
        <v>283</v>
      </c>
      <c r="M169" s="18" t="s">
        <v>814</v>
      </c>
    </row>
    <row r="170" customFormat="false" ht="15" hidden="false" customHeight="false" outlineLevel="0" collapsed="false">
      <c r="A170" s="1"/>
      <c r="B170" s="10" t="s">
        <v>16</v>
      </c>
      <c r="C170" s="10" t="n">
        <v>18</v>
      </c>
      <c r="D170" s="40" t="n">
        <v>46227</v>
      </c>
      <c r="E170" s="10" t="s">
        <v>20</v>
      </c>
      <c r="F170" s="10" t="s">
        <v>349</v>
      </c>
      <c r="G170" s="10" t="s">
        <v>185</v>
      </c>
      <c r="H170" s="10" t="n">
        <f aca="false">COUNTIFS(Datos!$C$2:$C$319,D170,Datos!$D$2:$D$319,E170,Datos!$H$2:$H$319,F170)</f>
        <v>1</v>
      </c>
      <c r="I170" s="10" t="n">
        <f aca="false">SUMIFS(Datos!$M$2:$M$319,Datos!$C$2:$C$319,D170,Datos!$D$2:$D$319,E170,Datos!$H$2:$H$319,F170)</f>
        <v>30</v>
      </c>
      <c r="J170" s="12" t="n">
        <f aca="false">I170/60</f>
        <v>0.5</v>
      </c>
      <c r="K170" s="10" t="s">
        <v>255</v>
      </c>
      <c r="L170" s="10" t="s">
        <v>502</v>
      </c>
      <c r="M170" s="18" t="s">
        <v>850</v>
      </c>
    </row>
    <row r="171" customFormat="false" ht="15" hidden="false" customHeight="false" outlineLevel="0" collapsed="false">
      <c r="A171" s="1"/>
      <c r="B171" s="10" t="s">
        <v>16</v>
      </c>
      <c r="C171" s="10" t="n">
        <v>22</v>
      </c>
      <c r="D171" s="40" t="n">
        <v>46218</v>
      </c>
      <c r="E171" s="10" t="s">
        <v>22</v>
      </c>
      <c r="F171" s="10" t="s">
        <v>828</v>
      </c>
      <c r="G171" s="10" t="s">
        <v>185</v>
      </c>
      <c r="H171" s="10" t="n">
        <f aca="false">COUNTIFS(Datos!$C$2:$C$319,D171,Datos!$D$2:$D$319,E171,Datos!$H$2:$H$319,F171)</f>
        <v>1</v>
      </c>
      <c r="I171" s="10" t="n">
        <f aca="false">SUMIFS(Datos!$M$2:$M$319,Datos!$C$2:$C$319,D171,Datos!$D$2:$D$319,E171,Datos!$H$2:$H$319,F171)</f>
        <v>27</v>
      </c>
      <c r="J171" s="12" t="n">
        <f aca="false">I171/60</f>
        <v>0.45</v>
      </c>
      <c r="K171" s="10" t="s">
        <v>295</v>
      </c>
      <c r="L171" s="10" t="s">
        <v>537</v>
      </c>
      <c r="M171" s="18" t="s">
        <v>830</v>
      </c>
    </row>
    <row r="172" customFormat="false" ht="15" hidden="false" customHeight="false" outlineLevel="0" collapsed="false">
      <c r="A172" s="1"/>
      <c r="B172" s="10" t="s">
        <v>16</v>
      </c>
      <c r="C172" s="10" t="n">
        <v>23</v>
      </c>
      <c r="D172" s="40" t="n">
        <v>46207</v>
      </c>
      <c r="E172" s="10" t="s">
        <v>21</v>
      </c>
      <c r="F172" s="10" t="s">
        <v>34</v>
      </c>
      <c r="G172" s="10" t="s">
        <v>185</v>
      </c>
      <c r="H172" s="10" t="n">
        <f aca="false">COUNTIFS(Datos!$C$2:$C$319,D172,Datos!$D$2:$D$319,E172,Datos!$H$2:$H$319,F172)</f>
        <v>1</v>
      </c>
      <c r="I172" s="10" t="n">
        <f aca="false">SUMIFS(Datos!$M$2:$M$319,Datos!$C$2:$C$319,D172,Datos!$D$2:$D$319,E172,Datos!$H$2:$H$319,F172)</f>
        <v>25</v>
      </c>
      <c r="J172" s="12" t="n">
        <f aca="false">I172/60</f>
        <v>0.416666666666667</v>
      </c>
      <c r="K172" s="10" t="s">
        <v>228</v>
      </c>
      <c r="L172" s="10" t="s">
        <v>774</v>
      </c>
      <c r="M172" s="18" t="s">
        <v>775</v>
      </c>
    </row>
    <row r="173" customFormat="false" ht="15" hidden="false" customHeight="false" outlineLevel="0" collapsed="false">
      <c r="A173" s="1"/>
      <c r="B173" s="10" t="s">
        <v>16</v>
      </c>
      <c r="C173" s="10" t="n">
        <v>23</v>
      </c>
      <c r="D173" s="40" t="n">
        <v>46209</v>
      </c>
      <c r="E173" s="10" t="s">
        <v>28</v>
      </c>
      <c r="F173" s="10" t="s">
        <v>34</v>
      </c>
      <c r="G173" s="10" t="s">
        <v>185</v>
      </c>
      <c r="H173" s="10" t="n">
        <f aca="false">COUNTIFS(Datos!$C$2:$C$319,D173,Datos!$D$2:$D$319,E173,Datos!$H$2:$H$319,F173)</f>
        <v>1</v>
      </c>
      <c r="I173" s="10" t="n">
        <f aca="false">SUMIFS(Datos!$M$2:$M$319,Datos!$C$2:$C$319,D173,Datos!$D$2:$D$319,E173,Datos!$H$2:$H$319,F173)</f>
        <v>25</v>
      </c>
      <c r="J173" s="12" t="n">
        <f aca="false">I173/60</f>
        <v>0.416666666666667</v>
      </c>
      <c r="K173" s="10" t="s">
        <v>576</v>
      </c>
      <c r="L173" s="10" t="s">
        <v>226</v>
      </c>
      <c r="M173" s="18" t="s">
        <v>781</v>
      </c>
    </row>
    <row r="174" customFormat="false" ht="15" hidden="false" customHeight="false" outlineLevel="0" collapsed="false">
      <c r="A174" s="1"/>
      <c r="B174" s="10" t="s">
        <v>16</v>
      </c>
      <c r="C174" s="10" t="n">
        <v>23</v>
      </c>
      <c r="D174" s="40" t="n">
        <v>46210</v>
      </c>
      <c r="E174" s="10" t="s">
        <v>25</v>
      </c>
      <c r="F174" s="10" t="s">
        <v>36</v>
      </c>
      <c r="G174" s="10" t="s">
        <v>185</v>
      </c>
      <c r="H174" s="10" t="n">
        <f aca="false">COUNTIFS(Datos!$C$2:$C$319,D174,Datos!$D$2:$D$319,E174,Datos!$H$2:$H$319,F174)</f>
        <v>2</v>
      </c>
      <c r="I174" s="10" t="n">
        <f aca="false">SUMIFS(Datos!$M$2:$M$319,Datos!$C$2:$C$319,D174,Datos!$D$2:$D$319,E174,Datos!$H$2:$H$319,F174)</f>
        <v>25</v>
      </c>
      <c r="J174" s="12" t="n">
        <f aca="false">I174/60</f>
        <v>0.416666666666667</v>
      </c>
      <c r="K174" s="10" t="s">
        <v>327</v>
      </c>
      <c r="L174" s="10" t="s">
        <v>507</v>
      </c>
      <c r="M174" s="18" t="s">
        <v>791</v>
      </c>
    </row>
    <row r="175" customFormat="false" ht="15" hidden="false" customHeight="false" outlineLevel="0" collapsed="false">
      <c r="A175" s="1"/>
      <c r="B175" s="10" t="s">
        <v>16</v>
      </c>
      <c r="C175" s="10" t="n">
        <v>23</v>
      </c>
      <c r="D175" s="40" t="n">
        <v>46232</v>
      </c>
      <c r="E175" s="10" t="s">
        <v>26</v>
      </c>
      <c r="F175" s="10" t="s">
        <v>37</v>
      </c>
      <c r="G175" s="10" t="s">
        <v>258</v>
      </c>
      <c r="H175" s="10" t="n">
        <f aca="false">COUNTIFS(Datos!$C$2:$C$319,D175,Datos!$D$2:$D$319,E175,Datos!$H$2:$H$319,F175)</f>
        <v>1</v>
      </c>
      <c r="I175" s="10" t="n">
        <f aca="false">SUMIFS(Datos!$M$2:$M$319,Datos!$C$2:$C$319,D175,Datos!$D$2:$D$319,E175,Datos!$H$2:$H$319,F175)</f>
        <v>25</v>
      </c>
      <c r="J175" s="12" t="n">
        <f aca="false">I175/60</f>
        <v>0.416666666666667</v>
      </c>
      <c r="K175" s="10" t="s">
        <v>290</v>
      </c>
      <c r="L175" s="10" t="s">
        <v>867</v>
      </c>
      <c r="M175" s="18" t="s">
        <v>868</v>
      </c>
    </row>
    <row r="176" customFormat="false" ht="15" hidden="false" customHeight="false" outlineLevel="0" collapsed="false">
      <c r="A176" s="1"/>
      <c r="B176" s="10" t="s">
        <v>16</v>
      </c>
      <c r="C176" s="10" t="n">
        <v>27</v>
      </c>
      <c r="D176" s="40" t="n">
        <v>46210</v>
      </c>
      <c r="E176" s="10" t="s">
        <v>24</v>
      </c>
      <c r="F176" s="10" t="s">
        <v>548</v>
      </c>
      <c r="G176" s="10" t="s">
        <v>185</v>
      </c>
      <c r="H176" s="10" t="n">
        <f aca="false">COUNTIFS(Datos!$C$2:$C$319,D176,Datos!$D$2:$D$319,E176,Datos!$H$2:$H$319,F176)</f>
        <v>1</v>
      </c>
      <c r="I176" s="10" t="n">
        <f aca="false">SUMIFS(Datos!$M$2:$M$319,Datos!$C$2:$C$319,D176,Datos!$D$2:$D$319,E176,Datos!$H$2:$H$319,F176)</f>
        <v>22</v>
      </c>
      <c r="J176" s="12" t="n">
        <f aca="false">I176/60</f>
        <v>0.366666666666667</v>
      </c>
      <c r="K176" s="10" t="s">
        <v>789</v>
      </c>
      <c r="L176" s="10" t="s">
        <v>191</v>
      </c>
      <c r="M176" s="18" t="s">
        <v>790</v>
      </c>
    </row>
    <row r="177" customFormat="false" ht="15" hidden="false" customHeight="false" outlineLevel="0" collapsed="false">
      <c r="A177" s="1"/>
      <c r="B177" s="10" t="s">
        <v>16</v>
      </c>
      <c r="C177" s="10" t="n">
        <v>27</v>
      </c>
      <c r="D177" s="40" t="n">
        <v>46213</v>
      </c>
      <c r="E177" s="10" t="s">
        <v>21</v>
      </c>
      <c r="F177" s="10" t="s">
        <v>34</v>
      </c>
      <c r="G177" s="10" t="s">
        <v>185</v>
      </c>
      <c r="H177" s="10" t="n">
        <f aca="false">COUNTIFS(Datos!$C$2:$C$319,D177,Datos!$D$2:$D$319,E177,Datos!$H$2:$H$319,F177)</f>
        <v>1</v>
      </c>
      <c r="I177" s="10" t="n">
        <f aca="false">SUMIFS(Datos!$M$2:$M$319,Datos!$C$2:$C$319,D177,Datos!$D$2:$D$319,E177,Datos!$H$2:$H$319,F177)</f>
        <v>22</v>
      </c>
      <c r="J177" s="12" t="n">
        <f aca="false">I177/60</f>
        <v>0.366666666666667</v>
      </c>
      <c r="K177" s="10" t="s">
        <v>804</v>
      </c>
      <c r="L177" s="10" t="s">
        <v>805</v>
      </c>
      <c r="M177" s="18" t="s">
        <v>806</v>
      </c>
    </row>
    <row r="178" customFormat="false" ht="15" hidden="false" customHeight="false" outlineLevel="0" collapsed="false">
      <c r="A178" s="1"/>
      <c r="B178" s="10" t="s">
        <v>16</v>
      </c>
      <c r="C178" s="10" t="n">
        <v>29</v>
      </c>
      <c r="D178" s="40" t="n">
        <v>46207</v>
      </c>
      <c r="E178" s="10" t="s">
        <v>25</v>
      </c>
      <c r="F178" s="10" t="s">
        <v>38</v>
      </c>
      <c r="G178" s="10" t="s">
        <v>258</v>
      </c>
      <c r="H178" s="10" t="n">
        <f aca="false">COUNTIFS(Datos!$C$2:$C$319,D178,Datos!$D$2:$D$319,E178,Datos!$H$2:$H$319,F178)</f>
        <v>1</v>
      </c>
      <c r="I178" s="10" t="n">
        <f aca="false">SUMIFS(Datos!$M$2:$M$319,Datos!$C$2:$C$319,D178,Datos!$D$2:$D$319,E178,Datos!$H$2:$H$319,F178)</f>
        <v>20</v>
      </c>
      <c r="J178" s="12" t="n">
        <f aca="false">I178/60</f>
        <v>0.333333333333333</v>
      </c>
      <c r="K178" s="10" t="s">
        <v>681</v>
      </c>
      <c r="L178" s="10" t="s">
        <v>332</v>
      </c>
      <c r="M178" s="18" t="s">
        <v>418</v>
      </c>
    </row>
    <row r="179" customFormat="false" ht="15" hidden="false" customHeight="false" outlineLevel="0" collapsed="false">
      <c r="A179" s="1"/>
      <c r="B179" s="10" t="s">
        <v>16</v>
      </c>
      <c r="C179" s="10" t="n">
        <v>30</v>
      </c>
      <c r="D179" s="40" t="n">
        <v>46210</v>
      </c>
      <c r="E179" s="10" t="s">
        <v>21</v>
      </c>
      <c r="F179" s="10" t="s">
        <v>34</v>
      </c>
      <c r="G179" s="10" t="s">
        <v>185</v>
      </c>
      <c r="H179" s="10" t="n">
        <f aca="false">COUNTIFS(Datos!$C$2:$C$319,D179,Datos!$D$2:$D$319,E179,Datos!$H$2:$H$319,F179)</f>
        <v>1</v>
      </c>
      <c r="I179" s="10" t="n">
        <f aca="false">SUMIFS(Datos!$M$2:$M$319,Datos!$C$2:$C$319,D179,Datos!$D$2:$D$319,E179,Datos!$H$2:$H$319,F179)</f>
        <v>18</v>
      </c>
      <c r="J179" s="12" t="n">
        <f aca="false">I179/60</f>
        <v>0.3</v>
      </c>
      <c r="K179" s="10" t="s">
        <v>787</v>
      </c>
      <c r="L179" s="10" t="s">
        <v>648</v>
      </c>
      <c r="M179" s="18" t="s">
        <v>788</v>
      </c>
    </row>
    <row r="180" customFormat="false" ht="15" hidden="false" customHeight="false" outlineLevel="0" collapsed="false">
      <c r="A180" s="1"/>
      <c r="B180" s="10" t="s">
        <v>16</v>
      </c>
      <c r="C180" s="10" t="n">
        <v>31</v>
      </c>
      <c r="D180" s="40" t="n">
        <v>46233</v>
      </c>
      <c r="E180" s="10" t="s">
        <v>26</v>
      </c>
      <c r="F180" s="10" t="s">
        <v>869</v>
      </c>
      <c r="G180" s="10" t="s">
        <v>185</v>
      </c>
      <c r="H180" s="10" t="n">
        <f aca="false">COUNTIFS(Datos!$C$2:$C$319,D180,Datos!$D$2:$D$319,E180,Datos!$H$2:$H$319,F180)</f>
        <v>1</v>
      </c>
      <c r="I180" s="10" t="n">
        <f aca="false">SUMIFS(Datos!$M$2:$M$319,Datos!$C$2:$C$319,D180,Datos!$D$2:$D$319,E180,Datos!$H$2:$H$319,F180)</f>
        <v>17</v>
      </c>
      <c r="J180" s="12" t="n">
        <f aca="false">I180/60</f>
        <v>0.283333333333333</v>
      </c>
      <c r="K180" s="10" t="s">
        <v>866</v>
      </c>
      <c r="L180" s="10" t="s">
        <v>199</v>
      </c>
      <c r="M180" s="18" t="s">
        <v>871</v>
      </c>
    </row>
    <row r="181" customFormat="false" ht="15" hidden="false" customHeight="false" outlineLevel="0" collapsed="false">
      <c r="A181" s="1"/>
      <c r="B181" s="10" t="s">
        <v>16</v>
      </c>
      <c r="C181" s="10" t="n">
        <v>32</v>
      </c>
      <c r="D181" s="40" t="n">
        <v>46211</v>
      </c>
      <c r="E181" s="10" t="s">
        <v>25</v>
      </c>
      <c r="F181" s="10" t="s">
        <v>43</v>
      </c>
      <c r="G181" s="10" t="s">
        <v>258</v>
      </c>
      <c r="H181" s="10" t="n">
        <f aca="false">COUNTIFS(Datos!$C$2:$C$319,D181,Datos!$D$2:$D$319,E181,Datos!$H$2:$H$319,F181)</f>
        <v>1</v>
      </c>
      <c r="I181" s="10" t="n">
        <f aca="false">SUMIFS(Datos!$M$2:$M$319,Datos!$C$2:$C$319,D181,Datos!$D$2:$D$319,E181,Datos!$H$2:$H$319,F181)</f>
        <v>15</v>
      </c>
      <c r="J181" s="12" t="n">
        <f aca="false">I181/60</f>
        <v>0.25</v>
      </c>
      <c r="K181" s="10" t="s">
        <v>460</v>
      </c>
      <c r="L181" s="10" t="s">
        <v>795</v>
      </c>
      <c r="M181" s="18" t="s">
        <v>796</v>
      </c>
    </row>
    <row r="182" customFormat="false" ht="15" hidden="false" customHeight="false" outlineLevel="0" collapsed="false">
      <c r="A182" s="1"/>
      <c r="B182" s="10" t="s">
        <v>16</v>
      </c>
      <c r="C182" s="10" t="n">
        <v>33</v>
      </c>
      <c r="D182" s="40" t="n">
        <v>46220</v>
      </c>
      <c r="E182" s="10" t="s">
        <v>25</v>
      </c>
      <c r="F182" s="10" t="s">
        <v>34</v>
      </c>
      <c r="G182" s="10" t="s">
        <v>258</v>
      </c>
      <c r="H182" s="10" t="n">
        <f aca="false">COUNTIFS(Datos!$C$2:$C$319,D182,Datos!$D$2:$D$319,E182,Datos!$H$2:$H$319,F182)</f>
        <v>1</v>
      </c>
      <c r="I182" s="10" t="n">
        <f aca="false">SUMIFS(Datos!$M$2:$M$319,Datos!$C$2:$C$319,D182,Datos!$D$2:$D$319,E182,Datos!$H$2:$H$319,F182)</f>
        <v>12</v>
      </c>
      <c r="J182" s="12" t="n">
        <f aca="false">I182/60</f>
        <v>0.2</v>
      </c>
      <c r="K182" s="10" t="s">
        <v>338</v>
      </c>
      <c r="L182" s="10" t="s">
        <v>845</v>
      </c>
      <c r="M182" s="18" t="s">
        <v>846</v>
      </c>
    </row>
    <row r="183" customFormat="false" ht="15" hidden="false" customHeight="false" outlineLevel="0" collapsed="false">
      <c r="A183" s="1"/>
      <c r="B183" s="10" t="s">
        <v>16</v>
      </c>
      <c r="C183" s="10" t="n">
        <v>34</v>
      </c>
      <c r="D183" s="40" t="n">
        <v>46205</v>
      </c>
      <c r="E183" s="10" t="s">
        <v>25</v>
      </c>
      <c r="F183" s="10" t="s">
        <v>765</v>
      </c>
      <c r="G183" s="10" t="s">
        <v>185</v>
      </c>
      <c r="H183" s="10" t="n">
        <f aca="false">COUNTIFS(Datos!$C$2:$C$319,D183,Datos!$D$2:$D$319,E183,Datos!$H$2:$H$319,F183)</f>
        <v>1</v>
      </c>
      <c r="I183" s="10" t="n">
        <f aca="false">SUMIFS(Datos!$M$2:$M$319,Datos!$C$2:$C$319,D183,Datos!$D$2:$D$319,E183,Datos!$H$2:$H$319,F183)</f>
        <v>10</v>
      </c>
      <c r="J183" s="12" t="n">
        <f aca="false">I183/60</f>
        <v>0.166666666666667</v>
      </c>
      <c r="K183" s="10" t="s">
        <v>312</v>
      </c>
      <c r="L183" s="10" t="s">
        <v>502</v>
      </c>
      <c r="M183" s="18" t="s">
        <v>889</v>
      </c>
    </row>
    <row r="184" customFormat="false" ht="15" hidden="false" customHeight="false" outlineLevel="0" collapsed="false">
      <c r="A184" s="1"/>
      <c r="B184" s="10" t="s">
        <v>16</v>
      </c>
      <c r="C184" s="10" t="n">
        <v>34</v>
      </c>
      <c r="D184" s="40" t="n">
        <v>46224</v>
      </c>
      <c r="E184" s="10" t="s">
        <v>25</v>
      </c>
      <c r="F184" s="10" t="s">
        <v>765</v>
      </c>
      <c r="G184" s="10" t="s">
        <v>185</v>
      </c>
      <c r="H184" s="10" t="n">
        <f aca="false">COUNTIFS(Datos!$C$2:$C$319,D184,Datos!$D$2:$D$319,E184,Datos!$H$2:$H$319,F184)</f>
        <v>1</v>
      </c>
      <c r="I184" s="10" t="n">
        <f aca="false">SUMIFS(Datos!$M$2:$M$319,Datos!$C$2:$C$319,D184,Datos!$D$2:$D$319,E184,Datos!$H$2:$H$319,F184)</f>
        <v>10</v>
      </c>
      <c r="J184" s="12" t="n">
        <f aca="false">I184/60</f>
        <v>0.166666666666667</v>
      </c>
      <c r="K184" s="10" t="s">
        <v>255</v>
      </c>
      <c r="L184" s="10" t="s">
        <v>190</v>
      </c>
      <c r="M184" s="18" t="s">
        <v>889</v>
      </c>
    </row>
    <row r="185" customFormat="false" ht="15" hidden="false" customHeight="false" outlineLevel="0" collapsed="false">
      <c r="A185" s="1"/>
      <c r="B185" s="10" t="s">
        <v>16</v>
      </c>
      <c r="C185" s="10" t="n">
        <v>34</v>
      </c>
      <c r="D185" s="40" t="n">
        <v>46231</v>
      </c>
      <c r="E185" s="10" t="s">
        <v>23</v>
      </c>
      <c r="F185" s="10" t="s">
        <v>392</v>
      </c>
      <c r="G185" s="10" t="s">
        <v>185</v>
      </c>
      <c r="H185" s="10" t="n">
        <f aca="false">COUNTIFS(Datos!$C$2:$C$319,D185,Datos!$D$2:$D$319,E185,Datos!$H$2:$H$319,F185)</f>
        <v>1</v>
      </c>
      <c r="I185" s="10" t="n">
        <f aca="false">SUMIFS(Datos!$M$2:$M$319,Datos!$C$2:$C$319,D185,Datos!$D$2:$D$319,E185,Datos!$H$2:$H$319,F185)</f>
        <v>10</v>
      </c>
      <c r="J185" s="12" t="n">
        <f aca="false">I185/60</f>
        <v>0.166666666666667</v>
      </c>
      <c r="K185" s="10" t="s">
        <v>856</v>
      </c>
      <c r="L185" s="10" t="s">
        <v>857</v>
      </c>
      <c r="M185" s="18" t="s">
        <v>858</v>
      </c>
    </row>
    <row r="186" customFormat="false" ht="15" hidden="false" customHeight="false" outlineLevel="0" collapsed="false">
      <c r="A186" s="1"/>
      <c r="B186" s="10" t="s">
        <v>16</v>
      </c>
      <c r="C186" s="10" t="n">
        <v>37</v>
      </c>
      <c r="D186" s="40" t="n">
        <v>46212</v>
      </c>
      <c r="E186" s="10" t="s">
        <v>22</v>
      </c>
      <c r="F186" s="10" t="s">
        <v>34</v>
      </c>
      <c r="G186" s="10" t="s">
        <v>258</v>
      </c>
      <c r="H186" s="10" t="n">
        <f aca="false">COUNTIFS(Datos!$C$2:$C$319,D186,Datos!$D$2:$D$319,E186,Datos!$H$2:$H$319,F186)</f>
        <v>1</v>
      </c>
      <c r="I186" s="10" t="n">
        <f aca="false">SUMIFS(Datos!$M$2:$M$319,Datos!$C$2:$C$319,D186,Datos!$D$2:$D$319,E186,Datos!$H$2:$H$319,F186)</f>
        <v>8</v>
      </c>
      <c r="J186" s="12" t="n">
        <f aca="false">I186/60</f>
        <v>0.133333333333333</v>
      </c>
      <c r="K186" s="10" t="s">
        <v>256</v>
      </c>
      <c r="L186" s="10" t="s">
        <v>800</v>
      </c>
      <c r="M186" s="18" t="s">
        <v>801</v>
      </c>
    </row>
    <row r="187" customFormat="false" ht="15" hidden="false" customHeight="false" outlineLevel="0" collapsed="false">
      <c r="A187" s="1"/>
      <c r="B187" s="10" t="s">
        <v>16</v>
      </c>
      <c r="C187" s="10" t="n">
        <v>37</v>
      </c>
      <c r="D187" s="40" t="n">
        <v>46213</v>
      </c>
      <c r="E187" s="10" t="s">
        <v>25</v>
      </c>
      <c r="F187" s="10" t="s">
        <v>36</v>
      </c>
      <c r="G187" s="10" t="s">
        <v>185</v>
      </c>
      <c r="H187" s="10" t="n">
        <f aca="false">COUNTIFS(Datos!$C$2:$C$319,D187,Datos!$D$2:$D$319,E187,Datos!$H$2:$H$319,F187)</f>
        <v>1</v>
      </c>
      <c r="I187" s="10" t="n">
        <f aca="false">SUMIFS(Datos!$M$2:$M$319,Datos!$C$2:$C$319,D187,Datos!$D$2:$D$319,E187,Datos!$H$2:$H$319,F187)</f>
        <v>8</v>
      </c>
      <c r="J187" s="12" t="n">
        <f aca="false">I187/60</f>
        <v>0.133333333333333</v>
      </c>
      <c r="K187" s="10" t="s">
        <v>294</v>
      </c>
      <c r="L187" s="10" t="s">
        <v>295</v>
      </c>
      <c r="M187" s="18" t="s">
        <v>163</v>
      </c>
    </row>
    <row r="188" customFormat="false" ht="15" hidden="false" customHeight="false" outlineLevel="0" collapsed="false">
      <c r="A188" s="1"/>
      <c r="B188" s="10" t="s">
        <v>16</v>
      </c>
      <c r="C188" s="10" t="n">
        <v>39</v>
      </c>
      <c r="D188" s="40" t="n">
        <v>46209</v>
      </c>
      <c r="E188" s="10" t="s">
        <v>25</v>
      </c>
      <c r="F188" s="10" t="s">
        <v>776</v>
      </c>
      <c r="G188" s="10" t="s">
        <v>185</v>
      </c>
      <c r="H188" s="10" t="n">
        <f aca="false">COUNTIFS(Datos!$C$2:$C$319,D188,Datos!$D$2:$D$319,E188,Datos!$H$2:$H$319,F188)</f>
        <v>1</v>
      </c>
      <c r="I188" s="10" t="n">
        <f aca="false">SUMIFS(Datos!$M$2:$M$319,Datos!$C$2:$C$319,D188,Datos!$D$2:$D$319,E188,Datos!$H$2:$H$319,F188)</f>
        <v>5</v>
      </c>
      <c r="J188" s="12" t="n">
        <f aca="false">I188/60</f>
        <v>0.0833333333333333</v>
      </c>
      <c r="K188" s="10" t="s">
        <v>228</v>
      </c>
      <c r="L188" s="10" t="s">
        <v>777</v>
      </c>
      <c r="M188" s="18" t="s">
        <v>778</v>
      </c>
    </row>
    <row r="189" customFormat="false" ht="15" hidden="false" customHeight="false" outlineLevel="0" collapsed="false">
      <c r="A189" s="1"/>
      <c r="B189" s="10" t="s">
        <v>16</v>
      </c>
      <c r="C189" s="10" t="n">
        <v>40</v>
      </c>
      <c r="D189" s="40" t="n">
        <v>46232</v>
      </c>
      <c r="E189" s="10" t="s">
        <v>25</v>
      </c>
      <c r="F189" s="10" t="s">
        <v>36</v>
      </c>
      <c r="G189" s="10" t="s">
        <v>185</v>
      </c>
      <c r="H189" s="10" t="n">
        <f aca="false">COUNTIFS(Datos!$C$2:$C$319,D189,Datos!$D$2:$D$319,E189,Datos!$H$2:$H$319,F189)</f>
        <v>1</v>
      </c>
      <c r="I189" s="10" t="n">
        <f aca="false">SUMIFS(Datos!$M$2:$M$319,Datos!$C$2:$C$319,D189,Datos!$D$2:$D$319,E189,Datos!$H$2:$H$319,F189)</f>
        <v>4</v>
      </c>
      <c r="J189" s="12" t="n">
        <f aca="false">I189/60</f>
        <v>0.0666666666666667</v>
      </c>
      <c r="K189" s="10" t="s">
        <v>866</v>
      </c>
      <c r="L189" s="10" t="s">
        <v>363</v>
      </c>
      <c r="M189" s="18" t="s">
        <v>163</v>
      </c>
    </row>
  </sheetData>
  <autoFilter ref="B4:M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7" min="6" style="0" width="9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85"/>
  </cols>
  <sheetData>
    <row r="1" customFormat="false" ht="19.7" hidden="false" customHeight="false" outlineLevel="0" collapsed="false">
      <c r="A1" s="1"/>
      <c r="B1" s="26" t="s">
        <v>934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3" t="s">
        <v>935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41" t="s">
        <v>936</v>
      </c>
      <c r="C4" s="1"/>
      <c r="D4" s="1"/>
      <c r="E4" s="1"/>
      <c r="F4" s="1"/>
      <c r="G4" s="1"/>
      <c r="H4" s="1"/>
      <c r="I4" s="1"/>
      <c r="J4" s="1"/>
    </row>
    <row r="5" customFormat="false" ht="23.85" hidden="false" customHeight="false" outlineLevel="0" collapsed="false">
      <c r="A5" s="1"/>
      <c r="B5" s="9" t="s">
        <v>45</v>
      </c>
      <c r="C5" s="9" t="s">
        <v>46</v>
      </c>
      <c r="D5" s="9" t="s">
        <v>18</v>
      </c>
      <c r="E5" s="9" t="s">
        <v>32</v>
      </c>
      <c r="F5" s="9" t="s">
        <v>876</v>
      </c>
      <c r="G5" s="9" t="s">
        <v>11</v>
      </c>
      <c r="H5" s="9" t="s">
        <v>12</v>
      </c>
      <c r="I5" s="9" t="s">
        <v>937</v>
      </c>
      <c r="J5" s="9" t="s">
        <v>47</v>
      </c>
    </row>
    <row r="6" customFormat="false" ht="15" hidden="false" customHeight="false" outlineLevel="0" collapsed="false">
      <c r="A6" s="1"/>
      <c r="B6" s="10" t="n">
        <v>1</v>
      </c>
      <c r="C6" s="40" t="n">
        <v>46035</v>
      </c>
      <c r="D6" s="10" t="s">
        <v>22</v>
      </c>
      <c r="E6" s="10" t="s">
        <v>34</v>
      </c>
      <c r="F6" s="10" t="n">
        <f aca="false">COUNTIFS(Datos!$C$2:$C$319,C6,Datos!$D$2:$D$319,D6,Datos!$H$2:$H$319,E6)</f>
        <v>1</v>
      </c>
      <c r="G6" s="10" t="n">
        <f aca="false">SUMIFS(Datos!$M$2:$M$319,Datos!$C$2:$C$319,C6,Datos!$D$2:$D$319,D6,Datos!$H$2:$H$319,E6)</f>
        <v>480</v>
      </c>
      <c r="H6" s="12" t="n">
        <f aca="false">G6/60</f>
        <v>8</v>
      </c>
      <c r="I6" s="14" t="n">
        <f aca="false">G6/SUMIFS(Datos!$M$2:$M$319,Datos!$A$2:$A$319,"Enero")</f>
        <v>0.172537742631201</v>
      </c>
      <c r="J6" s="18" t="s">
        <v>257</v>
      </c>
    </row>
    <row r="7" customFormat="false" ht="23.85" hidden="false" customHeight="false" outlineLevel="0" collapsed="false">
      <c r="A7" s="1"/>
      <c r="B7" s="10" t="n">
        <v>2</v>
      </c>
      <c r="C7" s="40" t="n">
        <v>46048</v>
      </c>
      <c r="D7" s="10" t="s">
        <v>25</v>
      </c>
      <c r="E7" s="10" t="s">
        <v>406</v>
      </c>
      <c r="F7" s="10" t="n">
        <f aca="false">COUNTIFS(Datos!$C$2:$C$319,C7,Datos!$D$2:$D$319,D7,Datos!$H$2:$H$319,E7)</f>
        <v>3</v>
      </c>
      <c r="G7" s="10" t="n">
        <f aca="false">SUMIFS(Datos!$M$2:$M$319,Datos!$C$2:$C$319,C7,Datos!$D$2:$D$319,D7,Datos!$H$2:$H$319,E7)</f>
        <v>200</v>
      </c>
      <c r="H7" s="12" t="n">
        <f aca="false">G7/60</f>
        <v>3.33333333333333</v>
      </c>
      <c r="I7" s="14" t="n">
        <f aca="false">G7/SUMIFS(Datos!$M$2:$M$319,Datos!$A$2:$A$319,"Enero")</f>
        <v>0.0718907260963336</v>
      </c>
      <c r="J7" s="18" t="s">
        <v>880</v>
      </c>
    </row>
    <row r="8" customFormat="false" ht="15" hidden="false" customHeight="false" outlineLevel="0" collapsed="false">
      <c r="A8" s="1"/>
      <c r="B8" s="10" t="n">
        <v>3</v>
      </c>
      <c r="C8" s="40" t="n">
        <v>46024</v>
      </c>
      <c r="D8" s="10" t="s">
        <v>25</v>
      </c>
      <c r="E8" s="10" t="s">
        <v>37</v>
      </c>
      <c r="F8" s="10" t="n">
        <f aca="false">COUNTIFS(Datos!$C$2:$C$319,C8,Datos!$D$2:$D$319,D8,Datos!$H$2:$H$319,E8)</f>
        <v>1</v>
      </c>
      <c r="G8" s="10" t="n">
        <f aca="false">SUMIFS(Datos!$M$2:$M$319,Datos!$C$2:$C$319,C8,Datos!$D$2:$D$319,D8,Datos!$H$2:$H$319,E8)</f>
        <v>180</v>
      </c>
      <c r="H8" s="12" t="n">
        <f aca="false">G8/60</f>
        <v>3</v>
      </c>
      <c r="I8" s="14" t="n">
        <f aca="false">G8/SUMIFS(Datos!$M$2:$M$319,Datos!$A$2:$A$319,"Enero")</f>
        <v>0.0647016534867002</v>
      </c>
      <c r="J8" s="18" t="s">
        <v>320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"/>
      <c r="B10" s="41" t="s">
        <v>938</v>
      </c>
      <c r="C10" s="1"/>
      <c r="D10" s="1"/>
      <c r="E10" s="1"/>
      <c r="F10" s="1"/>
      <c r="G10" s="1"/>
      <c r="H10" s="1"/>
      <c r="I10" s="1"/>
      <c r="J10" s="1"/>
    </row>
    <row r="11" customFormat="false" ht="23.85" hidden="false" customHeight="false" outlineLevel="0" collapsed="false">
      <c r="A11" s="1"/>
      <c r="B11" s="9" t="s">
        <v>45</v>
      </c>
      <c r="C11" s="9" t="s">
        <v>46</v>
      </c>
      <c r="D11" s="9" t="s">
        <v>18</v>
      </c>
      <c r="E11" s="9" t="s">
        <v>32</v>
      </c>
      <c r="F11" s="9" t="s">
        <v>876</v>
      </c>
      <c r="G11" s="9" t="s">
        <v>11</v>
      </c>
      <c r="H11" s="9" t="s">
        <v>12</v>
      </c>
      <c r="I11" s="9" t="s">
        <v>937</v>
      </c>
      <c r="J11" s="9" t="s">
        <v>47</v>
      </c>
    </row>
    <row r="12" customFormat="false" ht="15" hidden="false" customHeight="false" outlineLevel="0" collapsed="false">
      <c r="A12" s="1"/>
      <c r="B12" s="10" t="n">
        <v>1</v>
      </c>
      <c r="C12" s="40" t="n">
        <v>46164</v>
      </c>
      <c r="D12" s="10" t="s">
        <v>20</v>
      </c>
      <c r="E12" s="10" t="s">
        <v>35</v>
      </c>
      <c r="F12" s="10" t="n">
        <f aca="false">COUNTIFS(Datos!$C$2:$C$319,C12,Datos!$D$2:$D$319,D12,Datos!$H$2:$H$319,E12)</f>
        <v>8</v>
      </c>
      <c r="G12" s="10" t="n">
        <f aca="false">SUMIFS(Datos!$M$2:$M$319,Datos!$C$2:$C$319,C12,Datos!$D$2:$D$319,D12,Datos!$H$2:$H$319,E12)</f>
        <v>420</v>
      </c>
      <c r="H12" s="12" t="n">
        <f aca="false">G12/60</f>
        <v>7</v>
      </c>
      <c r="I12" s="14" t="n">
        <f aca="false">G12/SUMIFS(Datos!$M$2:$M$319,Datos!$A$2:$A$319,"Mayo")</f>
        <v>0.0926334362593736</v>
      </c>
      <c r="J12" s="18" t="s">
        <v>889</v>
      </c>
    </row>
    <row r="13" customFormat="false" ht="15" hidden="false" customHeight="false" outlineLevel="0" collapsed="false">
      <c r="A13" s="1"/>
      <c r="B13" s="10" t="n">
        <v>2</v>
      </c>
      <c r="C13" s="40" t="n">
        <v>46165</v>
      </c>
      <c r="D13" s="10" t="s">
        <v>20</v>
      </c>
      <c r="E13" s="10" t="s">
        <v>35</v>
      </c>
      <c r="F13" s="10" t="n">
        <f aca="false">COUNTIFS(Datos!$C$2:$C$319,C13,Datos!$D$2:$D$319,D13,Datos!$H$2:$H$319,E13)</f>
        <v>1</v>
      </c>
      <c r="G13" s="10" t="n">
        <f aca="false">SUMIFS(Datos!$M$2:$M$319,Datos!$C$2:$C$319,C13,Datos!$D$2:$D$319,D13,Datos!$H$2:$H$319,E13)</f>
        <v>400</v>
      </c>
      <c r="H13" s="12" t="n">
        <f aca="false">G13/60</f>
        <v>6.66666666666667</v>
      </c>
      <c r="I13" s="14" t="n">
        <f aca="false">G13/SUMIFS(Datos!$M$2:$M$319,Datos!$A$2:$A$319,"Mayo")</f>
        <v>0.0882223202470225</v>
      </c>
      <c r="J13" s="18" t="s">
        <v>609</v>
      </c>
    </row>
    <row r="14" customFormat="false" ht="15" hidden="false" customHeight="false" outlineLevel="0" collapsed="false">
      <c r="A14" s="1"/>
      <c r="B14" s="10" t="n">
        <v>3</v>
      </c>
      <c r="C14" s="40" t="n">
        <v>46158</v>
      </c>
      <c r="D14" s="10" t="s">
        <v>20</v>
      </c>
      <c r="E14" s="10" t="s">
        <v>34</v>
      </c>
      <c r="F14" s="10" t="n">
        <f aca="false">COUNTIFS(Datos!$C$2:$C$319,C14,Datos!$D$2:$D$319,D14,Datos!$H$2:$H$319,E14)</f>
        <v>6</v>
      </c>
      <c r="G14" s="10" t="n">
        <f aca="false">SUMIFS(Datos!$M$2:$M$319,Datos!$C$2:$C$319,C14,Datos!$D$2:$D$319,D14,Datos!$H$2:$H$319,E14)</f>
        <v>348</v>
      </c>
      <c r="H14" s="12" t="n">
        <f aca="false">G14/60</f>
        <v>5.8</v>
      </c>
      <c r="I14" s="14" t="n">
        <f aca="false">G14/SUMIFS(Datos!$M$2:$M$319,Datos!$A$2:$A$319,"Mayo")</f>
        <v>0.0767534186149096</v>
      </c>
      <c r="J14" s="18" t="s">
        <v>890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41" t="s">
        <v>939</v>
      </c>
      <c r="C16" s="1"/>
      <c r="D16" s="1"/>
      <c r="E16" s="1"/>
      <c r="F16" s="1"/>
      <c r="G16" s="1"/>
      <c r="H16" s="1"/>
      <c r="I16" s="1"/>
      <c r="J16" s="1"/>
    </row>
    <row r="17" customFormat="false" ht="23.85" hidden="false" customHeight="false" outlineLevel="0" collapsed="false">
      <c r="A17" s="1"/>
      <c r="B17" s="9" t="s">
        <v>45</v>
      </c>
      <c r="C17" s="9" t="s">
        <v>46</v>
      </c>
      <c r="D17" s="9" t="s">
        <v>18</v>
      </c>
      <c r="E17" s="9" t="s">
        <v>32</v>
      </c>
      <c r="F17" s="9" t="s">
        <v>876</v>
      </c>
      <c r="G17" s="9" t="s">
        <v>11</v>
      </c>
      <c r="H17" s="9" t="s">
        <v>12</v>
      </c>
      <c r="I17" s="9" t="s">
        <v>937</v>
      </c>
      <c r="J17" s="9" t="s">
        <v>47</v>
      </c>
    </row>
    <row r="18" customFormat="false" ht="15" hidden="false" customHeight="false" outlineLevel="0" collapsed="false">
      <c r="A18" s="1"/>
      <c r="B18" s="10" t="n">
        <v>1</v>
      </c>
      <c r="C18" s="40" t="n">
        <v>46184</v>
      </c>
      <c r="D18" s="10" t="s">
        <v>23</v>
      </c>
      <c r="E18" s="10" t="s">
        <v>36</v>
      </c>
      <c r="F18" s="10" t="n">
        <f aca="false">COUNTIFS(Datos!$C$2:$C$319,C18,Datos!$D$2:$D$319,D18,Datos!$H$2:$H$319,E18)</f>
        <v>1</v>
      </c>
      <c r="G18" s="10" t="n">
        <f aca="false">SUMIFS(Datos!$M$2:$M$319,Datos!$C$2:$C$319,C18,Datos!$D$2:$D$319,D18,Datos!$H$2:$H$319,E18)</f>
        <v>440</v>
      </c>
      <c r="H18" s="12" t="n">
        <f aca="false">G18/60</f>
        <v>7.33333333333333</v>
      </c>
      <c r="I18" s="14" t="n">
        <f aca="false">G18/SUMIFS(Datos!$M$2:$M$319,Datos!$A$2:$A$319,"Junio")</f>
        <v>0.15130674002751</v>
      </c>
      <c r="J18" s="18" t="s">
        <v>693</v>
      </c>
    </row>
    <row r="19" customFormat="false" ht="15" hidden="false" customHeight="false" outlineLevel="0" collapsed="false">
      <c r="A19" s="1"/>
      <c r="B19" s="10" t="n">
        <v>2</v>
      </c>
      <c r="C19" s="40" t="n">
        <v>46193</v>
      </c>
      <c r="D19" s="10" t="s">
        <v>20</v>
      </c>
      <c r="E19" s="10" t="s">
        <v>34</v>
      </c>
      <c r="F19" s="10" t="n">
        <f aca="false">COUNTIFS(Datos!$C$2:$C$319,C19,Datos!$D$2:$D$319,D19,Datos!$H$2:$H$319,E19)</f>
        <v>7</v>
      </c>
      <c r="G19" s="10" t="n">
        <f aca="false">SUMIFS(Datos!$M$2:$M$319,Datos!$C$2:$C$319,C19,Datos!$D$2:$D$319,D19,Datos!$H$2:$H$319,E19)</f>
        <v>334</v>
      </c>
      <c r="H19" s="12" t="n">
        <f aca="false">G19/60</f>
        <v>5.56666666666667</v>
      </c>
      <c r="I19" s="14" t="n">
        <f aca="false">G19/SUMIFS(Datos!$M$2:$M$319,Datos!$A$2:$A$319,"Junio")</f>
        <v>0.114855570839065</v>
      </c>
      <c r="J19" s="18" t="s">
        <v>910</v>
      </c>
    </row>
    <row r="20" customFormat="false" ht="23.85" hidden="false" customHeight="false" outlineLevel="0" collapsed="false">
      <c r="A20" s="1"/>
      <c r="B20" s="10" t="n">
        <v>3</v>
      </c>
      <c r="C20" s="40" t="n">
        <v>46198</v>
      </c>
      <c r="D20" s="10" t="s">
        <v>26</v>
      </c>
      <c r="E20" s="10" t="s">
        <v>34</v>
      </c>
      <c r="F20" s="10" t="n">
        <f aca="false">COUNTIFS(Datos!$C$2:$C$319,C20,Datos!$D$2:$D$319,D20,Datos!$H$2:$H$319,E20)</f>
        <v>7</v>
      </c>
      <c r="G20" s="10" t="n">
        <f aca="false">SUMIFS(Datos!$M$2:$M$319,Datos!$C$2:$C$319,C20,Datos!$D$2:$D$319,D20,Datos!$H$2:$H$319,E20)</f>
        <v>230</v>
      </c>
      <c r="H20" s="12" t="n">
        <f aca="false">G20/60</f>
        <v>3.83333333333333</v>
      </c>
      <c r="I20" s="14" t="n">
        <f aca="false">G20/SUMIFS(Datos!$M$2:$M$319,Datos!$A$2:$A$319,"Junio")</f>
        <v>0.0790921595598349</v>
      </c>
      <c r="J20" s="18" t="s">
        <v>911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41" t="s">
        <v>940</v>
      </c>
      <c r="C22" s="1"/>
      <c r="D22" s="1"/>
      <c r="E22" s="1"/>
      <c r="F22" s="1"/>
      <c r="G22" s="1"/>
      <c r="H22" s="1"/>
      <c r="I22" s="1"/>
      <c r="J22" s="1"/>
    </row>
    <row r="23" customFormat="false" ht="23.85" hidden="false" customHeight="false" outlineLevel="0" collapsed="false">
      <c r="A23" s="1"/>
      <c r="B23" s="9" t="s">
        <v>45</v>
      </c>
      <c r="C23" s="9" t="s">
        <v>46</v>
      </c>
      <c r="D23" s="9" t="s">
        <v>18</v>
      </c>
      <c r="E23" s="9" t="s">
        <v>32</v>
      </c>
      <c r="F23" s="9" t="s">
        <v>876</v>
      </c>
      <c r="G23" s="9" t="s">
        <v>11</v>
      </c>
      <c r="H23" s="9" t="s">
        <v>12</v>
      </c>
      <c r="I23" s="9" t="s">
        <v>937</v>
      </c>
      <c r="J23" s="9" t="s">
        <v>47</v>
      </c>
    </row>
    <row r="24" customFormat="false" ht="15" hidden="false" customHeight="false" outlineLevel="0" collapsed="false">
      <c r="A24" s="1"/>
      <c r="B24" s="10" t="n">
        <v>1</v>
      </c>
      <c r="C24" s="40" t="n">
        <v>46231</v>
      </c>
      <c r="D24" s="10" t="s">
        <v>26</v>
      </c>
      <c r="E24" s="10" t="s">
        <v>34</v>
      </c>
      <c r="F24" s="10" t="n">
        <f aca="false">COUNTIFS(Datos!$C$2:$C$319,C24,Datos!$D$2:$D$319,D24,Datos!$H$2:$H$319,E24)</f>
        <v>4</v>
      </c>
      <c r="G24" s="10" t="n">
        <f aca="false">SUMIFS(Datos!$M$2:$M$319,Datos!$C$2:$C$319,C24,Datos!$D$2:$D$319,D24,Datos!$H$2:$H$319,E24)</f>
        <v>270</v>
      </c>
      <c r="H24" s="12" t="n">
        <f aca="false">G24/60</f>
        <v>4.5</v>
      </c>
      <c r="I24" s="14" t="n">
        <f aca="false">G24/SUMIFS(Datos!$M$2:$M$319,Datos!$A$2:$A$319,"Julio")</f>
        <v>0.152198421645998</v>
      </c>
      <c r="J24" s="18" t="s">
        <v>926</v>
      </c>
    </row>
    <row r="25" customFormat="false" ht="15" hidden="false" customHeight="false" outlineLevel="0" collapsed="false">
      <c r="A25" s="1"/>
      <c r="B25" s="10" t="n">
        <v>2</v>
      </c>
      <c r="C25" s="40" t="n">
        <v>46218</v>
      </c>
      <c r="D25" s="10" t="s">
        <v>24</v>
      </c>
      <c r="E25" s="10" t="s">
        <v>34</v>
      </c>
      <c r="F25" s="10" t="n">
        <f aca="false">COUNTIFS(Datos!$C$2:$C$319,C25,Datos!$D$2:$D$319,D25,Datos!$H$2:$H$319,E25)</f>
        <v>4</v>
      </c>
      <c r="G25" s="10" t="n">
        <f aca="false">SUMIFS(Datos!$M$2:$M$319,Datos!$C$2:$C$319,C25,Datos!$D$2:$D$319,D25,Datos!$H$2:$H$319,E25)</f>
        <v>191</v>
      </c>
      <c r="H25" s="12" t="n">
        <f aca="false">G25/60</f>
        <v>3.18333333333333</v>
      </c>
      <c r="I25" s="14" t="n">
        <f aca="false">G25/SUMIFS(Datos!$M$2:$M$319,Datos!$A$2:$A$319,"Julio")</f>
        <v>0.107666290868095</v>
      </c>
      <c r="J25" s="18" t="s">
        <v>927</v>
      </c>
    </row>
    <row r="26" customFormat="false" ht="15" hidden="false" customHeight="false" outlineLevel="0" collapsed="false">
      <c r="A26" s="1"/>
      <c r="B26" s="10" t="n">
        <v>3</v>
      </c>
      <c r="C26" s="40" t="n">
        <v>46207</v>
      </c>
      <c r="D26" s="10" t="s">
        <v>21</v>
      </c>
      <c r="E26" s="10" t="s">
        <v>771</v>
      </c>
      <c r="F26" s="10" t="n">
        <f aca="false">COUNTIFS(Datos!$C$2:$C$319,C26,Datos!$D$2:$D$319,D26,Datos!$H$2:$H$319,E26)</f>
        <v>2</v>
      </c>
      <c r="G26" s="10" t="n">
        <f aca="false">SUMIFS(Datos!$M$2:$M$319,Datos!$C$2:$C$319,C26,Datos!$D$2:$D$319,D26,Datos!$H$2:$H$319,E26)</f>
        <v>90</v>
      </c>
      <c r="H26" s="12" t="n">
        <f aca="false">G26/60</f>
        <v>1.5</v>
      </c>
      <c r="I26" s="14" t="n">
        <f aca="false">G26/SUMIFS(Datos!$M$2:$M$319,Datos!$A$2:$A$319,"Julio")</f>
        <v>0.0507328072153326</v>
      </c>
      <c r="J26" s="18" t="s">
        <v>928</v>
      </c>
    </row>
    <row r="27" customFormat="false" ht="23.85" hidden="false" customHeight="false" outlineLevel="0" collapsed="false">
      <c r="A27" s="1"/>
      <c r="B27" s="10" t="n">
        <v>3</v>
      </c>
      <c r="C27" s="40" t="n">
        <v>46209</v>
      </c>
      <c r="D27" s="10" t="s">
        <v>24</v>
      </c>
      <c r="E27" s="10" t="s">
        <v>776</v>
      </c>
      <c r="F27" s="10" t="n">
        <f aca="false">COUNTIFS(Datos!$C$2:$C$319,C27,Datos!$D$2:$D$319,D27,Datos!$H$2:$H$319,E27)</f>
        <v>2</v>
      </c>
      <c r="G27" s="10" t="n">
        <f aca="false">SUMIFS(Datos!$M$2:$M$319,Datos!$C$2:$C$319,C27,Datos!$D$2:$D$319,D27,Datos!$H$2:$H$319,E27)</f>
        <v>90</v>
      </c>
      <c r="H27" s="12" t="n">
        <f aca="false">G27/60</f>
        <v>1.5</v>
      </c>
      <c r="I27" s="14" t="n">
        <f aca="false">G27/SUMIFS(Datos!$M$2:$M$319,Datos!$A$2:$A$319,"Julio")</f>
        <v>0.0507328072153326</v>
      </c>
      <c r="J27" s="18" t="s">
        <v>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70"/>
  </cols>
  <sheetData>
    <row r="1" customFormat="false" ht="19.7" hidden="false" customHeight="false" outlineLevel="0" collapsed="false">
      <c r="A1" s="1"/>
      <c r="B1" s="26" t="s">
        <v>941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3" t="s">
        <v>942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41" t="s">
        <v>936</v>
      </c>
      <c r="C4" s="1"/>
      <c r="D4" s="1"/>
      <c r="E4" s="1"/>
      <c r="F4" s="1"/>
      <c r="G4" s="1"/>
      <c r="H4" s="1"/>
      <c r="I4" s="1"/>
    </row>
    <row r="5" customFormat="false" ht="23.85" hidden="false" customHeight="false" outlineLevel="0" collapsed="false">
      <c r="A5" s="1"/>
      <c r="B5" s="9" t="s">
        <v>45</v>
      </c>
      <c r="C5" s="9" t="s">
        <v>18</v>
      </c>
      <c r="D5" s="9" t="s">
        <v>10</v>
      </c>
      <c r="E5" s="9" t="s">
        <v>11</v>
      </c>
      <c r="F5" s="9" t="s">
        <v>937</v>
      </c>
      <c r="G5" s="9" t="s">
        <v>943</v>
      </c>
      <c r="H5" s="9" t="s">
        <v>944</v>
      </c>
      <c r="I5" s="9" t="s">
        <v>945</v>
      </c>
    </row>
    <row r="6" customFormat="false" ht="15" hidden="false" customHeight="false" outlineLevel="0" collapsed="false">
      <c r="A6" s="1"/>
      <c r="B6" s="10" t="n">
        <v>1</v>
      </c>
      <c r="C6" s="10" t="s">
        <v>22</v>
      </c>
      <c r="D6" s="10" t="n">
        <f aca="false">COUNTIFS(Datos!$A$2:$A$319,"Enero",Datos!$D$2:$D$319,C6)</f>
        <v>23</v>
      </c>
      <c r="E6" s="10" t="n">
        <f aca="false">SUMIFS(Datos!$M$2:$M$319,Datos!$A$2:$A$319,"Enero",Datos!$D$2:$D$319,C6)</f>
        <v>945</v>
      </c>
      <c r="F6" s="14" t="n">
        <f aca="false">E6/SUMIFS(Datos!$M$2:$M$319,Datos!$A$2:$A$319,"Enero")</f>
        <v>0.339683680805176</v>
      </c>
      <c r="G6" s="10" t="s">
        <v>34</v>
      </c>
      <c r="H6" s="10" t="n">
        <f aca="false">SUMIFS(Datos!$M$2:$M$319,Datos!$A$2:$A$319,"Enero",Datos!$D$2:$D$319,C6,Datos!$H$2:$H$319,G6)</f>
        <v>624</v>
      </c>
      <c r="I6" s="18" t="s">
        <v>257</v>
      </c>
    </row>
    <row r="7" customFormat="false" ht="15" hidden="false" customHeight="false" outlineLevel="0" collapsed="false">
      <c r="A7" s="1"/>
      <c r="B7" s="10" t="n">
        <v>2</v>
      </c>
      <c r="C7" s="10" t="s">
        <v>24</v>
      </c>
      <c r="D7" s="10" t="n">
        <f aca="false">COUNTIFS(Datos!$A$2:$A$319,"Enero",Datos!$D$2:$D$319,C7)</f>
        <v>18</v>
      </c>
      <c r="E7" s="10" t="n">
        <f aca="false">SUMIFS(Datos!$M$2:$M$319,Datos!$A$2:$A$319,"Enero",Datos!$D$2:$D$319,C7)</f>
        <v>599</v>
      </c>
      <c r="F7" s="14" t="n">
        <f aca="false">E7/SUMIFS(Datos!$M$2:$M$319,Datos!$A$2:$A$319,"Enero")</f>
        <v>0.215312724658519</v>
      </c>
      <c r="G7" s="10" t="s">
        <v>39</v>
      </c>
      <c r="H7" s="10" t="n">
        <f aca="false">SUMIFS(Datos!$M$2:$M$319,Datos!$A$2:$A$319,"Enero",Datos!$D$2:$D$319,C7,Datos!$H$2:$H$319,G7)</f>
        <v>348</v>
      </c>
      <c r="I7" s="18" t="s">
        <v>946</v>
      </c>
    </row>
    <row r="8" customFormat="false" ht="15" hidden="false" customHeight="false" outlineLevel="0" collapsed="false">
      <c r="A8" s="1"/>
      <c r="B8" s="10" t="n">
        <v>3</v>
      </c>
      <c r="C8" s="10" t="s">
        <v>25</v>
      </c>
      <c r="D8" s="10" t="n">
        <f aca="false">COUNTIFS(Datos!$A$2:$A$319,"Enero",Datos!$D$2:$D$319,C8)</f>
        <v>9</v>
      </c>
      <c r="E8" s="10" t="n">
        <f aca="false">SUMIFS(Datos!$M$2:$M$319,Datos!$A$2:$A$319,"Enero",Datos!$D$2:$D$319,C8)</f>
        <v>489</v>
      </c>
      <c r="F8" s="14" t="n">
        <f aca="false">E8/SUMIFS(Datos!$M$2:$M$319,Datos!$A$2:$A$319,"Enero")</f>
        <v>0.175772825305536</v>
      </c>
      <c r="G8" s="10" t="s">
        <v>406</v>
      </c>
      <c r="H8" s="10" t="n">
        <f aca="false">SUMIFS(Datos!$M$2:$M$319,Datos!$A$2:$A$319,"Enero",Datos!$D$2:$D$319,C8,Datos!$H$2:$H$319,G8)</f>
        <v>200</v>
      </c>
      <c r="I8" s="18" t="s">
        <v>408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41" t="s">
        <v>938</v>
      </c>
      <c r="C10" s="1"/>
      <c r="D10" s="1"/>
      <c r="E10" s="1"/>
      <c r="F10" s="1"/>
      <c r="G10" s="1"/>
      <c r="H10" s="1"/>
      <c r="I10" s="1"/>
    </row>
    <row r="11" customFormat="false" ht="23.85" hidden="false" customHeight="false" outlineLevel="0" collapsed="false">
      <c r="A11" s="1"/>
      <c r="B11" s="9" t="s">
        <v>45</v>
      </c>
      <c r="C11" s="9" t="s">
        <v>18</v>
      </c>
      <c r="D11" s="9" t="s">
        <v>10</v>
      </c>
      <c r="E11" s="9" t="s">
        <v>11</v>
      </c>
      <c r="F11" s="9" t="s">
        <v>937</v>
      </c>
      <c r="G11" s="9" t="s">
        <v>943</v>
      </c>
      <c r="H11" s="9" t="s">
        <v>944</v>
      </c>
      <c r="I11" s="9" t="s">
        <v>945</v>
      </c>
    </row>
    <row r="12" customFormat="false" ht="15" hidden="false" customHeight="false" outlineLevel="0" collapsed="false">
      <c r="A12" s="1"/>
      <c r="B12" s="10" t="n">
        <v>1</v>
      </c>
      <c r="C12" s="10" t="s">
        <v>20</v>
      </c>
      <c r="D12" s="10" t="n">
        <f aca="false">COUNTIFS(Datos!$A$2:$A$319,"Mayo",Datos!$D$2:$D$319,C12)</f>
        <v>49</v>
      </c>
      <c r="E12" s="10" t="n">
        <f aca="false">SUMIFS(Datos!$M$2:$M$319,Datos!$A$2:$A$319,"Mayo",Datos!$D$2:$D$319,C12)</f>
        <v>2458</v>
      </c>
      <c r="F12" s="14" t="n">
        <f aca="false">E12/SUMIFS(Datos!$M$2:$M$319,Datos!$A$2:$A$319,"Mayo")</f>
        <v>0.542126157917953</v>
      </c>
      <c r="G12" s="10" t="s">
        <v>35</v>
      </c>
      <c r="H12" s="10" t="n">
        <f aca="false">SUMIFS(Datos!$M$2:$M$319,Datos!$A$2:$A$319,"Mayo",Datos!$D$2:$D$319,C12,Datos!$H$2:$H$319,G12)</f>
        <v>1417</v>
      </c>
      <c r="I12" s="18" t="s">
        <v>155</v>
      </c>
    </row>
    <row r="13" customFormat="false" ht="15" hidden="false" customHeight="false" outlineLevel="0" collapsed="false">
      <c r="A13" s="1"/>
      <c r="B13" s="10" t="n">
        <v>2</v>
      </c>
      <c r="C13" s="10" t="s">
        <v>21</v>
      </c>
      <c r="D13" s="10" t="n">
        <f aca="false">COUNTIFS(Datos!$A$2:$A$319,"Mayo",Datos!$D$2:$D$319,C13)</f>
        <v>15</v>
      </c>
      <c r="E13" s="10" t="n">
        <f aca="false">SUMIFS(Datos!$M$2:$M$319,Datos!$A$2:$A$319,"Mayo",Datos!$D$2:$D$319,C13)</f>
        <v>692</v>
      </c>
      <c r="F13" s="14" t="n">
        <f aca="false">E13/SUMIFS(Datos!$M$2:$M$319,Datos!$A$2:$A$319,"Mayo")</f>
        <v>0.152624614027349</v>
      </c>
      <c r="G13" s="10" t="s">
        <v>34</v>
      </c>
      <c r="H13" s="10" t="n">
        <f aca="false">SUMIFS(Datos!$M$2:$M$319,Datos!$A$2:$A$319,"Mayo",Datos!$D$2:$D$319,C13,Datos!$H$2:$H$319,G13)</f>
        <v>323</v>
      </c>
      <c r="I13" s="18" t="s">
        <v>947</v>
      </c>
    </row>
    <row r="14" customFormat="false" ht="15" hidden="false" customHeight="false" outlineLevel="0" collapsed="false">
      <c r="A14" s="1"/>
      <c r="B14" s="10" t="n">
        <v>3</v>
      </c>
      <c r="C14" s="10" t="s">
        <v>23</v>
      </c>
      <c r="D14" s="10" t="n">
        <f aca="false">COUNTIFS(Datos!$A$2:$A$319,"Mayo",Datos!$D$2:$D$319,C14)</f>
        <v>19</v>
      </c>
      <c r="E14" s="10" t="n">
        <f aca="false">SUMIFS(Datos!$M$2:$M$319,Datos!$A$2:$A$319,"Mayo",Datos!$D$2:$D$319,C14)</f>
        <v>549</v>
      </c>
      <c r="F14" s="14" t="n">
        <f aca="false">E14/SUMIFS(Datos!$M$2:$M$319,Datos!$A$2:$A$319,"Mayo")</f>
        <v>0.121085134539038</v>
      </c>
      <c r="G14" s="10" t="s">
        <v>40</v>
      </c>
      <c r="H14" s="10" t="n">
        <f aca="false">SUMIFS(Datos!$M$2:$M$319,Datos!$A$2:$A$319,"Mayo",Datos!$D$2:$D$319,C14,Datos!$H$2:$H$319,G14)</f>
        <v>217</v>
      </c>
      <c r="I14" s="18" t="s">
        <v>948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41" t="s">
        <v>939</v>
      </c>
      <c r="C16" s="1"/>
      <c r="D16" s="1"/>
      <c r="E16" s="1"/>
      <c r="F16" s="1"/>
      <c r="G16" s="1"/>
      <c r="H16" s="1"/>
      <c r="I16" s="1"/>
    </row>
    <row r="17" customFormat="false" ht="23.85" hidden="false" customHeight="false" outlineLevel="0" collapsed="false">
      <c r="A17" s="1"/>
      <c r="B17" s="9" t="s">
        <v>45</v>
      </c>
      <c r="C17" s="9" t="s">
        <v>18</v>
      </c>
      <c r="D17" s="9" t="s">
        <v>10</v>
      </c>
      <c r="E17" s="9" t="s">
        <v>11</v>
      </c>
      <c r="F17" s="9" t="s">
        <v>937</v>
      </c>
      <c r="G17" s="9" t="s">
        <v>943</v>
      </c>
      <c r="H17" s="9" t="s">
        <v>944</v>
      </c>
      <c r="I17" s="9" t="s">
        <v>945</v>
      </c>
    </row>
    <row r="18" customFormat="false" ht="15" hidden="false" customHeight="false" outlineLevel="0" collapsed="false">
      <c r="A18" s="1"/>
      <c r="B18" s="10" t="n">
        <v>1</v>
      </c>
      <c r="C18" s="10" t="s">
        <v>20</v>
      </c>
      <c r="D18" s="10" t="n">
        <f aca="false">COUNTIFS(Datos!$A$2:$A$319,"Junio",Datos!$D$2:$D$319,C18)</f>
        <v>15</v>
      </c>
      <c r="E18" s="10" t="n">
        <f aca="false">SUMIFS(Datos!$M$2:$M$319,Datos!$A$2:$A$319,"Junio",Datos!$D$2:$D$319,C18)</f>
        <v>774</v>
      </c>
      <c r="F18" s="14" t="n">
        <f aca="false">E18/SUMIFS(Datos!$M$2:$M$319,Datos!$A$2:$A$319,"Junio")</f>
        <v>0.266162310866575</v>
      </c>
      <c r="G18" s="10" t="s">
        <v>34</v>
      </c>
      <c r="H18" s="10" t="n">
        <f aca="false">SUMIFS(Datos!$M$2:$M$319,Datos!$A$2:$A$319,"Junio",Datos!$D$2:$D$319,C18,Datos!$H$2:$H$319,G18)</f>
        <v>774</v>
      </c>
      <c r="I18" s="18" t="s">
        <v>155</v>
      </c>
    </row>
    <row r="19" customFormat="false" ht="15" hidden="false" customHeight="false" outlineLevel="0" collapsed="false">
      <c r="A19" s="1"/>
      <c r="B19" s="10" t="n">
        <v>2</v>
      </c>
      <c r="C19" s="10" t="s">
        <v>23</v>
      </c>
      <c r="D19" s="10" t="n">
        <f aca="false">COUNTIFS(Datos!$A$2:$A$319,"Junio",Datos!$D$2:$D$319,C19)</f>
        <v>2</v>
      </c>
      <c r="E19" s="10" t="n">
        <f aca="false">SUMIFS(Datos!$M$2:$M$319,Datos!$A$2:$A$319,"Junio",Datos!$D$2:$D$319,C19)</f>
        <v>498</v>
      </c>
      <c r="F19" s="14" t="n">
        <f aca="false">E19/SUMIFS(Datos!$M$2:$M$319,Datos!$A$2:$A$319,"Junio")</f>
        <v>0.171251719394773</v>
      </c>
      <c r="G19" s="10" t="s">
        <v>36</v>
      </c>
      <c r="H19" s="10" t="n">
        <f aca="false">SUMIFS(Datos!$M$2:$M$319,Datos!$A$2:$A$319,"Junio",Datos!$D$2:$D$319,C19,Datos!$H$2:$H$319,G19)</f>
        <v>498</v>
      </c>
      <c r="I19" s="18" t="s">
        <v>949</v>
      </c>
    </row>
    <row r="20" customFormat="false" ht="15" hidden="false" customHeight="false" outlineLevel="0" collapsed="false">
      <c r="A20" s="1"/>
      <c r="B20" s="10" t="n">
        <v>3</v>
      </c>
      <c r="C20" s="10" t="s">
        <v>21</v>
      </c>
      <c r="D20" s="10" t="n">
        <f aca="false">COUNTIFS(Datos!$A$2:$A$319,"Junio",Datos!$D$2:$D$319,C20)</f>
        <v>16</v>
      </c>
      <c r="E20" s="10" t="n">
        <f aca="false">SUMIFS(Datos!$M$2:$M$319,Datos!$A$2:$A$319,"Junio",Datos!$D$2:$D$319,C20)</f>
        <v>483</v>
      </c>
      <c r="F20" s="14" t="n">
        <f aca="false">E20/SUMIFS(Datos!$M$2:$M$319,Datos!$A$2:$A$319,"Junio")</f>
        <v>0.166093535075653</v>
      </c>
      <c r="G20" s="10" t="s">
        <v>34</v>
      </c>
      <c r="H20" s="10" t="n">
        <f aca="false">SUMIFS(Datos!$M$2:$M$319,Datos!$A$2:$A$319,"Junio",Datos!$D$2:$D$319,C20,Datos!$H$2:$H$319,G20)</f>
        <v>218</v>
      </c>
      <c r="I20" s="18" t="s">
        <v>703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41" t="s">
        <v>940</v>
      </c>
      <c r="C22" s="1"/>
      <c r="D22" s="1"/>
      <c r="E22" s="1"/>
      <c r="F22" s="1"/>
      <c r="G22" s="1"/>
      <c r="H22" s="1"/>
      <c r="I22" s="1"/>
    </row>
    <row r="23" customFormat="false" ht="23.85" hidden="false" customHeight="false" outlineLevel="0" collapsed="false">
      <c r="A23" s="1"/>
      <c r="B23" s="9" t="s">
        <v>45</v>
      </c>
      <c r="C23" s="9" t="s">
        <v>18</v>
      </c>
      <c r="D23" s="9" t="s">
        <v>10</v>
      </c>
      <c r="E23" s="9" t="s">
        <v>11</v>
      </c>
      <c r="F23" s="9" t="s">
        <v>937</v>
      </c>
      <c r="G23" s="9" t="s">
        <v>943</v>
      </c>
      <c r="H23" s="9" t="s">
        <v>944</v>
      </c>
      <c r="I23" s="9" t="s">
        <v>945</v>
      </c>
    </row>
    <row r="24" customFormat="false" ht="15" hidden="false" customHeight="false" outlineLevel="0" collapsed="false">
      <c r="A24" s="1"/>
      <c r="B24" s="10" t="n">
        <v>1</v>
      </c>
      <c r="C24" s="10" t="s">
        <v>24</v>
      </c>
      <c r="D24" s="10" t="n">
        <f aca="false">COUNTIFS(Datos!$A$2:$A$319,"Julio",Datos!$D$2:$D$319,C24)</f>
        <v>11</v>
      </c>
      <c r="E24" s="10" t="n">
        <f aca="false">SUMIFS(Datos!$M$2:$M$319,Datos!$A$2:$A$319,"Julio",Datos!$D$2:$D$319,C24)</f>
        <v>438</v>
      </c>
      <c r="F24" s="14" t="n">
        <f aca="false">E24/SUMIFS(Datos!$M$2:$M$319,Datos!$A$2:$A$319,"Julio")</f>
        <v>0.246899661781285</v>
      </c>
      <c r="G24" s="10" t="s">
        <v>34</v>
      </c>
      <c r="H24" s="10" t="n">
        <f aca="false">SUMIFS(Datos!$M$2:$M$319,Datos!$A$2:$A$319,"Julio",Datos!$D$2:$D$319,C24,Datos!$H$2:$H$319,G24)</f>
        <v>191</v>
      </c>
      <c r="I24" s="18" t="s">
        <v>161</v>
      </c>
    </row>
    <row r="25" customFormat="false" ht="15" hidden="false" customHeight="false" outlineLevel="0" collapsed="false">
      <c r="A25" s="1"/>
      <c r="B25" s="10" t="n">
        <v>2</v>
      </c>
      <c r="C25" s="10" t="s">
        <v>21</v>
      </c>
      <c r="D25" s="10" t="n">
        <f aca="false">COUNTIFS(Datos!$A$2:$A$319,"Julio",Datos!$D$2:$D$319,C25)</f>
        <v>10</v>
      </c>
      <c r="E25" s="10" t="n">
        <f aca="false">SUMIFS(Datos!$M$2:$M$319,Datos!$A$2:$A$319,"Julio",Datos!$D$2:$D$319,C25)</f>
        <v>398</v>
      </c>
      <c r="F25" s="14" t="n">
        <f aca="false">E25/SUMIFS(Datos!$M$2:$M$319,Datos!$A$2:$A$319,"Julio")</f>
        <v>0.22435174746336</v>
      </c>
      <c r="G25" s="10" t="s">
        <v>841</v>
      </c>
      <c r="H25" s="10" t="n">
        <f aca="false">SUMIFS(Datos!$M$2:$M$319,Datos!$A$2:$A$319,"Julio",Datos!$D$2:$D$319,C25,Datos!$H$2:$H$319,G25)</f>
        <v>120</v>
      </c>
      <c r="I25" s="18" t="s">
        <v>950</v>
      </c>
    </row>
    <row r="26" customFormat="false" ht="15" hidden="false" customHeight="false" outlineLevel="0" collapsed="false">
      <c r="A26" s="1"/>
      <c r="B26" s="10" t="n">
        <v>3</v>
      </c>
      <c r="C26" s="10" t="s">
        <v>26</v>
      </c>
      <c r="D26" s="10" t="n">
        <f aca="false">COUNTIFS(Datos!$A$2:$A$319,"Julio",Datos!$D$2:$D$319,C26)</f>
        <v>6</v>
      </c>
      <c r="E26" s="10" t="n">
        <f aca="false">SUMIFS(Datos!$M$2:$M$319,Datos!$A$2:$A$319,"Julio",Datos!$D$2:$D$319,C26)</f>
        <v>312</v>
      </c>
      <c r="F26" s="14" t="n">
        <f aca="false">E26/SUMIFS(Datos!$M$2:$M$319,Datos!$A$2:$A$319,"Julio")</f>
        <v>0.17587373167982</v>
      </c>
      <c r="G26" s="10" t="s">
        <v>34</v>
      </c>
      <c r="H26" s="10" t="n">
        <f aca="false">SUMIFS(Datos!$M$2:$M$319,Datos!$A$2:$A$319,"Julio",Datos!$D$2:$D$319,C26,Datos!$H$2:$H$319,G26)</f>
        <v>270</v>
      </c>
      <c r="I26" s="18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8" min="7" style="0" width="8"/>
    <col collapsed="false" customWidth="true" hidden="false" outlineLevel="0" max="10" min="9" style="0" width="11"/>
    <col collapsed="false" customWidth="true" hidden="false" outlineLevel="0" max="11" min="11" style="0" width="40"/>
  </cols>
  <sheetData>
    <row r="1" customFormat="false" ht="19.7" hidden="false" customHeight="false" outlineLevel="0" collapsed="false">
      <c r="A1" s="1"/>
      <c r="B1" s="26" t="s">
        <v>7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3" t="s">
        <v>951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23.85" hidden="false" customHeight="false" outlineLevel="0" collapsed="false">
      <c r="A4" s="1"/>
      <c r="B4" s="9" t="s">
        <v>9</v>
      </c>
      <c r="C4" s="9" t="s">
        <v>167</v>
      </c>
      <c r="D4" s="9" t="s">
        <v>46</v>
      </c>
      <c r="E4" s="9" t="s">
        <v>18</v>
      </c>
      <c r="F4" s="9" t="s">
        <v>32</v>
      </c>
      <c r="G4" s="9" t="s">
        <v>877</v>
      </c>
      <c r="H4" s="9" t="s">
        <v>878</v>
      </c>
      <c r="I4" s="9" t="s">
        <v>952</v>
      </c>
      <c r="J4" s="9" t="s">
        <v>953</v>
      </c>
      <c r="K4" s="9" t="s">
        <v>954</v>
      </c>
    </row>
    <row r="5" customFormat="false" ht="15" hidden="false" customHeight="false" outlineLevel="0" collapsed="false">
      <c r="A5" s="1"/>
      <c r="B5" s="10" t="s">
        <v>13</v>
      </c>
      <c r="C5" s="10" t="n">
        <v>34877</v>
      </c>
      <c r="D5" s="40" t="n">
        <v>46039</v>
      </c>
      <c r="E5" s="10" t="s">
        <v>27</v>
      </c>
      <c r="F5" s="10" t="s">
        <v>37</v>
      </c>
      <c r="G5" s="10" t="s">
        <v>295</v>
      </c>
      <c r="H5" s="10" t="s">
        <v>222</v>
      </c>
      <c r="I5" s="10" t="n">
        <v>25</v>
      </c>
      <c r="J5" s="10" t="n">
        <v>25</v>
      </c>
      <c r="K5" s="10" t="s">
        <v>147</v>
      </c>
    </row>
    <row r="6" customFormat="false" ht="15" hidden="false" customHeight="false" outlineLevel="0" collapsed="false">
      <c r="A6" s="1"/>
      <c r="B6" s="10" t="s">
        <v>13</v>
      </c>
      <c r="C6" s="10" t="n">
        <v>35408</v>
      </c>
      <c r="D6" s="40" t="n">
        <v>46045</v>
      </c>
      <c r="E6" s="10" t="s">
        <v>24</v>
      </c>
      <c r="F6" s="10" t="s">
        <v>39</v>
      </c>
      <c r="G6" s="10" t="s">
        <v>297</v>
      </c>
      <c r="H6" s="10" t="s">
        <v>223</v>
      </c>
      <c r="I6" s="10" t="n">
        <v>20</v>
      </c>
      <c r="J6" s="10" t="n">
        <v>20</v>
      </c>
      <c r="K6" s="10" t="s">
        <v>147</v>
      </c>
    </row>
    <row r="7" customFormat="false" ht="15" hidden="false" customHeight="false" outlineLevel="0" collapsed="false">
      <c r="A7" s="1"/>
      <c r="B7" s="10" t="s">
        <v>13</v>
      </c>
      <c r="C7" s="10" t="n">
        <v>35409</v>
      </c>
      <c r="D7" s="40" t="n">
        <v>46045</v>
      </c>
      <c r="E7" s="10" t="s">
        <v>24</v>
      </c>
      <c r="F7" s="10" t="s">
        <v>39</v>
      </c>
      <c r="G7" s="10" t="s">
        <v>223</v>
      </c>
      <c r="H7" s="10" t="s">
        <v>379</v>
      </c>
      <c r="I7" s="10" t="n">
        <v>36</v>
      </c>
      <c r="J7" s="10" t="n">
        <v>36</v>
      </c>
      <c r="K7" s="10" t="s">
        <v>147</v>
      </c>
    </row>
    <row r="8" customFormat="false" ht="15" hidden="false" customHeight="false" outlineLevel="0" collapsed="false">
      <c r="A8" s="1"/>
      <c r="B8" s="10" t="s">
        <v>13</v>
      </c>
      <c r="C8" s="10" t="n">
        <v>35422</v>
      </c>
      <c r="D8" s="40" t="n">
        <v>46045</v>
      </c>
      <c r="E8" s="10" t="s">
        <v>22</v>
      </c>
      <c r="F8" s="10" t="s">
        <v>382</v>
      </c>
      <c r="G8" s="10" t="s">
        <v>385</v>
      </c>
      <c r="H8" s="10" t="s">
        <v>376</v>
      </c>
      <c r="I8" s="10" t="n">
        <v>5</v>
      </c>
      <c r="J8" s="10" t="n">
        <v>5</v>
      </c>
      <c r="K8" s="10" t="s">
        <v>147</v>
      </c>
    </row>
    <row r="9" customFormat="false" ht="15" hidden="false" customHeight="false" outlineLevel="0" collapsed="false">
      <c r="A9" s="1"/>
      <c r="B9" s="10" t="s">
        <v>13</v>
      </c>
      <c r="C9" s="10" t="n">
        <v>35748</v>
      </c>
      <c r="D9" s="40" t="n">
        <v>46050</v>
      </c>
      <c r="E9" s="10" t="s">
        <v>29</v>
      </c>
      <c r="F9" s="10" t="s">
        <v>34</v>
      </c>
      <c r="G9" s="10" t="s">
        <v>223</v>
      </c>
      <c r="H9" s="10" t="s">
        <v>226</v>
      </c>
      <c r="I9" s="10" t="n">
        <v>12</v>
      </c>
      <c r="J9" s="10" t="n">
        <v>60</v>
      </c>
      <c r="K9" s="10" t="s">
        <v>955</v>
      </c>
    </row>
    <row r="10" customFormat="false" ht="15" hidden="false" customHeight="false" outlineLevel="0" collapsed="false">
      <c r="A10" s="1"/>
      <c r="B10" s="10" t="s">
        <v>13</v>
      </c>
      <c r="C10" s="10" t="n">
        <v>35823</v>
      </c>
      <c r="D10" s="40" t="n">
        <v>46051</v>
      </c>
      <c r="E10" s="10" t="s">
        <v>24</v>
      </c>
      <c r="F10" s="10" t="s">
        <v>37</v>
      </c>
      <c r="G10" s="10" t="s">
        <v>191</v>
      </c>
      <c r="H10" s="10" t="s">
        <v>245</v>
      </c>
      <c r="I10" s="10" t="n">
        <v>44</v>
      </c>
      <c r="J10" s="10" t="n">
        <v>44</v>
      </c>
      <c r="K10" s="10" t="s">
        <v>147</v>
      </c>
    </row>
    <row r="11" customFormat="false" ht="15" hidden="false" customHeight="false" outlineLevel="0" collapsed="false">
      <c r="A11" s="1"/>
      <c r="B11" s="10" t="s">
        <v>13</v>
      </c>
      <c r="C11" s="10" t="n">
        <v>35912</v>
      </c>
      <c r="D11" s="40" t="n">
        <v>46052</v>
      </c>
      <c r="E11" s="10" t="s">
        <v>27</v>
      </c>
      <c r="F11" s="10" t="s">
        <v>36</v>
      </c>
      <c r="G11" s="10" t="s">
        <v>199</v>
      </c>
      <c r="H11" s="10" t="s">
        <v>444</v>
      </c>
      <c r="I11" s="10" t="n">
        <v>14</v>
      </c>
      <c r="J11" s="10" t="n">
        <v>14</v>
      </c>
      <c r="K11" s="10" t="s">
        <v>147</v>
      </c>
    </row>
    <row r="12" customFormat="false" ht="15" hidden="false" customHeight="false" outlineLevel="0" collapsed="false">
      <c r="A12" s="1"/>
      <c r="B12" s="10" t="s">
        <v>14</v>
      </c>
      <c r="C12" s="10" t="n">
        <v>42962</v>
      </c>
      <c r="D12" s="40" t="n">
        <v>46146</v>
      </c>
      <c r="E12" s="10" t="s">
        <v>28</v>
      </c>
      <c r="F12" s="10" t="s">
        <v>41</v>
      </c>
      <c r="G12" s="10" t="s">
        <v>337</v>
      </c>
      <c r="H12" s="10" t="s">
        <v>463</v>
      </c>
      <c r="I12" s="10" t="n">
        <v>12</v>
      </c>
      <c r="J12" s="10" t="n">
        <v>12</v>
      </c>
      <c r="K12" s="10" t="s">
        <v>147</v>
      </c>
    </row>
    <row r="13" customFormat="false" ht="15" hidden="false" customHeight="false" outlineLevel="0" collapsed="false">
      <c r="A13" s="1"/>
      <c r="B13" s="10" t="s">
        <v>14</v>
      </c>
      <c r="C13" s="10" t="n">
        <v>42963</v>
      </c>
      <c r="D13" s="40" t="n">
        <v>46146</v>
      </c>
      <c r="E13" s="10" t="s">
        <v>28</v>
      </c>
      <c r="F13" s="10" t="s">
        <v>41</v>
      </c>
      <c r="G13" s="10" t="s">
        <v>461</v>
      </c>
      <c r="H13" s="10" t="s">
        <v>464</v>
      </c>
      <c r="I13" s="10" t="n">
        <v>16</v>
      </c>
      <c r="J13" s="10" t="n">
        <v>16</v>
      </c>
      <c r="K13" s="10" t="s">
        <v>147</v>
      </c>
    </row>
    <row r="14" customFormat="false" ht="15" hidden="false" customHeight="false" outlineLevel="0" collapsed="false">
      <c r="A14" s="1"/>
      <c r="B14" s="10" t="s">
        <v>14</v>
      </c>
      <c r="C14" s="10" t="n">
        <v>44137</v>
      </c>
      <c r="D14" s="40" t="n">
        <v>46157</v>
      </c>
      <c r="E14" s="10" t="s">
        <v>23</v>
      </c>
      <c r="F14" s="10" t="s">
        <v>40</v>
      </c>
      <c r="G14" s="10" t="s">
        <v>528</v>
      </c>
      <c r="H14" s="10" t="s">
        <v>529</v>
      </c>
      <c r="I14" s="10" t="n">
        <v>14</v>
      </c>
      <c r="J14" s="10" t="n">
        <v>14</v>
      </c>
      <c r="K14" s="10" t="s">
        <v>147</v>
      </c>
    </row>
    <row r="15" customFormat="false" ht="15" hidden="false" customHeight="false" outlineLevel="0" collapsed="false">
      <c r="A15" s="1"/>
      <c r="B15" s="10" t="s">
        <v>14</v>
      </c>
      <c r="C15" s="10" t="n">
        <v>44405</v>
      </c>
      <c r="D15" s="40" t="n">
        <v>46161</v>
      </c>
      <c r="E15" s="10" t="s">
        <v>23</v>
      </c>
      <c r="F15" s="10" t="s">
        <v>548</v>
      </c>
      <c r="G15" s="10" t="s">
        <v>297</v>
      </c>
      <c r="H15" s="10" t="s">
        <v>538</v>
      </c>
      <c r="I15" s="10" t="n">
        <v>16</v>
      </c>
      <c r="J15" s="10" t="n">
        <v>16</v>
      </c>
      <c r="K15" s="10" t="s">
        <v>147</v>
      </c>
    </row>
    <row r="16" customFormat="false" ht="15" hidden="false" customHeight="false" outlineLevel="0" collapsed="false">
      <c r="A16" s="1"/>
      <c r="B16" s="10" t="s">
        <v>14</v>
      </c>
      <c r="C16" s="10" t="n">
        <v>44458</v>
      </c>
      <c r="D16" s="40" t="n">
        <v>46161</v>
      </c>
      <c r="E16" s="10" t="s">
        <v>20</v>
      </c>
      <c r="F16" s="10" t="s">
        <v>35</v>
      </c>
      <c r="G16" s="10" t="s">
        <v>558</v>
      </c>
      <c r="H16" s="10" t="s">
        <v>256</v>
      </c>
      <c r="I16" s="10" t="n">
        <v>15</v>
      </c>
      <c r="J16" s="10" t="n">
        <v>15</v>
      </c>
      <c r="K16" s="10" t="s">
        <v>147</v>
      </c>
    </row>
    <row r="17" customFormat="false" ht="15" hidden="false" customHeight="false" outlineLevel="0" collapsed="false">
      <c r="A17" s="1"/>
      <c r="B17" s="10" t="s">
        <v>14</v>
      </c>
      <c r="C17" s="10" t="n">
        <v>44804</v>
      </c>
      <c r="D17" s="40" t="n">
        <v>46164</v>
      </c>
      <c r="E17" s="10" t="s">
        <v>20</v>
      </c>
      <c r="F17" s="10" t="s">
        <v>35</v>
      </c>
      <c r="G17" s="10" t="s">
        <v>255</v>
      </c>
      <c r="H17" s="10" t="s">
        <v>191</v>
      </c>
      <c r="I17" s="10" t="n">
        <v>60</v>
      </c>
      <c r="J17" s="10" t="n">
        <v>60</v>
      </c>
      <c r="K17" s="10" t="s">
        <v>147</v>
      </c>
    </row>
    <row r="18" customFormat="false" ht="15" hidden="false" customHeight="false" outlineLevel="0" collapsed="false">
      <c r="A18" s="1"/>
      <c r="B18" s="10" t="s">
        <v>14</v>
      </c>
      <c r="C18" s="10" t="n">
        <v>44806</v>
      </c>
      <c r="D18" s="40" t="n">
        <v>46164</v>
      </c>
      <c r="E18" s="10" t="s">
        <v>20</v>
      </c>
      <c r="F18" s="10" t="s">
        <v>35</v>
      </c>
      <c r="G18" s="10" t="s">
        <v>191</v>
      </c>
      <c r="H18" s="10" t="s">
        <v>295</v>
      </c>
      <c r="I18" s="10" t="n">
        <v>60</v>
      </c>
      <c r="J18" s="10" t="n">
        <v>60</v>
      </c>
      <c r="K18" s="10" t="s">
        <v>147</v>
      </c>
    </row>
    <row r="19" customFormat="false" ht="15" hidden="false" customHeight="false" outlineLevel="0" collapsed="false">
      <c r="A19" s="1"/>
      <c r="B19" s="10" t="s">
        <v>14</v>
      </c>
      <c r="C19" s="10" t="n">
        <v>44807</v>
      </c>
      <c r="D19" s="40" t="n">
        <v>46164</v>
      </c>
      <c r="E19" s="10" t="s">
        <v>20</v>
      </c>
      <c r="F19" s="10" t="s">
        <v>35</v>
      </c>
      <c r="G19" s="10" t="s">
        <v>295</v>
      </c>
      <c r="H19" s="10" t="s">
        <v>210</v>
      </c>
      <c r="I19" s="10" t="n">
        <v>10</v>
      </c>
      <c r="J19" s="10" t="n">
        <v>10</v>
      </c>
      <c r="K19" s="10" t="s">
        <v>147</v>
      </c>
    </row>
    <row r="20" customFormat="false" ht="15" hidden="false" customHeight="false" outlineLevel="0" collapsed="false">
      <c r="A20" s="1"/>
      <c r="B20" s="10" t="s">
        <v>14</v>
      </c>
      <c r="C20" s="10" t="n">
        <v>44809</v>
      </c>
      <c r="D20" s="40" t="n">
        <v>46164</v>
      </c>
      <c r="E20" s="10" t="s">
        <v>20</v>
      </c>
      <c r="F20" s="10" t="s">
        <v>35</v>
      </c>
      <c r="G20" s="10" t="s">
        <v>223</v>
      </c>
      <c r="H20" s="10" t="s">
        <v>226</v>
      </c>
      <c r="I20" s="10" t="n">
        <v>60</v>
      </c>
      <c r="J20" s="10" t="n">
        <v>60</v>
      </c>
      <c r="K20" s="10" t="s">
        <v>147</v>
      </c>
    </row>
    <row r="21" customFormat="false" ht="15" hidden="false" customHeight="false" outlineLevel="0" collapsed="false">
      <c r="A21" s="1"/>
      <c r="B21" s="10" t="s">
        <v>14</v>
      </c>
      <c r="C21" s="10" t="n">
        <v>44810</v>
      </c>
      <c r="D21" s="40" t="n">
        <v>46164</v>
      </c>
      <c r="E21" s="10" t="s">
        <v>20</v>
      </c>
      <c r="F21" s="10" t="s">
        <v>35</v>
      </c>
      <c r="G21" s="10" t="s">
        <v>210</v>
      </c>
      <c r="H21" s="10" t="s">
        <v>223</v>
      </c>
      <c r="I21" s="10" t="n">
        <v>50</v>
      </c>
      <c r="J21" s="10" t="n">
        <v>50</v>
      </c>
      <c r="K21" s="10" t="s">
        <v>147</v>
      </c>
    </row>
    <row r="22" customFormat="false" ht="15" hidden="false" customHeight="false" outlineLevel="0" collapsed="false">
      <c r="A22" s="1"/>
      <c r="B22" s="10" t="s">
        <v>14</v>
      </c>
      <c r="C22" s="10" t="n">
        <v>44811</v>
      </c>
      <c r="D22" s="40" t="n">
        <v>46164</v>
      </c>
      <c r="E22" s="10" t="s">
        <v>20</v>
      </c>
      <c r="F22" s="10" t="s">
        <v>35</v>
      </c>
      <c r="G22" s="10" t="s">
        <v>226</v>
      </c>
      <c r="H22" s="10" t="s">
        <v>228</v>
      </c>
      <c r="I22" s="10" t="n">
        <v>60</v>
      </c>
      <c r="J22" s="10" t="n">
        <v>60</v>
      </c>
      <c r="K22" s="10" t="s">
        <v>147</v>
      </c>
    </row>
    <row r="23" customFormat="false" ht="15" hidden="false" customHeight="false" outlineLevel="0" collapsed="false">
      <c r="A23" s="1"/>
      <c r="B23" s="10" t="s">
        <v>14</v>
      </c>
      <c r="C23" s="10" t="n">
        <v>44812</v>
      </c>
      <c r="D23" s="40" t="n">
        <v>46164</v>
      </c>
      <c r="E23" s="10" t="s">
        <v>20</v>
      </c>
      <c r="F23" s="10" t="s">
        <v>35</v>
      </c>
      <c r="G23" s="10" t="s">
        <v>199</v>
      </c>
      <c r="H23" s="10" t="s">
        <v>283</v>
      </c>
      <c r="I23" s="10" t="n">
        <v>60</v>
      </c>
      <c r="J23" s="10" t="n">
        <v>60</v>
      </c>
      <c r="K23" s="10" t="s">
        <v>147</v>
      </c>
    </row>
    <row r="24" customFormat="false" ht="15" hidden="false" customHeight="false" outlineLevel="0" collapsed="false">
      <c r="A24" s="1"/>
      <c r="B24" s="10" t="s">
        <v>14</v>
      </c>
      <c r="C24" s="10" t="n">
        <v>44813</v>
      </c>
      <c r="D24" s="40" t="n">
        <v>46164</v>
      </c>
      <c r="E24" s="10" t="s">
        <v>20</v>
      </c>
      <c r="F24" s="10" t="s">
        <v>35</v>
      </c>
      <c r="G24" s="10" t="s">
        <v>228</v>
      </c>
      <c r="H24" s="10" t="s">
        <v>199</v>
      </c>
      <c r="I24" s="10" t="n">
        <v>60</v>
      </c>
      <c r="J24" s="10" t="n">
        <v>60</v>
      </c>
      <c r="K24" s="10" t="s">
        <v>147</v>
      </c>
    </row>
    <row r="25" customFormat="false" ht="15" hidden="false" customHeight="false" outlineLevel="0" collapsed="false">
      <c r="A25" s="1"/>
      <c r="B25" s="10" t="s">
        <v>14</v>
      </c>
      <c r="C25" s="10" t="n">
        <v>45220</v>
      </c>
      <c r="D25" s="40" t="n">
        <v>46170</v>
      </c>
      <c r="E25" s="10" t="s">
        <v>23</v>
      </c>
      <c r="F25" s="10" t="s">
        <v>40</v>
      </c>
      <c r="G25" s="10" t="s">
        <v>502</v>
      </c>
      <c r="H25" s="10" t="s">
        <v>191</v>
      </c>
      <c r="I25" s="10" t="n">
        <v>30</v>
      </c>
      <c r="J25" s="10" t="n">
        <v>30</v>
      </c>
      <c r="K25" s="10" t="s">
        <v>147</v>
      </c>
    </row>
    <row r="26" customFormat="false" ht="15" hidden="false" customHeight="false" outlineLevel="0" collapsed="false">
      <c r="A26" s="1"/>
      <c r="B26" s="10" t="s">
        <v>14</v>
      </c>
      <c r="C26" s="10" t="n">
        <v>45221</v>
      </c>
      <c r="D26" s="40" t="n">
        <v>46170</v>
      </c>
      <c r="E26" s="10" t="s">
        <v>23</v>
      </c>
      <c r="F26" s="10" t="s">
        <v>40</v>
      </c>
      <c r="G26" s="10" t="s">
        <v>626</v>
      </c>
      <c r="H26" s="10" t="s">
        <v>295</v>
      </c>
      <c r="I26" s="10" t="n">
        <v>44</v>
      </c>
      <c r="J26" s="10" t="n">
        <v>44</v>
      </c>
      <c r="K26" s="10" t="s">
        <v>147</v>
      </c>
    </row>
    <row r="27" customFormat="false" ht="15" hidden="false" customHeight="false" outlineLevel="0" collapsed="false">
      <c r="A27" s="1"/>
      <c r="B27" s="10" t="s">
        <v>14</v>
      </c>
      <c r="C27" s="10" t="n">
        <v>45386</v>
      </c>
      <c r="D27" s="40" t="n">
        <v>46171</v>
      </c>
      <c r="E27" s="10" t="s">
        <v>23</v>
      </c>
      <c r="F27" s="10" t="s">
        <v>42</v>
      </c>
      <c r="G27" s="10" t="s">
        <v>223</v>
      </c>
      <c r="H27" s="10" t="s">
        <v>226</v>
      </c>
      <c r="I27" s="10" t="n">
        <v>60</v>
      </c>
      <c r="J27" s="10" t="n">
        <v>60</v>
      </c>
      <c r="K27" s="10" t="s">
        <v>147</v>
      </c>
    </row>
    <row r="28" customFormat="false" ht="15" hidden="false" customHeight="false" outlineLevel="0" collapsed="false">
      <c r="A28" s="1"/>
      <c r="B28" s="10" t="s">
        <v>15</v>
      </c>
      <c r="C28" s="10" t="n">
        <v>46423</v>
      </c>
      <c r="D28" s="40" t="n">
        <v>46183</v>
      </c>
      <c r="E28" s="10" t="s">
        <v>27</v>
      </c>
      <c r="F28" s="10" t="s">
        <v>38</v>
      </c>
      <c r="G28" s="10" t="s">
        <v>283</v>
      </c>
      <c r="H28" s="10" t="s">
        <v>256</v>
      </c>
      <c r="I28" s="10" t="n">
        <v>60</v>
      </c>
      <c r="J28" s="10" t="n">
        <v>60</v>
      </c>
      <c r="K28" s="10" t="s">
        <v>147</v>
      </c>
    </row>
    <row r="29" customFormat="false" ht="15" hidden="false" customHeight="false" outlineLevel="0" collapsed="false">
      <c r="A29" s="1"/>
      <c r="B29" s="10" t="s">
        <v>15</v>
      </c>
      <c r="C29" s="10" t="n">
        <v>47871</v>
      </c>
      <c r="D29" s="40" t="n">
        <v>46198</v>
      </c>
      <c r="E29" s="10" t="s">
        <v>26</v>
      </c>
      <c r="F29" s="10" t="s">
        <v>34</v>
      </c>
      <c r="G29" s="10" t="s">
        <v>228</v>
      </c>
      <c r="H29" s="10" t="s">
        <v>199</v>
      </c>
      <c r="I29" s="10" t="n">
        <v>60</v>
      </c>
      <c r="J29" s="10" t="n">
        <v>60</v>
      </c>
      <c r="K29" s="10" t="s">
        <v>147</v>
      </c>
    </row>
    <row r="30" customFormat="false" ht="15" hidden="false" customHeight="false" outlineLevel="0" collapsed="false">
      <c r="A30" s="1"/>
      <c r="B30" s="10" t="s">
        <v>15</v>
      </c>
      <c r="C30" s="10" t="n">
        <v>47872</v>
      </c>
      <c r="D30" s="40" t="n">
        <v>46198</v>
      </c>
      <c r="E30" s="10" t="s">
        <v>26</v>
      </c>
      <c r="F30" s="10" t="s">
        <v>34</v>
      </c>
      <c r="G30" s="10" t="s">
        <v>199</v>
      </c>
      <c r="H30" s="10" t="s">
        <v>283</v>
      </c>
      <c r="I30" s="10" t="n">
        <v>60</v>
      </c>
      <c r="J30" s="10" t="n">
        <v>60</v>
      </c>
      <c r="K30" s="10" t="s">
        <v>147</v>
      </c>
    </row>
    <row r="31" customFormat="false" ht="15" hidden="false" customHeight="false" outlineLevel="0" collapsed="false">
      <c r="A31" s="1"/>
      <c r="B31" s="10" t="s">
        <v>15</v>
      </c>
      <c r="C31" s="10" t="n">
        <v>47924</v>
      </c>
      <c r="D31" s="40" t="n">
        <v>46198</v>
      </c>
      <c r="E31" s="10" t="s">
        <v>26</v>
      </c>
      <c r="F31" s="10" t="s">
        <v>34</v>
      </c>
      <c r="G31" s="10" t="s">
        <v>750</v>
      </c>
      <c r="H31" s="10" t="s">
        <v>750</v>
      </c>
      <c r="I31" s="10" t="n">
        <v>0</v>
      </c>
      <c r="J31" s="10" t="n">
        <v>0</v>
      </c>
      <c r="K31" s="10" t="s">
        <v>956</v>
      </c>
    </row>
    <row r="32" customFormat="false" ht="15" hidden="false" customHeight="false" outlineLevel="0" collapsed="false">
      <c r="A32" s="1"/>
      <c r="B32" s="10" t="s">
        <v>16</v>
      </c>
      <c r="C32" s="10" t="n">
        <v>48066</v>
      </c>
      <c r="D32" s="40" t="n">
        <v>46205</v>
      </c>
      <c r="E32" s="10" t="s">
        <v>25</v>
      </c>
      <c r="F32" s="10" t="s">
        <v>765</v>
      </c>
      <c r="G32" s="10" t="s">
        <v>312</v>
      </c>
      <c r="H32" s="10" t="s">
        <v>502</v>
      </c>
      <c r="I32" s="10" t="n">
        <v>10</v>
      </c>
      <c r="J32" s="10" t="n">
        <v>10</v>
      </c>
      <c r="K32" s="10" t="s">
        <v>147</v>
      </c>
    </row>
    <row r="33" customFormat="false" ht="15" hidden="false" customHeight="false" outlineLevel="0" collapsed="false">
      <c r="A33" s="1"/>
      <c r="B33" s="10" t="s">
        <v>16</v>
      </c>
      <c r="C33" s="10" t="n">
        <v>48199</v>
      </c>
      <c r="D33" s="40" t="n">
        <v>46206</v>
      </c>
      <c r="E33" s="10" t="s">
        <v>21</v>
      </c>
      <c r="F33" s="10" t="s">
        <v>34</v>
      </c>
      <c r="G33" s="10" t="s">
        <v>495</v>
      </c>
      <c r="H33" s="10" t="s">
        <v>769</v>
      </c>
      <c r="I33" s="10" t="n">
        <v>55</v>
      </c>
      <c r="J33" s="10" t="n">
        <v>40</v>
      </c>
      <c r="K33" s="10" t="s">
        <v>955</v>
      </c>
    </row>
    <row r="34" customFormat="false" ht="15" hidden="false" customHeight="false" outlineLevel="0" collapsed="false">
      <c r="A34" s="1"/>
      <c r="B34" s="10" t="s">
        <v>16</v>
      </c>
      <c r="C34" s="10" t="n">
        <v>48594</v>
      </c>
      <c r="D34" s="40" t="n">
        <v>46210</v>
      </c>
      <c r="E34" s="10" t="s">
        <v>25</v>
      </c>
      <c r="F34" s="10" t="s">
        <v>36</v>
      </c>
      <c r="G34" s="10" t="s">
        <v>283</v>
      </c>
      <c r="H34" s="10" t="s">
        <v>507</v>
      </c>
      <c r="I34" s="10" t="n">
        <v>15</v>
      </c>
      <c r="J34" s="10" t="n">
        <v>15</v>
      </c>
      <c r="K34" s="10" t="s">
        <v>147</v>
      </c>
    </row>
    <row r="35" customFormat="false" ht="15" hidden="false" customHeight="false" outlineLevel="0" collapsed="false">
      <c r="A35" s="1"/>
      <c r="B35" s="10" t="s">
        <v>16</v>
      </c>
      <c r="C35" s="10" t="n">
        <v>49094</v>
      </c>
      <c r="D35" s="40" t="n">
        <v>46217</v>
      </c>
      <c r="E35" s="10" t="s">
        <v>22</v>
      </c>
      <c r="F35" s="10" t="s">
        <v>817</v>
      </c>
      <c r="G35" s="10" t="s">
        <v>280</v>
      </c>
      <c r="H35" s="10" t="s">
        <v>199</v>
      </c>
      <c r="I35" s="10" t="n">
        <v>31</v>
      </c>
      <c r="J35" s="10" t="n">
        <v>36</v>
      </c>
      <c r="K35" s="10" t="s">
        <v>955</v>
      </c>
    </row>
    <row r="36" customFormat="false" ht="15" hidden="false" customHeight="false" outlineLevel="0" collapsed="false">
      <c r="A36" s="1"/>
      <c r="B36" s="10" t="s">
        <v>16</v>
      </c>
      <c r="C36" s="10" t="n">
        <v>49119</v>
      </c>
      <c r="D36" s="40" t="n">
        <v>46217</v>
      </c>
      <c r="E36" s="10" t="s">
        <v>27</v>
      </c>
      <c r="F36" s="10" t="s">
        <v>821</v>
      </c>
      <c r="G36" s="10" t="s">
        <v>823</v>
      </c>
      <c r="H36" s="10" t="s">
        <v>256</v>
      </c>
      <c r="I36" s="10" t="n">
        <v>33</v>
      </c>
      <c r="J36" s="10" t="n">
        <v>8</v>
      </c>
      <c r="K36" s="10" t="s">
        <v>955</v>
      </c>
    </row>
    <row r="37" customFormat="false" ht="15" hidden="false" customHeight="false" outlineLevel="0" collapsed="false">
      <c r="A37" s="1"/>
      <c r="B37" s="10" t="s">
        <v>16</v>
      </c>
      <c r="C37" s="10" t="n">
        <v>49172</v>
      </c>
      <c r="D37" s="40" t="n">
        <v>46217</v>
      </c>
      <c r="E37" s="10" t="s">
        <v>27</v>
      </c>
      <c r="F37" s="10" t="s">
        <v>821</v>
      </c>
      <c r="G37" s="10" t="s">
        <v>825</v>
      </c>
      <c r="H37" s="10" t="s">
        <v>826</v>
      </c>
      <c r="I37" s="10" t="n">
        <v>43</v>
      </c>
      <c r="J37" s="10" t="n">
        <v>32</v>
      </c>
      <c r="K37" s="10" t="s">
        <v>955</v>
      </c>
    </row>
    <row r="38" customFormat="false" ht="15" hidden="false" customHeight="false" outlineLevel="0" collapsed="false">
      <c r="A38" s="1"/>
      <c r="B38" s="10" t="s">
        <v>16</v>
      </c>
      <c r="C38" s="10" t="n">
        <v>49186</v>
      </c>
      <c r="D38" s="40" t="n">
        <v>46218</v>
      </c>
      <c r="E38" s="10" t="s">
        <v>22</v>
      </c>
      <c r="F38" s="10" t="s">
        <v>828</v>
      </c>
      <c r="G38" s="10" t="s">
        <v>295</v>
      </c>
      <c r="H38" s="10" t="s">
        <v>537</v>
      </c>
      <c r="I38" s="10" t="n">
        <v>27</v>
      </c>
      <c r="J38" s="10" t="n">
        <v>30</v>
      </c>
      <c r="K38" s="10" t="s">
        <v>955</v>
      </c>
    </row>
    <row r="39" customFormat="false" ht="15" hidden="false" customHeight="false" outlineLevel="0" collapsed="false">
      <c r="A39" s="1"/>
      <c r="B39" s="10" t="s">
        <v>16</v>
      </c>
      <c r="C39" s="10" t="n">
        <v>49550</v>
      </c>
      <c r="D39" s="40" t="n">
        <v>46224</v>
      </c>
      <c r="E39" s="10" t="s">
        <v>25</v>
      </c>
      <c r="F39" s="10" t="s">
        <v>765</v>
      </c>
      <c r="G39" s="10" t="s">
        <v>255</v>
      </c>
      <c r="H39" s="10" t="s">
        <v>190</v>
      </c>
      <c r="I39" s="10" t="n">
        <v>10</v>
      </c>
      <c r="J39" s="10" t="n">
        <v>10</v>
      </c>
      <c r="K39" s="10" t="s">
        <v>147</v>
      </c>
    </row>
    <row r="40" customFormat="false" ht="15" hidden="false" customHeight="false" outlineLevel="0" collapsed="false">
      <c r="A40" s="1"/>
      <c r="B40" s="10" t="s">
        <v>16</v>
      </c>
      <c r="C40" s="10" t="n">
        <v>50085</v>
      </c>
      <c r="D40" s="40" t="n">
        <v>46231</v>
      </c>
      <c r="E40" s="10" t="s">
        <v>23</v>
      </c>
      <c r="F40" s="10" t="s">
        <v>392</v>
      </c>
      <c r="G40" s="10" t="s">
        <v>856</v>
      </c>
      <c r="H40" s="10" t="s">
        <v>857</v>
      </c>
      <c r="I40" s="10" t="n">
        <v>10</v>
      </c>
      <c r="J40" s="10" t="n">
        <v>14</v>
      </c>
      <c r="K40" s="10" t="s">
        <v>955</v>
      </c>
    </row>
    <row r="41" customFormat="false" ht="15" hidden="false" customHeight="false" outlineLevel="0" collapsed="false">
      <c r="A41" s="1"/>
      <c r="B41" s="10" t="s">
        <v>16</v>
      </c>
      <c r="C41" s="10" t="n">
        <v>50146</v>
      </c>
      <c r="D41" s="40" t="n">
        <v>46231</v>
      </c>
      <c r="E41" s="10" t="s">
        <v>26</v>
      </c>
      <c r="F41" s="10" t="s">
        <v>34</v>
      </c>
      <c r="G41" s="10" t="s">
        <v>861</v>
      </c>
      <c r="H41" s="10" t="s">
        <v>462</v>
      </c>
      <c r="I41" s="10" t="n">
        <v>90</v>
      </c>
      <c r="J41" s="10" t="n">
        <v>30</v>
      </c>
      <c r="K41" s="10" t="s">
        <v>955</v>
      </c>
    </row>
    <row r="42" customFormat="false" ht="15" hidden="false" customHeight="false" outlineLevel="0" collapsed="false">
      <c r="A42" s="1"/>
      <c r="B42" s="10" t="s">
        <v>16</v>
      </c>
      <c r="C42" s="10" t="n">
        <v>50155</v>
      </c>
      <c r="D42" s="40" t="n">
        <v>46231</v>
      </c>
      <c r="E42" s="10" t="s">
        <v>26</v>
      </c>
      <c r="F42" s="10" t="s">
        <v>34</v>
      </c>
      <c r="G42" s="10" t="s">
        <v>460</v>
      </c>
      <c r="H42" s="10" t="s">
        <v>865</v>
      </c>
      <c r="I42" s="10" t="n">
        <v>60</v>
      </c>
      <c r="J42" s="10" t="n">
        <v>30</v>
      </c>
      <c r="K42" s="10" t="s">
        <v>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2026-10-14T19:13:30Z</dcterms:created>
  <dc:creator>openpyxl</dc:creator>
  <dc:description/>
  <dc:language>en-US</dc:language>
  <cp:lastModifiedBy/>
  <dcterms:modified xsi:type="dcterms:W3CDTF">2026-10-14T19:13:34Z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